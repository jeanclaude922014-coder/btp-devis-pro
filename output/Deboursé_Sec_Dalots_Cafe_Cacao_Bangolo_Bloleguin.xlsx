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ypotheses" sheetId="1" state="visible" r:id="rId1"/>
    <sheet name="DS - Dalot 2.00x2.00" sheetId="2" state="visible" r:id="rId2"/>
    <sheet name="DS - Dalot 3.00x2.00" sheetId="3" state="visible" r:id="rId3"/>
    <sheet name="Recapitulatif Projet" sheetId="4" state="visible" r:id="rId4"/>
  </sheets>
  <definedNames/>
  <calcPr calcId="124519" calcMode="auto" fullCalcOnLoad="1"/>
</workbook>
</file>

<file path=xl/styles.xml><?xml version="1.0" encoding="utf-8"?>
<styleSheet xmlns="http://schemas.openxmlformats.org/spreadsheetml/2006/main">
  <numFmts count="3">
    <numFmt numFmtId="164" formatCode="#,##0.0"/>
    <numFmt numFmtId="165" formatCode="#,##0&quot; FCFA&quot;"/>
    <numFmt numFmtId="166" formatCode="0.0%"/>
  </numFmts>
  <fonts count="15">
    <font>
      <name val="Calibri"/>
      <family val="2"/>
      <color theme="1"/>
      <sz val="11"/>
      <scheme val="minor"/>
    </font>
    <font>
      <name val="Arial"/>
      <b val="1"/>
      <color rgb="00FFFFFF"/>
      <sz val="14"/>
    </font>
    <font>
      <name val="Arial"/>
      <i val="1"/>
      <color rgb="001F1F1F"/>
      <sz val="10"/>
    </font>
    <font>
      <name val="Arial"/>
      <b val="1"/>
      <color rgb="00FFFFFF"/>
      <sz val="11"/>
    </font>
    <font>
      <name val="Arial"/>
      <b val="1"/>
      <color rgb="00FFFFFF"/>
      <sz val="10"/>
    </font>
    <font>
      <name val="Arial"/>
      <sz val="10"/>
    </font>
    <font>
      <name val="Arial"/>
      <color rgb="000000FF"/>
      <sz val="10"/>
    </font>
    <font>
      <name val="Arial"/>
      <b val="1"/>
      <sz val="10"/>
    </font>
    <font>
      <name val="Arial"/>
      <color rgb="00000000"/>
      <sz val="10"/>
    </font>
    <font>
      <name val="Arial"/>
      <i val="1"/>
      <color rgb="007F7F7F"/>
      <sz val="9"/>
    </font>
    <font>
      <name val="Arial"/>
      <color rgb="00008000"/>
      <sz val="10"/>
    </font>
    <font>
      <name val="Arial"/>
      <b val="1"/>
      <color rgb="00FFFFFF"/>
      <sz val="12"/>
    </font>
    <font>
      <name val="Arial"/>
      <sz val="11"/>
    </font>
    <font>
      <name val="Arial"/>
      <color rgb="00008000"/>
      <sz val="11"/>
    </font>
    <font>
      <name val="Arial"/>
      <b val="1"/>
      <color rgb="00FFFFFF"/>
      <sz val="13"/>
    </font>
  </fonts>
  <fills count="9">
    <fill>
      <patternFill/>
    </fill>
    <fill>
      <patternFill patternType="gray125"/>
    </fill>
    <fill>
      <patternFill patternType="solid">
        <fgColor rgb="001F4E2C"/>
      </patternFill>
    </fill>
    <fill>
      <patternFill patternType="solid">
        <fgColor rgb="002E7D32"/>
      </patternFill>
    </fill>
    <fill>
      <patternFill patternType="solid">
        <fgColor rgb="004E7A51"/>
      </patternFill>
    </fill>
    <fill>
      <patternFill patternType="solid">
        <fgColor rgb="00E2EFDA"/>
      </patternFill>
    </fill>
    <fill>
      <patternFill patternType="solid">
        <fgColor rgb="00FFF2CC"/>
      </patternFill>
    </fill>
    <fill>
      <patternFill patternType="solid">
        <fgColor rgb="006AA36F"/>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0" applyAlignment="1" pivotButton="0" quotePrefix="0" xfId="0">
      <alignment horizontal="center"/>
    </xf>
    <xf numFmtId="0" fontId="5" fillId="0" borderId="0" pivotButton="0" quotePrefix="0" xfId="0"/>
    <xf numFmtId="4" fontId="6" fillId="0" borderId="0" pivotButton="0" quotePrefix="0" xfId="0"/>
    <xf numFmtId="0" fontId="7" fillId="0" borderId="0" pivotButton="0" quotePrefix="0" xfId="0"/>
    <xf numFmtId="4" fontId="8" fillId="0" borderId="0" pivotButton="0" quotePrefix="0" xfId="0"/>
    <xf numFmtId="0" fontId="7" fillId="5" borderId="0" pivotButton="0" quotePrefix="0" xfId="0"/>
    <xf numFmtId="4" fontId="8" fillId="5" borderId="0" pivotButton="0" quotePrefix="0" xfId="0"/>
    <xf numFmtId="0" fontId="0" fillId="5" borderId="0" pivotButton="0" quotePrefix="0" xfId="0"/>
    <xf numFmtId="164" fontId="8" fillId="0" borderId="0" pivotButton="0" quotePrefix="0" xfId="0"/>
    <xf numFmtId="4" fontId="6" fillId="6" borderId="0" pivotButton="0" quotePrefix="0" xfId="0"/>
    <xf numFmtId="0" fontId="9" fillId="0" borderId="0" applyAlignment="1" pivotButton="0" quotePrefix="0" xfId="0">
      <alignment horizontal="left" vertical="top" wrapText="1"/>
    </xf>
    <xf numFmtId="0" fontId="4" fillId="4" borderId="1" applyAlignment="1" pivotButton="0" quotePrefix="0" xfId="0">
      <alignment horizontal="center" vertical="center" wrapText="1"/>
    </xf>
    <xf numFmtId="0" fontId="3" fillId="7" borderId="0" applyAlignment="1" pivotButton="0" quotePrefix="0" xfId="0">
      <alignment horizontal="left" vertical="center" indent="1"/>
    </xf>
    <xf numFmtId="0" fontId="5" fillId="0" borderId="1" applyAlignment="1" pivotButton="0" quotePrefix="0" xfId="0">
      <alignment horizontal="center"/>
    </xf>
    <xf numFmtId="0" fontId="5" fillId="0" borderId="1" applyAlignment="1" pivotButton="0" quotePrefix="0" xfId="0">
      <alignment horizontal="left" vertical="center" wrapText="1"/>
    </xf>
    <xf numFmtId="4" fontId="10" fillId="0" borderId="1" applyAlignment="1" pivotButton="0" quotePrefix="0" xfId="0">
      <alignment horizontal="center"/>
    </xf>
    <xf numFmtId="165" fontId="6" fillId="6" borderId="1" applyAlignment="1" pivotButton="0" quotePrefix="0" xfId="0">
      <alignment horizontal="right"/>
    </xf>
    <xf numFmtId="165" fontId="8" fillId="0" borderId="1" applyAlignment="1" pivotButton="0" quotePrefix="0" xfId="0">
      <alignment horizontal="right"/>
    </xf>
    <xf numFmtId="0" fontId="7" fillId="5" borderId="1" applyAlignment="1" pivotButton="0" quotePrefix="0" xfId="0">
      <alignment horizontal="right" indent="1"/>
    </xf>
    <xf numFmtId="0" fontId="0" fillId="5" borderId="1" pivotButton="0" quotePrefix="0" xfId="0"/>
    <xf numFmtId="165" fontId="7" fillId="5" borderId="1" pivotButton="0" quotePrefix="0" xfId="0"/>
    <xf numFmtId="0" fontId="5" fillId="8" borderId="1" applyAlignment="1" pivotButton="0" quotePrefix="0" xfId="0">
      <alignment horizontal="center"/>
    </xf>
    <xf numFmtId="0" fontId="5" fillId="8" borderId="1" applyAlignment="1" pivotButton="0" quotePrefix="0" xfId="0">
      <alignment horizontal="left" vertical="center" wrapText="1"/>
    </xf>
    <xf numFmtId="4" fontId="10" fillId="8" borderId="1" applyAlignment="1" pivotButton="0" quotePrefix="0" xfId="0">
      <alignment horizontal="center"/>
    </xf>
    <xf numFmtId="165" fontId="6" fillId="8" borderId="1" applyAlignment="1" pivotButton="0" quotePrefix="0" xfId="0">
      <alignment horizontal="right"/>
    </xf>
    <xf numFmtId="165" fontId="8" fillId="8" borderId="1" applyAlignment="1" pivotButton="0" quotePrefix="0" xfId="0">
      <alignment horizontal="right"/>
    </xf>
    <xf numFmtId="0" fontId="11" fillId="2" borderId="0" applyAlignment="1" pivotButton="0" quotePrefix="0" xfId="0">
      <alignment horizontal="right" vertical="center" indent="1"/>
    </xf>
    <xf numFmtId="165" fontId="11" fillId="2" borderId="0" applyAlignment="1" pivotButton="0" quotePrefix="0" xfId="0">
      <alignment horizontal="right"/>
    </xf>
    <xf numFmtId="0" fontId="9" fillId="0" borderId="0" applyAlignment="1" pivotButton="0" quotePrefix="0" xfId="0">
      <alignment vertical="top" wrapText="1"/>
    </xf>
    <xf numFmtId="0" fontId="0" fillId="0" borderId="4" pivotButton="0" quotePrefix="0" xfId="0"/>
    <xf numFmtId="0" fontId="0" fillId="0" borderId="5" pivotButton="0" quotePrefix="0" xfId="0"/>
    <xf numFmtId="0" fontId="2" fillId="0" borderId="0" pivotButton="0" quotePrefix="0" xfId="0"/>
    <xf numFmtId="0" fontId="12" fillId="0" borderId="1" pivotButton="0" quotePrefix="0" xfId="0"/>
    <xf numFmtId="165" fontId="13" fillId="0" borderId="1" pivotButton="0" quotePrefix="0" xfId="0"/>
    <xf numFmtId="166" fontId="12" fillId="0" borderId="1" pivotButton="0" quotePrefix="0" xfId="0"/>
    <xf numFmtId="0" fontId="14" fillId="2" borderId="0" applyAlignment="1" pivotButton="0" quotePrefix="0" xfId="0">
      <alignment horizontal="left" vertical="center" indent="1"/>
    </xf>
    <xf numFmtId="165" fontId="14" fillId="2" borderId="0" pivotButton="0" quotePrefix="0" xfId="0"/>
    <xf numFmtId="0" fontId="14" fillId="2" borderId="0" applyAlignment="1" pivotButton="0" quotePrefix="0" xfId="0">
      <alignment horizontal="center"/>
    </xf>
    <xf numFmtId="0" fontId="4" fillId="4" borderId="0" applyAlignment="1" pivotButton="0" quotePrefix="0" xfId="0">
      <alignment horizontal="left" vertical="center" indent="1"/>
    </xf>
    <xf numFmtId="0" fontId="4" fillId="4" borderId="1" applyAlignment="1" pivotButton="0" quotePrefix="0" xfId="0">
      <alignment horizontal="center" wrapText="1"/>
    </xf>
    <xf numFmtId="0"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Note technique</author>
    <author>Hypothese</author>
  </authors>
  <commentList>
    <comment ref="B15" authorId="0" shapeId="0">
      <text>
        <t>Dalot 2,00x2,00 : surface S=5 m2 indiquee explicitement sur le plan d'execution (vue en plan).
Dalot 3,00x2,00 : valeur estimee par similitude geometrique (trapeze, meme fruit ~30 degres) car non chiffree explicitement sur le plan fourni. A verifier sur plan cote si disponible.</t>
      </text>
    </comment>
    <comment ref="B17" authorId="0" shapeId="0">
      <text>
        <t>Issue de la Note de Calcul, chapitre III.2 (tirant d'eau normal, Manning-Strickler).</t>
      </text>
    </comment>
    <comment ref="B24" authorId="0" shapeId="0">
      <text>
        <t>Valeur lue directement dans le cartouche 'Volume beton (m3)' de la Nomenclature des aciers - corps du dalot.</t>
      </text>
    </comment>
    <comment ref="B25" authorId="0" shapeId="0">
      <text>
        <t>Valeur lue directement dans le cartouche 'Volume beton (m3)' de la Grille tete du dalot.</t>
      </text>
    </comment>
    <comment ref="B36" authorId="1" shapeId="0">
      <text>
        <t>Coefficient multiplicateur applique a l'emprise pour tenir compte des irregularites de terrain et de la sur-largeur de travail necessaire au coffrage.</t>
      </text>
    </comment>
    <comment ref="B38" authorId="1" shapeId="0">
      <text>
        <t>Ratio usuel pour ouvrages-cadres en beton arme a parois minces (radier, piedroits, tablier, murs en aile) avec coffrage sur les deux faces des elements verticaux/inclines.</t>
      </text>
    </comment>
    <comment ref="B39" authorId="1" shapeId="0">
      <text>
        <t>Conforme a la recommandation de la Note de Calcul (IIII.5) : protection du lit sur une longueur d'au moins 2 a 3 fois la hauteur d'eau a l'aval (et a l'amont) de l'ouvrage.</t>
      </text>
    </comment>
  </commentList>
</comments>
</file>

<file path=xl/comments/comment2.xml><?xml version="1.0" encoding="utf-8"?>
<comments xmlns="http://schemas.openxmlformats.org/spreadsheetml/2006/main">
  <authors>
    <author>Note</author>
  </authors>
  <commentList>
    <comment ref="C7" authorId="0" shapeId="0">
      <text>
        <t>Forfait par ouvrage, chantier isole en zone rurale.</t>
      </text>
    </comment>
    <comment ref="C35" authorId="0" shapeId="0">
      <text>
        <t>Cf. Note d'information du projet : aucun type de garde-corps n'est impose sur les plans. Le modele sera defini et valide par la Mission de Controle. Quantite et prix PROVISOIRES.</t>
      </text>
    </comment>
  </commentList>
</comments>
</file>

<file path=xl/comments/comment3.xml><?xml version="1.0" encoding="utf-8"?>
<comments xmlns="http://schemas.openxmlformats.org/spreadsheetml/2006/main">
  <authors>
    <author>Note</author>
  </authors>
  <commentList>
    <comment ref="C7" authorId="0" shapeId="0">
      <text>
        <t>Forfait par ouvrage, chantier isole en zone rurale.</t>
      </text>
    </comment>
    <comment ref="C35" authorId="0" shapeId="0">
      <text>
        <t>Cf. Note d'information du projet : aucun type de garde-corps n'est impose sur les plans. Le modele sera defini et valide par la Mission de Controle. Quantite et prix PROVISOIRES.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1:F60"/>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6" customWidth="1" min="2" max="2"/>
    <col width="16" customWidth="1" min="3" max="3"/>
    <col width="16" customWidth="1" min="4" max="4"/>
    <col width="12" customWidth="1" min="5" max="5"/>
    <col width="40" customWidth="1" min="6" max="6"/>
  </cols>
  <sheetData>
    <row r="1" ht="26" customHeight="1">
      <c r="B1" s="1" t="inlineStr">
        <is>
          <t>DEBOURSE SEC - DALOTS PROJET CAFE-CACAO (BANGOLO - BLOLEKIN)</t>
        </is>
      </c>
    </row>
    <row r="2" ht="14" customHeight="1">
      <c r="B2" s="2" t="inlineStr">
        <is>
          <t>Travaux de reprofilage lourd et de traitement de points critiques de routes rurales - Regions du Guemon et du Cavally | Maitre d'ouvrage : Conseil Cafe-Cacao</t>
        </is>
      </c>
    </row>
    <row r="4" ht="18" customHeight="1">
      <c r="B4" s="3" t="inlineStr">
        <is>
          <t>A. CARACTERISTIQUES GEOMETRIQUES (source : Notes de calcul et Plans d'execution)</t>
        </is>
      </c>
    </row>
    <row r="5">
      <c r="B5" s="4" t="inlineStr">
        <is>
          <t>Parametre</t>
        </is>
      </c>
      <c r="C5" s="4" t="inlineStr">
        <is>
          <t>Dalot 2,00 x 2,00</t>
        </is>
      </c>
      <c r="D5" s="4" t="inlineStr">
        <is>
          <t>Dalot 3,00 x 2,00</t>
        </is>
      </c>
      <c r="E5" s="4" t="inlineStr">
        <is>
          <t>Unite</t>
        </is>
      </c>
    </row>
    <row r="6">
      <c r="B6" s="5" t="inlineStr">
        <is>
          <t>Ouverture libre par cellule (l0)</t>
        </is>
      </c>
      <c r="C6" s="6" t="n">
        <v>2</v>
      </c>
      <c r="D6" s="6" t="n">
        <v>3</v>
      </c>
      <c r="E6" s="5" t="inlineStr">
        <is>
          <t>m</t>
        </is>
      </c>
    </row>
    <row r="7">
      <c r="B7" s="5" t="inlineStr">
        <is>
          <t>Hauteur libre de la cellule (h0)</t>
        </is>
      </c>
      <c r="C7" s="6" t="n">
        <v>2</v>
      </c>
      <c r="D7" s="6" t="n">
        <v>2</v>
      </c>
      <c r="E7" s="5" t="inlineStr">
        <is>
          <t>m</t>
        </is>
      </c>
    </row>
    <row r="8">
      <c r="B8" s="5" t="inlineStr">
        <is>
          <t>Epaisseur du tablier</t>
        </is>
      </c>
      <c r="C8" s="6" t="n">
        <v>0.25</v>
      </c>
      <c r="D8" s="6" t="n">
        <v>0.3</v>
      </c>
      <c r="E8" s="5" t="inlineStr">
        <is>
          <t>m</t>
        </is>
      </c>
    </row>
    <row r="9">
      <c r="B9" s="5" t="inlineStr">
        <is>
          <t>Epaisseur du radier</t>
        </is>
      </c>
      <c r="C9" s="6" t="n">
        <v>0.25</v>
      </c>
      <c r="D9" s="6" t="n">
        <v>0.3</v>
      </c>
      <c r="E9" s="5" t="inlineStr">
        <is>
          <t>m</t>
        </is>
      </c>
    </row>
    <row r="10">
      <c r="B10" s="5" t="inlineStr">
        <is>
          <t>Epaisseur des piedroits</t>
        </is>
      </c>
      <c r="C10" s="6" t="n">
        <v>0.2</v>
      </c>
      <c r="D10" s="6" t="n">
        <v>0.25</v>
      </c>
      <c r="E10" s="5" t="inlineStr">
        <is>
          <t>m</t>
        </is>
      </c>
    </row>
    <row r="11">
      <c r="B11" s="5" t="inlineStr">
        <is>
          <t>Epaisseur des murs en aile</t>
        </is>
      </c>
      <c r="C11" s="6" t="n">
        <v>0.25</v>
      </c>
      <c r="D11" s="6" t="n">
        <v>0.2</v>
      </c>
      <c r="E11" s="5" t="inlineStr">
        <is>
          <t>m</t>
        </is>
      </c>
    </row>
    <row r="12">
      <c r="B12" s="5" t="inlineStr">
        <is>
          <t>Longueur du corps (sens de l'ecoulement)</t>
        </is>
      </c>
      <c r="C12" s="6" t="n">
        <v>7</v>
      </c>
      <c r="D12" s="6" t="n">
        <v>7</v>
      </c>
      <c r="E12" s="5" t="inlineStr">
        <is>
          <t>m</t>
        </is>
      </c>
    </row>
    <row r="13">
      <c r="B13" s="5" t="inlineStr">
        <is>
          <t>Largeur de chaussee portee</t>
        </is>
      </c>
      <c r="C13" s="6" t="n">
        <v>6.5</v>
      </c>
      <c r="D13" s="6" t="n">
        <v>6.5</v>
      </c>
      <c r="E13" s="5" t="inlineStr">
        <is>
          <t>m</t>
        </is>
      </c>
    </row>
    <row r="14">
      <c r="B14" s="5" t="inlineStr">
        <is>
          <t>Longueur d'un mur en aile</t>
        </is>
      </c>
      <c r="C14" s="6" t="n">
        <v>3.4</v>
      </c>
      <c r="D14" s="6" t="n">
        <v>3.45</v>
      </c>
      <c r="E14" s="5" t="inlineStr">
        <is>
          <t>m</t>
        </is>
      </c>
    </row>
    <row r="15">
      <c r="B15" s="5" t="inlineStr">
        <is>
          <t>Surface d'un mur en aile (relevee/estimee en plan)</t>
        </is>
      </c>
      <c r="C15" s="6" t="n">
        <v>5</v>
      </c>
      <c r="D15" s="6" t="n">
        <v>5.1</v>
      </c>
      <c r="E15" s="5" t="inlineStr">
        <is>
          <t>m2</t>
        </is>
      </c>
    </row>
    <row r="16">
      <c r="B16" s="5" t="inlineStr">
        <is>
          <t>Nombre de murs en aile (2 tetes x 2 ailes)</t>
        </is>
      </c>
      <c r="C16" s="6" t="n">
        <v>4</v>
      </c>
      <c r="D16" s="6" t="n">
        <v>4</v>
      </c>
      <c r="E16" s="5" t="inlineStr">
        <is>
          <t>u</t>
        </is>
      </c>
    </row>
    <row r="17">
      <c r="B17" s="5" t="inlineStr">
        <is>
          <t>Hauteur d'eau normale (crue de projet T=10 ans)</t>
        </is>
      </c>
      <c r="C17" s="6" t="n">
        <v>1.33</v>
      </c>
      <c r="D17" s="6" t="n">
        <v>1.42</v>
      </c>
      <c r="E17" s="5" t="inlineStr">
        <is>
          <t>m</t>
        </is>
      </c>
    </row>
    <row r="18">
      <c r="B18" s="5" t="inlineStr">
        <is>
          <t>Epaisseur remblai + couche de forme sur tablier</t>
        </is>
      </c>
      <c r="C18" s="6" t="n">
        <v>0.6</v>
      </c>
      <c r="D18" s="6" t="n">
        <v>0.6</v>
      </c>
      <c r="E18" s="5" t="inlineStr">
        <is>
          <t>m</t>
        </is>
      </c>
    </row>
    <row r="20">
      <c r="B20" s="7" t="inlineStr">
        <is>
          <t>Largeur structure du corps (l0 + 2 x e_piedroit) - calculee</t>
        </is>
      </c>
      <c r="C20" s="8">
        <f>C6+2*C10</f>
        <v/>
      </c>
      <c r="D20" s="8">
        <f>D6+2*D10</f>
        <v/>
      </c>
      <c r="E20" t="inlineStr">
        <is>
          <t>m</t>
        </is>
      </c>
    </row>
    <row r="22" ht="18" customHeight="1">
      <c r="B22" s="3" t="inlineStr">
        <is>
          <t>B. QUANTITES STRUCTURELLES - BETON ARME ET ACIERS (donnees exactes tirees des plans d'execution)</t>
        </is>
      </c>
    </row>
    <row r="23">
      <c r="B23" s="4" t="inlineStr">
        <is>
          <t>Element (Nomenclature des aciers / Grille tete)</t>
        </is>
      </c>
      <c r="C23" s="4" t="inlineStr">
        <is>
          <t>Dalot 2,00 x 2,00</t>
        </is>
      </c>
      <c r="D23" s="4" t="inlineStr">
        <is>
          <t>Dalot 3,00 x 2,00</t>
        </is>
      </c>
      <c r="E23" s="4" t="inlineStr">
        <is>
          <t>Unite</t>
        </is>
      </c>
    </row>
    <row r="24">
      <c r="B24" s="5" t="inlineStr">
        <is>
          <t>Beton arme - Corps (tablier + piedroits + radier)</t>
        </is>
      </c>
      <c r="C24" s="6" t="n">
        <v>14</v>
      </c>
      <c r="D24" s="6" t="n">
        <v>21.7</v>
      </c>
      <c r="E24" s="5" t="inlineStr">
        <is>
          <t>m3</t>
        </is>
      </c>
    </row>
    <row r="25">
      <c r="B25" s="5" t="inlineStr">
        <is>
          <t>Beton arme - Tetes (murs en aile + becheS + ferraillage tete)</t>
        </is>
      </c>
      <c r="C25" s="6" t="n">
        <v>13.01</v>
      </c>
      <c r="D25" s="6" t="n">
        <v>15.59</v>
      </c>
      <c r="E25" s="5" t="inlineStr">
        <is>
          <t>m3</t>
        </is>
      </c>
    </row>
    <row r="26">
      <c r="B26" s="9" t="inlineStr">
        <is>
          <t>BETON ARME - TOTAL OUVRAGE</t>
        </is>
      </c>
      <c r="C26" s="10">
        <f>C24+C25</f>
        <v/>
      </c>
      <c r="D26" s="10">
        <f>D24+D25</f>
        <v/>
      </c>
      <c r="E26" s="11" t="inlineStr">
        <is>
          <t>m3</t>
        </is>
      </c>
    </row>
    <row r="27">
      <c r="B27" s="5" t="inlineStr">
        <is>
          <t>Aciers HA Fe E500 - Corps</t>
        </is>
      </c>
      <c r="C27" s="6" t="n">
        <v>1529.08</v>
      </c>
      <c r="D27" s="6" t="n">
        <v>2220.148</v>
      </c>
      <c r="E27" s="5" t="inlineStr">
        <is>
          <t>kg</t>
        </is>
      </c>
    </row>
    <row r="28">
      <c r="B28" s="5" t="inlineStr">
        <is>
          <t>Aciers HA Fe E500 - Tetes</t>
        </is>
      </c>
      <c r="C28" s="6" t="n">
        <v>1639.92</v>
      </c>
      <c r="D28" s="6" t="n">
        <v>2020.73</v>
      </c>
      <c r="E28" s="5" t="inlineStr">
        <is>
          <t>kg</t>
        </is>
      </c>
    </row>
    <row r="29">
      <c r="B29" s="9" t="inlineStr">
        <is>
          <t>ACIERS HA - TOTAL OUVRAGE</t>
        </is>
      </c>
      <c r="C29" s="10">
        <f>C27+C28</f>
        <v/>
      </c>
      <c r="D29" s="10">
        <f>D27+D28</f>
        <v/>
      </c>
      <c r="E29" s="11" t="inlineStr">
        <is>
          <t>kg</t>
        </is>
      </c>
    </row>
    <row r="30">
      <c r="B30" s="5" t="inlineStr">
        <is>
          <t>Ratio acier / beton (indicatif, cf. plans)</t>
        </is>
      </c>
      <c r="C30" s="12">
        <f>C29/C26</f>
        <v/>
      </c>
      <c r="D30" s="12">
        <f>D29/D26</f>
        <v/>
      </c>
      <c r="E30" t="inlineStr">
        <is>
          <t>kg/m3</t>
        </is>
      </c>
    </row>
    <row r="32" ht="18" customHeight="1">
      <c r="B32" s="3" t="inlineStr">
        <is>
          <t>C. COEFFICIENTS D'ESTIMATION - OUVRAGES ANNEXES (hypotheses d'avant-metre, ajustables)</t>
        </is>
      </c>
    </row>
    <row r="33">
      <c r="B33" s="4" t="inlineStr">
        <is>
          <t>Coefficient</t>
        </is>
      </c>
      <c r="C33" s="4" t="inlineStr">
        <is>
          <t>Valeur</t>
        </is>
      </c>
      <c r="E33" s="4" t="inlineStr">
        <is>
          <t>Unite</t>
        </is>
      </c>
    </row>
    <row r="34">
      <c r="B34" s="5" t="inlineStr">
        <is>
          <t>Epaisseur beton de proprete</t>
        </is>
      </c>
      <c r="C34" s="13" t="n">
        <v>0.1</v>
      </c>
      <c r="E34" s="5" t="inlineStr">
        <is>
          <t>m</t>
        </is>
      </c>
    </row>
    <row r="35">
      <c r="B35" s="5" t="inlineStr">
        <is>
          <t>Largeur moyenne de semelle/pied de mur en aile (~ e_aile)</t>
        </is>
      </c>
      <c r="C35" s="13" t="n">
        <v>0.3</v>
      </c>
      <c r="E35" s="5" t="inlineStr">
        <is>
          <t>m</t>
        </is>
      </c>
    </row>
    <row r="36">
      <c r="B36" s="5" t="inlineStr">
        <is>
          <t>Majoration fouille (irregularites terrain, sur-largeur de travail)</t>
        </is>
      </c>
      <c r="C36" s="13" t="n">
        <v>0.15</v>
      </c>
      <c r="E36" s="5" t="inlineStr">
        <is>
          <t>%</t>
        </is>
      </c>
    </row>
    <row r="37">
      <c r="B37" s="5" t="inlineStr">
        <is>
          <t>Rehausse de fouille pour reglage d'assise (au-dela beton proprete)</t>
        </is>
      </c>
      <c r="C37" s="13" t="n">
        <v>0.2</v>
      </c>
      <c r="E37" s="5" t="inlineStr">
        <is>
          <t>m</t>
        </is>
      </c>
    </row>
    <row r="38">
      <c r="B38" s="5" t="inlineStr">
        <is>
          <t>Coefficient de coffrage (surface coffree par m3 de beton)</t>
        </is>
      </c>
      <c r="C38" s="13" t="n">
        <v>3.2</v>
      </c>
      <c r="E38" s="5" t="inlineStr">
        <is>
          <t>m2/m3</t>
        </is>
      </c>
    </row>
    <row r="39">
      <c r="B39" s="5" t="inlineStr">
        <is>
          <t>Facteur de longueur de protection aval/amont (x hauteur d'eau)</t>
        </is>
      </c>
      <c r="C39" s="13" t="n">
        <v>3</v>
      </c>
      <c r="E39" s="5" t="inlineStr">
        <is>
          <t>x h</t>
        </is>
      </c>
    </row>
    <row r="40">
      <c r="B40" s="5" t="inlineStr">
        <is>
          <t>Epaisseur perre maconne / enrochement</t>
        </is>
      </c>
      <c r="C40" s="13" t="n">
        <v>0.3</v>
      </c>
      <c r="E40" s="5" t="inlineStr">
        <is>
          <t>m</t>
        </is>
      </c>
    </row>
    <row r="41">
      <c r="B41" s="5" t="inlineStr">
        <is>
          <t>Facteur longueur de garde-corps (2 cotes de chaussee)</t>
        </is>
      </c>
      <c r="C41" s="13" t="n">
        <v>2</v>
      </c>
      <c r="E41" s="5" t="inlineStr">
        <is>
          <t>x L corps</t>
        </is>
      </c>
    </row>
    <row r="43">
      <c r="B43" s="5" t="inlineStr">
        <is>
          <t>Largeur moyenne de protection amont/aval</t>
        </is>
      </c>
      <c r="C43" s="13" t="n">
        <v>4.5</v>
      </c>
      <c r="D43" s="13" t="n">
        <v>5.5</v>
      </c>
      <c r="E43" t="inlineStr">
        <is>
          <t>m</t>
        </is>
      </c>
    </row>
    <row r="45" ht="15" customHeight="1">
      <c r="B45" s="14" t="inlineStr">
        <is>
          <t>NOTE IMPORTANTE : les quantites de la partie D (metre calcule) pour les postes 'ouvrages annexes' (fouilles, beton de proprete, coffrages, remblai technique, protection aval/amont, garde-corps) sont des ESTIMATIONS parametriques etablies a partir de la geometrie des plans d'execution et des coefficients ci-dessus. Elles doivent etre verifiees/affinees par un metre detaille (plans de coffrage complets, profils en travers, reconnaissance geotechnique) avant contractualisation. Les quantites de BETON ARME et d'ACIERS (partie B) sont en revanche des valeurs EXACTES tirees telles quelles des nomenclatures d'acier et cartouches de volume des plans d'execution fournis.</t>
        </is>
      </c>
    </row>
    <row r="46"/>
    <row r="47"/>
    <row r="48"/>
    <row r="50" ht="18" customHeight="1">
      <c r="B50" s="3" t="inlineStr">
        <is>
          <t>D. METRE CALCULE - QUANTITES PAR OUVRAGE (formules)</t>
        </is>
      </c>
    </row>
    <row r="51">
      <c r="B51" s="4" t="inlineStr">
        <is>
          <t>Designation</t>
        </is>
      </c>
      <c r="C51" s="4" t="inlineStr">
        <is>
          <t>Dalot 2,00 x 2,00</t>
        </is>
      </c>
      <c r="D51" s="4" t="inlineStr">
        <is>
          <t>Dalot 3,00 x 2,00</t>
        </is>
      </c>
      <c r="E51" s="4" t="inlineStr">
        <is>
          <t>Unite</t>
        </is>
      </c>
    </row>
    <row r="52">
      <c r="B52" s="5" t="inlineStr">
        <is>
          <t>Emprise au sol (radier + semelles des ailes) - calcul intermediaire</t>
        </is>
      </c>
      <c r="C52" s="8">
        <f>C12*C20+C16*C14*$C$35</f>
        <v/>
      </c>
      <c r="D52" s="8">
        <f>D12*D20+D16*D14*$C$35</f>
        <v/>
      </c>
      <c r="E52" s="5" t="inlineStr">
        <is>
          <t>m2</t>
        </is>
      </c>
    </row>
    <row r="53">
      <c r="B53" s="5" t="inlineStr">
        <is>
          <t>Volume beton de proprete (dose a 150 kg/m3), e=10cm</t>
        </is>
      </c>
      <c r="C53" s="8">
        <f>C52*$C$34</f>
        <v/>
      </c>
      <c r="D53" s="8">
        <f>D52*$C$34</f>
        <v/>
      </c>
      <c r="E53" s="5" t="inlineStr">
        <is>
          <t>m3</t>
        </is>
      </c>
    </row>
    <row r="54">
      <c r="B54" s="5" t="inlineStr">
        <is>
          <t>Profondeur moyenne de fouille (e_radier + beton proprete + reglage)</t>
        </is>
      </c>
      <c r="C54" s="8">
        <f>C9+$C$34+$C$37</f>
        <v/>
      </c>
      <c r="D54" s="8">
        <f>D9+$C$34+$C$37</f>
        <v/>
      </c>
      <c r="E54" s="5" t="inlineStr">
        <is>
          <t>m</t>
        </is>
      </c>
    </row>
    <row r="55">
      <c r="B55" s="5" t="inlineStr">
        <is>
          <t>Volume de fouilles en pleine masse (toute nature de terrain)</t>
        </is>
      </c>
      <c r="C55" s="8">
        <f>C52*(1+$C$36)*C54</f>
        <v/>
      </c>
      <c r="D55" s="8">
        <f>D52*(1+$C$36)*D54</f>
        <v/>
      </c>
      <c r="E55" s="5" t="inlineStr">
        <is>
          <t>m3</t>
        </is>
      </c>
    </row>
    <row r="56">
      <c r="B56" s="5" t="inlineStr">
        <is>
          <t>Volume de remblai technique compacte sur le tablier (chaussee)</t>
        </is>
      </c>
      <c r="C56" s="8">
        <f>C13*C12*C18</f>
        <v/>
      </c>
      <c r="D56" s="8">
        <f>D13*D12*D18</f>
        <v/>
      </c>
      <c r="E56" s="5" t="inlineStr">
        <is>
          <t>m3</t>
        </is>
      </c>
    </row>
    <row r="57">
      <c r="B57" s="5" t="inlineStr">
        <is>
          <t>Surface de coffrage (parements du corps et des tetes)</t>
        </is>
      </c>
      <c r="C57" s="8">
        <f>C26*$C$38</f>
        <v/>
      </c>
      <c r="D57" s="8">
        <f>D26*$C$38</f>
        <v/>
      </c>
      <c r="E57" s="5" t="inlineStr">
        <is>
          <t>m2</t>
        </is>
      </c>
    </row>
    <row r="58">
      <c r="B58" s="5" t="inlineStr">
        <is>
          <t>Longueur de protection aval + amont (2 x facteur x hauteur d'eau)</t>
        </is>
      </c>
      <c r="C58" s="8">
        <f>2*$C$39*C17</f>
        <v/>
      </c>
      <c r="D58" s="8">
        <f>2*$C$39*D17</f>
        <v/>
      </c>
      <c r="E58" s="5" t="inlineStr">
        <is>
          <t>m</t>
        </is>
      </c>
    </row>
    <row r="59">
      <c r="B59" s="5" t="inlineStr">
        <is>
          <t>Surface de perre maconne / enrochement de protection</t>
        </is>
      </c>
      <c r="C59" s="8">
        <f>C58*C43</f>
        <v/>
      </c>
      <c r="D59" s="8">
        <f>D58*D43</f>
        <v/>
      </c>
      <c r="E59" s="5" t="inlineStr">
        <is>
          <t>m2</t>
        </is>
      </c>
    </row>
    <row r="60">
      <c r="B60" s="5" t="inlineStr">
        <is>
          <t>Longueur de garde-corps (2 cotes de chaussee)</t>
        </is>
      </c>
      <c r="C60" s="8">
        <f>$C$41*C12</f>
        <v/>
      </c>
      <c r="D60" s="8">
        <f>$C$41*D12</f>
        <v/>
      </c>
      <c r="E60" s="5" t="inlineStr">
        <is>
          <t>ml</t>
        </is>
      </c>
    </row>
  </sheetData>
  <mergeCells count="7">
    <mergeCell ref="B4:F4"/>
    <mergeCell ref="B2:F2"/>
    <mergeCell ref="B45:F48"/>
    <mergeCell ref="B22:F22"/>
    <mergeCell ref="B1:F1"/>
    <mergeCell ref="B32:F32"/>
    <mergeCell ref="B50:F50"/>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G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 customWidth="1" min="2" max="2"/>
    <col width="46" customWidth="1" min="3" max="3"/>
    <col width="8" customWidth="1" min="4" max="4"/>
    <col width="13" customWidth="1" min="5" max="5"/>
    <col width="15" customWidth="1" min="6" max="6"/>
    <col width="17" customWidth="1" min="7" max="7"/>
  </cols>
  <sheetData>
    <row r="1" ht="26" customHeight="1">
      <c r="B1" s="1" t="inlineStr">
        <is>
          <t>DEBOURSE SEC - DALOT 2,00 x 2,00</t>
        </is>
      </c>
    </row>
    <row r="2">
      <c r="B2" s="2" t="inlineStr">
        <is>
          <t>Route Bangolo - Bloleguin | Projet Cafe-Cacao | Ouvrage de franchissement hydraulique (dalot-cadre en beton arme)</t>
        </is>
      </c>
    </row>
    <row r="3" ht="6" customHeight="1"/>
    <row r="5" ht="24" customHeight="1">
      <c r="B5" s="15" t="inlineStr">
        <is>
          <t>N°</t>
        </is>
      </c>
      <c r="C5" s="15" t="inlineStr">
        <is>
          <t>Designation</t>
        </is>
      </c>
      <c r="D5" s="15" t="inlineStr">
        <is>
          <t>Unite</t>
        </is>
      </c>
      <c r="E5" s="15" t="inlineStr">
        <is>
          <t>Quantite</t>
        </is>
      </c>
      <c r="F5" s="15" t="inlineStr">
        <is>
          <t>Prix Unitaire</t>
        </is>
      </c>
      <c r="G5" s="15" t="inlineStr">
        <is>
          <t>Montant (FCFA)</t>
        </is>
      </c>
    </row>
    <row r="6" ht="17" customHeight="1">
      <c r="B6" s="16" t="inlineStr">
        <is>
          <t>CHAPITRE 1 - INSTALLATION ET PREPARATION DE CHANTIER</t>
        </is>
      </c>
    </row>
    <row r="7">
      <c r="B7" s="17" t="n">
        <v>1</v>
      </c>
      <c r="C7" s="18" t="inlineStr">
        <is>
          <t>Installation generale de chantier (base-vie, amenee/repli materiel)</t>
        </is>
      </c>
      <c r="D7" s="17" t="inlineStr">
        <is>
          <t>Ft</t>
        </is>
      </c>
      <c r="E7" s="19" t="n">
        <v>1</v>
      </c>
      <c r="F7" s="20" t="n">
        <v>500000</v>
      </c>
      <c r="G7" s="21">
        <f>E7*F7</f>
        <v/>
      </c>
    </row>
    <row r="8">
      <c r="B8" s="17" t="n">
        <v>2</v>
      </c>
      <c r="C8" s="18" t="inlineStr">
        <is>
          <t>Implantation et piquetage topographique de l'ouvrage</t>
        </is>
      </c>
      <c r="D8" s="17" t="inlineStr">
        <is>
          <t>Ft</t>
        </is>
      </c>
      <c r="E8" s="19" t="n">
        <v>1</v>
      </c>
      <c r="F8" s="20" t="n">
        <v>150000</v>
      </c>
      <c r="G8" s="21">
        <f>E8*F8</f>
        <v/>
      </c>
    </row>
    <row r="9">
      <c r="B9" s="17" t="n">
        <v>3</v>
      </c>
      <c r="C9" s="18" t="inlineStr">
        <is>
          <t>Signalisation temporaire et deviation provisoire de chantier</t>
        </is>
      </c>
      <c r="D9" s="17" t="inlineStr">
        <is>
          <t>Ft</t>
        </is>
      </c>
      <c r="E9" s="19" t="n">
        <v>1</v>
      </c>
      <c r="F9" s="20" t="n">
        <v>150000</v>
      </c>
      <c r="G9" s="21">
        <f>E9*F9</f>
        <v/>
      </c>
    </row>
    <row r="10">
      <c r="B10" s="22" t="inlineStr">
        <is>
          <t>SOUS-TOTAL CHAPITRE 1</t>
        </is>
      </c>
      <c r="C10" s="33" t="n"/>
      <c r="D10" s="33" t="n"/>
      <c r="E10" s="33" t="n"/>
      <c r="F10" s="34" t="n"/>
      <c r="G10" s="24">
        <f>SUM(G7:G9)</f>
        <v/>
      </c>
    </row>
    <row r="12" ht="17" customHeight="1">
      <c r="B12" s="16" t="inlineStr">
        <is>
          <t>CHAPITRE 2 - TERRASSEMENTS</t>
        </is>
      </c>
    </row>
    <row r="13">
      <c r="B13" s="17" t="n">
        <v>4</v>
      </c>
      <c r="C13" s="18" t="inlineStr">
        <is>
          <t>Fouilles en pleine masse pour fondations (radier, becheS, murs en aile), toute nature de terrain</t>
        </is>
      </c>
      <c r="D13" s="17" t="inlineStr">
        <is>
          <t>m3</t>
        </is>
      </c>
      <c r="E13" s="19">
        <f>'Hypotheses'!C55</f>
        <v/>
      </c>
      <c r="F13" s="20" t="n">
        <v>3500</v>
      </c>
      <c r="G13" s="21">
        <f>E13*F13</f>
        <v/>
      </c>
    </row>
    <row r="14">
      <c r="B14" s="17" t="n">
        <v>5</v>
      </c>
      <c r="C14" s="18" t="inlineStr">
        <is>
          <t>Evacuation des deblais excedentaires en depot agree</t>
        </is>
      </c>
      <c r="D14" s="17" t="inlineStr">
        <is>
          <t>m3</t>
        </is>
      </c>
      <c r="E14" s="19">
        <f>'Hypotheses'!C55</f>
        <v/>
      </c>
      <c r="F14" s="20" t="n">
        <v>2500</v>
      </c>
      <c r="G14" s="21">
        <f>E14*F14</f>
        <v/>
      </c>
    </row>
    <row r="15">
      <c r="B15" s="17" t="n">
        <v>6</v>
      </c>
      <c r="C15" s="18" t="inlineStr">
        <is>
          <t>Remblai technique compacte (materiau selectionne lateritique), fourniture, mise en oeuvre et compactage par couches</t>
        </is>
      </c>
      <c r="D15" s="17" t="inlineStr">
        <is>
          <t>m3</t>
        </is>
      </c>
      <c r="E15" s="19">
        <f>'Hypotheses'!C56</f>
        <v/>
      </c>
      <c r="F15" s="20" t="n">
        <v>6500</v>
      </c>
      <c r="G15" s="21">
        <f>E15*F15</f>
        <v/>
      </c>
    </row>
    <row r="16">
      <c r="B16" s="22" t="inlineStr">
        <is>
          <t>SOUS-TOTAL CHAPITRE 2</t>
        </is>
      </c>
      <c r="C16" s="33" t="n"/>
      <c r="D16" s="33" t="n"/>
      <c r="E16" s="33" t="n"/>
      <c r="F16" s="34" t="n"/>
      <c r="G16" s="24">
        <f>SUM(G13:G15)</f>
        <v/>
      </c>
    </row>
    <row r="18" ht="17" customHeight="1">
      <c r="B18" s="16" t="inlineStr">
        <is>
          <t>CHAPITRE 3 - BETONS</t>
        </is>
      </c>
    </row>
    <row r="19">
      <c r="B19" s="17" t="n">
        <v>7</v>
      </c>
      <c r="C19" s="18" t="inlineStr">
        <is>
          <t>Beton de proprete dose a 150 kg/m3</t>
        </is>
      </c>
      <c r="D19" s="17" t="inlineStr">
        <is>
          <t>m3</t>
        </is>
      </c>
      <c r="E19" s="19">
        <f>'Hypotheses'!C53</f>
        <v/>
      </c>
      <c r="F19" s="20" t="n">
        <v>75000</v>
      </c>
      <c r="G19" s="21">
        <f>E19*F19</f>
        <v/>
      </c>
    </row>
    <row r="20">
      <c r="B20" s="17" t="n">
        <v>8</v>
      </c>
      <c r="C20" s="18" t="inlineStr">
        <is>
          <t>Beton arme C25/30 (350 kg/m3) pour corps de l'ouvrage (tablier, piedroits, radier)</t>
        </is>
      </c>
      <c r="D20" s="17" t="inlineStr">
        <is>
          <t>m3</t>
        </is>
      </c>
      <c r="E20" s="19">
        <f>'Hypotheses'!C24</f>
        <v/>
      </c>
      <c r="F20" s="20" t="n">
        <v>165000</v>
      </c>
      <c r="G20" s="21">
        <f>E20*F20</f>
        <v/>
      </c>
    </row>
    <row r="21">
      <c r="B21" s="17" t="n">
        <v>9</v>
      </c>
      <c r="C21" s="18" t="inlineStr">
        <is>
          <t>Beton arme C25/30 (350 kg/m3) pour tetes (murs en aile, becheS d'about)</t>
        </is>
      </c>
      <c r="D21" s="17" t="inlineStr">
        <is>
          <t>m3</t>
        </is>
      </c>
      <c r="E21" s="19">
        <f>'Hypotheses'!C25</f>
        <v/>
      </c>
      <c r="F21" s="20" t="n">
        <v>165000</v>
      </c>
      <c r="G21" s="21">
        <f>E21*F21</f>
        <v/>
      </c>
    </row>
    <row r="22">
      <c r="B22" s="22" t="inlineStr">
        <is>
          <t>SOUS-TOTAL CHAPITRE 3</t>
        </is>
      </c>
      <c r="C22" s="33" t="n"/>
      <c r="D22" s="33" t="n"/>
      <c r="E22" s="33" t="n"/>
      <c r="F22" s="34" t="n"/>
      <c r="G22" s="24">
        <f>SUM(G19:G21)</f>
        <v/>
      </c>
    </row>
    <row r="24" ht="17" customHeight="1">
      <c r="B24" s="16" t="inlineStr">
        <is>
          <t>CHAPITRE 4 - ACIERS POUR BETON ARME</t>
        </is>
      </c>
    </row>
    <row r="25">
      <c r="B25" s="17" t="n">
        <v>10</v>
      </c>
      <c r="C25" s="18" t="inlineStr">
        <is>
          <t>Aciers HA Fe E500 faconnes et poses - Corps de l'ouvrage</t>
        </is>
      </c>
      <c r="D25" s="17" t="inlineStr">
        <is>
          <t>kg</t>
        </is>
      </c>
      <c r="E25" s="19">
        <f>'Hypotheses'!C27</f>
        <v/>
      </c>
      <c r="F25" s="20" t="n">
        <v>1450</v>
      </c>
      <c r="G25" s="21">
        <f>E25*F25</f>
        <v/>
      </c>
    </row>
    <row r="26">
      <c r="B26" s="17" t="n">
        <v>11</v>
      </c>
      <c r="C26" s="18" t="inlineStr">
        <is>
          <t>Aciers HA Fe E500 faconnes et poses - Tetes (murs en aile)</t>
        </is>
      </c>
      <c r="D26" s="17" t="inlineStr">
        <is>
          <t>kg</t>
        </is>
      </c>
      <c r="E26" s="19">
        <f>'Hypotheses'!C28</f>
        <v/>
      </c>
      <c r="F26" s="20" t="n">
        <v>1450</v>
      </c>
      <c r="G26" s="21">
        <f>E26*F26</f>
        <v/>
      </c>
    </row>
    <row r="27">
      <c r="B27" s="22" t="inlineStr">
        <is>
          <t>SOUS-TOTAL CHAPITRE 4</t>
        </is>
      </c>
      <c r="C27" s="33" t="n"/>
      <c r="D27" s="33" t="n"/>
      <c r="E27" s="33" t="n"/>
      <c r="F27" s="34" t="n"/>
      <c r="G27" s="24">
        <f>SUM(G25:G26)</f>
        <v/>
      </c>
    </row>
    <row r="29" ht="17" customHeight="1">
      <c r="B29" s="16" t="inlineStr">
        <is>
          <t>CHAPITRE 5 - COFFRAGES</t>
        </is>
      </c>
    </row>
    <row r="30">
      <c r="B30" s="17" t="n">
        <v>12</v>
      </c>
      <c r="C30" s="18" t="inlineStr">
        <is>
          <t>Coffrage soigne pour parements vus (tablier, piedroits, murs en aile)</t>
        </is>
      </c>
      <c r="D30" s="17" t="inlineStr">
        <is>
          <t>m2</t>
        </is>
      </c>
      <c r="E30" s="19">
        <f>'Hypotheses'!C57</f>
        <v/>
      </c>
      <c r="F30" s="20" t="n">
        <v>12500</v>
      </c>
      <c r="G30" s="21">
        <f>E30*F30</f>
        <v/>
      </c>
    </row>
    <row r="31">
      <c r="B31" s="22" t="inlineStr">
        <is>
          <t>SOUS-TOTAL CHAPITRE 5</t>
        </is>
      </c>
      <c r="C31" s="33" t="n"/>
      <c r="D31" s="33" t="n"/>
      <c r="E31" s="33" t="n"/>
      <c r="F31" s="34" t="n"/>
      <c r="G31" s="24">
        <f>SUM(G30:G30)</f>
        <v/>
      </c>
    </row>
    <row r="33" ht="17" customHeight="1">
      <c r="B33" s="16" t="inlineStr">
        <is>
          <t>CHAPITRE 6 - PROTECTION ET OUVRAGES ANNEXES</t>
        </is>
      </c>
    </row>
    <row r="34">
      <c r="B34" s="17" t="n">
        <v>13</v>
      </c>
      <c r="C34" s="18" t="inlineStr">
        <is>
          <t>Perre maconne / enrochement de protection contre l'erosion (amont et aval)</t>
        </is>
      </c>
      <c r="D34" s="17" t="inlineStr">
        <is>
          <t>m2</t>
        </is>
      </c>
      <c r="E34" s="19">
        <f>'Hypotheses'!C59</f>
        <v/>
      </c>
      <c r="F34" s="20" t="n">
        <v>18000</v>
      </c>
      <c r="G34" s="21">
        <f>E34*F34</f>
        <v/>
      </c>
    </row>
    <row r="35">
      <c r="B35" s="25" t="n">
        <v>14</v>
      </c>
      <c r="C35" s="26" t="inlineStr">
        <is>
          <t>Garde-corps (type, materiau et implantation a definir et valider par la Mission de Controle)</t>
        </is>
      </c>
      <c r="D35" s="25" t="inlineStr">
        <is>
          <t>ml</t>
        </is>
      </c>
      <c r="E35" s="27">
        <f>'Hypotheses'!C60</f>
        <v/>
      </c>
      <c r="F35" s="28" t="n">
        <v>45000</v>
      </c>
      <c r="G35" s="29">
        <f>E35*F35</f>
        <v/>
      </c>
    </row>
    <row r="36">
      <c r="B36" s="22" t="inlineStr">
        <is>
          <t>SOUS-TOTAL CHAPITRE 6</t>
        </is>
      </c>
      <c r="C36" s="33" t="n"/>
      <c r="D36" s="33" t="n"/>
      <c r="E36" s="33" t="n"/>
      <c r="F36" s="34" t="n"/>
      <c r="G36" s="24">
        <f>SUM(G34:G35)</f>
        <v/>
      </c>
    </row>
    <row r="38" ht="17" customHeight="1">
      <c r="B38" s="16" t="inlineStr">
        <is>
          <t>CHAPITRE 7 - CONTROLES ET REPLI DE CHANTIER</t>
        </is>
      </c>
    </row>
    <row r="39">
      <c r="B39" s="17" t="n">
        <v>15</v>
      </c>
      <c r="C39" s="18" t="inlineStr">
        <is>
          <t>Essais et controles qualite des betons (eprouvettes, essais laboratoire)</t>
        </is>
      </c>
      <c r="D39" s="17" t="inlineStr">
        <is>
          <t>Ft</t>
        </is>
      </c>
      <c r="E39" s="19" t="n">
        <v>1</v>
      </c>
      <c r="F39" s="20" t="n">
        <v>300000</v>
      </c>
      <c r="G39" s="21">
        <f>E39*F39</f>
        <v/>
      </c>
    </row>
    <row r="40">
      <c r="B40" s="17" t="n">
        <v>16</v>
      </c>
      <c r="C40" s="18" t="inlineStr">
        <is>
          <t>Repli de materiel et nettoyage final du site</t>
        </is>
      </c>
      <c r="D40" s="17" t="inlineStr">
        <is>
          <t>Ft</t>
        </is>
      </c>
      <c r="E40" s="19" t="n">
        <v>1</v>
      </c>
      <c r="F40" s="20" t="n">
        <v>250000</v>
      </c>
      <c r="G40" s="21">
        <f>E40*F40</f>
        <v/>
      </c>
    </row>
    <row r="41">
      <c r="B41" s="22" t="inlineStr">
        <is>
          <t>SOUS-TOTAL CHAPITRE 7</t>
        </is>
      </c>
      <c r="C41" s="33" t="n"/>
      <c r="D41" s="33" t="n"/>
      <c r="E41" s="33" t="n"/>
      <c r="F41" s="34" t="n"/>
      <c r="G41" s="24">
        <f>SUM(G39:G40)</f>
        <v/>
      </c>
    </row>
    <row r="44" ht="22" customHeight="1">
      <c r="B44" s="30" t="inlineStr">
        <is>
          <t>TOTAL DEBOURSE SEC - DALOT 2,00 x 2,00 (HT, hors frais generaux, marge et alea)</t>
        </is>
      </c>
      <c r="G44" s="31">
        <f>G10+G16+G22+G27+G31+G36+G41</f>
        <v/>
      </c>
    </row>
    <row r="46">
      <c r="B46" s="32" t="inlineStr">
        <is>
          <t>Le Debourse Sec (DS) represente le cout direct des travaux (materiaux, main d'oeuvre, materiel) hors frais de chantier, frais generaux d'entreprise, marge beneficiaire, aleas/imprevus et TVA. Ces elements sont a ajouter lors de l'etablissement du prix de vente (bordereau des prix unitaires). Les prix unitaires (colonnes surlignees en jaune) sont indicatifs et doivent etre ajustes selon les conditions reelles du marche et le bordereau de l'entreprise.</t>
        </is>
      </c>
    </row>
    <row r="47"/>
    <row r="48"/>
  </sheetData>
  <mergeCells count="18">
    <mergeCell ref="B24:G24"/>
    <mergeCell ref="B2:G2"/>
    <mergeCell ref="B38:G38"/>
    <mergeCell ref="B44:F44"/>
    <mergeCell ref="B46:G48"/>
    <mergeCell ref="B33:G33"/>
    <mergeCell ref="B16:F16"/>
    <mergeCell ref="B10:F10"/>
    <mergeCell ref="B1:G1"/>
    <mergeCell ref="B31:F31"/>
    <mergeCell ref="B12:G12"/>
    <mergeCell ref="B18:G18"/>
    <mergeCell ref="B22:F22"/>
    <mergeCell ref="B36:F36"/>
    <mergeCell ref="B41:F41"/>
    <mergeCell ref="B29:G29"/>
    <mergeCell ref="B27:F27"/>
    <mergeCell ref="B6:G6"/>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G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 customWidth="1" min="2" max="2"/>
    <col width="46" customWidth="1" min="3" max="3"/>
    <col width="8" customWidth="1" min="4" max="4"/>
    <col width="13" customWidth="1" min="5" max="5"/>
    <col width="15" customWidth="1" min="6" max="6"/>
    <col width="17" customWidth="1" min="7" max="7"/>
  </cols>
  <sheetData>
    <row r="1" ht="26" customHeight="1">
      <c r="B1" s="1" t="inlineStr">
        <is>
          <t>DEBOURSE SEC - DALOT 3,00 x 2,00</t>
        </is>
      </c>
    </row>
    <row r="2">
      <c r="B2" s="2" t="inlineStr">
        <is>
          <t>Route Bangolo - Bloleguin | Projet Cafe-Cacao | Ouvrage de franchissement hydraulique (dalot-cadre en beton arme)</t>
        </is>
      </c>
    </row>
    <row r="3" ht="6" customHeight="1"/>
    <row r="5" ht="24" customHeight="1">
      <c r="B5" s="15" t="inlineStr">
        <is>
          <t>N°</t>
        </is>
      </c>
      <c r="C5" s="15" t="inlineStr">
        <is>
          <t>Designation</t>
        </is>
      </c>
      <c r="D5" s="15" t="inlineStr">
        <is>
          <t>Unite</t>
        </is>
      </c>
      <c r="E5" s="15" t="inlineStr">
        <is>
          <t>Quantite</t>
        </is>
      </c>
      <c r="F5" s="15" t="inlineStr">
        <is>
          <t>Prix Unitaire</t>
        </is>
      </c>
      <c r="G5" s="15" t="inlineStr">
        <is>
          <t>Montant (FCFA)</t>
        </is>
      </c>
    </row>
    <row r="6" ht="17" customHeight="1">
      <c r="B6" s="16" t="inlineStr">
        <is>
          <t>CHAPITRE 1 - INSTALLATION ET PREPARATION DE CHANTIER</t>
        </is>
      </c>
    </row>
    <row r="7">
      <c r="B7" s="17" t="n">
        <v>1</v>
      </c>
      <c r="C7" s="18" t="inlineStr">
        <is>
          <t>Installation generale de chantier (base-vie, amenee/repli materiel)</t>
        </is>
      </c>
      <c r="D7" s="17" t="inlineStr">
        <is>
          <t>Ft</t>
        </is>
      </c>
      <c r="E7" s="19" t="n">
        <v>1</v>
      </c>
      <c r="F7" s="20" t="n">
        <v>500000</v>
      </c>
      <c r="G7" s="21">
        <f>E7*F7</f>
        <v/>
      </c>
    </row>
    <row r="8">
      <c r="B8" s="17" t="n">
        <v>2</v>
      </c>
      <c r="C8" s="18" t="inlineStr">
        <is>
          <t>Implantation et piquetage topographique de l'ouvrage</t>
        </is>
      </c>
      <c r="D8" s="17" t="inlineStr">
        <is>
          <t>Ft</t>
        </is>
      </c>
      <c r="E8" s="19" t="n">
        <v>1</v>
      </c>
      <c r="F8" s="20" t="n">
        <v>150000</v>
      </c>
      <c r="G8" s="21">
        <f>E8*F8</f>
        <v/>
      </c>
    </row>
    <row r="9">
      <c r="B9" s="17" t="n">
        <v>3</v>
      </c>
      <c r="C9" s="18" t="inlineStr">
        <is>
          <t>Signalisation temporaire et deviation provisoire de chantier</t>
        </is>
      </c>
      <c r="D9" s="17" t="inlineStr">
        <is>
          <t>Ft</t>
        </is>
      </c>
      <c r="E9" s="19" t="n">
        <v>1</v>
      </c>
      <c r="F9" s="20" t="n">
        <v>150000</v>
      </c>
      <c r="G9" s="21">
        <f>E9*F9</f>
        <v/>
      </c>
    </row>
    <row r="10">
      <c r="B10" s="22" t="inlineStr">
        <is>
          <t>SOUS-TOTAL CHAPITRE 1</t>
        </is>
      </c>
      <c r="C10" s="33" t="n"/>
      <c r="D10" s="33" t="n"/>
      <c r="E10" s="33" t="n"/>
      <c r="F10" s="34" t="n"/>
      <c r="G10" s="24">
        <f>SUM(G7:G9)</f>
        <v/>
      </c>
    </row>
    <row r="12" ht="17" customHeight="1">
      <c r="B12" s="16" t="inlineStr">
        <is>
          <t>CHAPITRE 2 - TERRASSEMENTS</t>
        </is>
      </c>
    </row>
    <row r="13">
      <c r="B13" s="17" t="n">
        <v>4</v>
      </c>
      <c r="C13" s="18" t="inlineStr">
        <is>
          <t>Fouilles en pleine masse pour fondations (radier, becheS, murs en aile), toute nature de terrain</t>
        </is>
      </c>
      <c r="D13" s="17" t="inlineStr">
        <is>
          <t>m3</t>
        </is>
      </c>
      <c r="E13" s="19">
        <f>'Hypotheses'!D55</f>
        <v/>
      </c>
      <c r="F13" s="20" t="n">
        <v>3500</v>
      </c>
      <c r="G13" s="21">
        <f>E13*F13</f>
        <v/>
      </c>
    </row>
    <row r="14">
      <c r="B14" s="17" t="n">
        <v>5</v>
      </c>
      <c r="C14" s="18" t="inlineStr">
        <is>
          <t>Evacuation des deblais excedentaires en depot agree</t>
        </is>
      </c>
      <c r="D14" s="17" t="inlineStr">
        <is>
          <t>m3</t>
        </is>
      </c>
      <c r="E14" s="19">
        <f>'Hypotheses'!D55</f>
        <v/>
      </c>
      <c r="F14" s="20" t="n">
        <v>2500</v>
      </c>
      <c r="G14" s="21">
        <f>E14*F14</f>
        <v/>
      </c>
    </row>
    <row r="15">
      <c r="B15" s="17" t="n">
        <v>6</v>
      </c>
      <c r="C15" s="18" t="inlineStr">
        <is>
          <t>Remblai technique compacte (materiau selectionne lateritique), fourniture, mise en oeuvre et compactage par couches</t>
        </is>
      </c>
      <c r="D15" s="17" t="inlineStr">
        <is>
          <t>m3</t>
        </is>
      </c>
      <c r="E15" s="19">
        <f>'Hypotheses'!D56</f>
        <v/>
      </c>
      <c r="F15" s="20" t="n">
        <v>6500</v>
      </c>
      <c r="G15" s="21">
        <f>E15*F15</f>
        <v/>
      </c>
    </row>
    <row r="16">
      <c r="B16" s="22" t="inlineStr">
        <is>
          <t>SOUS-TOTAL CHAPITRE 2</t>
        </is>
      </c>
      <c r="C16" s="33" t="n"/>
      <c r="D16" s="33" t="n"/>
      <c r="E16" s="33" t="n"/>
      <c r="F16" s="34" t="n"/>
      <c r="G16" s="24">
        <f>SUM(G13:G15)</f>
        <v/>
      </c>
    </row>
    <row r="18" ht="17" customHeight="1">
      <c r="B18" s="16" t="inlineStr">
        <is>
          <t>CHAPITRE 3 - BETONS</t>
        </is>
      </c>
    </row>
    <row r="19">
      <c r="B19" s="17" t="n">
        <v>7</v>
      </c>
      <c r="C19" s="18" t="inlineStr">
        <is>
          <t>Beton de proprete dose a 150 kg/m3</t>
        </is>
      </c>
      <c r="D19" s="17" t="inlineStr">
        <is>
          <t>m3</t>
        </is>
      </c>
      <c r="E19" s="19">
        <f>'Hypotheses'!D53</f>
        <v/>
      </c>
      <c r="F19" s="20" t="n">
        <v>75000</v>
      </c>
      <c r="G19" s="21">
        <f>E19*F19</f>
        <v/>
      </c>
    </row>
    <row r="20">
      <c r="B20" s="17" t="n">
        <v>8</v>
      </c>
      <c r="C20" s="18" t="inlineStr">
        <is>
          <t>Beton arme C25/30 (350 kg/m3) pour corps de l'ouvrage (tablier, piedroits, radier)</t>
        </is>
      </c>
      <c r="D20" s="17" t="inlineStr">
        <is>
          <t>m3</t>
        </is>
      </c>
      <c r="E20" s="19">
        <f>'Hypotheses'!D24</f>
        <v/>
      </c>
      <c r="F20" s="20" t="n">
        <v>165000</v>
      </c>
      <c r="G20" s="21">
        <f>E20*F20</f>
        <v/>
      </c>
    </row>
    <row r="21">
      <c r="B21" s="17" t="n">
        <v>9</v>
      </c>
      <c r="C21" s="18" t="inlineStr">
        <is>
          <t>Beton arme C25/30 (350 kg/m3) pour tetes (murs en aile, becheS d'about)</t>
        </is>
      </c>
      <c r="D21" s="17" t="inlineStr">
        <is>
          <t>m3</t>
        </is>
      </c>
      <c r="E21" s="19">
        <f>'Hypotheses'!D25</f>
        <v/>
      </c>
      <c r="F21" s="20" t="n">
        <v>165000</v>
      </c>
      <c r="G21" s="21">
        <f>E21*F21</f>
        <v/>
      </c>
    </row>
    <row r="22">
      <c r="B22" s="22" t="inlineStr">
        <is>
          <t>SOUS-TOTAL CHAPITRE 3</t>
        </is>
      </c>
      <c r="C22" s="33" t="n"/>
      <c r="D22" s="33" t="n"/>
      <c r="E22" s="33" t="n"/>
      <c r="F22" s="34" t="n"/>
      <c r="G22" s="24">
        <f>SUM(G19:G21)</f>
        <v/>
      </c>
    </row>
    <row r="24" ht="17" customHeight="1">
      <c r="B24" s="16" t="inlineStr">
        <is>
          <t>CHAPITRE 4 - ACIERS POUR BETON ARME</t>
        </is>
      </c>
    </row>
    <row r="25">
      <c r="B25" s="17" t="n">
        <v>10</v>
      </c>
      <c r="C25" s="18" t="inlineStr">
        <is>
          <t>Aciers HA Fe E500 faconnes et poses - Corps de l'ouvrage</t>
        </is>
      </c>
      <c r="D25" s="17" t="inlineStr">
        <is>
          <t>kg</t>
        </is>
      </c>
      <c r="E25" s="19">
        <f>'Hypotheses'!D27</f>
        <v/>
      </c>
      <c r="F25" s="20" t="n">
        <v>1450</v>
      </c>
      <c r="G25" s="21">
        <f>E25*F25</f>
        <v/>
      </c>
    </row>
    <row r="26">
      <c r="B26" s="17" t="n">
        <v>11</v>
      </c>
      <c r="C26" s="18" t="inlineStr">
        <is>
          <t>Aciers HA Fe E500 faconnes et poses - Tetes (murs en aile)</t>
        </is>
      </c>
      <c r="D26" s="17" t="inlineStr">
        <is>
          <t>kg</t>
        </is>
      </c>
      <c r="E26" s="19">
        <f>'Hypotheses'!D28</f>
        <v/>
      </c>
      <c r="F26" s="20" t="n">
        <v>1450</v>
      </c>
      <c r="G26" s="21">
        <f>E26*F26</f>
        <v/>
      </c>
    </row>
    <row r="27">
      <c r="B27" s="22" t="inlineStr">
        <is>
          <t>SOUS-TOTAL CHAPITRE 4</t>
        </is>
      </c>
      <c r="C27" s="33" t="n"/>
      <c r="D27" s="33" t="n"/>
      <c r="E27" s="33" t="n"/>
      <c r="F27" s="34" t="n"/>
      <c r="G27" s="24">
        <f>SUM(G25:G26)</f>
        <v/>
      </c>
    </row>
    <row r="29" ht="17" customHeight="1">
      <c r="B29" s="16" t="inlineStr">
        <is>
          <t>CHAPITRE 5 - COFFRAGES</t>
        </is>
      </c>
    </row>
    <row r="30">
      <c r="B30" s="17" t="n">
        <v>12</v>
      </c>
      <c r="C30" s="18" t="inlineStr">
        <is>
          <t>Coffrage soigne pour parements vus (tablier, piedroits, murs en aile)</t>
        </is>
      </c>
      <c r="D30" s="17" t="inlineStr">
        <is>
          <t>m2</t>
        </is>
      </c>
      <c r="E30" s="19">
        <f>'Hypotheses'!D57</f>
        <v/>
      </c>
      <c r="F30" s="20" t="n">
        <v>12500</v>
      </c>
      <c r="G30" s="21">
        <f>E30*F30</f>
        <v/>
      </c>
    </row>
    <row r="31">
      <c r="B31" s="22" t="inlineStr">
        <is>
          <t>SOUS-TOTAL CHAPITRE 5</t>
        </is>
      </c>
      <c r="C31" s="33" t="n"/>
      <c r="D31" s="33" t="n"/>
      <c r="E31" s="33" t="n"/>
      <c r="F31" s="34" t="n"/>
      <c r="G31" s="24">
        <f>SUM(G30:G30)</f>
        <v/>
      </c>
    </row>
    <row r="33" ht="17" customHeight="1">
      <c r="B33" s="16" t="inlineStr">
        <is>
          <t>CHAPITRE 6 - PROTECTION ET OUVRAGES ANNEXES</t>
        </is>
      </c>
    </row>
    <row r="34">
      <c r="B34" s="17" t="n">
        <v>13</v>
      </c>
      <c r="C34" s="18" t="inlineStr">
        <is>
          <t>Perre maconne / enrochement de protection contre l'erosion (amont et aval)</t>
        </is>
      </c>
      <c r="D34" s="17" t="inlineStr">
        <is>
          <t>m2</t>
        </is>
      </c>
      <c r="E34" s="19">
        <f>'Hypotheses'!D59</f>
        <v/>
      </c>
      <c r="F34" s="20" t="n">
        <v>18000</v>
      </c>
      <c r="G34" s="21">
        <f>E34*F34</f>
        <v/>
      </c>
    </row>
    <row r="35">
      <c r="B35" s="25" t="n">
        <v>14</v>
      </c>
      <c r="C35" s="26" t="inlineStr">
        <is>
          <t>Garde-corps (type, materiau et implantation a definir et valider par la Mission de Controle)</t>
        </is>
      </c>
      <c r="D35" s="25" t="inlineStr">
        <is>
          <t>ml</t>
        </is>
      </c>
      <c r="E35" s="27">
        <f>'Hypotheses'!D60</f>
        <v/>
      </c>
      <c r="F35" s="28" t="n">
        <v>45000</v>
      </c>
      <c r="G35" s="29">
        <f>E35*F35</f>
        <v/>
      </c>
    </row>
    <row r="36">
      <c r="B36" s="22" t="inlineStr">
        <is>
          <t>SOUS-TOTAL CHAPITRE 6</t>
        </is>
      </c>
      <c r="C36" s="33" t="n"/>
      <c r="D36" s="33" t="n"/>
      <c r="E36" s="33" t="n"/>
      <c r="F36" s="34" t="n"/>
      <c r="G36" s="24">
        <f>SUM(G34:G35)</f>
        <v/>
      </c>
    </row>
    <row r="38" ht="17" customHeight="1">
      <c r="B38" s="16" t="inlineStr">
        <is>
          <t>CHAPITRE 7 - CONTROLES ET REPLI DE CHANTIER</t>
        </is>
      </c>
    </row>
    <row r="39">
      <c r="B39" s="17" t="n">
        <v>15</v>
      </c>
      <c r="C39" s="18" t="inlineStr">
        <is>
          <t>Essais et controles qualite des betons (eprouvettes, essais laboratoire)</t>
        </is>
      </c>
      <c r="D39" s="17" t="inlineStr">
        <is>
          <t>Ft</t>
        </is>
      </c>
      <c r="E39" s="19" t="n">
        <v>1</v>
      </c>
      <c r="F39" s="20" t="n">
        <v>300000</v>
      </c>
      <c r="G39" s="21">
        <f>E39*F39</f>
        <v/>
      </c>
    </row>
    <row r="40">
      <c r="B40" s="17" t="n">
        <v>16</v>
      </c>
      <c r="C40" s="18" t="inlineStr">
        <is>
          <t>Repli de materiel et nettoyage final du site</t>
        </is>
      </c>
      <c r="D40" s="17" t="inlineStr">
        <is>
          <t>Ft</t>
        </is>
      </c>
      <c r="E40" s="19" t="n">
        <v>1</v>
      </c>
      <c r="F40" s="20" t="n">
        <v>250000</v>
      </c>
      <c r="G40" s="21">
        <f>E40*F40</f>
        <v/>
      </c>
    </row>
    <row r="41">
      <c r="B41" s="22" t="inlineStr">
        <is>
          <t>SOUS-TOTAL CHAPITRE 7</t>
        </is>
      </c>
      <c r="C41" s="33" t="n"/>
      <c r="D41" s="33" t="n"/>
      <c r="E41" s="33" t="n"/>
      <c r="F41" s="34" t="n"/>
      <c r="G41" s="24">
        <f>SUM(G39:G40)</f>
        <v/>
      </c>
    </row>
    <row r="44" ht="22" customHeight="1">
      <c r="B44" s="30" t="inlineStr">
        <is>
          <t>TOTAL DEBOURSE SEC - DALOT 3,00 x 2,00 (HT, hors frais generaux, marge et alea)</t>
        </is>
      </c>
      <c r="G44" s="31">
        <f>G10+G16+G22+G27+G31+G36+G41</f>
        <v/>
      </c>
    </row>
    <row r="46">
      <c r="B46" s="32" t="inlineStr">
        <is>
          <t>Le Debourse Sec (DS) represente le cout direct des travaux (materiaux, main d'oeuvre, materiel) hors frais de chantier, frais generaux d'entreprise, marge beneficiaire, aleas/imprevus et TVA. Ces elements sont a ajouter lors de l'etablissement du prix de vente (bordereau des prix unitaires). Les prix unitaires (colonnes surlignees en jaune) sont indicatifs et doivent etre ajustes selon les conditions reelles du marche et le bordereau de l'entreprise.</t>
        </is>
      </c>
    </row>
    <row r="47"/>
    <row r="48"/>
  </sheetData>
  <mergeCells count="18">
    <mergeCell ref="B24:G24"/>
    <mergeCell ref="B2:G2"/>
    <mergeCell ref="B38:G38"/>
    <mergeCell ref="B44:F44"/>
    <mergeCell ref="B46:G48"/>
    <mergeCell ref="B33:G33"/>
    <mergeCell ref="B16:F16"/>
    <mergeCell ref="B10:F10"/>
    <mergeCell ref="B1:G1"/>
    <mergeCell ref="B31:F31"/>
    <mergeCell ref="B12:G12"/>
    <mergeCell ref="B18:G18"/>
    <mergeCell ref="B22:F22"/>
    <mergeCell ref="B36:F36"/>
    <mergeCell ref="B41:F41"/>
    <mergeCell ref="B29:G29"/>
    <mergeCell ref="B27:F27"/>
    <mergeCell ref="B6:G6"/>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E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6" customWidth="1" min="2" max="2"/>
    <col width="16" customWidth="1" min="3" max="3"/>
    <col width="20" customWidth="1" min="4" max="4"/>
    <col width="16" customWidth="1" min="5" max="5"/>
  </cols>
  <sheetData>
    <row r="1" ht="26" customHeight="1">
      <c r="B1" s="1" t="inlineStr">
        <is>
          <t>RECAPITULATIF PROJET - DEBOURSE SEC DES 2 DALOTS</t>
        </is>
      </c>
    </row>
    <row r="2">
      <c r="B2" s="35" t="inlineStr">
        <is>
          <t>Maitre d'ouvrage : Conseil Cafe-Cacao | Projet : Travaux de reprofilage lourd et de traitement de points critiques de routes rurales - Guemon et Cavally | Itineraire : Bangolo - Bloleguin</t>
        </is>
      </c>
    </row>
    <row r="4" ht="22" customHeight="1">
      <c r="B4" s="15" t="inlineStr">
        <is>
          <t>Ouvrage</t>
        </is>
      </c>
      <c r="C4" s="15" t="inlineStr">
        <is>
          <t>Localisation</t>
        </is>
      </c>
      <c r="D4" s="15" t="inlineStr">
        <is>
          <t>Debourse Sec (FCFA)</t>
        </is>
      </c>
      <c r="E4" s="15" t="inlineStr">
        <is>
          <t>Part du total</t>
        </is>
      </c>
    </row>
    <row r="5">
      <c r="B5" s="36" t="inlineStr">
        <is>
          <t>Dalot simple 2,00 x 2,00</t>
        </is>
      </c>
      <c r="C5" s="36" t="inlineStr">
        <is>
          <t>Itineraire Bangolo - Bloleguin</t>
        </is>
      </c>
      <c r="D5" s="37">
        <f>'DS - Dalot 2.00x2.00'!G44</f>
        <v/>
      </c>
      <c r="E5" s="38">
        <f>D5/D7</f>
        <v/>
      </c>
    </row>
    <row r="6">
      <c r="B6" s="36" t="inlineStr">
        <is>
          <t>Dalot simple 3,00 x 2,00</t>
        </is>
      </c>
      <c r="C6" s="36" t="inlineStr">
        <is>
          <t>Itineraire Bangolo - Bloleguin</t>
        </is>
      </c>
      <c r="D6" s="37">
        <f>'DS - Dalot 3.00x2.00'!G44</f>
        <v/>
      </c>
      <c r="E6" s="38">
        <f>D6/D7</f>
        <v/>
      </c>
    </row>
    <row r="7" ht="22" customHeight="1">
      <c r="B7" s="39" t="inlineStr">
        <is>
          <t>TOTAL DEBOURSE SEC - 2 DALOTS (HT)</t>
        </is>
      </c>
      <c r="D7" s="40">
        <f>D5+D6</f>
        <v/>
      </c>
      <c r="E7" s="41" t="inlineStr">
        <is>
          <t>100.0%</t>
        </is>
      </c>
    </row>
    <row r="10">
      <c r="B10" s="42" t="inlineStr">
        <is>
          <t>REPARTITION PAR CHAPITRE (2 dalots cumules)</t>
        </is>
      </c>
    </row>
    <row r="11">
      <c r="B11" s="43" t="inlineStr">
        <is>
          <t>Chapitre</t>
        </is>
      </c>
      <c r="C11" s="43" t="inlineStr"/>
      <c r="D11" s="43" t="inlineStr">
        <is>
          <t>Montant cumule (FCFA)</t>
        </is>
      </c>
      <c r="E11" s="43" t="inlineStr">
        <is>
          <t>Part du total</t>
        </is>
      </c>
    </row>
    <row r="12">
      <c r="B12" s="36" t="inlineStr">
        <is>
          <t>Chapitre 1 - Installation et preparation</t>
        </is>
      </c>
      <c r="C12" s="34" t="n"/>
      <c r="D12" s="37">
        <f>'DS - Dalot 2.00x2.00'!G10+'DS - Dalot 3.00x2.00'!G10</f>
        <v/>
      </c>
      <c r="E12" s="45">
        <f>D12/D7</f>
        <v/>
      </c>
    </row>
    <row r="13">
      <c r="B13" s="36" t="inlineStr">
        <is>
          <t>Chapitre 2 - Terrassements</t>
        </is>
      </c>
      <c r="C13" s="34" t="n"/>
      <c r="D13" s="37">
        <f>'DS - Dalot 2.00x2.00'!G16+'DS - Dalot 3.00x2.00'!G16</f>
        <v/>
      </c>
      <c r="E13" s="45">
        <f>D13/D7</f>
        <v/>
      </c>
    </row>
    <row r="14">
      <c r="B14" s="36" t="inlineStr">
        <is>
          <t>Chapitre 3 - Betons</t>
        </is>
      </c>
      <c r="C14" s="34" t="n"/>
      <c r="D14" s="37">
        <f>'DS - Dalot 2.00x2.00'!G22+'DS - Dalot 3.00x2.00'!G22</f>
        <v/>
      </c>
      <c r="E14" s="45">
        <f>D14/D7</f>
        <v/>
      </c>
    </row>
    <row r="15">
      <c r="B15" s="36" t="inlineStr">
        <is>
          <t>Chapitre 4 - Aciers pour beton arme</t>
        </is>
      </c>
      <c r="C15" s="34" t="n"/>
      <c r="D15" s="37">
        <f>'DS - Dalot 2.00x2.00'!G27+'DS - Dalot 3.00x2.00'!G27</f>
        <v/>
      </c>
      <c r="E15" s="45">
        <f>D15/D7</f>
        <v/>
      </c>
    </row>
    <row r="16">
      <c r="B16" s="36" t="inlineStr">
        <is>
          <t>Chapitre 5 - Coffrages</t>
        </is>
      </c>
      <c r="C16" s="34" t="n"/>
      <c r="D16" s="37">
        <f>'DS - Dalot 2.00x2.00'!G31+'DS - Dalot 3.00x2.00'!G31</f>
        <v/>
      </c>
      <c r="E16" s="45">
        <f>D16/D7</f>
        <v/>
      </c>
    </row>
    <row r="17">
      <c r="B17" s="36" t="inlineStr">
        <is>
          <t>Chapitre 6 - Protection et ouvrages annexes</t>
        </is>
      </c>
      <c r="C17" s="34" t="n"/>
      <c r="D17" s="37">
        <f>'DS - Dalot 2.00x2.00'!G36+'DS - Dalot 3.00x2.00'!G36</f>
        <v/>
      </c>
      <c r="E17" s="45">
        <f>D17/D7</f>
        <v/>
      </c>
    </row>
    <row r="18">
      <c r="B18" s="36" t="inlineStr">
        <is>
          <t>Chapitre 7 - Controles et repli de chantier</t>
        </is>
      </c>
      <c r="C18" s="34" t="n"/>
      <c r="D18" s="37">
        <f>'DS - Dalot 2.00x2.00'!G41+'DS - Dalot 3.00x2.00'!G41</f>
        <v/>
      </c>
      <c r="E18" s="45">
        <f>D18/D7</f>
        <v/>
      </c>
    </row>
    <row r="20">
      <c r="B20" s="32" t="inlineStr">
        <is>
          <t>Le Debourse Sec exclut les frais de chantier generaux, les frais generaux d'entreprise, la marge beneficiaire, les aleas/imprevus et la TVA. Pour obtenir le prix de vente (BPU), appliquer les coefficients habituels de l'entreprise (frais generaux + marge, generalement 15 a 25% selon le contexte) sur ce Debourse Sec.</t>
        </is>
      </c>
    </row>
  </sheetData>
  <mergeCells count="12">
    <mergeCell ref="B13:C13"/>
    <mergeCell ref="B16:C16"/>
    <mergeCell ref="B1:E1"/>
    <mergeCell ref="B15:C15"/>
    <mergeCell ref="B7:C7"/>
    <mergeCell ref="B14:C14"/>
    <mergeCell ref="B2:E2"/>
    <mergeCell ref="B20:E20"/>
    <mergeCell ref="B18:C18"/>
    <mergeCell ref="B10:E10"/>
    <mergeCell ref="B17:C17"/>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2026-08-27T20:43:34Z</dcterms:created>
  <dcterms:modified xsi:type="dcterms:W3CDTF">2026-08-27T21:08:55Z</dcterms:modified>
</cp:coreProperties>
</file>