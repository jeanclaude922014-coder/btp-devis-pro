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 MATERIAUX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  <font>
      <name val="Arial"/>
      <b val="1"/>
      <color rgb="001F4E2C"/>
      <sz val="16"/>
    </font>
    <font>
      <name val="Arial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i val="1"/>
      <color rgb="007F7F7F"/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9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5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4" fontId="2" fillId="5" borderId="1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Note</author>
    <author>Source</author>
    <author>Repartition</author>
  </authors>
  <commentList>
    <comment ref="D3" authorId="0" shapeId="0">
      <text>
        <t>A renseigner : date d'elaboration de la commande.</t>
      </text>
    </comment>
    <comment ref="N3" authorId="0" shapeId="0">
      <text>
        <t>A renseigner : numero de la Demande de Sortie (DS).</t>
      </text>
    </comment>
    <comment ref="D4" authorId="0" shapeId="0">
      <text>
        <t>A renseigner : reference / numero du marche.</t>
      </text>
    </comment>
    <comment ref="N4" authorId="0" shapeId="0">
      <text>
        <t>Taux de perte/chutes (mis pour information, comme dans le modele fourni). Les quantites du tableau ci-dessous sont les BESOINS NETS extraits des fiches de calcul (feuilles 'RECAP MATERIAUX' / 'MATERIAUX PRO' / 'RECAP FER' des fichiers Excel de chaque dalot), SANS majoration de perte. Appliquer ce taux manuellement si une commande majoree est necessaire.</t>
      </text>
    </comment>
    <comment ref="C13" authorId="1" shapeId="0">
      <text>
        <t>Source : DALOT_2X2_L_7.00_ml.xlsx, feuille 'MATERIAUX PRO' (ligne TOTAL) pour Ciment/Sable/Gravier, et 'RECAP FER' colonne BOTTES pour les aciers.</t>
      </text>
    </comment>
    <comment ref="F13" authorId="2" shapeId="0">
      <text>
        <t>Gravier total extrait de la source : 54.01 T, reparti ici 1/3 (5/15) - 2/3 (5/25) a la demande de l'utilisateur (le fichier source ne distingue pas les 2 granulometries).</t>
      </text>
    </comment>
    <comment ref="C14" authorId="1" shapeId="0">
      <text>
        <t>Source : DALOT_3X2_L7.00_ml.xlsx, feuille 'MATERIAUX PRO' (ligne TOTAL) pour Ciment/Sable/Gravier, et 'RECAP FER' colonne BOTTES pour les aciers.</t>
      </text>
    </comment>
    <comment ref="F14" authorId="2" shapeId="0">
      <text>
        <t>Gravier total extrait de la source : 72.06 T, reparti ici 1/3 (5/15) - 2/3 (5/25) a la demande de l'utilisateur (le fichier source ne distingue pas les 2 granulometries).</t>
      </text>
    </comment>
    <comment ref="C15" authorId="1" shapeId="0">
      <text>
        <t>Source : DALOT_2X3X2_L7.00_ml.xlsx, feuille 'MATERIAUX PRO' (ligne TOTAL) pour Ciment/Sable/Gravier, et 'RECAP FER' colonne BOTTES pour les aciers.</t>
      </text>
    </comment>
    <comment ref="F15" authorId="2" shapeId="0">
      <text>
        <t>Gravier total extrait de la source : 105.79 T, reparti ici 1/3 (5/15) - 2/3 (5/25) a la demande de l'utilisateur (le fichier source ne distingue pas les 2 granulometries).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16" customHeight="1">
      <c r="B1" s="1" t="inlineStr">
        <is>
          <t>IST</t>
        </is>
      </c>
      <c r="E1" s="2" t="inlineStr">
        <is>
          <t>DS-MATERIAUX-GO</t>
        </is>
      </c>
      <c r="L1" s="3" t="inlineStr">
        <is>
          <t>POLE OUVRAGE D'ART</t>
        </is>
      </c>
    </row>
    <row r="3">
      <c r="B3" s="4" t="inlineStr">
        <is>
          <t>DATE :</t>
        </is>
      </c>
      <c r="C3" s="5" t="n"/>
      <c r="D3" s="6" t="n"/>
      <c r="E3" s="5" t="n"/>
      <c r="F3" s="7" t="inlineStr">
        <is>
          <t>TRAVAUX DE REPROFILAGE LOURD ET DE TRAITEMENT DE POINTS CRITIQUES DE ROUTES RURALES DANS LES REGIONS DU GUEMON ET DU CAVALLY - Maitre d'ouvrage : CONSEIL CAFE-CACAO</t>
        </is>
      </c>
      <c r="G3" s="5" t="n"/>
      <c r="H3" s="5" t="n"/>
      <c r="I3" s="5" t="n"/>
      <c r="J3" s="5" t="n"/>
      <c r="K3" s="5" t="n"/>
      <c r="L3" s="4" t="inlineStr">
        <is>
          <t>N DS</t>
        </is>
      </c>
      <c r="M3" s="5" t="n"/>
      <c r="N3" s="6" t="n"/>
      <c r="O3" s="5" t="n"/>
    </row>
    <row r="4">
      <c r="B4" s="4" t="inlineStr">
        <is>
          <t>MARCHE :</t>
        </is>
      </c>
      <c r="C4" s="5" t="n"/>
      <c r="D4" s="8" t="n"/>
      <c r="E4" s="5" t="n"/>
      <c r="F4" s="5" t="n"/>
      <c r="G4" s="5" t="n"/>
      <c r="H4" s="5" t="n"/>
      <c r="I4" s="5" t="n"/>
      <c r="J4" s="5" t="n"/>
      <c r="K4" s="5" t="n"/>
      <c r="L4" s="4" t="inlineStr">
        <is>
          <t>Perte</t>
        </is>
      </c>
      <c r="M4" s="5" t="n"/>
      <c r="N4" s="9" t="n">
        <v>0.03</v>
      </c>
      <c r="O4" s="5" t="n"/>
    </row>
    <row r="5" ht="14" customHeight="1">
      <c r="B5" s="10" t="inlineStr">
        <is>
          <t>IST
Ivoire Services et Travaux
COMMANDE DE MATERIAUX</t>
        </is>
      </c>
      <c r="C5" s="5" t="n"/>
      <c r="D5" s="5" t="n"/>
      <c r="E5" s="5" t="n"/>
      <c r="F5" s="11" t="inlineStr">
        <is>
          <t>MATERIAUX</t>
        </is>
      </c>
      <c r="G5" s="5" t="n"/>
      <c r="H5" s="5" t="n"/>
      <c r="I5" s="5" t="n"/>
      <c r="J5" s="5" t="n"/>
      <c r="K5" s="5" t="n"/>
      <c r="L5" s="11" t="inlineStr">
        <is>
          <t>DALOT</t>
        </is>
      </c>
      <c r="M5" s="5" t="n"/>
      <c r="N5" s="5" t="n"/>
      <c r="O5" s="5" t="n"/>
    </row>
    <row r="6" ht="14" customHeight="1">
      <c r="B6" s="5" t="n"/>
      <c r="C6" s="5" t="n"/>
      <c r="D6" s="5" t="n"/>
      <c r="E6" s="5" t="n"/>
      <c r="F6" s="4" t="inlineStr">
        <is>
          <t>Elaborateur</t>
        </is>
      </c>
      <c r="G6" s="5" t="n"/>
      <c r="H6" s="5" t="n"/>
      <c r="I6" s="5" t="n"/>
      <c r="J6" s="5" t="n"/>
      <c r="K6" s="5" t="n"/>
      <c r="L6" s="12" t="n"/>
      <c r="M6" s="5" t="n"/>
      <c r="N6" s="5" t="n"/>
      <c r="O6" s="5" t="n"/>
    </row>
    <row r="7" ht="14" customHeight="1">
      <c r="B7" s="5" t="n"/>
      <c r="C7" s="5" t="n"/>
      <c r="D7" s="5" t="n"/>
      <c r="E7" s="5" t="n"/>
      <c r="F7" s="4" t="inlineStr">
        <is>
          <t>Verificateur</t>
        </is>
      </c>
      <c r="G7" s="5" t="n"/>
      <c r="H7" s="5" t="n"/>
      <c r="I7" s="5" t="n"/>
      <c r="J7" s="5" t="n"/>
      <c r="K7" s="5" t="n"/>
      <c r="L7" s="12" t="n"/>
      <c r="M7" s="5" t="n"/>
      <c r="N7" s="5" t="n"/>
      <c r="O7" s="5" t="n"/>
    </row>
    <row r="8" ht="14" customHeight="1">
      <c r="B8" s="5" t="n"/>
      <c r="C8" s="5" t="n"/>
      <c r="D8" s="5" t="n"/>
      <c r="E8" s="5" t="n"/>
      <c r="F8" s="4" t="inlineStr">
        <is>
          <t>Approbateur</t>
        </is>
      </c>
      <c r="G8" s="5" t="n"/>
      <c r="H8" s="5" t="n"/>
      <c r="I8" s="5" t="n"/>
      <c r="J8" s="5" t="n"/>
      <c r="K8" s="5" t="n"/>
      <c r="L8" s="12" t="n"/>
      <c r="M8" s="5" t="n"/>
      <c r="N8" s="5" t="n"/>
      <c r="O8" s="5" t="n"/>
    </row>
    <row r="10" ht="14" customHeight="1">
      <c r="B10" s="13" t="inlineStr">
        <is>
          <t>PROJET</t>
        </is>
      </c>
      <c r="C10" s="13" t="inlineStr">
        <is>
          <t>ZONE</t>
        </is>
      </c>
      <c r="D10" s="13" t="inlineStr">
        <is>
          <t>CIMENT 32.5</t>
        </is>
      </c>
      <c r="E10" s="13" t="inlineStr">
        <is>
          <t>SABLE</t>
        </is>
      </c>
      <c r="F10" s="13" t="inlineStr">
        <is>
          <t>GRAVIER</t>
        </is>
      </c>
      <c r="G10" s="13" t="n"/>
      <c r="H10" s="13" t="inlineStr">
        <is>
          <t>FER</t>
        </is>
      </c>
      <c r="I10" s="5" t="n"/>
      <c r="J10" s="5" t="n"/>
      <c r="K10" s="5" t="n"/>
      <c r="L10" s="5" t="n"/>
      <c r="M10" s="5" t="n"/>
      <c r="N10" s="5" t="n"/>
      <c r="O10" s="5" t="n"/>
    </row>
    <row r="11" ht="22" customHeight="1">
      <c r="B11" s="5" t="n"/>
      <c r="C11" s="5" t="n"/>
      <c r="D11" s="14" t="inlineStr">
        <is>
          <t>en tonne</t>
        </is>
      </c>
      <c r="E11" s="14" t="inlineStr">
        <is>
          <t>en tonne</t>
        </is>
      </c>
      <c r="F11" s="15" t="inlineStr">
        <is>
          <t>Gravier 5/15</t>
        </is>
      </c>
      <c r="G11" s="15" t="inlineStr">
        <is>
          <t>Gravier 5/25</t>
        </is>
      </c>
      <c r="H11" s="16" t="inlineStr">
        <is>
          <t>HA 6</t>
        </is>
      </c>
      <c r="I11" s="16" t="inlineStr">
        <is>
          <t>HA 8</t>
        </is>
      </c>
      <c r="J11" s="16" t="inlineStr">
        <is>
          <t>HA 10</t>
        </is>
      </c>
      <c r="K11" s="16" t="inlineStr">
        <is>
          <t>HA 12</t>
        </is>
      </c>
      <c r="L11" s="16" t="inlineStr">
        <is>
          <t>HA 14</t>
        </is>
      </c>
      <c r="M11" s="16" t="inlineStr">
        <is>
          <t>HA 16</t>
        </is>
      </c>
      <c r="N11" s="16" t="inlineStr">
        <is>
          <t>HA 20</t>
        </is>
      </c>
      <c r="O11" s="16" t="inlineStr">
        <is>
          <t>HA 25</t>
        </is>
      </c>
    </row>
    <row r="12" ht="14" customHeight="1">
      <c r="B12" s="5" t="n"/>
      <c r="C12" s="5" t="n"/>
      <c r="D12" s="5" t="n"/>
      <c r="E12" s="5" t="n"/>
      <c r="F12" s="14" t="inlineStr">
        <is>
          <t>en tonne</t>
        </is>
      </c>
      <c r="G12" s="14" t="inlineStr">
        <is>
          <t>en tonne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6" customHeight="1">
      <c r="B13" s="7" t="inlineStr">
        <is>
          <t>TRAVAUX DE REPROFILAGE LOURD ET DE TRAITEMENT DE POINTS CRITIQUES DE ROUTES RURALES DANS LES REGIONS DU GUEMON ET DU CAVALLY (Conseil Cafe-Cacao) - Itineraire Bangolo-Bloleguin</t>
        </is>
      </c>
      <c r="C13" s="12" t="inlineStr">
        <is>
          <t>DALOT 2,00 X 2,00 ; L=7,00 m</t>
        </is>
      </c>
      <c r="D13" s="17" t="n">
        <v>13.53</v>
      </c>
      <c r="E13" s="17" t="n">
        <v>29.58</v>
      </c>
      <c r="F13" s="17" t="n">
        <v>18</v>
      </c>
      <c r="G13" s="17" t="n">
        <v>36.01</v>
      </c>
      <c r="H13" s="17" t="n">
        <v>0.2</v>
      </c>
      <c r="I13" s="17" t="n">
        <v>1.7</v>
      </c>
      <c r="J13" s="17" t="n">
        <v>10.8</v>
      </c>
      <c r="K13" s="17" t="n">
        <v>19.9</v>
      </c>
      <c r="L13" s="17" t="n">
        <v>3.8</v>
      </c>
      <c r="M13" s="17" t="n">
        <v>0</v>
      </c>
      <c r="N13" s="17" t="n">
        <v>0</v>
      </c>
      <c r="O13" s="17" t="n">
        <v>0</v>
      </c>
    </row>
    <row r="14" ht="26" customHeight="1">
      <c r="B14" s="18" t="n"/>
      <c r="C14" s="12" t="inlineStr">
        <is>
          <t>DALOT 3,00 X 2,00 ; L=7,00 m</t>
        </is>
      </c>
      <c r="D14" s="17" t="n">
        <v>18.04</v>
      </c>
      <c r="E14" s="17" t="n">
        <v>39.35</v>
      </c>
      <c r="F14" s="17" t="n">
        <v>24.02</v>
      </c>
      <c r="G14" s="17" t="n">
        <v>48.04</v>
      </c>
      <c r="H14" s="17" t="n">
        <v>0.1</v>
      </c>
      <c r="I14" s="17" t="n">
        <v>2.2</v>
      </c>
      <c r="J14" s="17" t="n">
        <v>8.300000000000001</v>
      </c>
      <c r="K14" s="17" t="n">
        <v>29.5</v>
      </c>
      <c r="L14" s="17" t="n">
        <v>5.4</v>
      </c>
      <c r="M14" s="17" t="n">
        <v>3.2</v>
      </c>
      <c r="N14" s="17" t="n">
        <v>0</v>
      </c>
      <c r="O14" s="17" t="n">
        <v>0</v>
      </c>
    </row>
    <row r="15" ht="26" customHeight="1">
      <c r="B15" s="19" t="n"/>
      <c r="C15" s="12" t="inlineStr">
        <is>
          <t>DALOT 2 X 3,00 X 2,00 ; L=7,00 m (double cellule)</t>
        </is>
      </c>
      <c r="D15" s="17" t="n">
        <v>25.77</v>
      </c>
      <c r="E15" s="17" t="n">
        <v>53.23</v>
      </c>
      <c r="F15" s="17" t="n">
        <v>35.26</v>
      </c>
      <c r="G15" s="17" t="n">
        <v>70.52</v>
      </c>
      <c r="H15" s="17" t="n">
        <v>1.6</v>
      </c>
      <c r="I15" s="17" t="n">
        <v>9.6</v>
      </c>
      <c r="J15" s="17" t="n">
        <v>21.2</v>
      </c>
      <c r="K15" s="17" t="n">
        <v>10.1</v>
      </c>
      <c r="L15" s="17" t="n">
        <v>17.3</v>
      </c>
      <c r="M15" s="17" t="n">
        <v>6.9</v>
      </c>
      <c r="N15" s="17" t="n">
        <v>0</v>
      </c>
      <c r="O15" s="17" t="n">
        <v>0</v>
      </c>
    </row>
    <row r="16" ht="16" customHeight="1">
      <c r="B16" s="20" t="inlineStr">
        <is>
          <t>TOTAUX MATERIAUX</t>
        </is>
      </c>
      <c r="C16" s="21" t="n"/>
      <c r="D16" s="22">
        <f>SUM(D13:D15)</f>
        <v/>
      </c>
      <c r="E16" s="22">
        <f>SUM(E13:E15)</f>
        <v/>
      </c>
      <c r="F16" s="22">
        <f>SUM(F13:F15)</f>
        <v/>
      </c>
      <c r="G16" s="22">
        <f>SUM(G13:G15)</f>
        <v/>
      </c>
      <c r="H16" s="22">
        <f>SUM(H13:H15)</f>
        <v/>
      </c>
      <c r="I16" s="22">
        <f>SUM(I13:I15)</f>
        <v/>
      </c>
      <c r="J16" s="22">
        <f>SUM(J13:J15)</f>
        <v/>
      </c>
      <c r="K16" s="22">
        <f>SUM(K13:K15)</f>
        <v/>
      </c>
      <c r="L16" s="22">
        <f>SUM(L13:L15)</f>
        <v/>
      </c>
      <c r="M16" s="22">
        <f>SUM(M13:M15)</f>
        <v/>
      </c>
      <c r="N16" s="22">
        <f>SUM(N13:N15)</f>
        <v/>
      </c>
      <c r="O16" s="22">
        <f>SUM(O13:O15)</f>
        <v/>
      </c>
    </row>
    <row r="18">
      <c r="B18" s="23" t="inlineStr">
        <is>
          <t>NOTE : le fichier source ne distingue pas les granulometries de gravillon. La quantite totale de GRAVIER extraite a ete repartie ici 1/3 (Gravier 5/15) - 2/3 (Gravier 5/25) a la demande de l'utilisateur (voir commentaire sur chaque cellule 'Gravier 5/15' pour le total source). Les quantites d'aciers sont exprimees en 'Bottes' comme dans le modele fourni. Quantites nettes (hors perte).</t>
        </is>
      </c>
    </row>
    <row r="19"/>
    <row r="20"/>
    <row r="22">
      <c r="B22" s="24" t="inlineStr">
        <is>
          <t>IST</t>
        </is>
      </c>
      <c r="L22" s="25" t="inlineStr">
        <is>
          <t>DIRECTION GENERALE</t>
        </is>
      </c>
    </row>
  </sheetData>
  <mergeCells count="40">
    <mergeCell ref="F5:K5"/>
    <mergeCell ref="B16:C16"/>
    <mergeCell ref="L22:O22"/>
    <mergeCell ref="F10:G10"/>
    <mergeCell ref="B3:C3"/>
    <mergeCell ref="B1:D1"/>
    <mergeCell ref="M11:M12"/>
    <mergeCell ref="L6:O6"/>
    <mergeCell ref="H10:O10"/>
    <mergeCell ref="F8:K8"/>
    <mergeCell ref="D11:D12"/>
    <mergeCell ref="B19:O20"/>
    <mergeCell ref="H11:H12"/>
    <mergeCell ref="J11:J12"/>
    <mergeCell ref="L3:M3"/>
    <mergeCell ref="B18:O18"/>
    <mergeCell ref="N3:O3"/>
    <mergeCell ref="K11:K12"/>
    <mergeCell ref="L7:O7"/>
    <mergeCell ref="E11:E12"/>
    <mergeCell ref="F3:K4"/>
    <mergeCell ref="L4:M4"/>
    <mergeCell ref="O11:O12"/>
    <mergeCell ref="D4:E4"/>
    <mergeCell ref="C10:C12"/>
    <mergeCell ref="E1:K1"/>
    <mergeCell ref="L11:L12"/>
    <mergeCell ref="B5:E8"/>
    <mergeCell ref="N11:N12"/>
    <mergeCell ref="L5:O5"/>
    <mergeCell ref="L8:O8"/>
    <mergeCell ref="B22:G22"/>
    <mergeCell ref="F6:K6"/>
    <mergeCell ref="B10:B12"/>
    <mergeCell ref="B13:B15"/>
    <mergeCell ref="F7:K7"/>
    <mergeCell ref="I11:I12"/>
    <mergeCell ref="L1:O1"/>
    <mergeCell ref="B4:C4"/>
    <mergeCell ref="N4:O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2026-08-30T00:43:47Z</dcterms:created>
  <dcterms:modified xsi:type="dcterms:W3CDTF">2026-08-30T00:43:47Z</dcterms:modified>
</cp:coreProperties>
</file>