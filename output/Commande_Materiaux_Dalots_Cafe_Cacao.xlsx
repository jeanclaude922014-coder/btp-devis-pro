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ANDE MATERIAUX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sz val="9"/>
    </font>
    <font>
      <name val="Arial"/>
      <color rgb="000000FF"/>
      <sz val="9"/>
    </font>
    <font>
      <name val="Arial"/>
      <b val="1"/>
      <color rgb="001F4E2C"/>
      <sz val="16"/>
    </font>
    <font>
      <name val="Arial"/>
      <sz val="9"/>
    </font>
    <font>
      <name val="Arial"/>
      <b val="1"/>
      <color rgb="00FFFFFF"/>
      <sz val="8"/>
    </font>
    <font>
      <name val="Arial"/>
      <b val="1"/>
      <color rgb="00FFFFFF"/>
      <sz val="9"/>
    </font>
    <font>
      <name val="Arial"/>
      <i val="1"/>
      <color rgb="00FFFFFF"/>
      <sz val="8"/>
    </font>
    <font>
      <name val="Arial"/>
      <i val="1"/>
      <color rgb="007F7F7F"/>
      <sz val="8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E7D32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 wrapText="1"/>
    </xf>
    <xf numFmtId="0" fontId="3" fillId="2" borderId="1" pivotButton="0" quotePrefix="0" xfId="0"/>
    <xf numFmtId="9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5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4" fontId="2" fillId="5" borderId="1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Note</author>
    <author>Source</author>
  </authors>
  <commentList>
    <comment ref="D3" authorId="0" shapeId="0">
      <text>
        <t>A renseigner : date d'elaboration de la commande.</t>
      </text>
    </comment>
    <comment ref="M3" authorId="0" shapeId="0">
      <text>
        <t>A renseigner : numero de la Demande de Sortie (DS).</t>
      </text>
    </comment>
    <comment ref="D4" authorId="0" shapeId="0">
      <text>
        <t>A renseigner : reference / numero du marche.</t>
      </text>
    </comment>
    <comment ref="M4" authorId="0" shapeId="0">
      <text>
        <t>Taux de perte/chutes (mis pour information, comme dans le modele fourni). Les quantites du tableau ci-dessous sont les BESOINS NETS extraits des fiches de calcul (feuilles 'RECAP MATERIAUX' / 'MATERIAUX PRO' / 'RECAP FER' des fichiers Excel de chaque dalot), SANS majoration de perte. Appliquer ce taux manuellement si une commande majoree est necessaire.</t>
      </text>
    </comment>
    <comment ref="C13" authorId="1" shapeId="0">
      <text>
        <t>Source : DALOT_2X2_L_7.00_ml.xlsx, feuille 'MATERIAUX PRO' (ligne TOTAL) pour Ciment/Sable/Gravier, et 'RECAP FER' colonne BOTTES pour les aciers.</t>
      </text>
    </comment>
    <comment ref="C14" authorId="1" shapeId="0">
      <text>
        <t>Source : DALOT_3X2_L7.00_ml.xlsx, feuille 'MATERIAUX PRO' (ligne TOTAL) pour Ciment/Sable/Gravier, et 'RECAP FER' colonne BOTTES pour les aciers.</t>
      </text>
    </comment>
    <comment ref="C15" authorId="1" shapeId="0">
      <text>
        <t>Source : DALOT_2X3X2_L7.00_ml.xlsx, feuille 'MATERIAUX PRO' (ligne TOTAL) pour Ciment/Sable/Gravier, et 'RECAP FER' colonne BOTTES pour les aciers.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N22"/>
  <sheetViews>
    <sheetView showGridLines="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1" customWidth="1" min="4" max="4"/>
    <col width="11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 ht="16" customHeight="1">
      <c r="B1" s="1" t="inlineStr">
        <is>
          <t>IST</t>
        </is>
      </c>
      <c r="E1" s="2" t="inlineStr">
        <is>
          <t>DS-MATERIAUX-GO</t>
        </is>
      </c>
      <c r="K1" s="3" t="inlineStr">
        <is>
          <t>POLE OUVRAGE D'ART</t>
        </is>
      </c>
    </row>
    <row r="3">
      <c r="B3" s="4" t="inlineStr">
        <is>
          <t>DATE :</t>
        </is>
      </c>
      <c r="C3" s="5" t="n"/>
      <c r="D3" s="6" t="n"/>
      <c r="E3" s="5" t="n"/>
      <c r="F3" s="7" t="inlineStr">
        <is>
          <t>TRAVAUX DE REPROFILAGE LOURD ET DE TRAITEMENT DE POINTS CRITIQUES DE ROUTES RURALES DANS LES REGIONS DU GUEMON ET DU CAVALLY - Maitre d'ouvrage : CONSEIL CAFE-CACAO</t>
        </is>
      </c>
      <c r="G3" s="5" t="n"/>
      <c r="H3" s="5" t="n"/>
      <c r="I3" s="5" t="n"/>
      <c r="J3" s="5" t="n"/>
      <c r="K3" s="4" t="inlineStr">
        <is>
          <t>N DS</t>
        </is>
      </c>
      <c r="L3" s="5" t="n"/>
      <c r="M3" s="6" t="n"/>
      <c r="N3" s="5" t="n"/>
    </row>
    <row r="4">
      <c r="B4" s="4" t="inlineStr">
        <is>
          <t>MARCHE :</t>
        </is>
      </c>
      <c r="C4" s="5" t="n"/>
      <c r="D4" s="8" t="n"/>
      <c r="E4" s="5" t="n"/>
      <c r="F4" s="5" t="n"/>
      <c r="G4" s="5" t="n"/>
      <c r="H4" s="5" t="n"/>
      <c r="I4" s="5" t="n"/>
      <c r="J4" s="5" t="n"/>
      <c r="K4" s="4" t="inlineStr">
        <is>
          <t>Perte</t>
        </is>
      </c>
      <c r="L4" s="5" t="n"/>
      <c r="M4" s="9" t="n">
        <v>0.03</v>
      </c>
      <c r="N4" s="5" t="n"/>
    </row>
    <row r="5" ht="14" customHeight="1">
      <c r="B5" s="10" t="inlineStr">
        <is>
          <t>IST
Ivoire Services et Travaux
COMMANDE DE MATERIAUX</t>
        </is>
      </c>
      <c r="C5" s="5" t="n"/>
      <c r="D5" s="5" t="n"/>
      <c r="E5" s="5" t="n"/>
      <c r="F5" s="11" t="inlineStr">
        <is>
          <t>MATERIAUX</t>
        </is>
      </c>
      <c r="G5" s="5" t="n"/>
      <c r="H5" s="5" t="n"/>
      <c r="I5" s="5" t="n"/>
      <c r="J5" s="5" t="n"/>
      <c r="K5" s="11" t="inlineStr">
        <is>
          <t>DALOT</t>
        </is>
      </c>
      <c r="L5" s="5" t="n"/>
      <c r="M5" s="5" t="n"/>
      <c r="N5" s="5" t="n"/>
    </row>
    <row r="6" ht="14" customHeight="1">
      <c r="B6" s="5" t="n"/>
      <c r="C6" s="5" t="n"/>
      <c r="D6" s="5" t="n"/>
      <c r="E6" s="5" t="n"/>
      <c r="F6" s="4" t="inlineStr">
        <is>
          <t>Elaborateur</t>
        </is>
      </c>
      <c r="G6" s="5" t="n"/>
      <c r="H6" s="5" t="n"/>
      <c r="I6" s="5" t="n"/>
      <c r="J6" s="5" t="n"/>
      <c r="K6" s="12" t="n"/>
      <c r="L6" s="5" t="n"/>
      <c r="M6" s="5" t="n"/>
      <c r="N6" s="5" t="n"/>
    </row>
    <row r="7" ht="14" customHeight="1">
      <c r="B7" s="5" t="n"/>
      <c r="C7" s="5" t="n"/>
      <c r="D7" s="5" t="n"/>
      <c r="E7" s="5" t="n"/>
      <c r="F7" s="4" t="inlineStr">
        <is>
          <t>Verificateur</t>
        </is>
      </c>
      <c r="G7" s="5" t="n"/>
      <c r="H7" s="5" t="n"/>
      <c r="I7" s="5" t="n"/>
      <c r="J7" s="5" t="n"/>
      <c r="K7" s="12" t="n"/>
      <c r="L7" s="5" t="n"/>
      <c r="M7" s="5" t="n"/>
      <c r="N7" s="5" t="n"/>
    </row>
    <row r="8" ht="14" customHeight="1">
      <c r="B8" s="5" t="n"/>
      <c r="C8" s="5" t="n"/>
      <c r="D8" s="5" t="n"/>
      <c r="E8" s="5" t="n"/>
      <c r="F8" s="4" t="inlineStr">
        <is>
          <t>Approbateur</t>
        </is>
      </c>
      <c r="G8" s="5" t="n"/>
      <c r="H8" s="5" t="n"/>
      <c r="I8" s="5" t="n"/>
      <c r="J8" s="5" t="n"/>
      <c r="K8" s="12" t="n"/>
      <c r="L8" s="5" t="n"/>
      <c r="M8" s="5" t="n"/>
      <c r="N8" s="5" t="n"/>
    </row>
    <row r="10" ht="14" customHeight="1">
      <c r="B10" s="13" t="inlineStr">
        <is>
          <t>PROJET</t>
        </is>
      </c>
      <c r="C10" s="13" t="inlineStr">
        <is>
          <t>ZONE</t>
        </is>
      </c>
      <c r="D10" s="13" t="inlineStr">
        <is>
          <t>CIMENT 32.5</t>
        </is>
      </c>
      <c r="E10" s="13" t="inlineStr">
        <is>
          <t>SABLE</t>
        </is>
      </c>
      <c r="F10" s="13" t="inlineStr">
        <is>
          <t>GRAVIER</t>
        </is>
      </c>
      <c r="G10" s="14" t="inlineStr">
        <is>
          <t>FER</t>
        </is>
      </c>
      <c r="H10" s="14" t="n"/>
      <c r="I10" s="14" t="n"/>
      <c r="J10" s="14" t="n"/>
      <c r="K10" s="14" t="n"/>
      <c r="L10" s="14" t="n"/>
      <c r="M10" s="14" t="n"/>
      <c r="N10" s="14" t="n"/>
    </row>
    <row r="11" ht="14" customHeight="1">
      <c r="B11" s="5" t="n"/>
      <c r="C11" s="5" t="n"/>
      <c r="D11" s="15" t="inlineStr">
        <is>
          <t>en tonne</t>
        </is>
      </c>
      <c r="E11" s="15" t="inlineStr">
        <is>
          <t>en tonne</t>
        </is>
      </c>
      <c r="F11" s="15" t="inlineStr">
        <is>
          <t>en tonne</t>
        </is>
      </c>
      <c r="G11" s="16" t="inlineStr">
        <is>
          <t>HA 6</t>
        </is>
      </c>
      <c r="H11" s="16" t="inlineStr">
        <is>
          <t>HA 8</t>
        </is>
      </c>
      <c r="I11" s="16" t="inlineStr">
        <is>
          <t>HA 10</t>
        </is>
      </c>
      <c r="J11" s="16" t="inlineStr">
        <is>
          <t>HA 12</t>
        </is>
      </c>
      <c r="K11" s="16" t="inlineStr">
        <is>
          <t>HA 14</t>
        </is>
      </c>
      <c r="L11" s="16" t="inlineStr">
        <is>
          <t>HA 16</t>
        </is>
      </c>
      <c r="M11" s="16" t="inlineStr">
        <is>
          <t>HA 20</t>
        </is>
      </c>
      <c r="N11" s="16" t="inlineStr">
        <is>
          <t>HA 25</t>
        </is>
      </c>
    </row>
    <row r="12" ht="14" customHeight="1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 ht="26" customHeight="1">
      <c r="B13" s="7" t="inlineStr">
        <is>
          <t>TRAVAUX DE REPROFILAGE LOURD ET DE TRAITEMENT DE POINTS CRITIQUES DE ROUTES RURALES DANS LES REGIONS DU GUEMON ET DU CAVALLY (Conseil Cafe-Cacao) - Itineraire Bangolo-Bloleguin</t>
        </is>
      </c>
      <c r="C13" s="12" t="inlineStr">
        <is>
          <t>DALOT 2,00 X 2,00 ; L=7,00 m</t>
        </is>
      </c>
      <c r="D13" s="17" t="n">
        <v>13.53</v>
      </c>
      <c r="E13" s="17" t="n">
        <v>29.58</v>
      </c>
      <c r="F13" s="17" t="n">
        <v>54.01</v>
      </c>
      <c r="G13" s="17" t="n">
        <v>0.2</v>
      </c>
      <c r="H13" s="17" t="n">
        <v>1.7</v>
      </c>
      <c r="I13" s="17" t="n">
        <v>10.8</v>
      </c>
      <c r="J13" s="17" t="n">
        <v>19.9</v>
      </c>
      <c r="K13" s="17" t="n">
        <v>3.8</v>
      </c>
      <c r="L13" s="17" t="n">
        <v>0</v>
      </c>
      <c r="M13" s="17" t="n">
        <v>0</v>
      </c>
      <c r="N13" s="17" t="n">
        <v>0</v>
      </c>
    </row>
    <row r="14" ht="26" customHeight="1">
      <c r="B14" s="18" t="n"/>
      <c r="C14" s="12" t="inlineStr">
        <is>
          <t>DALOT 3,00 X 2,00 ; L=7,00 m</t>
        </is>
      </c>
      <c r="D14" s="17" t="n">
        <v>18.04</v>
      </c>
      <c r="E14" s="17" t="n">
        <v>39.35</v>
      </c>
      <c r="F14" s="17" t="n">
        <v>72.06</v>
      </c>
      <c r="G14" s="17" t="n">
        <v>0.1</v>
      </c>
      <c r="H14" s="17" t="n">
        <v>2.2</v>
      </c>
      <c r="I14" s="17" t="n">
        <v>8.300000000000001</v>
      </c>
      <c r="J14" s="17" t="n">
        <v>29.5</v>
      </c>
      <c r="K14" s="17" t="n">
        <v>5.4</v>
      </c>
      <c r="L14" s="17" t="n">
        <v>3.2</v>
      </c>
      <c r="M14" s="17" t="n">
        <v>0</v>
      </c>
      <c r="N14" s="17" t="n">
        <v>0</v>
      </c>
    </row>
    <row r="15" ht="26" customHeight="1">
      <c r="B15" s="19" t="n"/>
      <c r="C15" s="12" t="inlineStr">
        <is>
          <t>DALOT 2 X 3,00 X 2,00 ; L=7,00 m (double cellule)</t>
        </is>
      </c>
      <c r="D15" s="17" t="n">
        <v>25.77</v>
      </c>
      <c r="E15" s="17" t="n">
        <v>53.23</v>
      </c>
      <c r="F15" s="17" t="n">
        <v>105.79</v>
      </c>
      <c r="G15" s="17" t="n">
        <v>1.6</v>
      </c>
      <c r="H15" s="17" t="n">
        <v>9.6</v>
      </c>
      <c r="I15" s="17" t="n">
        <v>21.2</v>
      </c>
      <c r="J15" s="17" t="n">
        <v>10.1</v>
      </c>
      <c r="K15" s="17" t="n">
        <v>17.3</v>
      </c>
      <c r="L15" s="17" t="n">
        <v>6.9</v>
      </c>
      <c r="M15" s="17" t="n">
        <v>0</v>
      </c>
      <c r="N15" s="17" t="n">
        <v>0</v>
      </c>
    </row>
    <row r="16" ht="16" customHeight="1">
      <c r="B16" s="20" t="inlineStr">
        <is>
          <t>TOTAUX MATERIAUX</t>
        </is>
      </c>
      <c r="C16" s="21" t="n"/>
      <c r="D16" s="22">
        <f>SUM(D13:D15)</f>
        <v/>
      </c>
      <c r="E16" s="22">
        <f>SUM(E13:E15)</f>
        <v/>
      </c>
      <c r="F16" s="22">
        <f>SUM(F13:F15)</f>
        <v/>
      </c>
      <c r="G16" s="22">
        <f>SUM(G13:G15)</f>
        <v/>
      </c>
      <c r="H16" s="22">
        <f>SUM(H13:H15)</f>
        <v/>
      </c>
      <c r="I16" s="22">
        <f>SUM(I13:I15)</f>
        <v/>
      </c>
      <c r="J16" s="22">
        <f>SUM(J13:J15)</f>
        <v/>
      </c>
      <c r="K16" s="22">
        <f>SUM(K13:K15)</f>
        <v/>
      </c>
      <c r="L16" s="22">
        <f>SUM(L13:L15)</f>
        <v/>
      </c>
      <c r="M16" s="22">
        <f>SUM(M13:M15)</f>
        <v/>
      </c>
      <c r="N16" s="22">
        <f>SUM(N13:N15)</f>
        <v/>
      </c>
    </row>
    <row r="18">
      <c r="B18" s="23" t="inlineStr">
        <is>
          <t>NOTE : le fichier source ne distingue pas les granulometries de gravillon (5/15 et 5/25) : la quantite de GRAVIER est donc regroupee dans une seule colonne (contrairement au modele d'origine qui separe Gravier 5/15 et Gravier 5/25). Les quantites d'aciers sont exprimees en 'Bottes' comme dans le modele fourni. Quantites nettes (hors perte).</t>
        </is>
      </c>
    </row>
    <row r="19"/>
    <row r="20"/>
    <row r="22">
      <c r="B22" s="24" t="inlineStr">
        <is>
          <t>IST</t>
        </is>
      </c>
      <c r="K22" s="25" t="inlineStr">
        <is>
          <t>DIRECTION GENERALE</t>
        </is>
      </c>
    </row>
  </sheetData>
  <mergeCells count="40">
    <mergeCell ref="E1:J1"/>
    <mergeCell ref="B16:C16"/>
    <mergeCell ref="B3:C3"/>
    <mergeCell ref="B1:D1"/>
    <mergeCell ref="M11:M12"/>
    <mergeCell ref="K7:N7"/>
    <mergeCell ref="D11:D12"/>
    <mergeCell ref="F6:J6"/>
    <mergeCell ref="B22:F22"/>
    <mergeCell ref="H11:H12"/>
    <mergeCell ref="J11:J12"/>
    <mergeCell ref="F7:J7"/>
    <mergeCell ref="K6:N6"/>
    <mergeCell ref="K11:K12"/>
    <mergeCell ref="F5:J5"/>
    <mergeCell ref="G10:N10"/>
    <mergeCell ref="E11:E12"/>
    <mergeCell ref="F8:J8"/>
    <mergeCell ref="K5:N5"/>
    <mergeCell ref="B19:N20"/>
    <mergeCell ref="B18:N18"/>
    <mergeCell ref="D4:E4"/>
    <mergeCell ref="M3:N3"/>
    <mergeCell ref="K1:N1"/>
    <mergeCell ref="C10:C12"/>
    <mergeCell ref="F11:F12"/>
    <mergeCell ref="L11:L12"/>
    <mergeCell ref="B5:E8"/>
    <mergeCell ref="N11:N12"/>
    <mergeCell ref="K22:N22"/>
    <mergeCell ref="F3:J4"/>
    <mergeCell ref="B10:B12"/>
    <mergeCell ref="B13:B15"/>
    <mergeCell ref="K8:N8"/>
    <mergeCell ref="G11:G12"/>
    <mergeCell ref="K4:L4"/>
    <mergeCell ref="I11:I12"/>
    <mergeCell ref="M4:N4"/>
    <mergeCell ref="B4:C4"/>
    <mergeCell ref="K3:L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2026-08-29T23:32:50Z</dcterms:created>
  <dcterms:modified xsi:type="dcterms:W3CDTF">2026-08-29T23:32:50Z</dcterms:modified>
</cp:coreProperties>
</file>