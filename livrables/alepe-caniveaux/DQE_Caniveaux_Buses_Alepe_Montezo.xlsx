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QE" sheetId="1" state="visible" r:id="rId1"/>
    <sheet xmlns:r="http://schemas.openxmlformats.org/officeDocument/2006/relationships" name="Sous-détail caniveau" sheetId="2" state="visible" r:id="rId2"/>
    <sheet xmlns:r="http://schemas.openxmlformats.org/officeDocument/2006/relationships" name="Hypothèses" sheetId="3" state="visible" r:id="rId3"/>
  </sheets>
  <definedNames>
    <definedName name="_xlnm.Print_Titles" localSheetId="0">'DQE'!$7:$7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00"/>
    <numFmt numFmtId="166" formatCode="0.0%"/>
  </numFmts>
  <fonts count="1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i val="1"/>
      <sz val="10"/>
      <u val="single"/>
    </font>
    <font>
      <name val="Arial"/>
      <color rgb="000000FF"/>
      <sz val="10"/>
    </font>
    <font>
      <name val="Arial"/>
      <b val="1"/>
      <sz val="11"/>
    </font>
    <font>
      <name val="Arial"/>
      <i val="1"/>
      <sz val="10"/>
    </font>
    <font>
      <name val="Arial"/>
      <b val="1"/>
      <sz val="9"/>
    </font>
    <font>
      <name val="Arial"/>
      <sz val="9"/>
    </font>
    <font>
      <name val="Arial"/>
      <i val="1"/>
      <sz val="9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/>
    </xf>
    <xf numFmtId="164" fontId="1" fillId="4" borderId="1" applyAlignment="1" pivotButton="0" quotePrefix="0" xfId="0">
      <alignment vertical="center"/>
    </xf>
    <xf numFmtId="3" fontId="6" fillId="5" borderId="1" applyAlignment="1" pivotButton="0" quotePrefix="0" xfId="0">
      <alignment vertical="center"/>
    </xf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9" fontId="6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11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center" wrapText="1"/>
    </xf>
    <xf numFmtId="165" fontId="10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164" fontId="10" fillId="0" borderId="1" applyAlignment="1" pivotButton="0" quotePrefix="0" xfId="0">
      <alignment vertical="center" wrapText="1"/>
    </xf>
    <xf numFmtId="0" fontId="1" fillId="4" borderId="1" pivotButton="0" quotePrefix="0" xfId="0"/>
    <xf numFmtId="164" fontId="1" fillId="4" borderId="1" pivotButton="0" quotePrefix="0" xfId="0"/>
    <xf numFmtId="2" fontId="6" fillId="4" borderId="1" pivotButton="0" quotePrefix="0" xfId="0"/>
    <xf numFmtId="164" fontId="12" fillId="4" borderId="1" pivotButton="0" quotePrefix="0" xfId="0"/>
    <xf numFmtId="166" fontId="1" fillId="4" borderId="1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Moulo Jean Claude</author>
  </authors>
  <commentList>
    <comment ref="D19" authorId="0" shapeId="0">
      <text>
        <t>Quantité NON renseignée dans le DAO (unité et quantité absentes). Prix unitaire proposé au m3. À faire préciser par la Mairie (demande d'éclaircissement IC 7) : sinon le poste reste coté au BPU mais n'impacte pas le total.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62" customWidth="1" min="2" max="2"/>
    <col width="7" customWidth="1" min="3" max="3"/>
    <col width="10" customWidth="1" min="4" max="4"/>
    <col width="16" customWidth="1" min="5" max="5"/>
    <col width="19" customWidth="1" min="6" max="6"/>
  </cols>
  <sheetData>
    <row r="1">
      <c r="A1" s="1" t="inlineStr">
        <is>
          <t>RÉPUBLIQUE DE CÔTE D'IVOIRE — MAIRIE D'ALÉPÉ</t>
        </is>
      </c>
    </row>
    <row r="2">
      <c r="A2" s="2" t="inlineStr">
        <is>
          <t>Appel d'Offres Ouvert N° T ……/2026 — Budget 2026 Mairie d'Alépé, ligne 9102/2223</t>
        </is>
      </c>
    </row>
    <row r="3">
      <c r="A3" s="3" t="inlineStr">
        <is>
          <t>DÉTAIL QUANTITATIF ET ESTIMATIF (DQE)</t>
        </is>
      </c>
    </row>
    <row r="4" ht="30" customHeight="1">
      <c r="A4" s="3" t="inlineStr">
        <is>
          <t>CONSTRUCTION DE 2 000 MÈTRES LINÉAIRES DE CANIVEAUX ET POSE DE BUSES À ALÉPÉ ET À MONTÉZO</t>
        </is>
      </c>
    </row>
    <row r="5">
      <c r="A5" s="2" t="inlineStr">
        <is>
          <t>Proposition de prix établie par : Moulo Jean Claude, Technicien génie civil BTP — Abidjan</t>
        </is>
      </c>
    </row>
    <row r="7" ht="30" customHeight="1">
      <c r="A7" s="4" t="inlineStr">
        <is>
          <t>N°</t>
        </is>
      </c>
      <c r="B7" s="4" t="inlineStr">
        <is>
          <t>DÉSIGNATION DES OUVRAGES</t>
        </is>
      </c>
      <c r="C7" s="4" t="inlineStr">
        <is>
          <t>U</t>
        </is>
      </c>
      <c r="D7" s="4" t="inlineStr">
        <is>
          <t>QTÉ</t>
        </is>
      </c>
      <c r="E7" s="4" t="inlineStr">
        <is>
          <t>PRIX UNITAIRE (HT) FCFA</t>
        </is>
      </c>
      <c r="F7" s="4" t="inlineStr">
        <is>
          <t>PRIX TOTAL (HT) FCFA</t>
        </is>
      </c>
    </row>
    <row r="8">
      <c r="A8" s="5" t="inlineStr">
        <is>
          <t>SECTION 000</t>
        </is>
      </c>
      <c r="B8" s="6" t="inlineStr">
        <is>
          <t>INSTALLATION DE CHANTIER</t>
        </is>
      </c>
      <c r="C8" s="5" t="n"/>
      <c r="D8" s="7" t="n"/>
      <c r="E8" s="7" t="n"/>
      <c r="F8" s="7" t="n"/>
    </row>
    <row r="9">
      <c r="A9" s="8" t="n"/>
      <c r="B9" s="9" t="inlineStr">
        <is>
          <t>Généralités</t>
        </is>
      </c>
      <c r="C9" s="8" t="n"/>
      <c r="D9" s="10" t="n"/>
      <c r="E9" s="10" t="n"/>
      <c r="F9" s="10" t="n"/>
    </row>
    <row r="10">
      <c r="A10" s="11" t="inlineStr">
        <is>
          <t>001</t>
        </is>
      </c>
      <c r="B10" s="12" t="inlineStr">
        <is>
          <t>Installation de chantier</t>
        </is>
      </c>
      <c r="C10" s="11" t="inlineStr">
        <is>
          <t>Ens.</t>
        </is>
      </c>
      <c r="D10" s="13" t="n">
        <v>1</v>
      </c>
      <c r="E10" s="14" t="n">
        <v>9000000</v>
      </c>
      <c r="F10" s="15">
        <f>D10*E10</f>
        <v/>
      </c>
    </row>
    <row r="11">
      <c r="A11" s="11" t="inlineStr">
        <is>
          <t>002</t>
        </is>
      </c>
      <c r="B11" s="12" t="inlineStr">
        <is>
          <t>Repérage des pistes</t>
        </is>
      </c>
      <c r="C11" s="11" t="inlineStr">
        <is>
          <t>Ens.</t>
        </is>
      </c>
      <c r="D11" s="13" t="n">
        <v>1</v>
      </c>
      <c r="E11" s="14" t="n">
        <v>1200000</v>
      </c>
      <c r="F11" s="15">
        <f>D11*E11</f>
        <v/>
      </c>
    </row>
    <row r="12">
      <c r="A12" s="16" t="n"/>
      <c r="B12" s="17" t="inlineStr">
        <is>
          <t>TOTAL SECTION 000</t>
        </is>
      </c>
      <c r="C12" s="16" t="n"/>
      <c r="D12" s="18" t="n"/>
      <c r="E12" s="18" t="n"/>
      <c r="F12" s="19">
        <f>SUM(F9:F11)</f>
        <v/>
      </c>
    </row>
    <row r="13">
      <c r="A13" s="5" t="inlineStr">
        <is>
          <t>SECTION 100</t>
        </is>
      </c>
      <c r="B13" s="6" t="inlineStr">
        <is>
          <t>OUVERTURE DE VOIES</t>
        </is>
      </c>
      <c r="C13" s="5" t="n"/>
      <c r="D13" s="7" t="n"/>
      <c r="E13" s="7" t="n"/>
      <c r="F13" s="7" t="n"/>
    </row>
    <row r="14">
      <c r="A14" s="8" t="n"/>
      <c r="B14" s="9" t="inlineStr">
        <is>
          <t>Préparation du terrain</t>
        </is>
      </c>
      <c r="C14" s="8" t="n"/>
      <c r="D14" s="10" t="n"/>
      <c r="E14" s="10" t="n"/>
      <c r="F14" s="10" t="n"/>
    </row>
    <row r="15">
      <c r="A15" s="11" t="inlineStr">
        <is>
          <t>101</t>
        </is>
      </c>
      <c r="B15" s="12" t="inlineStr">
        <is>
          <t>Débroussement mécanique et décapage de terre végétale</t>
        </is>
      </c>
      <c r="C15" s="11" t="inlineStr">
        <is>
          <t>Ens.</t>
        </is>
      </c>
      <c r="D15" s="13" t="n">
        <v>1</v>
      </c>
      <c r="E15" s="14" t="n">
        <v>3000000</v>
      </c>
      <c r="F15" s="15">
        <f>D15*E15</f>
        <v/>
      </c>
    </row>
    <row r="16">
      <c r="A16" s="16" t="n"/>
      <c r="B16" s="17" t="inlineStr">
        <is>
          <t>TOTAL SECTION 100</t>
        </is>
      </c>
      <c r="C16" s="16" t="n"/>
      <c r="D16" s="18" t="n"/>
      <c r="E16" s="18" t="n"/>
      <c r="F16" s="19">
        <f>SUM(F14:F15)</f>
        <v/>
      </c>
    </row>
    <row r="17">
      <c r="A17" s="5" t="inlineStr">
        <is>
          <t>SECTION 200</t>
        </is>
      </c>
      <c r="B17" s="6" t="inlineStr">
        <is>
          <t>REPROFILAGE LOURD</t>
        </is>
      </c>
      <c r="C17" s="5" t="n"/>
      <c r="D17" s="7" t="n"/>
      <c r="E17" s="7" t="n"/>
      <c r="F17" s="7" t="n"/>
    </row>
    <row r="18">
      <c r="A18" s="11" t="inlineStr">
        <is>
          <t>201</t>
        </is>
      </c>
      <c r="B18" s="12" t="inlineStr">
        <is>
          <t>Mise en forme, réglage et compactage de l'arase de chaussée in situ</t>
        </is>
      </c>
      <c r="C18" s="11" t="inlineStr">
        <is>
          <t>Ens.</t>
        </is>
      </c>
      <c r="D18" s="13" t="n">
        <v>1</v>
      </c>
      <c r="E18" s="14" t="n">
        <v>4000000</v>
      </c>
      <c r="F18" s="15">
        <f>D18*E18</f>
        <v/>
      </c>
    </row>
    <row r="19">
      <c r="A19" s="11" t="inlineStr">
        <is>
          <t>202</t>
        </is>
      </c>
      <c r="B19" s="12" t="inlineStr">
        <is>
          <t>Fourniture et mise en œuvre de matériaux naturels sélectionnés pour la couche de roulement y compris réglage et compactage et toutes sujétions de traitement de points critiques</t>
        </is>
      </c>
      <c r="C19" s="11" t="inlineStr">
        <is>
          <t>m3</t>
        </is>
      </c>
      <c r="D19" s="20" t="n">
        <v>0</v>
      </c>
      <c r="E19" s="14" t="n">
        <v>11500</v>
      </c>
      <c r="F19" s="15">
        <f>D19*E19</f>
        <v/>
      </c>
    </row>
    <row r="20">
      <c r="A20" s="8" t="n"/>
      <c r="B20" s="9" t="inlineStr">
        <is>
          <t>Fouille</t>
        </is>
      </c>
      <c r="C20" s="8" t="n"/>
      <c r="D20" s="10" t="n"/>
      <c r="E20" s="10" t="n"/>
      <c r="F20" s="10" t="n"/>
    </row>
    <row r="21">
      <c r="A21" s="11" t="inlineStr">
        <is>
          <t>203</t>
        </is>
      </c>
      <c r="B21" s="12" t="inlineStr">
        <is>
          <t>Fouille en tranchée ou en rigole</t>
        </is>
      </c>
      <c r="C21" s="11" t="inlineStr">
        <is>
          <t>m3</t>
        </is>
      </c>
      <c r="D21" s="13" t="n">
        <v>960</v>
      </c>
      <c r="E21" s="14" t="n">
        <v>4500</v>
      </c>
      <c r="F21" s="15">
        <f>D21*E21</f>
        <v/>
      </c>
    </row>
    <row r="22">
      <c r="A22" s="11" t="inlineStr">
        <is>
          <t>204</t>
        </is>
      </c>
      <c r="B22" s="12" t="inlineStr">
        <is>
          <t>Remblai provenant des fouilles</t>
        </is>
      </c>
      <c r="C22" s="11" t="inlineStr">
        <is>
          <t>m3</t>
        </is>
      </c>
      <c r="D22" s="13" t="n">
        <v>120</v>
      </c>
      <c r="E22" s="14" t="n">
        <v>3500</v>
      </c>
      <c r="F22" s="15">
        <f>D22*E22</f>
        <v/>
      </c>
    </row>
    <row r="23">
      <c r="A23" s="8" t="n"/>
      <c r="B23" s="9" t="inlineStr">
        <is>
          <t>Béton de propreté</t>
        </is>
      </c>
      <c r="C23" s="8" t="n"/>
      <c r="D23" s="10" t="n"/>
      <c r="E23" s="10" t="n"/>
      <c r="F23" s="10" t="n"/>
    </row>
    <row r="24">
      <c r="A24" s="11" t="inlineStr">
        <is>
          <t>205</t>
        </is>
      </c>
      <c r="B24" s="12" t="inlineStr">
        <is>
          <t>Béton de propreté dosé à 150 kg/m3</t>
        </is>
      </c>
      <c r="C24" s="11" t="inlineStr">
        <is>
          <t>m3</t>
        </is>
      </c>
      <c r="D24" s="13" t="n">
        <v>60</v>
      </c>
      <c r="E24" s="14" t="n">
        <v>70000</v>
      </c>
      <c r="F24" s="15">
        <f>D24*E24</f>
        <v/>
      </c>
    </row>
    <row r="25">
      <c r="A25" s="16" t="n"/>
      <c r="B25" s="17" t="inlineStr">
        <is>
          <t>TOTAL SECTION 200</t>
        </is>
      </c>
      <c r="C25" s="16" t="n"/>
      <c r="D25" s="18" t="n"/>
      <c r="E25" s="18" t="n"/>
      <c r="F25" s="19">
        <f>SUM(F18:F24)</f>
        <v/>
      </c>
    </row>
    <row r="26">
      <c r="A26" s="5" t="inlineStr">
        <is>
          <t>SECTION 300</t>
        </is>
      </c>
      <c r="B26" s="6" t="inlineStr">
        <is>
          <t>ASSAINISSEMENT - DRAINAGE</t>
        </is>
      </c>
      <c r="C26" s="5" t="n"/>
      <c r="D26" s="7" t="n"/>
      <c r="E26" s="7" t="n"/>
      <c r="F26" s="7" t="n"/>
    </row>
    <row r="27">
      <c r="A27" s="8" t="n"/>
      <c r="B27" s="9" t="inlineStr">
        <is>
          <t>Lit de pose</t>
        </is>
      </c>
      <c r="C27" s="8" t="n"/>
      <c r="D27" s="10" t="n"/>
      <c r="E27" s="10" t="n"/>
      <c r="F27" s="10" t="n"/>
    </row>
    <row r="28">
      <c r="A28" s="11" t="inlineStr">
        <is>
          <t>301</t>
        </is>
      </c>
      <c r="B28" s="12" t="inlineStr">
        <is>
          <t>Lit de pose en sable</t>
        </is>
      </c>
      <c r="C28" s="11" t="inlineStr">
        <is>
          <t>m²</t>
        </is>
      </c>
      <c r="D28" s="13" t="n">
        <v>1200</v>
      </c>
      <c r="E28" s="14" t="n">
        <v>3000</v>
      </c>
      <c r="F28" s="15">
        <f>D28*E28</f>
        <v/>
      </c>
    </row>
    <row r="29">
      <c r="A29" s="8" t="n"/>
      <c r="B29" s="9" t="inlineStr">
        <is>
          <t>Fourniture et pose de caniveaux à ciel ouvert</t>
        </is>
      </c>
      <c r="C29" s="8" t="n"/>
      <c r="D29" s="10" t="n"/>
      <c r="E29" s="10" t="n"/>
      <c r="F29" s="10" t="n"/>
    </row>
    <row r="30">
      <c r="A30" s="11" t="inlineStr">
        <is>
          <t>302</t>
        </is>
      </c>
      <c r="B30" s="12" t="inlineStr">
        <is>
          <t>Caniveaux à ciel ouvert 80x80 en béton armé</t>
        </is>
      </c>
      <c r="C30" s="11" t="inlineStr">
        <is>
          <t>ml</t>
        </is>
      </c>
      <c r="D30" s="13" t="n">
        <v>2000</v>
      </c>
      <c r="E30" s="14" t="n">
        <v>80000</v>
      </c>
      <c r="F30" s="15">
        <f>D30*E30</f>
        <v/>
      </c>
    </row>
    <row r="31">
      <c r="A31" s="8" t="n"/>
      <c r="B31" s="9" t="inlineStr">
        <is>
          <t>Fourniture et pose de buses en béton armé y compris les têtes</t>
        </is>
      </c>
      <c r="C31" s="8" t="n"/>
      <c r="D31" s="10" t="n"/>
      <c r="E31" s="10" t="n"/>
      <c r="F31" s="10" t="n"/>
    </row>
    <row r="32">
      <c r="A32" s="11" t="inlineStr">
        <is>
          <t>303</t>
        </is>
      </c>
      <c r="B32" s="12" t="inlineStr">
        <is>
          <t>Passage busé de 12 ml en BA Ø 1,00 m (6 passages)</t>
        </is>
      </c>
      <c r="C32" s="11" t="inlineStr">
        <is>
          <t>U</t>
        </is>
      </c>
      <c r="D32" s="13" t="n">
        <v>6</v>
      </c>
      <c r="E32" s="14" t="n">
        <v>3400000</v>
      </c>
      <c r="F32" s="15">
        <f>D32*E32</f>
        <v/>
      </c>
    </row>
    <row r="33">
      <c r="A33" s="11" t="inlineStr">
        <is>
          <t>304</t>
        </is>
      </c>
      <c r="B33" s="12" t="inlineStr">
        <is>
          <t>Passage busé de 12 ml en BA Ø 0,80 m (8 passages)</t>
        </is>
      </c>
      <c r="C33" s="11" t="inlineStr">
        <is>
          <t>U</t>
        </is>
      </c>
      <c r="D33" s="13" t="n">
        <v>8</v>
      </c>
      <c r="E33" s="14" t="n">
        <v>2500000</v>
      </c>
      <c r="F33" s="15">
        <f>D33*E33</f>
        <v/>
      </c>
    </row>
    <row r="34">
      <c r="A34" s="8" t="n"/>
      <c r="B34" s="9" t="inlineStr">
        <is>
          <t>Dalots</t>
        </is>
      </c>
      <c r="C34" s="8" t="n"/>
      <c r="D34" s="10" t="n"/>
      <c r="E34" s="10" t="n"/>
      <c r="F34" s="10" t="n"/>
    </row>
    <row r="35">
      <c r="A35" s="11" t="inlineStr">
        <is>
          <t>305</t>
        </is>
      </c>
      <c r="B35" s="12" t="inlineStr">
        <is>
          <t>Dalots en BA y compris toutes sujétions de réalisation</t>
        </is>
      </c>
      <c r="C35" s="11" t="inlineStr">
        <is>
          <t>U</t>
        </is>
      </c>
      <c r="D35" s="13" t="n">
        <v>2</v>
      </c>
      <c r="E35" s="14" t="n">
        <v>8000000</v>
      </c>
      <c r="F35" s="15">
        <f>D35*E35</f>
        <v/>
      </c>
    </row>
    <row r="36">
      <c r="A36" s="16" t="n"/>
      <c r="B36" s="17" t="inlineStr">
        <is>
          <t>TOTAL SECTION 300</t>
        </is>
      </c>
      <c r="C36" s="16" t="n"/>
      <c r="D36" s="18" t="n"/>
      <c r="E36" s="18" t="n"/>
      <c r="F36" s="19">
        <f>SUM(F27:F35)</f>
        <v/>
      </c>
    </row>
    <row r="37">
      <c r="A37" s="21" t="n"/>
      <c r="B37" s="21" t="inlineStr">
        <is>
          <t>TOTAL GÉNÉRAL HT</t>
        </is>
      </c>
      <c r="C37" s="21" t="n"/>
      <c r="D37" s="21" t="n"/>
      <c r="E37" s="22" t="n"/>
      <c r="F37" s="23">
        <f>F12+F16+F25+F36</f>
        <v/>
      </c>
    </row>
    <row r="38">
      <c r="A38" s="21" t="n"/>
      <c r="B38" s="21" t="inlineStr">
        <is>
          <t>TVA</t>
        </is>
      </c>
      <c r="C38" s="21" t="n"/>
      <c r="D38" s="21" t="n"/>
      <c r="E38" s="24" t="n">
        <v>0.18</v>
      </c>
      <c r="F38" s="23">
        <f>ROUND(F37*E38,0)</f>
        <v/>
      </c>
    </row>
    <row r="39">
      <c r="A39" s="21" t="n"/>
      <c r="B39" s="21" t="inlineStr">
        <is>
          <t>TOTAL GÉNÉRAL TTC</t>
        </is>
      </c>
      <c r="C39" s="21" t="n"/>
      <c r="D39" s="21" t="n"/>
      <c r="E39" s="22" t="n"/>
      <c r="F39" s="23">
        <f>F37+F38</f>
        <v/>
      </c>
    </row>
    <row r="41">
      <c r="A41" s="25" t="inlineStr">
        <is>
          <t>Arrêté le présent devis à la somme de : voir montant TTC en lettres dans le BPU / lettre de soumission.</t>
        </is>
      </c>
    </row>
    <row r="43">
      <c r="A43" s="26" t="inlineStr">
        <is>
          <t>LÉGENDE :</t>
        </is>
      </c>
    </row>
    <row r="44">
      <c r="A44" s="27" t="inlineStr">
        <is>
          <t>• Chiffres en bleu = données saisies (quantités du DAO, prix unitaires proposés, taux TVA) — modifiables.</t>
        </is>
      </c>
    </row>
    <row r="45">
      <c r="A45" s="27" t="inlineStr">
        <is>
          <t>• Chiffres en noir = formules (totaux calculés automatiquement).</t>
        </is>
      </c>
    </row>
    <row r="46">
      <c r="A46" s="27" t="inlineStr">
        <is>
          <t>• Cellule jaune = quantité absente du DAO (poste 202) — à faire préciser par la Mairie avant dépôt.</t>
        </is>
      </c>
    </row>
    <row r="47">
      <c r="A47" s="27" t="inlineStr">
        <is>
          <t>• Quantités : strictement celles du DAO Mairie d'Alépé (formulaire DQE, Section IV). Prix HT, FCFA, fermes et non révisables (CCAP 11.4.2).</t>
        </is>
      </c>
    </row>
  </sheetData>
  <mergeCells count="11">
    <mergeCell ref="A41:F41"/>
    <mergeCell ref="A2:F2"/>
    <mergeCell ref="A47:F47"/>
    <mergeCell ref="A46:F46"/>
    <mergeCell ref="A44:F44"/>
    <mergeCell ref="A1:F1"/>
    <mergeCell ref="A5:F5"/>
    <mergeCell ref="A45:F45"/>
    <mergeCell ref="A4:F4"/>
    <mergeCell ref="A3:F3"/>
    <mergeCell ref="A43:F43"/>
  </mergeCells>
  <pageMargins left="0.75" right="0.75" top="1" bottom="1" header="0.5" footer="0.5"/>
  <pageSetup orientation="portrait" fitToHeight="0" fitToWidth="1"/>
  <headerFooter>
    <oddHeader>&amp;C&amp;"Arial,Bold"DQE — Caniveaux et buses Alépé / Montézo&amp;RAuteur : Moulo Jean Claude</oddHeader>
    <oddFooter>&amp;LMoulo Jean Claude — Technicien génie civil BTP&amp;CPage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12" customWidth="1" min="3" max="3"/>
    <col width="14" customWidth="1" min="4" max="4"/>
    <col width="16" customWidth="1" min="5" max="5"/>
    <col width="40" customWidth="1" min="6" max="6"/>
  </cols>
  <sheetData>
    <row r="1">
      <c r="A1" s="28" t="inlineStr">
        <is>
          <t>SOUS-DÉTAIL DE PRIX — Poste 302 : Caniveau à ciel ouvert 80x80 en BA (pour 1 ml)</t>
        </is>
      </c>
    </row>
    <row r="2" ht="28" customHeight="1">
      <c r="A2" s="29" t="inlineStr">
        <is>
          <t>Section type retenue : ouverture intérieure 0,80 x 0,80 m ; voiles ép. 0,15 m ; radier ép. 0,15 m (largeur 1,10 m). Béton Q350 (350 kg/m3, ≈ C25/30 EC2 / fc28 = 25 MPa BAEL) ; aciers HA FeE500.</t>
        </is>
      </c>
    </row>
    <row r="4">
      <c r="A4" s="30" t="inlineStr">
        <is>
          <t>Composante</t>
        </is>
      </c>
      <c r="B4" s="30" t="inlineStr">
        <is>
          <t>Unité</t>
        </is>
      </c>
      <c r="C4" s="30" t="inlineStr">
        <is>
          <t>Quantité / ml</t>
        </is>
      </c>
      <c r="D4" s="30" t="inlineStr">
        <is>
          <t>Prix unitaire FCFA</t>
        </is>
      </c>
      <c r="E4" s="30" t="inlineStr">
        <is>
          <t>Montant FCFA</t>
        </is>
      </c>
      <c r="F4" s="30" t="inlineStr">
        <is>
          <t>Justification</t>
        </is>
      </c>
    </row>
    <row r="5">
      <c r="A5" s="31" t="inlineStr">
        <is>
          <t>Béton Q350 radier (1,10 x 0,15)</t>
        </is>
      </c>
      <c r="B5" s="31" t="inlineStr">
        <is>
          <t>m3</t>
        </is>
      </c>
      <c r="C5" s="32">
        <f>1.10*0.15</f>
        <v/>
      </c>
      <c r="D5" s="33" t="n">
        <v>95000</v>
      </c>
      <c r="E5" s="34">
        <f>C5*D5</f>
        <v/>
      </c>
      <c r="F5" s="31" t="inlineStr">
        <is>
          <t>Ciment CEM II 42,5 ≈ 5 500 F/sac rendu Alépé, gravier 5/15-15/25, sable lagunaire</t>
        </is>
      </c>
    </row>
    <row r="6">
      <c r="A6" s="31" t="inlineStr">
        <is>
          <t>Béton Q350 voiles (2 x 0,80 x 0,15)</t>
        </is>
      </c>
      <c r="B6" s="31" t="inlineStr">
        <is>
          <t>m3</t>
        </is>
      </c>
      <c r="C6" s="32">
        <f>2*0.80*0.15</f>
        <v/>
      </c>
      <c r="D6" s="33" t="n">
        <v>95000</v>
      </c>
      <c r="E6" s="34">
        <f>C6*D6</f>
        <v/>
      </c>
      <c r="F6" s="31" t="inlineStr">
        <is>
          <t>Idem, fabrication mécanique (CCTP 37.3)</t>
        </is>
      </c>
    </row>
    <row r="7">
      <c r="A7" s="31" t="inlineStr">
        <is>
          <t>Aciers HA FeE500 façonnés posés (≈ 40 kg/m3)</t>
        </is>
      </c>
      <c r="B7" s="31" t="inlineStr">
        <is>
          <t>kg</t>
        </is>
      </c>
      <c r="C7" s="32">
        <f>40*(C5+C6)</f>
        <v/>
      </c>
      <c r="D7" s="33" t="n">
        <v>900</v>
      </c>
      <c r="E7" s="34">
        <f>C7*D7</f>
        <v/>
      </c>
      <c r="F7" s="31" t="inlineStr">
        <is>
          <t>Ratio courant caniveau BA, enrobage 3 cm (milieu humide tropical)</t>
        </is>
      </c>
    </row>
    <row r="8">
      <c r="A8" s="31" t="inlineStr">
        <is>
          <t>Coffrage bois 2 faces des voiles + abouts</t>
        </is>
      </c>
      <c r="B8" s="31" t="inlineStr">
        <is>
          <t>m²</t>
        </is>
      </c>
      <c r="C8" s="32">
        <f>2*2*0.95</f>
        <v/>
      </c>
      <c r="D8" s="33" t="n">
        <v>3000</v>
      </c>
      <c r="E8" s="34">
        <f>C8*D8</f>
        <v/>
      </c>
      <c r="F8" s="31" t="inlineStr">
        <is>
          <t>Bois local, réemploi 3 fois</t>
        </is>
      </c>
    </row>
    <row r="9">
      <c r="A9" s="31" t="inlineStr">
        <is>
          <t>Main-d'œuvre (coulage, vibration, cure, décoffrage)</t>
        </is>
      </c>
      <c r="B9" s="31" t="inlineStr">
        <is>
          <t>ml</t>
        </is>
      </c>
      <c r="C9" s="32" t="n">
        <v>1</v>
      </c>
      <c r="D9" s="33" t="n">
        <v>6000</v>
      </c>
      <c r="E9" s="34">
        <f>C9*D9</f>
        <v/>
      </c>
      <c r="F9" s="31" t="inlineStr">
        <is>
          <t>Équipe ferrailleur/coffreur/maçon + manœuvres</t>
        </is>
      </c>
    </row>
    <row r="10">
      <c r="A10" s="31" t="inlineStr">
        <is>
          <t>Petit matériel, vibreur, bétonnière, eau de cure</t>
        </is>
      </c>
      <c r="B10" s="31" t="inlineStr">
        <is>
          <t>ml</t>
        </is>
      </c>
      <c r="C10" s="32" t="n">
        <v>1</v>
      </c>
      <c r="D10" s="33" t="n">
        <v>2000</v>
      </c>
      <c r="E10" s="34">
        <f>C10*D10</f>
        <v/>
      </c>
      <c r="F10" s="31" t="inlineStr">
        <is>
          <t>Cure humide renforcée (chaleur tropicale)</t>
        </is>
      </c>
    </row>
    <row r="11">
      <c r="A11" s="35" t="inlineStr">
        <is>
          <t>DÉBOURSÉ SEC (DS) / ml</t>
        </is>
      </c>
      <c r="B11" s="35" t="n"/>
      <c r="C11" s="35" t="n"/>
      <c r="D11" s="35" t="n"/>
      <c r="E11" s="36">
        <f>SUM(E5:E10)</f>
        <v/>
      </c>
      <c r="F11" s="35" t="n"/>
    </row>
    <row r="12">
      <c r="A12" s="35" t="inlineStr">
        <is>
          <t>Coefficient de vente K (frais chantier, FG, aléas, bénéfice)</t>
        </is>
      </c>
      <c r="B12" s="35" t="n"/>
      <c r="C12" s="35" t="n"/>
      <c r="D12" s="37" t="n">
        <v>1.15</v>
      </c>
      <c r="E12" s="36" t="n"/>
      <c r="F12" s="35" t="n"/>
    </row>
    <row r="13">
      <c r="A13" s="35" t="inlineStr">
        <is>
          <t>PRIX DE VENTE CALCULÉ / ml (DS x K)</t>
        </is>
      </c>
      <c r="B13" s="35" t="n"/>
      <c r="C13" s="35" t="n"/>
      <c r="D13" s="35" t="n"/>
      <c r="E13" s="36">
        <f>E11*D12</f>
        <v/>
      </c>
      <c r="F13" s="35" t="n"/>
    </row>
    <row r="14">
      <c r="A14" s="35" t="inlineStr">
        <is>
          <t>PRIX RETENU AU BPU / ml (arrondi)</t>
        </is>
      </c>
      <c r="B14" s="35" t="n"/>
      <c r="C14" s="35" t="n"/>
      <c r="D14" s="35" t="n"/>
      <c r="E14" s="38">
        <f>DQE!E30</f>
        <v/>
      </c>
      <c r="F14" s="35" t="n"/>
    </row>
    <row r="15">
      <c r="A15" s="35" t="inlineStr">
        <is>
          <t>Écart prix retenu / calculé</t>
        </is>
      </c>
      <c r="B15" s="35" t="n"/>
      <c r="C15" s="35" t="n"/>
      <c r="D15" s="35" t="n"/>
      <c r="E15" s="39">
        <f>E14/E13-1</f>
        <v/>
      </c>
      <c r="F15" s="35" t="n"/>
    </row>
  </sheetData>
  <mergeCells count="1">
    <mergeCell ref="A2:F2"/>
  </mergeCells>
  <pageMargins left="0.75" right="0.75" top="1" bottom="1" header="0.5" footer="0.5"/>
  <headerFooter>
    <oddHeader>&amp;RAuteur : Moulo Jean Claude</oddHeader>
    <oddFooter>&amp;CPage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28" t="inlineStr">
        <is>
          <t>HYPOTHÈSES DE PRIX ET OBSERVATIONS SUR LE DAO</t>
        </is>
      </c>
    </row>
    <row r="3" ht="45" customHeight="1">
      <c r="A3" s="40" t="inlineStr">
        <is>
          <t>001</t>
        </is>
      </c>
      <c r="B3" s="41" t="inlineStr">
        <is>
          <t>Installation : ≈ 3,7 % du HT travaux. Base vie, magasin, bureau, gardiennage, panneau de chantier, amenée/repli du matériel (Abidjan → Alépé ≈ 50 km). Hors installation de la Mission de Contrôle (CCTP).</t>
        </is>
      </c>
    </row>
    <row r="4" ht="30" customHeight="1">
      <c r="A4" s="40" t="inlineStr">
        <is>
          <t>002</t>
        </is>
      </c>
      <c r="B4" s="41" t="inlineStr">
        <is>
          <t>Repérage/implantation topographique des 2 000 ml de caniveaux et 16 ouvrages (Alépé et Montézo) : équipe topo ≈ 3 semaines.</t>
        </is>
      </c>
    </row>
    <row r="5" ht="30" customHeight="1">
      <c r="A5" s="40" t="inlineStr">
        <is>
          <t>101</t>
        </is>
      </c>
      <c r="B5" s="41" t="inlineStr">
        <is>
          <t>Débroussement mécanique + décapage 0,20 m de terre végétale sur l'emprise des caniveaux (≈ 2 000 ml x 3 m = 6 000 m²) avec évacuation.</t>
        </is>
      </c>
    </row>
    <row r="6" ht="30" customHeight="1">
      <c r="A6" s="40" t="inlineStr">
        <is>
          <t>201</t>
        </is>
      </c>
      <c r="B6" s="41" t="inlineStr">
        <is>
          <t>Mise en forme de l'arase in situ au droit des ouvrages : niveleuse + compacteur vibrant 12 t + citerne ; compacité 95 % OPM (CCTP 25).</t>
        </is>
      </c>
    </row>
    <row r="7" ht="45" customHeight="1">
      <c r="A7" s="40" t="inlineStr">
        <is>
          <t>202</t>
        </is>
      </c>
      <c r="B7" s="41" t="inlineStr">
        <is>
          <t>POSTE SANS UNITÉ NI QUANTITÉ DANS LE DAO. Prix proposé au m3 : latérite sélectionnée (IP ≤ 20, CBR ≥ 25 à 95 % OPM – CCTP 8.1) extraite, chargée, transportée ≤ 10 km, mise en œuvre et compactée. À faire préciser (IC 7) : l'offre doit être cotée à 100 %.</t>
        </is>
      </c>
    </row>
    <row r="8" ht="45" customHeight="1">
      <c r="A8" s="40" t="inlineStr">
        <is>
          <t>203</t>
        </is>
      </c>
      <c r="B8" s="41" t="inlineStr">
        <is>
          <t>Fouille mixte mécanique (pelle) / manuelle en sol latéritique ; sujétions d'épuisement des eaux de pluie. NB : 960 m3 paraît faible pour 2 000 ml de caniveau 80x80 (≈ 2 000 à 2 600 m3 théoriques) — à signaler à la Mairie.</t>
        </is>
      </c>
    </row>
    <row r="9" ht="15" customHeight="1">
      <c r="A9" s="40" t="inlineStr">
        <is>
          <t>204</t>
        </is>
      </c>
      <c r="B9" s="41" t="inlineStr">
        <is>
          <t>Remblai latéritique issu des fouilles, en couches de 0,25 m compactées à 95 % OPM (CCTP 31).</t>
        </is>
      </c>
    </row>
    <row r="10" ht="15" customHeight="1">
      <c r="A10" s="40" t="inlineStr">
        <is>
          <t>205</t>
        </is>
      </c>
      <c r="B10" s="41" t="inlineStr">
        <is>
          <t>Béton C150 (150 kg/m3), ép. 5 à 10 cm sous radiers de caniveaux, buses et dalots (CCTP 37.1).</t>
        </is>
      </c>
    </row>
    <row r="11" ht="30" customHeight="1">
      <c r="A11" s="40" t="inlineStr">
        <is>
          <t>301</t>
        </is>
      </c>
      <c r="B11" s="41" t="inlineStr">
        <is>
          <t>Sable lagunaire/de rivière propre, ép. ≈ 0,10 m, réglé et compacté (≈ 30 000 F/m3 + mise en œuvre).</t>
        </is>
      </c>
    </row>
    <row r="12" ht="45" customHeight="1">
      <c r="A12" s="40" t="inlineStr">
        <is>
          <t>302</t>
        </is>
      </c>
      <c r="B12" s="41" t="inlineStr">
        <is>
          <t>Caniveau BA coulé en place 80x80 — voir onglet « Sous-détail caniveau ». Béton Q350 = 350 kg/m3, 25 MPa à 28 j (≈ C25/30 EC2, fc28 = 25 MPa BAEL 91 mod. 99). Enrobage 3 cm, cure humide 7 j (chaleur tropicale).</t>
        </is>
      </c>
    </row>
    <row r="13" ht="45" customHeight="1">
      <c r="A13" s="40" t="inlineStr">
        <is>
          <t>303</t>
        </is>
      </c>
      <c r="B13" s="41" t="inlineStr">
        <is>
          <t>Par passage de 12 ml : buses BA Ø1000 (≈ 110 000 F/ml fournies Abidjan + transport) + lit de sable 0,20 m, bloc technique latéritique compacté 95 % OPM, 2 têtes d'ouvrage BA (murs en aile + radier + parafouilles).</t>
        </is>
      </c>
    </row>
    <row r="14" ht="15" customHeight="1">
      <c r="A14" s="40" t="inlineStr">
        <is>
          <t>304</t>
        </is>
      </c>
      <c r="B14" s="41" t="inlineStr">
        <is>
          <t>Idem Ø800 (buses ≈ 80 000 F/ml) ; têtes d'ouvrage plus petites.</t>
        </is>
      </c>
    </row>
    <row r="15" ht="45" customHeight="1">
      <c r="A15" s="40" t="inlineStr">
        <is>
          <t>305</t>
        </is>
      </c>
      <c r="B15" s="41" t="inlineStr">
        <is>
          <t>DIMENSIONS DES DALOTS NON PRÉCISÉES DANS LE DAO. Hypothèse : dalot cadre 1,00 x 1,00 m, longueur ≈ 10 ml + 2 têtes ; ≈ 22 m3 de BA Q350 à ≈ 250 000 F/m3 (béton + aciers + coffrage) + terrassements et remblais. À confirmer sur plan.</t>
        </is>
      </c>
    </row>
    <row r="16" ht="60" customHeight="1">
      <c r="A16" s="40" t="inlineStr">
        <is>
          <t>—</t>
        </is>
      </c>
      <c r="B16" s="41" t="inlineStr">
        <is>
          <t>Observations DAO : (1) incohérences de délai (Avis : 12 mois « à harmoniser », Acte d'engagement : 8 mois, Conseil Régional des Grands Ponts — reste d'un ancien dossier) ; (2) les N° de prix ne sont pas numérotés dans le DAO : numérotation 001 à 305 proposée ; (3) libellé « suggestions » lu « sujétions ».</t>
        </is>
      </c>
    </row>
    <row r="17" ht="30" customHeight="1">
      <c r="A17" s="40" t="inlineStr">
        <is>
          <t>—</t>
        </is>
      </c>
      <c r="B17" s="41" t="inlineStr">
        <is>
          <t>Prix HT en FCFA, fermes et non révisables (CCAP 11.4.2), hors TVA 18 %. Taxe de régulation ARCOP 0,5 % et frais d'enregistrement à la charge du titulaire : à intégrer dans le coefficient K.</t>
        </is>
      </c>
    </row>
    <row r="18" ht="30" customHeight="1">
      <c r="A18" s="40" t="inlineStr">
        <is>
          <t>—</t>
        </is>
      </c>
      <c r="B18" s="41" t="inlineStr">
        <is>
          <t>Prix indicatifs 2026, marché ivoirien (région de la Mé). À recaler avec les cotations fournisseurs (ciment, aciers, buses) au moment de la soumission.</t>
        </is>
      </c>
    </row>
    <row r="20">
      <c r="B20" s="25" t="inlineStr">
        <is>
          <t>Établi par : Moulo Jean Claude — Technicien génie civil BTP, Abidjan — septembre 2026</t>
        </is>
      </c>
    </row>
  </sheetData>
  <pageMargins left="0.75" right="0.75" top="1" bottom="1" header="0.5" footer="0.5"/>
  <headerFooter>
    <oddHeader>&amp;RAuteur : Moulo Jean Claude</oddHeader>
    <oddFooter>&amp;CPage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Moulo Jean Claude</dc:creator>
  <dc:title xmlns:dc="http://purl.org/dc/elements/1.1/">DQE Caniveaux Alépé Montézo</dc:title>
  <dcterms:created xmlns:dcterms="http://purl.org/dc/terms/" xmlns:xsi="http://www.w3.org/2001/XMLSchema-instance" xsi:type="dcterms:W3CDTF">2026-09-23T22:49:53Z</dcterms:created>
  <dcterms:modified xmlns:dcterms="http://purl.org/dc/terms/" xmlns:xsi="http://www.w3.org/2001/XMLSchema-instance" xsi:type="dcterms:W3CDTF">2026-09-23T22:49:53Z</dcterms:modified>
</cp:coreProperties>
</file>