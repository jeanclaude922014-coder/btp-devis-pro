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PU" sheetId="1" state="visible" r:id="rId3"/>
    <sheet name="DQE" sheetId="2" state="visible" r:id="rId4"/>
    <sheet name="Hypothèses" sheetId="3" state="visible" r:id="rId5"/>
  </sheets>
  <definedNames>
    <definedName function="false" hidden="false" localSheetId="0" name="_xlnm.Print_Titles" vbProcedure="false">BPU!$8:$8</definedName>
    <definedName function="false" hidden="false" localSheetId="1" name="_xlnm.Print_Titles" vbProcedure="false">DQE!$8:$8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5" authorId="0">
      <text>
        <r>
          <rPr>
            <sz val="10"/>
            <rFont val="Arial"/>
            <family val="2"/>
          </rPr>
          <t xml:space="preserve">Quantité non renseignée dans le DAO — à confirmer par le Maître d'ouvrage.</t>
        </r>
      </text>
    </comment>
    <comment ref="D22" authorId="0">
      <text>
        <r>
          <rPr>
            <sz val="10"/>
            <rFont val="Arial"/>
            <family val="2"/>
          </rPr>
          <t xml:space="preserve">Quantité non renseignée dans le DAO — à confirmer par le Maître d'ouvrage.</t>
        </r>
      </text>
    </comment>
    <comment ref="E10" authorId="0">
      <text>
        <r>
          <rPr>
            <sz val="10"/>
            <rFont val="Arial"/>
            <family val="2"/>
          </rPr>
          <t xml:space="preserve">Base vie, bureau MOE, signalisation, amenée/repli du matériel (niveleuse, compacteurs, finisseur, répandeuse) - env. 3 % du montant HT.</t>
        </r>
      </text>
    </comment>
    <comment ref="E12" authorId="0">
      <text>
        <r>
          <rPr>
            <sz val="10"/>
            <rFont val="Arial"/>
            <family val="2"/>
          </rPr>
          <t xml:space="preserve">Débroussaillage, désherbage et évacuation hors emprise.</t>
        </r>
      </text>
    </comment>
    <comment ref="E13" authorId="0">
      <text>
        <r>
          <rPr>
            <sz val="10"/>
            <rFont val="Arial"/>
            <family val="2"/>
          </rPr>
          <t xml:space="preserve">Chargement et évacuation vers décharge agréée par la Mairie.</t>
        </r>
      </text>
    </comment>
    <comment ref="E15" authorId="0">
      <text>
        <r>
          <rPr>
            <sz val="10"/>
            <rFont val="Arial"/>
            <family val="2"/>
          </rPr>
          <t xml:space="preserve">Quantité non renseignée au DAO. Prix établi au m3 compacté (latérite d'emprunt CBR≥20, 95 % OPM).</t>
        </r>
      </text>
    </comment>
    <comment ref="E17" authorId="0">
      <text>
        <r>
          <rPr>
            <sz val="10"/>
            <rFont val="Arial"/>
            <family val="2"/>
          </rPr>
          <t xml:space="preserve">Décaissement ≈ 25 cm, évacuation des déblais, compactage du fond à 95 % OPM.</t>
        </r>
      </text>
    </comment>
    <comment ref="E20" authorId="0">
      <text>
        <r>
          <rPr>
            <sz val="10"/>
            <rFont val="Arial"/>
            <family val="2"/>
          </rPr>
          <t xml:space="preserve">Quantité nulle au DAO - prix donné pour mémoire (latérite ép. 20 cm).</t>
        </r>
      </text>
    </comment>
    <comment ref="E21" authorId="0">
      <text>
        <r>
          <rPr>
            <sz val="10"/>
            <rFont val="Arial"/>
            <family val="2"/>
          </rPr>
          <t xml:space="preserve">Quantité nulle au DAO - prix donné pour mémoire (latérite CBR≥30, ép. 15 cm).</t>
        </r>
      </text>
    </comment>
    <comment ref="E22" authorId="0">
      <text>
        <r>
          <rPr>
            <sz val="10"/>
            <rFont val="Arial"/>
            <family val="2"/>
          </rPr>
          <t xml:space="preserve">Quantité non renseignée au DAO. Ciment CPJ 42,5 à 4 %, malaxage en place.</t>
        </r>
      </text>
    </comment>
    <comment ref="E23" authorId="0">
      <text>
        <r>
          <rPr>
            <sz val="10"/>
            <rFont val="Arial"/>
            <family val="2"/>
          </rPr>
          <t xml:space="preserve">ATTENTION : 2 732,10 = 18 214 m2 × 0,15 m → quantité en m3. PU établi au m3 compacté (GNT 0/31,5 carrière Abidjan/Alépé).</t>
        </r>
      </text>
    </comment>
    <comment ref="E24" authorId="0">
      <text>
        <r>
          <rPr>
            <sz val="10"/>
            <rFont val="Arial"/>
            <family val="2"/>
          </rPr>
          <t xml:space="preserve">Cut-back 0/1 à 1,2 kg/m2 (le DAO indique « 1200 kg/m3 », lire 1,2 kg/m2).</t>
        </r>
      </text>
    </comment>
    <comment ref="E25" authorId="0">
      <text>
        <r>
          <rPr>
            <sz val="10"/>
            <rFont val="Arial"/>
            <family val="2"/>
          </rPr>
          <t xml:space="preserve">Émulsion cationique ECR 65 à 0,3 kg/m2.</t>
        </r>
      </text>
    </comment>
    <comment ref="E27" authorId="0">
      <text>
        <r>
          <rPr>
            <sz val="10"/>
            <rFont val="Arial"/>
            <family val="2"/>
          </rPr>
          <t xml:space="preserve">BB 0/10, ≈ 0,070 t/m2 ; enrobé centrale Abidjan + transport ≈ 55 km.</t>
        </r>
      </text>
    </comment>
    <comment ref="E28" authorId="0">
      <text>
        <r>
          <rPr>
            <sz val="10"/>
            <rFont val="Arial"/>
            <family val="2"/>
          </rPr>
          <t xml:space="preserve">BB 0/14, ≈ 0,117 t/m2 ; bitume 50/70 ; finisseur + compacteurs tandem et pneus.</t>
        </r>
      </text>
    </comment>
    <comment ref="E30" authorId="0">
      <text>
        <r>
          <rPr>
            <sz val="10"/>
            <rFont val="Arial"/>
            <family val="2"/>
          </rPr>
          <t xml:space="preserve">Buse Ø1000 série 90A, lit de sable 20 cm, bloc technique compacté 95 % OPM, têtes en BA.</t>
        </r>
      </text>
    </comment>
    <comment ref="E31" authorId="0">
      <text>
        <r>
          <rPr>
            <sz val="10"/>
            <rFont val="Arial"/>
            <family val="2"/>
          </rPr>
          <t xml:space="preserve">Quantité nulle au DAO - prix donné pour mémoire.</t>
        </r>
      </text>
    </comment>
    <comment ref="E33" authorId="0">
      <text>
        <r>
          <rPr>
            <sz val="10"/>
            <rFont val="Arial"/>
            <family val="2"/>
          </rPr>
          <t xml:space="preserve">Quantité nulle au DAO - régalage terre végétale et revégétalisation.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7" authorId="0">
      <text>
        <r>
          <rPr>
            <sz val="10"/>
            <rFont val="Arial"/>
            <family val="2"/>
          </rPr>
          <t xml:space="preserve">Quantité non renseignée dans le DAO — à confirmer par le Maître d'ouvrage.</t>
        </r>
      </text>
    </comment>
    <comment ref="D25" authorId="0">
      <text>
        <r>
          <rPr>
            <sz val="10"/>
            <rFont val="Arial"/>
            <family val="2"/>
          </rPr>
          <t xml:space="preserve">Quantité non renseignée dans le DAO — à confirmer par le Maître d'ouvrage.</t>
        </r>
      </text>
    </comment>
  </commentList>
</comments>
</file>

<file path=xl/sharedStrings.xml><?xml version="1.0" encoding="utf-8"?>
<sst xmlns="http://schemas.openxmlformats.org/spreadsheetml/2006/main" count="221" uniqueCount="135">
  <si>
    <t xml:space="preserve">REPUBLIQUE DE CÔTE D'IVOIRE — Union - Discipline - Travail</t>
  </si>
  <si>
    <t xml:space="preserve">REGION DE LA MÉ — MAIRIE D'ALÉPÉ</t>
  </si>
  <si>
    <t xml:space="preserve">Appel d'Offres Ouvert AOO N° T ....../2026 — Financement : Budget d'investissement 2026, Ligne 9101/2220</t>
  </si>
  <si>
    <t xml:space="preserve">BORDEREAU DES PRIX UNITAIRES (BPU)</t>
  </si>
  <si>
    <t xml:space="preserve">Réalisation de 1700 mètres linéaires de bitume du quartier Château au quartier Comoé extension d'Alépé</t>
  </si>
  <si>
    <t xml:space="preserve">Proposition de prix établie par : MOULO Jean Claude, Technicien Génie Civil BTP — Abidjan, septembre 2026 — Montants en FCFA HT</t>
  </si>
  <si>
    <t xml:space="preserve">N°</t>
  </si>
  <si>
    <t xml:space="preserve">DÉSIGNATION</t>
  </si>
  <si>
    <t xml:space="preserve">U</t>
  </si>
  <si>
    <t xml:space="preserve">QTÉ (DAO)</t>
  </si>
  <si>
    <t xml:space="preserve">PRIX UNIT. EN CHIFFRES (FCFA HT)</t>
  </si>
  <si>
    <t xml:space="preserve">PRIX UNIT. EN LETTRES</t>
  </si>
  <si>
    <t xml:space="preserve">000</t>
  </si>
  <si>
    <t xml:space="preserve">Section 0 - Installation de chantier</t>
  </si>
  <si>
    <t xml:space="preserve">001</t>
  </si>
  <si>
    <t xml:space="preserve">Installation de chantier de l'entreprise</t>
  </si>
  <si>
    <t xml:space="preserve">Ft</t>
  </si>
  <si>
    <t xml:space="preserve">Douze millions de francs CFA</t>
  </si>
  <si>
    <t xml:space="preserve">100</t>
  </si>
  <si>
    <t xml:space="preserve">Section 1 - Dégagement des emprises</t>
  </si>
  <si>
    <t xml:space="preserve">101</t>
  </si>
  <si>
    <t xml:space="preserve">Dégagement des accotements</t>
  </si>
  <si>
    <t xml:space="preserve">m2</t>
  </si>
  <si>
    <t xml:space="preserve">Cinq cents francs CFA</t>
  </si>
  <si>
    <t xml:space="preserve">102</t>
  </si>
  <si>
    <t xml:space="preserve">Dégagement des ordures ménagères</t>
  </si>
  <si>
    <t xml:space="preserve">Deux millions cinq cent mille francs CFA</t>
  </si>
  <si>
    <t xml:space="preserve">200</t>
  </si>
  <si>
    <t xml:space="preserve">Section 2 - Terrassements généraux</t>
  </si>
  <si>
    <t xml:space="preserve">201</t>
  </si>
  <si>
    <t xml:space="preserve">Remblais provenant d'emprunts y compris distance de transport</t>
  </si>
  <si>
    <t xml:space="preserve">Six mille cinq cents francs CFA</t>
  </si>
  <si>
    <t xml:space="preserve">202</t>
  </si>
  <si>
    <t xml:space="preserve">Démantèlement et enlèvement de dépôt</t>
  </si>
  <si>
    <t xml:space="preserve">Deux millions de francs CFA</t>
  </si>
  <si>
    <t xml:space="preserve">203</t>
  </si>
  <si>
    <t xml:space="preserve">Décaissement et compactage du fond de décaissement</t>
  </si>
  <si>
    <t xml:space="preserve">Mille deux cents francs CFA</t>
  </si>
  <si>
    <t xml:space="preserve">300</t>
  </si>
  <si>
    <t xml:space="preserve">Section 3 - Chaussée</t>
  </si>
  <si>
    <t xml:space="preserve">Fourniture et mise en œuvre de matériaux graveleux naturels sélectionnés quelle que soit la distance de transport</t>
  </si>
  <si>
    <t xml:space="preserve">301</t>
  </si>
  <si>
    <t xml:space="preserve">Pour la couche de forme (sous-couche de fondation)</t>
  </si>
  <si>
    <t xml:space="preserve">Trois mille francs CFA</t>
  </si>
  <si>
    <t xml:space="preserve">302</t>
  </si>
  <si>
    <t xml:space="preserve">Pour la couche de fondation (ép. 15 cm)</t>
  </si>
  <si>
    <t xml:space="preserve">Deux mille cinq cents francs CFA</t>
  </si>
  <si>
    <t xml:space="preserve">303</t>
  </si>
  <si>
    <t xml:space="preserve">Stabilisation au ciment 4 % de la couche de base</t>
  </si>
  <si>
    <t xml:space="preserve">Trois mille cinq cents francs CFA</t>
  </si>
  <si>
    <t xml:space="preserve">304</t>
  </si>
  <si>
    <t xml:space="preserve">Fourniture, transport et mise en œuvre de granite concassé 0/31,5 pour la couche de base</t>
  </si>
  <si>
    <t xml:space="preserve">Trente-cinq mille francs CFA</t>
  </si>
  <si>
    <t xml:space="preserve">305</t>
  </si>
  <si>
    <t xml:space="preserve">Exécution de l'imprégnation au cut-back de la couche de base (1,2 kg/m2)</t>
  </si>
  <si>
    <t xml:space="preserve">Neuf cents francs CFA</t>
  </si>
  <si>
    <t xml:space="preserve">306</t>
  </si>
  <si>
    <t xml:space="preserve">Couche d'accrochage à l'émulsion de bitume (300 g/m2)</t>
  </si>
  <si>
    <t xml:space="preserve">Quatre cents francs CFA</t>
  </si>
  <si>
    <t xml:space="preserve">Fourniture, fabrication et mise en œuvre de revêtement de chaussée en béton bitumineux quelle que soit la distance de transport</t>
  </si>
  <si>
    <t xml:space="preserve">307</t>
  </si>
  <si>
    <t xml:space="preserve">Béton bitumineux d'épaisseur 3 cm</t>
  </si>
  <si>
    <t xml:space="preserve">Sept mille francs CFA</t>
  </si>
  <si>
    <t xml:space="preserve">308</t>
  </si>
  <si>
    <t xml:space="preserve">Béton bitumineux d'épaisseur 5 cm</t>
  </si>
  <si>
    <t xml:space="preserve">Onze mille cinq cents francs CFA</t>
  </si>
  <si>
    <t xml:space="preserve">400</t>
  </si>
  <si>
    <t xml:space="preserve">Section 4 - Assainissement - Drainage</t>
  </si>
  <si>
    <t xml:space="preserve">401</t>
  </si>
  <si>
    <t xml:space="preserve">Fourniture, transport et mise en œuvre de buses en béton armé série 90 A Ø 1000, y compris têtes et remblais d'accès</t>
  </si>
  <si>
    <t xml:space="preserve">ml</t>
  </si>
  <si>
    <t xml:space="preserve">Deux cent cinquante mille francs CFA</t>
  </si>
  <si>
    <t xml:space="preserve">402</t>
  </si>
  <si>
    <t xml:space="preserve">Curage d'ouvrage sanitaire</t>
  </si>
  <si>
    <t xml:space="preserve">Un million cinq cent mille francs CFA</t>
  </si>
  <si>
    <t xml:space="preserve">700</t>
  </si>
  <si>
    <t xml:space="preserve">Section 7 - Protection de l'environnement</t>
  </si>
  <si>
    <t xml:space="preserve">701</t>
  </si>
  <si>
    <t xml:space="preserve">Régénérescence des zones d'emprunts</t>
  </si>
  <si>
    <t xml:space="preserve">Trois cents francs CFA</t>
  </si>
  <si>
    <t xml:space="preserve">Légende : cellules jaunes / texte bleu = prix unitaires proposés (saisie). Le DQE est lié automatiquement à ces prix. Si un prix est modifié, mettre à jour le prix en lettres (colonne F).</t>
  </si>
  <si>
    <t xml:space="preserve">DEVIS QUANTITATIF ET ESTIMATIF (DQE)</t>
  </si>
  <si>
    <t xml:space="preserve">UNITÉS</t>
  </si>
  <si>
    <t xml:space="preserve">QUANTITÉS</t>
  </si>
  <si>
    <t xml:space="preserve">PRIX UNIT. (FCFA HT)</t>
  </si>
  <si>
    <t xml:space="preserve">PRIX TOTAL (FCFA HT)</t>
  </si>
  <si>
    <t xml:space="preserve">Total Section 0</t>
  </si>
  <si>
    <t xml:space="preserve">Total Section 1</t>
  </si>
  <si>
    <t xml:space="preserve">Total Section 2</t>
  </si>
  <si>
    <t xml:space="preserve">Total Section 3</t>
  </si>
  <si>
    <t xml:space="preserve">Total Section 4</t>
  </si>
  <si>
    <t xml:space="preserve">Total Section 7</t>
  </si>
  <si>
    <t xml:space="preserve">RÉCAPITULATIF PAR SECTION</t>
  </si>
  <si>
    <t xml:space="preserve">Section 000 Installation</t>
  </si>
  <si>
    <t xml:space="preserve">Section 100 Dégagement des emprises</t>
  </si>
  <si>
    <t xml:space="preserve">Section 200 Terrassements généraux</t>
  </si>
  <si>
    <t xml:space="preserve">Section 300 Chaussée</t>
  </si>
  <si>
    <t xml:space="preserve">Section 400 Assainissement-drainage</t>
  </si>
  <si>
    <t xml:space="preserve">Section 700 Protection de l'environnement</t>
  </si>
  <si>
    <t xml:space="preserve">TOTAL HTVA</t>
  </si>
  <si>
    <t xml:space="preserve">TVA AU TAUX DE 18 %</t>
  </si>
  <si>
    <t xml:space="preserve">TOTAL GÉNÉRAL TTC</t>
  </si>
  <si>
    <t xml:space="preserve">Arrêté le présent devis à la somme de : Quatre cent quatre-vingt-neuf millions neuf cent dix-sept mille sept cent dix francs CFA TTC (à mettre à jour si les prix sont modifiés).</t>
  </si>
  <si>
    <t xml:space="preserve">Fait à Abidjan, le ...../...../2026</t>
  </si>
  <si>
    <t xml:space="preserve">Le Soumissionnaire (signature et cachet)</t>
  </si>
  <si>
    <t xml:space="preserve">HYPOTHÈSES DE PRIX ET CONTRÔLES — DAO Mairie d'Alépé 2026</t>
  </si>
  <si>
    <t xml:space="preserve">Auteur : Moulo Jean Claude, Technicien Génie Civil BTP — Abidjan, 24/09/2026</t>
  </si>
  <si>
    <t xml:space="preserve">Paramètres</t>
  </si>
  <si>
    <t xml:space="preserve">Délai d'exécution (DPAO IC 13.2)</t>
  </si>
  <si>
    <t xml:space="preserve">12 mois</t>
  </si>
  <si>
    <t xml:space="preserve">Taux de TVA (DAO)</t>
  </si>
  <si>
    <t xml:space="preserve">Montant total HT proposé</t>
  </si>
  <si>
    <t xml:space="preserve">Montant total TTC proposé</t>
  </si>
  <si>
    <t xml:space="preserve">Montant TTC en lettres (contrôle)</t>
  </si>
  <si>
    <t xml:space="preserve">Quatre cent quatre-vingt-neuf millions neuf cent dix-sept mille sept cent dix francs CFA TTC</t>
  </si>
  <si>
    <t xml:space="preserve">Garantie d'offre exigée (DPAO IC 20.2)</t>
  </si>
  <si>
    <t xml:space="preserve">Ratio garantie / montant HT</t>
  </si>
  <si>
    <t xml:space="preserve">Coût HT au mètre linéaire (1 700 ml)</t>
  </si>
  <si>
    <t xml:space="preserve">Coût HT au m2 de chaussée revêtue (18 214 m2)</t>
  </si>
  <si>
    <t xml:space="preserve">Bases de prix (marché ivoirien, septembre 2026, prix HT rendus Alépé ≈ 55 km d'Abidjan) :</t>
  </si>
  <si>
    <t xml:space="preserve">• Béton bitumineux (BB) : ≈ 95 000 à 100 000 FCFA/t mis en œuvre (bitume 50/70 importé, granulats granite, centrale d'enrobage Abidjan), densité 2,35 t/m3.</t>
  </si>
  <si>
    <t xml:space="preserve">• Granite concassé 0/31,5 (GNT) : ≈ 17 000 FCFA/t carrière + transport ≈ 55 km + mise en œuvre et compactage 95 % OPM → ≈ 35 000 FCFA/m3 compacté.</t>
  </si>
  <si>
    <t xml:space="preserve">• Cut-back 0/1 : 1,2 kg/m2 ; émulsion ECR 65 : 0,3 kg/m2 (répandeuse + balayage).</t>
  </si>
  <si>
    <t xml:space="preserve">• Sol support latéritique : fond de décaissement compacté à 95 % OPM, CBR plate-forme ≥ 15 à vérifier par essais (Proctor modifié, CBR 96 h imbibition).</t>
  </si>
  <si>
    <t xml:space="preserve">• Contexte climatique tropical humide (Sud-Est, deux saisons des pluies) : planning à caler hors mai-juillet pour les enrobés ; drainage provisoire inclus dans les prix.</t>
  </si>
  <si>
    <t xml:space="preserve">• Prix fermes et non révisables (DPAO IC 14.5) : aléas de variation bitume/carburant intégrés (≈ 3 %). Frais généraux ≈ 15 % et bénéfice ≈ 10 % inclus.</t>
  </si>
  <si>
    <t xml:space="preserve">Incohérences relevées dans le DAO (à signaler par demande d'éclaircissement — IC 7.1) :</t>
  </si>
  <si>
    <t xml:space="preserve">1. Poste 304 (granite concassé) : unité « m2 » mais 2 732,10 = 18 214 × 0,15 → il s'agit de m3. Prix établi au m3.</t>
  </si>
  <si>
    <t xml:space="preserve">2. Poste 305 : « 1200 kg/m3 » → dosage à lire 1,2 kg/m2.  Poste 306 : « 300 g/m3 » → lire 300 g/m2.</t>
  </si>
  <si>
    <t xml:space="preserve">3. Postes 201 (remblais) et 303 (stabilisation ciment 4 %) : quantités non renseignées → portées à 0, prix donnés pour mémoire.</t>
  </si>
  <si>
    <t xml:space="preserve">4. Postes 301, 302, 402, 701 : quantités nulles au DAO → prix donnés pour mémoire (IC 14 : tous les postes doivent être prix).</t>
  </si>
  <si>
    <t xml:space="preserve">5. Poste 401 : « xxx » dans la désignation — précision attendue (têtes d'ouvrage / type de buse). Poste 304 : granulométrie « xxx » supposée 0/31,5.</t>
  </si>
  <si>
    <t xml:space="preserve">6. Le BB 5 cm couvre 18 214 m2 (≈ 10,7 m de large sur 1 700 ml) ; le BB 3 cm (5 795 m2) est supposé réservé aux accotements/trottoirs/parkings.</t>
  </si>
  <si>
    <t xml:space="preserve">Avertissement : prix indicatifs d'aide à la soumission, à ajuster selon les devis fournisseurs réels, la visite de site et la politique commerciale de l'entreprise.</t>
  </si>
  <si>
    <t xml:space="preserve">L'offre est jugée par rapport à l'estimation administrative confidentielle et à la moyenne des offres (seuils anormalement bas/élevés) — éviter les écarts extrêmes.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</si>
</sst>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.00;\-#,##0.00;\-"/>
    <numFmt numFmtId="166" formatCode="#,##0;\-#,##0;\-"/>
    <numFmt numFmtId="167" formatCode="0%"/>
    <numFmt numFmtId="168" formatCode="#,##0;\-#,##0;&quot;- FCFA&quot;"/>
    <numFmt numFmtId="169" formatCode="0.00%"/>
    <numFmt numFmtId="170" formatCode="#,##0;\-#,##0;&quot;- FCFA/ml&quot;"/>
    <numFmt numFmtId="171" formatCode="#,##0;\-#,##0;&quot;- FCFA/m2&quot;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4"/>
      <color rgb="FF1F4E78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name val="Arial"/>
      <family val="0"/>
      <charset val="1"/>
    </font>
    <font>
      <sz val="10"/>
      <name val="Arial"/>
      <family val="2"/>
    </font>
    <font>
      <sz val="11"/>
      <color rgb="FF008000"/>
      <name val="Arial"/>
      <family val="0"/>
      <charset val="1"/>
    </font>
    <font>
      <sz val="11"/>
      <name val="Arial"/>
      <family val="0"/>
      <charset val="1"/>
    </font>
    <font>
      <b val="true"/>
      <sz val="13"/>
      <color rgb="FF1F4E78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FCE4D6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2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1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0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1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1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1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1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0" fontId="1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1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2"/>
    <col collapsed="false" customWidth="true" hidden="false" outlineLevel="0" max="3" min="3" style="0" width="7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55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</row>
    <row r="4" customFormat="false" ht="17.35" hidden="false" customHeight="true" outlineLevel="0" collapsed="false">
      <c r="A4" s="4" t="s">
        <v>3</v>
      </c>
      <c r="B4" s="4"/>
      <c r="C4" s="4"/>
      <c r="D4" s="4"/>
      <c r="E4" s="4"/>
      <c r="F4" s="4"/>
    </row>
    <row r="5" customFormat="false" ht="30" hidden="false" customHeight="true" outlineLevel="0" collapsed="false">
      <c r="A5" s="5" t="s">
        <v>4</v>
      </c>
      <c r="B5" s="5"/>
      <c r="C5" s="5"/>
      <c r="D5" s="5"/>
      <c r="E5" s="5"/>
      <c r="F5" s="5"/>
    </row>
    <row r="6" customFormat="false" ht="15" hidden="false" customHeight="true" outlineLevel="0" collapsed="false">
      <c r="A6" s="3" t="s">
        <v>5</v>
      </c>
      <c r="B6" s="3"/>
      <c r="C6" s="3"/>
      <c r="D6" s="3"/>
      <c r="E6" s="3"/>
      <c r="F6" s="3"/>
    </row>
    <row r="8" customFormat="false" ht="31.5" hidden="false" customHeight="true" outlineLevel="0" collapsed="false">
      <c r="A8" s="6" t="s">
        <v>6</v>
      </c>
      <c r="B8" s="6" t="s">
        <v>7</v>
      </c>
      <c r="C8" s="6" t="s">
        <v>8</v>
      </c>
      <c r="D8" s="6" t="s">
        <v>9</v>
      </c>
      <c r="E8" s="6" t="s">
        <v>10</v>
      </c>
      <c r="F8" s="6" t="s">
        <v>11</v>
      </c>
    </row>
    <row r="9" customFormat="false" ht="15" hidden="false" customHeight="false" outlineLevel="0" collapsed="false">
      <c r="A9" s="7" t="s">
        <v>12</v>
      </c>
      <c r="B9" s="7" t="s">
        <v>13</v>
      </c>
      <c r="C9" s="8"/>
      <c r="D9" s="8"/>
      <c r="E9" s="8"/>
      <c r="F9" s="8"/>
    </row>
    <row r="10" customFormat="false" ht="15" hidden="false" customHeight="false" outlineLevel="0" collapsed="false">
      <c r="A10" s="9" t="s">
        <v>14</v>
      </c>
      <c r="B10" s="10" t="s">
        <v>15</v>
      </c>
      <c r="C10" s="9" t="s">
        <v>16</v>
      </c>
      <c r="D10" s="11" t="n">
        <v>1</v>
      </c>
      <c r="E10" s="12" t="n">
        <v>12000000</v>
      </c>
      <c r="F10" s="10" t="s">
        <v>17</v>
      </c>
    </row>
    <row r="11" customFormat="false" ht="15" hidden="false" customHeight="false" outlineLevel="0" collapsed="false">
      <c r="A11" s="7" t="s">
        <v>18</v>
      </c>
      <c r="B11" s="7" t="s">
        <v>19</v>
      </c>
      <c r="C11" s="8"/>
      <c r="D11" s="8"/>
      <c r="E11" s="8"/>
      <c r="F11" s="8"/>
    </row>
    <row r="12" customFormat="false" ht="15" hidden="false" customHeight="false" outlineLevel="0" collapsed="false">
      <c r="A12" s="9" t="s">
        <v>20</v>
      </c>
      <c r="B12" s="10" t="s">
        <v>21</v>
      </c>
      <c r="C12" s="9" t="s">
        <v>22</v>
      </c>
      <c r="D12" s="11" t="n">
        <v>3000</v>
      </c>
      <c r="E12" s="12" t="n">
        <v>500</v>
      </c>
      <c r="F12" s="10" t="s">
        <v>23</v>
      </c>
    </row>
    <row r="13" customFormat="false" ht="15" hidden="false" customHeight="false" outlineLevel="0" collapsed="false">
      <c r="A13" s="9" t="s">
        <v>24</v>
      </c>
      <c r="B13" s="10" t="s">
        <v>25</v>
      </c>
      <c r="C13" s="9" t="s">
        <v>16</v>
      </c>
      <c r="D13" s="11" t="n">
        <v>1</v>
      </c>
      <c r="E13" s="12" t="n">
        <v>2500000</v>
      </c>
      <c r="F13" s="10" t="s">
        <v>26</v>
      </c>
    </row>
    <row r="14" customFormat="false" ht="15" hidden="false" customHeight="false" outlineLevel="0" collapsed="false">
      <c r="A14" s="7" t="s">
        <v>27</v>
      </c>
      <c r="B14" s="7" t="s">
        <v>28</v>
      </c>
      <c r="C14" s="8"/>
      <c r="D14" s="8"/>
      <c r="E14" s="8"/>
      <c r="F14" s="8"/>
    </row>
    <row r="15" customFormat="false" ht="15" hidden="false" customHeight="false" outlineLevel="0" collapsed="false">
      <c r="A15" s="9" t="s">
        <v>29</v>
      </c>
      <c r="B15" s="10" t="s">
        <v>30</v>
      </c>
      <c r="C15" s="9" t="s">
        <v>22</v>
      </c>
      <c r="D15" s="11" t="n">
        <v>0</v>
      </c>
      <c r="E15" s="12" t="n">
        <v>6500</v>
      </c>
      <c r="F15" s="10" t="s">
        <v>31</v>
      </c>
    </row>
    <row r="16" customFormat="false" ht="15" hidden="false" customHeight="false" outlineLevel="0" collapsed="false">
      <c r="A16" s="9" t="s">
        <v>32</v>
      </c>
      <c r="B16" s="10" t="s">
        <v>33</v>
      </c>
      <c r="C16" s="9" t="s">
        <v>16</v>
      </c>
      <c r="D16" s="11" t="n">
        <v>1</v>
      </c>
      <c r="E16" s="12" t="n">
        <v>2000000</v>
      </c>
      <c r="F16" s="10" t="s">
        <v>34</v>
      </c>
    </row>
    <row r="17" customFormat="false" ht="15" hidden="false" customHeight="false" outlineLevel="0" collapsed="false">
      <c r="A17" s="9" t="s">
        <v>35</v>
      </c>
      <c r="B17" s="10" t="s">
        <v>36</v>
      </c>
      <c r="C17" s="9" t="s">
        <v>22</v>
      </c>
      <c r="D17" s="11" t="n">
        <v>18214</v>
      </c>
      <c r="E17" s="12" t="n">
        <v>1200</v>
      </c>
      <c r="F17" s="10" t="s">
        <v>37</v>
      </c>
    </row>
    <row r="18" customFormat="false" ht="15" hidden="false" customHeight="false" outlineLevel="0" collapsed="false">
      <c r="A18" s="7" t="s">
        <v>38</v>
      </c>
      <c r="B18" s="7" t="s">
        <v>39</v>
      </c>
      <c r="C18" s="8"/>
      <c r="D18" s="8"/>
      <c r="E18" s="8"/>
      <c r="F18" s="8"/>
    </row>
    <row r="19" customFormat="false" ht="26.85" hidden="false" customHeight="false" outlineLevel="0" collapsed="false">
      <c r="A19" s="9"/>
      <c r="B19" s="13" t="s">
        <v>40</v>
      </c>
      <c r="C19" s="9"/>
      <c r="D19" s="11"/>
      <c r="E19" s="14"/>
      <c r="F19" s="14"/>
    </row>
    <row r="20" customFormat="false" ht="15" hidden="false" customHeight="false" outlineLevel="0" collapsed="false">
      <c r="A20" s="9" t="s">
        <v>41</v>
      </c>
      <c r="B20" s="10" t="s">
        <v>42</v>
      </c>
      <c r="C20" s="9" t="s">
        <v>22</v>
      </c>
      <c r="D20" s="11" t="n">
        <v>0</v>
      </c>
      <c r="E20" s="12" t="n">
        <v>3000</v>
      </c>
      <c r="F20" s="10" t="s">
        <v>43</v>
      </c>
    </row>
    <row r="21" customFormat="false" ht="15" hidden="false" customHeight="false" outlineLevel="0" collapsed="false">
      <c r="A21" s="9" t="s">
        <v>44</v>
      </c>
      <c r="B21" s="10" t="s">
        <v>45</v>
      </c>
      <c r="C21" s="9" t="s">
        <v>22</v>
      </c>
      <c r="D21" s="11" t="n">
        <v>0</v>
      </c>
      <c r="E21" s="12" t="n">
        <v>2500</v>
      </c>
      <c r="F21" s="10" t="s">
        <v>46</v>
      </c>
    </row>
    <row r="22" customFormat="false" ht="15" hidden="false" customHeight="false" outlineLevel="0" collapsed="false">
      <c r="A22" s="9" t="s">
        <v>47</v>
      </c>
      <c r="B22" s="10" t="s">
        <v>48</v>
      </c>
      <c r="C22" s="9" t="s">
        <v>22</v>
      </c>
      <c r="D22" s="11" t="n">
        <v>0</v>
      </c>
      <c r="E22" s="12" t="n">
        <v>3500</v>
      </c>
      <c r="F22" s="10" t="s">
        <v>49</v>
      </c>
    </row>
    <row r="23" customFormat="false" ht="26.85" hidden="false" customHeight="false" outlineLevel="0" collapsed="false">
      <c r="A23" s="9" t="s">
        <v>50</v>
      </c>
      <c r="B23" s="10" t="s">
        <v>51</v>
      </c>
      <c r="C23" s="9" t="s">
        <v>22</v>
      </c>
      <c r="D23" s="11" t="n">
        <v>2732.1</v>
      </c>
      <c r="E23" s="12" t="n">
        <v>35000</v>
      </c>
      <c r="F23" s="10" t="s">
        <v>52</v>
      </c>
    </row>
    <row r="24" customFormat="false" ht="15" hidden="false" customHeight="false" outlineLevel="0" collapsed="false">
      <c r="A24" s="9" t="s">
        <v>53</v>
      </c>
      <c r="B24" s="10" t="s">
        <v>54</v>
      </c>
      <c r="C24" s="9" t="s">
        <v>22</v>
      </c>
      <c r="D24" s="11" t="n">
        <v>18214</v>
      </c>
      <c r="E24" s="12" t="n">
        <v>900</v>
      </c>
      <c r="F24" s="10" t="s">
        <v>55</v>
      </c>
    </row>
    <row r="25" customFormat="false" ht="15" hidden="false" customHeight="false" outlineLevel="0" collapsed="false">
      <c r="A25" s="9" t="s">
        <v>56</v>
      </c>
      <c r="B25" s="10" t="s">
        <v>57</v>
      </c>
      <c r="C25" s="9" t="s">
        <v>22</v>
      </c>
      <c r="D25" s="11" t="n">
        <v>18214</v>
      </c>
      <c r="E25" s="12" t="n">
        <v>400</v>
      </c>
      <c r="F25" s="10" t="s">
        <v>58</v>
      </c>
    </row>
    <row r="26" customFormat="false" ht="26.85" hidden="false" customHeight="false" outlineLevel="0" collapsed="false">
      <c r="A26" s="9"/>
      <c r="B26" s="13" t="s">
        <v>59</v>
      </c>
      <c r="C26" s="9"/>
      <c r="D26" s="11"/>
      <c r="E26" s="14"/>
      <c r="F26" s="14"/>
    </row>
    <row r="27" customFormat="false" ht="15" hidden="false" customHeight="false" outlineLevel="0" collapsed="false">
      <c r="A27" s="9" t="s">
        <v>60</v>
      </c>
      <c r="B27" s="10" t="s">
        <v>61</v>
      </c>
      <c r="C27" s="9" t="s">
        <v>22</v>
      </c>
      <c r="D27" s="11" t="n">
        <v>5795</v>
      </c>
      <c r="E27" s="12" t="n">
        <v>7000</v>
      </c>
      <c r="F27" s="10" t="s">
        <v>62</v>
      </c>
    </row>
    <row r="28" customFormat="false" ht="15" hidden="false" customHeight="false" outlineLevel="0" collapsed="false">
      <c r="A28" s="9" t="s">
        <v>63</v>
      </c>
      <c r="B28" s="10" t="s">
        <v>64</v>
      </c>
      <c r="C28" s="9" t="s">
        <v>22</v>
      </c>
      <c r="D28" s="11" t="n">
        <v>18214</v>
      </c>
      <c r="E28" s="12" t="n">
        <v>11500</v>
      </c>
      <c r="F28" s="10" t="s">
        <v>65</v>
      </c>
    </row>
    <row r="29" customFormat="false" ht="15" hidden="false" customHeight="false" outlineLevel="0" collapsed="false">
      <c r="A29" s="7" t="s">
        <v>66</v>
      </c>
      <c r="B29" s="7" t="s">
        <v>67</v>
      </c>
      <c r="C29" s="8"/>
      <c r="D29" s="8"/>
      <c r="E29" s="8"/>
      <c r="F29" s="8"/>
    </row>
    <row r="30" customFormat="false" ht="26.85" hidden="false" customHeight="false" outlineLevel="0" collapsed="false">
      <c r="A30" s="9" t="s">
        <v>68</v>
      </c>
      <c r="B30" s="10" t="s">
        <v>69</v>
      </c>
      <c r="C30" s="9" t="s">
        <v>70</v>
      </c>
      <c r="D30" s="11" t="n">
        <v>24</v>
      </c>
      <c r="E30" s="12" t="n">
        <v>250000</v>
      </c>
      <c r="F30" s="10" t="s">
        <v>71</v>
      </c>
    </row>
    <row r="31" customFormat="false" ht="15" hidden="false" customHeight="false" outlineLevel="0" collapsed="false">
      <c r="A31" s="9" t="s">
        <v>72</v>
      </c>
      <c r="B31" s="10" t="s">
        <v>73</v>
      </c>
      <c r="C31" s="9" t="s">
        <v>16</v>
      </c>
      <c r="D31" s="11" t="n">
        <v>0</v>
      </c>
      <c r="E31" s="12" t="n">
        <v>1500000</v>
      </c>
      <c r="F31" s="10" t="s">
        <v>74</v>
      </c>
    </row>
    <row r="32" customFormat="false" ht="15" hidden="false" customHeight="false" outlineLevel="0" collapsed="false">
      <c r="A32" s="7" t="s">
        <v>75</v>
      </c>
      <c r="B32" s="7" t="s">
        <v>76</v>
      </c>
      <c r="C32" s="8"/>
      <c r="D32" s="8"/>
      <c r="E32" s="8"/>
      <c r="F32" s="8"/>
    </row>
    <row r="33" customFormat="false" ht="15" hidden="false" customHeight="false" outlineLevel="0" collapsed="false">
      <c r="A33" s="9" t="s">
        <v>77</v>
      </c>
      <c r="B33" s="10" t="s">
        <v>78</v>
      </c>
      <c r="C33" s="9" t="s">
        <v>22</v>
      </c>
      <c r="D33" s="11" t="n">
        <v>0</v>
      </c>
      <c r="E33" s="12" t="n">
        <v>300</v>
      </c>
      <c r="F33" s="10" t="s">
        <v>79</v>
      </c>
    </row>
    <row r="35" customFormat="false" ht="27.75" hidden="false" customHeight="true" outlineLevel="0" collapsed="false">
      <c r="A35" s="15" t="s">
        <v>80</v>
      </c>
      <c r="B35" s="15"/>
      <c r="C35" s="15"/>
      <c r="D35" s="15"/>
      <c r="E35" s="15"/>
      <c r="F35" s="15"/>
    </row>
  </sheetData>
  <mergeCells count="7">
    <mergeCell ref="A1:F1"/>
    <mergeCell ref="A2:F2"/>
    <mergeCell ref="A3:F3"/>
    <mergeCell ref="A4:F4"/>
    <mergeCell ref="A5:F5"/>
    <mergeCell ref="A6:F6"/>
    <mergeCell ref="A35:F35"/>
  </mergeCell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&amp;CMairie d'Alépé — BORDEREAU DES PRIX UNITAIRES (BPU)</oddHeader>
    <oddFooter>&amp;LAuteur : Moulo Jean Claude&amp;RPage &amp;P / &amp;N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2"/>
    <col collapsed="false" customWidth="true" hidden="false" outlineLevel="0" max="3" min="3" style="0" width="9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20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</row>
    <row r="4" customFormat="false" ht="17.35" hidden="false" customHeight="true" outlineLevel="0" collapsed="false">
      <c r="A4" s="4" t="s">
        <v>81</v>
      </c>
      <c r="B4" s="4"/>
      <c r="C4" s="4"/>
      <c r="D4" s="4"/>
      <c r="E4" s="4"/>
      <c r="F4" s="4"/>
    </row>
    <row r="5" customFormat="false" ht="30" hidden="false" customHeight="true" outlineLevel="0" collapsed="false">
      <c r="A5" s="5" t="s">
        <v>4</v>
      </c>
      <c r="B5" s="5"/>
      <c r="C5" s="5"/>
      <c r="D5" s="5"/>
      <c r="E5" s="5"/>
      <c r="F5" s="5"/>
    </row>
    <row r="6" customFormat="false" ht="15" hidden="false" customHeight="true" outlineLevel="0" collapsed="false">
      <c r="A6" s="3" t="s">
        <v>5</v>
      </c>
      <c r="B6" s="3"/>
      <c r="C6" s="3"/>
      <c r="D6" s="3"/>
      <c r="E6" s="3"/>
      <c r="F6" s="3"/>
    </row>
    <row r="8" customFormat="false" ht="31.5" hidden="false" customHeight="true" outlineLevel="0" collapsed="false">
      <c r="A8" s="6" t="s">
        <v>6</v>
      </c>
      <c r="B8" s="6" t="s">
        <v>7</v>
      </c>
      <c r="C8" s="6" t="s">
        <v>82</v>
      </c>
      <c r="D8" s="6" t="s">
        <v>83</v>
      </c>
      <c r="E8" s="6" t="s">
        <v>84</v>
      </c>
      <c r="F8" s="6" t="s">
        <v>85</v>
      </c>
    </row>
    <row r="9" customFormat="false" ht="15" hidden="false" customHeight="false" outlineLevel="0" collapsed="false">
      <c r="A9" s="7" t="s">
        <v>12</v>
      </c>
      <c r="B9" s="7" t="s">
        <v>13</v>
      </c>
      <c r="C9" s="8"/>
      <c r="D9" s="8"/>
      <c r="E9" s="8"/>
      <c r="F9" s="8"/>
    </row>
    <row r="10" customFormat="false" ht="15" hidden="false" customHeight="false" outlineLevel="0" collapsed="false">
      <c r="A10" s="9" t="s">
        <v>14</v>
      </c>
      <c r="B10" s="10" t="s">
        <v>15</v>
      </c>
      <c r="C10" s="9" t="s">
        <v>16</v>
      </c>
      <c r="D10" s="16" t="n">
        <v>1</v>
      </c>
      <c r="E10" s="17" t="n">
        <f aca="false">BPU!$E$10</f>
        <v>12000000</v>
      </c>
      <c r="F10" s="18" t="n">
        <f aca="false">ROUND(D10*E10,0)</f>
        <v>12000000</v>
      </c>
    </row>
    <row r="11" customFormat="false" ht="15" hidden="false" customHeight="false" outlineLevel="0" collapsed="false">
      <c r="A11" s="19"/>
      <c r="B11" s="20" t="s">
        <v>86</v>
      </c>
      <c r="C11" s="19"/>
      <c r="D11" s="19"/>
      <c r="E11" s="19"/>
      <c r="F11" s="21" t="n">
        <f aca="false">SUM(F10:F10)</f>
        <v>12000000</v>
      </c>
    </row>
    <row r="12" customFormat="false" ht="15" hidden="false" customHeight="false" outlineLevel="0" collapsed="false">
      <c r="A12" s="7" t="s">
        <v>18</v>
      </c>
      <c r="B12" s="7" t="s">
        <v>19</v>
      </c>
      <c r="C12" s="8"/>
      <c r="D12" s="8"/>
      <c r="E12" s="8"/>
      <c r="F12" s="8"/>
    </row>
    <row r="13" customFormat="false" ht="15" hidden="false" customHeight="false" outlineLevel="0" collapsed="false">
      <c r="A13" s="9" t="s">
        <v>20</v>
      </c>
      <c r="B13" s="10" t="s">
        <v>21</v>
      </c>
      <c r="C13" s="9" t="s">
        <v>22</v>
      </c>
      <c r="D13" s="16" t="n">
        <v>3000</v>
      </c>
      <c r="E13" s="17" t="n">
        <f aca="false">BPU!$E$12</f>
        <v>500</v>
      </c>
      <c r="F13" s="18" t="n">
        <f aca="false">ROUND(D13*E13,0)</f>
        <v>1500000</v>
      </c>
    </row>
    <row r="14" customFormat="false" ht="15" hidden="false" customHeight="false" outlineLevel="0" collapsed="false">
      <c r="A14" s="9" t="s">
        <v>24</v>
      </c>
      <c r="B14" s="10" t="s">
        <v>25</v>
      </c>
      <c r="C14" s="9" t="s">
        <v>16</v>
      </c>
      <c r="D14" s="16" t="n">
        <v>1</v>
      </c>
      <c r="E14" s="17" t="n">
        <f aca="false">BPU!$E$13</f>
        <v>2500000</v>
      </c>
      <c r="F14" s="18" t="n">
        <f aca="false">ROUND(D14*E14,0)</f>
        <v>2500000</v>
      </c>
    </row>
    <row r="15" customFormat="false" ht="15" hidden="false" customHeight="false" outlineLevel="0" collapsed="false">
      <c r="A15" s="19"/>
      <c r="B15" s="20" t="s">
        <v>87</v>
      </c>
      <c r="C15" s="19"/>
      <c r="D15" s="19"/>
      <c r="E15" s="19"/>
      <c r="F15" s="21" t="n">
        <f aca="false">SUM(F13:F14)</f>
        <v>4000000</v>
      </c>
    </row>
    <row r="16" customFormat="false" ht="15" hidden="false" customHeight="false" outlineLevel="0" collapsed="false">
      <c r="A16" s="7" t="s">
        <v>27</v>
      </c>
      <c r="B16" s="7" t="s">
        <v>28</v>
      </c>
      <c r="C16" s="8"/>
      <c r="D16" s="8"/>
      <c r="E16" s="8"/>
      <c r="F16" s="8"/>
    </row>
    <row r="17" customFormat="false" ht="15" hidden="false" customHeight="false" outlineLevel="0" collapsed="false">
      <c r="A17" s="9" t="s">
        <v>29</v>
      </c>
      <c r="B17" s="10" t="s">
        <v>30</v>
      </c>
      <c r="C17" s="9" t="s">
        <v>22</v>
      </c>
      <c r="D17" s="16" t="n">
        <v>0</v>
      </c>
      <c r="E17" s="17" t="n">
        <f aca="false">BPU!$E$15</f>
        <v>6500</v>
      </c>
      <c r="F17" s="18" t="n">
        <f aca="false">ROUND(D17*E17,0)</f>
        <v>0</v>
      </c>
    </row>
    <row r="18" customFormat="false" ht="15" hidden="false" customHeight="false" outlineLevel="0" collapsed="false">
      <c r="A18" s="9" t="s">
        <v>32</v>
      </c>
      <c r="B18" s="10" t="s">
        <v>33</v>
      </c>
      <c r="C18" s="9" t="s">
        <v>16</v>
      </c>
      <c r="D18" s="16" t="n">
        <v>1</v>
      </c>
      <c r="E18" s="17" t="n">
        <f aca="false">BPU!$E$16</f>
        <v>2000000</v>
      </c>
      <c r="F18" s="18" t="n">
        <f aca="false">ROUND(D18*E18,0)</f>
        <v>2000000</v>
      </c>
    </row>
    <row r="19" customFormat="false" ht="15" hidden="false" customHeight="false" outlineLevel="0" collapsed="false">
      <c r="A19" s="9" t="s">
        <v>35</v>
      </c>
      <c r="B19" s="10" t="s">
        <v>36</v>
      </c>
      <c r="C19" s="9" t="s">
        <v>22</v>
      </c>
      <c r="D19" s="16" t="n">
        <v>18214</v>
      </c>
      <c r="E19" s="17" t="n">
        <f aca="false">BPU!$E$17</f>
        <v>1200</v>
      </c>
      <c r="F19" s="18" t="n">
        <f aca="false">ROUND(D19*E19,0)</f>
        <v>21856800</v>
      </c>
    </row>
    <row r="20" customFormat="false" ht="15" hidden="false" customHeight="false" outlineLevel="0" collapsed="false">
      <c r="A20" s="19"/>
      <c r="B20" s="20" t="s">
        <v>88</v>
      </c>
      <c r="C20" s="19"/>
      <c r="D20" s="19"/>
      <c r="E20" s="19"/>
      <c r="F20" s="21" t="n">
        <f aca="false">SUM(F17:F19)</f>
        <v>23856800</v>
      </c>
    </row>
    <row r="21" customFormat="false" ht="15" hidden="false" customHeight="false" outlineLevel="0" collapsed="false">
      <c r="A21" s="7" t="s">
        <v>38</v>
      </c>
      <c r="B21" s="7" t="s">
        <v>39</v>
      </c>
      <c r="C21" s="8"/>
      <c r="D21" s="8"/>
      <c r="E21" s="8"/>
      <c r="F21" s="8"/>
    </row>
    <row r="22" customFormat="false" ht="26.85" hidden="false" customHeight="false" outlineLevel="0" collapsed="false">
      <c r="A22" s="9"/>
      <c r="B22" s="13" t="s">
        <v>40</v>
      </c>
      <c r="C22" s="9"/>
      <c r="D22" s="14"/>
      <c r="E22" s="14"/>
      <c r="F22" s="14"/>
    </row>
    <row r="23" customFormat="false" ht="15" hidden="false" customHeight="false" outlineLevel="0" collapsed="false">
      <c r="A23" s="9" t="s">
        <v>41</v>
      </c>
      <c r="B23" s="10" t="s">
        <v>42</v>
      </c>
      <c r="C23" s="9" t="s">
        <v>22</v>
      </c>
      <c r="D23" s="16" t="n">
        <v>0</v>
      </c>
      <c r="E23" s="17" t="n">
        <f aca="false">BPU!$E$20</f>
        <v>3000</v>
      </c>
      <c r="F23" s="18" t="n">
        <f aca="false">ROUND(D23*E23,0)</f>
        <v>0</v>
      </c>
    </row>
    <row r="24" customFormat="false" ht="15" hidden="false" customHeight="false" outlineLevel="0" collapsed="false">
      <c r="A24" s="9" t="s">
        <v>44</v>
      </c>
      <c r="B24" s="10" t="s">
        <v>45</v>
      </c>
      <c r="C24" s="9" t="s">
        <v>22</v>
      </c>
      <c r="D24" s="16" t="n">
        <v>0</v>
      </c>
      <c r="E24" s="17" t="n">
        <f aca="false">BPU!$E$21</f>
        <v>2500</v>
      </c>
      <c r="F24" s="18" t="n">
        <f aca="false">ROUND(D24*E24,0)</f>
        <v>0</v>
      </c>
    </row>
    <row r="25" customFormat="false" ht="15" hidden="false" customHeight="false" outlineLevel="0" collapsed="false">
      <c r="A25" s="9" t="s">
        <v>47</v>
      </c>
      <c r="B25" s="10" t="s">
        <v>48</v>
      </c>
      <c r="C25" s="9" t="s">
        <v>22</v>
      </c>
      <c r="D25" s="16" t="n">
        <v>0</v>
      </c>
      <c r="E25" s="17" t="n">
        <f aca="false">BPU!$E$22</f>
        <v>3500</v>
      </c>
      <c r="F25" s="18" t="n">
        <f aca="false">ROUND(D25*E25,0)</f>
        <v>0</v>
      </c>
    </row>
    <row r="26" customFormat="false" ht="26.85" hidden="false" customHeight="false" outlineLevel="0" collapsed="false">
      <c r="A26" s="9" t="s">
        <v>50</v>
      </c>
      <c r="B26" s="10" t="s">
        <v>51</v>
      </c>
      <c r="C26" s="9" t="s">
        <v>22</v>
      </c>
      <c r="D26" s="16" t="n">
        <v>2732.1</v>
      </c>
      <c r="E26" s="17" t="n">
        <f aca="false">BPU!$E$23</f>
        <v>35000</v>
      </c>
      <c r="F26" s="18" t="n">
        <f aca="false">ROUND(D26*E26,0)</f>
        <v>95623500</v>
      </c>
    </row>
    <row r="27" customFormat="false" ht="15" hidden="false" customHeight="false" outlineLevel="0" collapsed="false">
      <c r="A27" s="9" t="s">
        <v>53</v>
      </c>
      <c r="B27" s="10" t="s">
        <v>54</v>
      </c>
      <c r="C27" s="9" t="s">
        <v>22</v>
      </c>
      <c r="D27" s="16" t="n">
        <v>18214</v>
      </c>
      <c r="E27" s="17" t="n">
        <f aca="false">BPU!$E$24</f>
        <v>900</v>
      </c>
      <c r="F27" s="18" t="n">
        <f aca="false">ROUND(D27*E27,0)</f>
        <v>16392600</v>
      </c>
    </row>
    <row r="28" customFormat="false" ht="15" hidden="false" customHeight="false" outlineLevel="0" collapsed="false">
      <c r="A28" s="9" t="s">
        <v>56</v>
      </c>
      <c r="B28" s="10" t="s">
        <v>57</v>
      </c>
      <c r="C28" s="9" t="s">
        <v>22</v>
      </c>
      <c r="D28" s="16" t="n">
        <v>18214</v>
      </c>
      <c r="E28" s="17" t="n">
        <f aca="false">BPU!$E$25</f>
        <v>400</v>
      </c>
      <c r="F28" s="18" t="n">
        <f aca="false">ROUND(D28*E28,0)</f>
        <v>7285600</v>
      </c>
    </row>
    <row r="29" customFormat="false" ht="26.85" hidden="false" customHeight="false" outlineLevel="0" collapsed="false">
      <c r="A29" s="9"/>
      <c r="B29" s="13" t="s">
        <v>59</v>
      </c>
      <c r="C29" s="9"/>
      <c r="D29" s="14"/>
      <c r="E29" s="14"/>
      <c r="F29" s="14"/>
    </row>
    <row r="30" customFormat="false" ht="15" hidden="false" customHeight="false" outlineLevel="0" collapsed="false">
      <c r="A30" s="9" t="s">
        <v>60</v>
      </c>
      <c r="B30" s="10" t="s">
        <v>61</v>
      </c>
      <c r="C30" s="9" t="s">
        <v>22</v>
      </c>
      <c r="D30" s="16" t="n">
        <v>5795</v>
      </c>
      <c r="E30" s="17" t="n">
        <f aca="false">BPU!$E$27</f>
        <v>7000</v>
      </c>
      <c r="F30" s="18" t="n">
        <f aca="false">ROUND(D30*E30,0)</f>
        <v>40565000</v>
      </c>
    </row>
    <row r="31" customFormat="false" ht="15" hidden="false" customHeight="false" outlineLevel="0" collapsed="false">
      <c r="A31" s="9" t="s">
        <v>63</v>
      </c>
      <c r="B31" s="10" t="s">
        <v>64</v>
      </c>
      <c r="C31" s="9" t="s">
        <v>22</v>
      </c>
      <c r="D31" s="16" t="n">
        <v>18214</v>
      </c>
      <c r="E31" s="17" t="n">
        <f aca="false">BPU!$E$28</f>
        <v>11500</v>
      </c>
      <c r="F31" s="18" t="n">
        <f aca="false">ROUND(D31*E31,0)</f>
        <v>209461000</v>
      </c>
    </row>
    <row r="32" customFormat="false" ht="15" hidden="false" customHeight="false" outlineLevel="0" collapsed="false">
      <c r="A32" s="19"/>
      <c r="B32" s="20" t="s">
        <v>89</v>
      </c>
      <c r="C32" s="19"/>
      <c r="D32" s="19"/>
      <c r="E32" s="19"/>
      <c r="F32" s="21" t="n">
        <f aca="false">SUM(F22:F31)</f>
        <v>369327700</v>
      </c>
    </row>
    <row r="33" customFormat="false" ht="15" hidden="false" customHeight="false" outlineLevel="0" collapsed="false">
      <c r="A33" s="7" t="s">
        <v>66</v>
      </c>
      <c r="B33" s="7" t="s">
        <v>67</v>
      </c>
      <c r="C33" s="8"/>
      <c r="D33" s="8"/>
      <c r="E33" s="8"/>
      <c r="F33" s="8"/>
    </row>
    <row r="34" customFormat="false" ht="26.85" hidden="false" customHeight="false" outlineLevel="0" collapsed="false">
      <c r="A34" s="9" t="s">
        <v>68</v>
      </c>
      <c r="B34" s="10" t="s">
        <v>69</v>
      </c>
      <c r="C34" s="9" t="s">
        <v>70</v>
      </c>
      <c r="D34" s="16" t="n">
        <v>24</v>
      </c>
      <c r="E34" s="17" t="n">
        <f aca="false">BPU!$E$30</f>
        <v>250000</v>
      </c>
      <c r="F34" s="18" t="n">
        <f aca="false">ROUND(D34*E34,0)</f>
        <v>6000000</v>
      </c>
    </row>
    <row r="35" customFormat="false" ht="15" hidden="false" customHeight="false" outlineLevel="0" collapsed="false">
      <c r="A35" s="9" t="s">
        <v>72</v>
      </c>
      <c r="B35" s="10" t="s">
        <v>73</v>
      </c>
      <c r="C35" s="9" t="s">
        <v>16</v>
      </c>
      <c r="D35" s="16" t="n">
        <v>0</v>
      </c>
      <c r="E35" s="17" t="n">
        <f aca="false">BPU!$E$31</f>
        <v>1500000</v>
      </c>
      <c r="F35" s="18" t="n">
        <f aca="false">ROUND(D35*E35,0)</f>
        <v>0</v>
      </c>
    </row>
    <row r="36" customFormat="false" ht="15" hidden="false" customHeight="false" outlineLevel="0" collapsed="false">
      <c r="A36" s="19"/>
      <c r="B36" s="20" t="s">
        <v>90</v>
      </c>
      <c r="C36" s="19"/>
      <c r="D36" s="19"/>
      <c r="E36" s="19"/>
      <c r="F36" s="21" t="n">
        <f aca="false">SUM(F34:F35)</f>
        <v>6000000</v>
      </c>
    </row>
    <row r="37" customFormat="false" ht="15" hidden="false" customHeight="false" outlineLevel="0" collapsed="false">
      <c r="A37" s="7" t="s">
        <v>75</v>
      </c>
      <c r="B37" s="7" t="s">
        <v>76</v>
      </c>
      <c r="C37" s="8"/>
      <c r="D37" s="8"/>
      <c r="E37" s="8"/>
      <c r="F37" s="8"/>
    </row>
    <row r="38" customFormat="false" ht="15" hidden="false" customHeight="false" outlineLevel="0" collapsed="false">
      <c r="A38" s="9" t="s">
        <v>77</v>
      </c>
      <c r="B38" s="10" t="s">
        <v>78</v>
      </c>
      <c r="C38" s="9" t="s">
        <v>22</v>
      </c>
      <c r="D38" s="16" t="n">
        <v>0</v>
      </c>
      <c r="E38" s="17" t="n">
        <f aca="false">BPU!$E$33</f>
        <v>300</v>
      </c>
      <c r="F38" s="18" t="n">
        <f aca="false">ROUND(D38*E38,0)</f>
        <v>0</v>
      </c>
    </row>
    <row r="39" customFormat="false" ht="15" hidden="false" customHeight="false" outlineLevel="0" collapsed="false">
      <c r="A39" s="19"/>
      <c r="B39" s="20" t="s">
        <v>91</v>
      </c>
      <c r="C39" s="19"/>
      <c r="D39" s="19"/>
      <c r="E39" s="19"/>
      <c r="F39" s="21" t="n">
        <f aca="false">SUM(F38:F38)</f>
        <v>0</v>
      </c>
    </row>
    <row r="41" customFormat="false" ht="15" hidden="false" customHeight="false" outlineLevel="0" collapsed="false">
      <c r="A41" s="22" t="s">
        <v>92</v>
      </c>
      <c r="B41" s="22"/>
      <c r="C41" s="22"/>
      <c r="D41" s="22"/>
      <c r="E41" s="22"/>
      <c r="F41" s="22"/>
    </row>
    <row r="42" customFormat="false" ht="15" hidden="false" customHeight="false" outlineLevel="0" collapsed="false">
      <c r="A42" s="23" t="s">
        <v>93</v>
      </c>
      <c r="B42" s="23"/>
      <c r="C42" s="23"/>
      <c r="D42" s="23"/>
      <c r="E42" s="23"/>
      <c r="F42" s="24" t="n">
        <f aca="false">F11</f>
        <v>12000000</v>
      </c>
    </row>
    <row r="43" customFormat="false" ht="15" hidden="false" customHeight="false" outlineLevel="0" collapsed="false">
      <c r="A43" s="23" t="s">
        <v>94</v>
      </c>
      <c r="B43" s="23"/>
      <c r="C43" s="23"/>
      <c r="D43" s="23"/>
      <c r="E43" s="23"/>
      <c r="F43" s="24" t="n">
        <f aca="false">F15</f>
        <v>4000000</v>
      </c>
    </row>
    <row r="44" customFormat="false" ht="15" hidden="false" customHeight="false" outlineLevel="0" collapsed="false">
      <c r="A44" s="23" t="s">
        <v>95</v>
      </c>
      <c r="B44" s="23"/>
      <c r="C44" s="23"/>
      <c r="D44" s="23"/>
      <c r="E44" s="23"/>
      <c r="F44" s="24" t="n">
        <f aca="false">F20</f>
        <v>23856800</v>
      </c>
    </row>
    <row r="45" customFormat="false" ht="15" hidden="false" customHeight="false" outlineLevel="0" collapsed="false">
      <c r="A45" s="23" t="s">
        <v>96</v>
      </c>
      <c r="B45" s="23"/>
      <c r="C45" s="23"/>
      <c r="D45" s="23"/>
      <c r="E45" s="23"/>
      <c r="F45" s="24" t="n">
        <f aca="false">F32</f>
        <v>369327700</v>
      </c>
    </row>
    <row r="46" customFormat="false" ht="15" hidden="false" customHeight="false" outlineLevel="0" collapsed="false">
      <c r="A46" s="23" t="s">
        <v>97</v>
      </c>
      <c r="B46" s="23"/>
      <c r="C46" s="23"/>
      <c r="D46" s="23"/>
      <c r="E46" s="23"/>
      <c r="F46" s="24" t="n">
        <f aca="false">F36</f>
        <v>6000000</v>
      </c>
    </row>
    <row r="47" customFormat="false" ht="15" hidden="false" customHeight="false" outlineLevel="0" collapsed="false">
      <c r="A47" s="23" t="s">
        <v>98</v>
      </c>
      <c r="B47" s="23"/>
      <c r="C47" s="23"/>
      <c r="D47" s="23"/>
      <c r="E47" s="23"/>
      <c r="F47" s="24" t="n">
        <f aca="false">F39</f>
        <v>0</v>
      </c>
    </row>
    <row r="48" customFormat="false" ht="15" hidden="false" customHeight="false" outlineLevel="0" collapsed="false">
      <c r="A48" s="20" t="s">
        <v>99</v>
      </c>
      <c r="B48" s="20"/>
      <c r="C48" s="20"/>
      <c r="D48" s="20"/>
      <c r="E48" s="20"/>
      <c r="F48" s="21" t="n">
        <f aca="false">SUM(F42:F47)</f>
        <v>415184500</v>
      </c>
    </row>
    <row r="49" customFormat="false" ht="15" hidden="false" customHeight="false" outlineLevel="0" collapsed="false">
      <c r="A49" s="25" t="s">
        <v>100</v>
      </c>
      <c r="B49" s="25"/>
      <c r="C49" s="25"/>
      <c r="D49" s="25"/>
      <c r="E49" s="25"/>
      <c r="F49" s="26" t="n">
        <f aca="false">ROUND(F48*Hypothèses!$C$6,0)</f>
        <v>74733210</v>
      </c>
    </row>
    <row r="50" customFormat="false" ht="15" hidden="false" customHeight="false" outlineLevel="0" collapsed="false">
      <c r="A50" s="20" t="s">
        <v>101</v>
      </c>
      <c r="B50" s="20"/>
      <c r="C50" s="20"/>
      <c r="D50" s="20"/>
      <c r="E50" s="20"/>
      <c r="F50" s="21" t="n">
        <f aca="false">F48+F49</f>
        <v>489917710</v>
      </c>
    </row>
    <row r="52" customFormat="false" ht="15" hidden="false" customHeight="false" outlineLevel="0" collapsed="false">
      <c r="A52" s="27" t="s">
        <v>102</v>
      </c>
      <c r="B52" s="27"/>
      <c r="C52" s="27"/>
      <c r="D52" s="27"/>
      <c r="E52" s="27"/>
      <c r="F52" s="27"/>
    </row>
    <row r="54" customFormat="false" ht="15" hidden="false" customHeight="false" outlineLevel="0" collapsed="false">
      <c r="D54" s="28" t="s">
        <v>103</v>
      </c>
      <c r="E54" s="28"/>
      <c r="F54" s="28"/>
    </row>
    <row r="55" customFormat="false" ht="15" hidden="false" customHeight="false" outlineLevel="0" collapsed="false">
      <c r="D55" s="29" t="s">
        <v>104</v>
      </c>
      <c r="E55" s="29"/>
      <c r="F55" s="29"/>
    </row>
  </sheetData>
  <mergeCells count="19">
    <mergeCell ref="A1:F1"/>
    <mergeCell ref="A2:F2"/>
    <mergeCell ref="A3:F3"/>
    <mergeCell ref="A4:F4"/>
    <mergeCell ref="A5:F5"/>
    <mergeCell ref="A6:F6"/>
    <mergeCell ref="A41:F41"/>
    <mergeCell ref="A42:E42"/>
    <mergeCell ref="A43:E43"/>
    <mergeCell ref="A44:E44"/>
    <mergeCell ref="A45:E45"/>
    <mergeCell ref="A46:E46"/>
    <mergeCell ref="A47:E47"/>
    <mergeCell ref="A48:E48"/>
    <mergeCell ref="A49:E49"/>
    <mergeCell ref="A50:E50"/>
    <mergeCell ref="A52:F52"/>
    <mergeCell ref="D54:F54"/>
    <mergeCell ref="D55:F55"/>
  </mergeCell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&amp;CMairie d'Alépé — DEVIS QUANTITATIF ET ESTIMATIF (DQE)</oddHeader>
    <oddFooter>&amp;LAuteur : Moulo Jean Claude&amp;RPage &amp;P / &amp;N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C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58"/>
    <col collapsed="false" customWidth="true" hidden="false" outlineLevel="0" max="3" min="3" style="0" width="70"/>
  </cols>
  <sheetData>
    <row r="1" customFormat="false" ht="16.15" hidden="false" customHeight="false" outlineLevel="0" collapsed="false">
      <c r="B1" s="30" t="s">
        <v>105</v>
      </c>
    </row>
    <row r="2" customFormat="false" ht="15" hidden="false" customHeight="false" outlineLevel="0" collapsed="false">
      <c r="B2" s="31" t="s">
        <v>106</v>
      </c>
    </row>
    <row r="4" customFormat="false" ht="15" hidden="false" customHeight="false" outlineLevel="0" collapsed="false">
      <c r="B4" s="32" t="s">
        <v>107</v>
      </c>
    </row>
    <row r="5" customFormat="false" ht="15" hidden="false" customHeight="false" outlineLevel="0" collapsed="false">
      <c r="B5" s="33" t="s">
        <v>108</v>
      </c>
      <c r="C5" s="34" t="s">
        <v>109</v>
      </c>
    </row>
    <row r="6" customFormat="false" ht="15" hidden="false" customHeight="false" outlineLevel="0" collapsed="false">
      <c r="B6" s="33" t="s">
        <v>110</v>
      </c>
      <c r="C6" s="35" t="n">
        <v>0.18</v>
      </c>
    </row>
    <row r="7" customFormat="false" ht="15" hidden="false" customHeight="false" outlineLevel="0" collapsed="false">
      <c r="B7" s="33" t="s">
        <v>111</v>
      </c>
      <c r="C7" s="36" t="n">
        <f aca="false">DQE!$F$48</f>
        <v>415184500</v>
      </c>
    </row>
    <row r="8" customFormat="false" ht="15" hidden="false" customHeight="false" outlineLevel="0" collapsed="false">
      <c r="B8" s="33" t="s">
        <v>112</v>
      </c>
      <c r="C8" s="36" t="n">
        <f aca="false">DQE!$F$50</f>
        <v>489917710</v>
      </c>
    </row>
    <row r="9" customFormat="false" ht="15" hidden="false" customHeight="false" outlineLevel="0" collapsed="false">
      <c r="B9" s="33" t="s">
        <v>113</v>
      </c>
      <c r="C9" s="34" t="s">
        <v>114</v>
      </c>
    </row>
    <row r="10" customFormat="false" ht="15" hidden="false" customHeight="false" outlineLevel="0" collapsed="false">
      <c r="B10" s="33" t="s">
        <v>115</v>
      </c>
      <c r="C10" s="37" t="n">
        <v>4200000</v>
      </c>
    </row>
    <row r="11" customFormat="false" ht="15" hidden="false" customHeight="false" outlineLevel="0" collapsed="false">
      <c r="B11" s="33" t="s">
        <v>116</v>
      </c>
      <c r="C11" s="38" t="n">
        <f aca="false">C10/C7</f>
        <v>0.0101159845803492</v>
      </c>
    </row>
    <row r="12" customFormat="false" ht="15" hidden="false" customHeight="false" outlineLevel="0" collapsed="false">
      <c r="B12" s="33" t="s">
        <v>117</v>
      </c>
      <c r="C12" s="39" t="n">
        <f aca="false">C7/1700</f>
        <v>244226.176470588</v>
      </c>
    </row>
    <row r="13" customFormat="false" ht="15" hidden="false" customHeight="false" outlineLevel="0" collapsed="false">
      <c r="B13" s="33" t="s">
        <v>118</v>
      </c>
      <c r="C13" s="40" t="n">
        <f aca="false">C7/18214</f>
        <v>22794.8007027561</v>
      </c>
    </row>
    <row r="15" customFormat="false" ht="15.75" hidden="false" customHeight="true" outlineLevel="0" collapsed="false">
      <c r="B15" s="41" t="s">
        <v>119</v>
      </c>
      <c r="C15" s="41"/>
    </row>
    <row r="16" customFormat="false" ht="31.5" hidden="false" customHeight="true" outlineLevel="0" collapsed="false">
      <c r="B16" s="42" t="s">
        <v>120</v>
      </c>
      <c r="C16" s="42"/>
    </row>
    <row r="17" customFormat="false" ht="31.5" hidden="false" customHeight="true" outlineLevel="0" collapsed="false">
      <c r="B17" s="42" t="s">
        <v>121</v>
      </c>
      <c r="C17" s="42"/>
    </row>
    <row r="18" customFormat="false" ht="15.75" hidden="false" customHeight="true" outlineLevel="0" collapsed="false">
      <c r="B18" s="42" t="s">
        <v>122</v>
      </c>
      <c r="C18" s="42"/>
    </row>
    <row r="19" customFormat="false" ht="31.5" hidden="false" customHeight="true" outlineLevel="0" collapsed="false">
      <c r="B19" s="42" t="s">
        <v>123</v>
      </c>
      <c r="C19" s="42"/>
    </row>
    <row r="20" customFormat="false" ht="31.5" hidden="false" customHeight="true" outlineLevel="0" collapsed="false">
      <c r="B20" s="42" t="s">
        <v>124</v>
      </c>
      <c r="C20" s="42"/>
    </row>
    <row r="21" customFormat="false" ht="31.5" hidden="false" customHeight="true" outlineLevel="0" collapsed="false">
      <c r="B21" s="42" t="s">
        <v>125</v>
      </c>
      <c r="C21" s="42"/>
    </row>
    <row r="22" customFormat="false" ht="15.75" hidden="false" customHeight="true" outlineLevel="0" collapsed="false">
      <c r="B22" s="42"/>
      <c r="C22" s="42"/>
    </row>
    <row r="23" customFormat="false" ht="15.75" hidden="false" customHeight="true" outlineLevel="0" collapsed="false">
      <c r="B23" s="41" t="s">
        <v>126</v>
      </c>
      <c r="C23" s="41"/>
    </row>
    <row r="24" customFormat="false" ht="31.5" hidden="false" customHeight="true" outlineLevel="0" collapsed="false">
      <c r="B24" s="42" t="s">
        <v>127</v>
      </c>
      <c r="C24" s="42"/>
    </row>
    <row r="25" customFormat="false" ht="31.5" hidden="false" customHeight="true" outlineLevel="0" collapsed="false">
      <c r="B25" s="42" t="s">
        <v>128</v>
      </c>
      <c r="C25" s="42"/>
    </row>
    <row r="26" customFormat="false" ht="31.5" hidden="false" customHeight="true" outlineLevel="0" collapsed="false">
      <c r="B26" s="42" t="s">
        <v>129</v>
      </c>
      <c r="C26" s="42"/>
    </row>
    <row r="27" customFormat="false" ht="31.5" hidden="false" customHeight="true" outlineLevel="0" collapsed="false">
      <c r="B27" s="42" t="s">
        <v>130</v>
      </c>
      <c r="C27" s="42"/>
    </row>
    <row r="28" customFormat="false" ht="31.5" hidden="false" customHeight="true" outlineLevel="0" collapsed="false">
      <c r="B28" s="42" t="s">
        <v>131</v>
      </c>
      <c r="C28" s="42"/>
    </row>
    <row r="29" customFormat="false" ht="31.5" hidden="false" customHeight="true" outlineLevel="0" collapsed="false">
      <c r="B29" s="42" t="s">
        <v>132</v>
      </c>
      <c r="C29" s="42"/>
    </row>
    <row r="30" customFormat="false" ht="15.75" hidden="false" customHeight="true" outlineLevel="0" collapsed="false">
      <c r="B30" s="42"/>
      <c r="C30" s="42"/>
    </row>
    <row r="31" customFormat="false" ht="31.5" hidden="false" customHeight="true" outlineLevel="0" collapsed="false">
      <c r="B31" s="42" t="s">
        <v>133</v>
      </c>
      <c r="C31" s="42"/>
    </row>
    <row r="32" customFormat="false" ht="31.5" hidden="false" customHeight="true" outlineLevel="0" collapsed="false">
      <c r="B32" s="42" t="s">
        <v>134</v>
      </c>
      <c r="C32" s="42"/>
    </row>
  </sheetData>
  <mergeCells count="18"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</mergeCells>
  <printOptions headings="false" gridLines="false" gridLinesSet="true" horizontalCentered="false" verticalCentered="false"/>
  <pageMargins left="0.75" right="0.75" top="1" bottom="1" header="0.511811023622047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&amp;LAuteur : Moulo Jean Claude&amp;RPage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2026-09-24T10:05:56Z</dcterms:created>
  <dc:creator>openpyxl</dc:creator>
  <dc:description/>
  <dc:language>en-US</dc:language>
  <cp:lastModifiedBy/>
  <dcterms:modified xsi:type="dcterms:W3CDTF">2026-09-24T10:05:56Z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