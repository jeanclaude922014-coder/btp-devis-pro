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QE" sheetId="1" state="visible" r:id="rId1"/>
    <sheet name="Hypotheses" sheetId="2" state="visible" r:id="rId2"/>
    <sheet name="Avant-metre" sheetId="3" state="visible" r:id="rId3"/>
    <sheet name="Deboursé se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#,##0.00;(#,##0.00);-"/>
    <numFmt numFmtId="166" formatCode="0.0"/>
    <numFmt numFmtId="167" formatCode="#,##0.0000"/>
    <numFmt numFmtId="168" formatCode="#,##0;(#,##0);-"/>
  </numFmts>
  <fonts count="9">
    <font>
      <name val="Calibri"/>
      <family val="2"/>
      <color theme="1"/>
      <sz val="11"/>
      <scheme val="minor"/>
    </font>
    <font>
      <name val="Arial"/>
      <b val="1"/>
      <color rgb="001F4E78"/>
      <sz val="13"/>
    </font>
    <font>
      <name val="Arial"/>
      <b val="1"/>
      <color rgb="001F4E78"/>
      <sz val="12"/>
    </font>
    <font>
      <name val="Arial"/>
      <color rgb="00000000"/>
      <sz val="9"/>
    </font>
    <font>
      <name val="Arial"/>
      <b val="1"/>
      <color rgb="00FFFFFF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color rgb="00008000"/>
      <sz val="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165" fontId="8" fillId="0" borderId="1" applyAlignment="1" pivotButton="0" quotePrefix="0" xfId="0">
      <alignment vertical="center"/>
    </xf>
    <xf numFmtId="168" fontId="8" fillId="0" borderId="1" applyAlignment="1" pivotButton="0" quotePrefix="0" xfId="0">
      <alignment vertical="center"/>
    </xf>
    <xf numFmtId="168" fontId="6" fillId="0" borderId="1" applyAlignment="1" pivotButton="0" quotePrefix="0" xfId="0">
      <alignment vertical="center"/>
    </xf>
    <xf numFmtId="0" fontId="5" fillId="5" borderId="1" applyAlignment="1" pivotButton="0" quotePrefix="0" xfId="0">
      <alignment horizontal="right" vertical="center"/>
    </xf>
    <xf numFmtId="168" fontId="5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3" fontId="7" fillId="4" borderId="1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9" fontId="7" fillId="4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2" fontId="6" fillId="0" borderId="1" applyAlignment="1" pivotButton="0" quotePrefix="0" xfId="0">
      <alignment vertical="center"/>
    </xf>
    <xf numFmtId="3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5" fontId="5" fillId="5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6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7" customWidth="1" min="3" max="3"/>
    <col width="12" customWidth="1" min="4" max="4"/>
    <col width="15" customWidth="1" min="5" max="5"/>
    <col width="17" customWidth="1" min="6" max="6"/>
    <col width="17" customWidth="1" min="7" max="7"/>
    <col width="18" customWidth="1" min="8" max="8"/>
  </cols>
  <sheetData>
    <row r="1">
      <c r="A1" s="1" t="inlineStr">
        <is>
          <t>RÉALISATION DE VOILES (2 × 170 m, H = 2,40 m) ET RADIER (170 m × 4,00 m × 0,20 m)</t>
        </is>
      </c>
    </row>
    <row r="2">
      <c r="A2" s="2" t="inlineStr">
        <is>
          <t>DEVIS QUANTITATIF ET ESTIMATIF (DQE) + DÉBOURSÉ SEC</t>
        </is>
      </c>
    </row>
    <row r="3">
      <c r="A3" s="3" t="inlineStr">
        <is>
          <t>Établi par : Moulo Jean Claude – Technicien Génie Civil BTP – Abidjan    |    Date : 01/10/2026    |    Monnaie : FCFA</t>
        </is>
      </c>
    </row>
    <row r="4">
      <c r="A4" s="3" t="inlineStr">
        <is>
          <t>Normes : EC2 (NF EN 1992-1-1) / BAEL 91 mod. 99 – Aciers FE500 (HA) – Contexte : sol latéritique, climat tropical humide</t>
        </is>
      </c>
    </row>
    <row r="6" ht="30" customHeight="1">
      <c r="A6" s="4" t="inlineStr">
        <is>
          <t>N° prix</t>
        </is>
      </c>
      <c r="B6" s="4" t="inlineStr">
        <is>
          <t>Désignation des ouvrages</t>
        </is>
      </c>
      <c r="C6" s="4" t="inlineStr">
        <is>
          <t>Unité</t>
        </is>
      </c>
      <c r="D6" s="4" t="inlineStr">
        <is>
          <t>Quantité</t>
        </is>
      </c>
      <c r="E6" s="4" t="inlineStr">
        <is>
          <t>Déboursé sec unitaire</t>
        </is>
      </c>
      <c r="F6" s="4" t="inlineStr">
        <is>
          <t>Déboursé sec total</t>
        </is>
      </c>
      <c r="G6" s="4" t="inlineStr">
        <is>
          <t>Prix unitaire HT (DS × K)</t>
        </is>
      </c>
      <c r="H6" s="4" t="inlineStr">
        <is>
          <t>Montant HT</t>
        </is>
      </c>
    </row>
    <row r="7">
      <c r="A7" s="5" t="inlineStr">
        <is>
          <t>000 – INSTALLATION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7" t="inlineStr">
        <is>
          <t>000</t>
        </is>
      </c>
      <c r="B8" s="8" t="inlineStr">
        <is>
          <t>Installation et repli de chantier</t>
        </is>
      </c>
      <c r="C8" s="7" t="inlineStr">
        <is>
          <t>Ft</t>
        </is>
      </c>
      <c r="D8" s="9">
        <f>1</f>
        <v/>
      </c>
      <c r="E8" s="10">
        <f>'Deboursé sec'!$F$15</f>
        <v/>
      </c>
      <c r="F8" s="11">
        <f>D8*E8</f>
        <v/>
      </c>
      <c r="G8" s="11">
        <f>ROUND(E8*Hypotheses!$C$74,0)</f>
        <v/>
      </c>
      <c r="H8" s="11">
        <f>D8*G8</f>
        <v/>
      </c>
    </row>
    <row r="9">
      <c r="A9" s="5" t="inlineStr">
        <is>
          <t>100 – TERRASSEMENTS</t>
        </is>
      </c>
      <c r="B9" s="6" t="n"/>
      <c r="C9" s="6" t="n"/>
      <c r="D9" s="6" t="n"/>
      <c r="E9" s="6" t="n"/>
      <c r="F9" s="6" t="n"/>
      <c r="G9" s="6" t="n"/>
      <c r="H9" s="6" t="n"/>
    </row>
    <row r="10">
      <c r="A10" s="7" t="inlineStr">
        <is>
          <t>101</t>
        </is>
      </c>
      <c r="B10" s="8" t="inlineStr">
        <is>
          <t>Implantation et piquetage</t>
        </is>
      </c>
      <c r="C10" s="7" t="inlineStr">
        <is>
          <t>Ft</t>
        </is>
      </c>
      <c r="D10" s="9">
        <f>1</f>
        <v/>
      </c>
      <c r="E10" s="10">
        <f>'Deboursé sec'!$F$26</f>
        <v/>
      </c>
      <c r="F10" s="11">
        <f>D10*E10</f>
        <v/>
      </c>
      <c r="G10" s="11">
        <f>ROUND(E10*Hypotheses!$C$74,0)</f>
        <v/>
      </c>
      <c r="H10" s="11">
        <f>D10*G10</f>
        <v/>
      </c>
    </row>
    <row r="11">
      <c r="A11" s="7" t="inlineStr">
        <is>
          <t>102</t>
        </is>
      </c>
      <c r="B11" s="8" t="inlineStr">
        <is>
          <t>Déblai mécanique en fouille et évacuation</t>
        </is>
      </c>
      <c r="C11" s="7" t="inlineStr">
        <is>
          <t>m³</t>
        </is>
      </c>
      <c r="D11" s="9">
        <f>'Avant-metre'!$H$9</f>
        <v/>
      </c>
      <c r="E11" s="10">
        <f>'Deboursé sec'!$F$37</f>
        <v/>
      </c>
      <c r="F11" s="11">
        <f>D11*E11</f>
        <v/>
      </c>
      <c r="G11" s="11">
        <f>ROUND(E11*Hypotheses!$C$74,0)</f>
        <v/>
      </c>
      <c r="H11" s="11">
        <f>D11*G11</f>
        <v/>
      </c>
    </row>
    <row r="12">
      <c r="A12" s="7" t="inlineStr">
        <is>
          <t>103</t>
        </is>
      </c>
      <c r="B12" s="8" t="inlineStr">
        <is>
          <t>Compactage du fond de fouille à 95 % OPM</t>
        </is>
      </c>
      <c r="C12" s="7" t="inlineStr">
        <is>
          <t>m²</t>
        </is>
      </c>
      <c r="D12" s="9">
        <f>'Avant-metre'!$H$10</f>
        <v/>
      </c>
      <c r="E12" s="10">
        <f>'Deboursé sec'!$F$47</f>
        <v/>
      </c>
      <c r="F12" s="11">
        <f>D12*E12</f>
        <v/>
      </c>
      <c r="G12" s="11">
        <f>ROUND(E12*Hypotheses!$C$74,0)</f>
        <v/>
      </c>
      <c r="H12" s="11">
        <f>D12*G12</f>
        <v/>
      </c>
    </row>
    <row r="13">
      <c r="A13" s="5" t="inlineStr">
        <is>
          <t>200 – BÉTONS</t>
        </is>
      </c>
      <c r="B13" s="6" t="n"/>
      <c r="C13" s="6" t="n"/>
      <c r="D13" s="6" t="n"/>
      <c r="E13" s="6" t="n"/>
      <c r="F13" s="6" t="n"/>
      <c r="G13" s="6" t="n"/>
      <c r="H13" s="6" t="n"/>
    </row>
    <row r="14">
      <c r="A14" s="7" t="inlineStr">
        <is>
          <t>201</t>
        </is>
      </c>
      <c r="B14" s="8" t="inlineStr">
        <is>
          <t>Béton de propreté dosé à 150 kg/m³, ép. 5 cm</t>
        </is>
      </c>
      <c r="C14" s="7" t="inlineStr">
        <is>
          <t>m³</t>
        </is>
      </c>
      <c r="D14" s="9">
        <f>'Avant-metre'!$H$12</f>
        <v/>
      </c>
      <c r="E14" s="10">
        <f>'Deboursé sec'!$F$63</f>
        <v/>
      </c>
      <c r="F14" s="11">
        <f>D14*E14</f>
        <v/>
      </c>
      <c r="G14" s="11">
        <f>ROUND(E14*Hypotheses!$C$74,0)</f>
        <v/>
      </c>
      <c r="H14" s="11">
        <f>D14*G14</f>
        <v/>
      </c>
    </row>
    <row r="15">
      <c r="A15" s="7" t="inlineStr">
        <is>
          <t>202</t>
        </is>
      </c>
      <c r="B15" s="8" t="inlineStr">
        <is>
          <t>Béton pour radier dosé à 350 kg/m³ (C25/30), ép. 20 cm</t>
        </is>
      </c>
      <c r="C15" s="7" t="inlineStr">
        <is>
          <t>m³</t>
        </is>
      </c>
      <c r="D15" s="9">
        <f>'Avant-metre'!$H$13</f>
        <v/>
      </c>
      <c r="E15" s="10">
        <f>'Deboursé sec'!$F$79</f>
        <v/>
      </c>
      <c r="F15" s="11">
        <f>D15*E15</f>
        <v/>
      </c>
      <c r="G15" s="11">
        <f>ROUND(E15*Hypotheses!$C$74,0)</f>
        <v/>
      </c>
      <c r="H15" s="11">
        <f>D15*G15</f>
        <v/>
      </c>
    </row>
    <row r="16">
      <c r="A16" s="7" t="inlineStr">
        <is>
          <t>203</t>
        </is>
      </c>
      <c r="B16" s="8" t="inlineStr">
        <is>
          <t>Béton pour voiles dosé à 350 kg/m³ (C25/30)</t>
        </is>
      </c>
      <c r="C16" s="7" t="inlineStr">
        <is>
          <t>m³</t>
        </is>
      </c>
      <c r="D16" s="9">
        <f>'Avant-metre'!$H$14</f>
        <v/>
      </c>
      <c r="E16" s="10">
        <f>'Deboursé sec'!$F$95</f>
        <v/>
      </c>
      <c r="F16" s="11">
        <f>D16*E16</f>
        <v/>
      </c>
      <c r="G16" s="11">
        <f>ROUND(E16*Hypotheses!$C$74,0)</f>
        <v/>
      </c>
      <c r="H16" s="11">
        <f>D16*G16</f>
        <v/>
      </c>
    </row>
    <row r="17">
      <c r="A17" s="5" t="inlineStr">
        <is>
          <t>300 – COFFRAGES</t>
        </is>
      </c>
      <c r="B17" s="6" t="n"/>
      <c r="C17" s="6" t="n"/>
      <c r="D17" s="6" t="n"/>
      <c r="E17" s="6" t="n"/>
      <c r="F17" s="6" t="n"/>
      <c r="G17" s="6" t="n"/>
      <c r="H17" s="6" t="n"/>
    </row>
    <row r="18">
      <c r="A18" s="7" t="inlineStr">
        <is>
          <t>301</t>
        </is>
      </c>
      <c r="B18" s="8" t="inlineStr">
        <is>
          <t>Coffrage des rives du radier</t>
        </is>
      </c>
      <c r="C18" s="7" t="inlineStr">
        <is>
          <t>m²</t>
        </is>
      </c>
      <c r="D18" s="9">
        <f>'Avant-metre'!$H$16</f>
        <v/>
      </c>
      <c r="E18" s="10">
        <f>'Deboursé sec'!$F$106</f>
        <v/>
      </c>
      <c r="F18" s="11">
        <f>D18*E18</f>
        <v/>
      </c>
      <c r="G18" s="11">
        <f>ROUND(E18*Hypotheses!$C$74,0)</f>
        <v/>
      </c>
      <c r="H18" s="11">
        <f>D18*G18</f>
        <v/>
      </c>
    </row>
    <row r="19">
      <c r="A19" s="7" t="inlineStr">
        <is>
          <t>302</t>
        </is>
      </c>
      <c r="B19" s="8" t="inlineStr">
        <is>
          <t>Coffrage des voiles (2 faces)</t>
        </is>
      </c>
      <c r="C19" s="7" t="inlineStr">
        <is>
          <t>m²</t>
        </is>
      </c>
      <c r="D19" s="9">
        <f>'Avant-metre'!$H$17</f>
        <v/>
      </c>
      <c r="E19" s="10">
        <f>'Deboursé sec'!$F$118</f>
        <v/>
      </c>
      <c r="F19" s="11">
        <f>D19*E19</f>
        <v/>
      </c>
      <c r="G19" s="11">
        <f>ROUND(E19*Hypotheses!$C$74,0)</f>
        <v/>
      </c>
      <c r="H19" s="11">
        <f>D19*G19</f>
        <v/>
      </c>
    </row>
    <row r="20">
      <c r="A20" s="5" t="inlineStr">
        <is>
          <t>400 – ACIERS FE500</t>
        </is>
      </c>
      <c r="B20" s="6" t="n"/>
      <c r="C20" s="6" t="n"/>
      <c r="D20" s="6" t="n"/>
      <c r="E20" s="6" t="n"/>
      <c r="F20" s="6" t="n"/>
      <c r="G20" s="6" t="n"/>
      <c r="H20" s="6" t="n"/>
    </row>
    <row r="21">
      <c r="A21" s="7" t="inlineStr">
        <is>
          <t>401</t>
        </is>
      </c>
      <c r="B21" s="8" t="inlineStr">
        <is>
          <t>Acier HA8 (voiles horiz., épingles, plantants en U e = 20 cm)</t>
        </is>
      </c>
      <c r="C21" s="7" t="inlineStr">
        <is>
          <t>kg</t>
        </is>
      </c>
      <c r="D21" s="9">
        <f>'Avant-metre'!$H$30</f>
        <v/>
      </c>
      <c r="E21" s="10">
        <f>'Deboursé sec'!$F$129</f>
        <v/>
      </c>
      <c r="F21" s="11">
        <f>D21*E21</f>
        <v/>
      </c>
      <c r="G21" s="11">
        <f>ROUND(E21*Hypotheses!$C$74,0)</f>
        <v/>
      </c>
      <c r="H21" s="11">
        <f>D21*G21</f>
        <v/>
      </c>
    </row>
    <row r="22">
      <c r="A22" s="7" t="inlineStr">
        <is>
          <t>402</t>
        </is>
      </c>
      <c r="B22" s="8" t="inlineStr">
        <is>
          <t>Acier HA10 (radier longitudinal + chaises)</t>
        </is>
      </c>
      <c r="C22" s="7" t="inlineStr">
        <is>
          <t>kg</t>
        </is>
      </c>
      <c r="D22" s="9">
        <f>'Avant-metre'!$H$31</f>
        <v/>
      </c>
      <c r="E22" s="10">
        <f>'Deboursé sec'!$F$140</f>
        <v/>
      </c>
      <c r="F22" s="11">
        <f>D22*E22</f>
        <v/>
      </c>
      <c r="G22" s="11">
        <f>ROUND(E22*Hypotheses!$C$74,0)</f>
        <v/>
      </c>
      <c r="H22" s="11">
        <f>D22*G22</f>
        <v/>
      </c>
    </row>
    <row r="23">
      <c r="A23" s="7" t="inlineStr">
        <is>
          <t>403</t>
        </is>
      </c>
      <c r="B23" s="8" t="inlineStr">
        <is>
          <t>Acier HA12 (voiles verticaux + radier transversal)</t>
        </is>
      </c>
      <c r="C23" s="7" t="inlineStr">
        <is>
          <t>kg</t>
        </is>
      </c>
      <c r="D23" s="9">
        <f>'Avant-metre'!$H$32</f>
        <v/>
      </c>
      <c r="E23" s="10">
        <f>'Deboursé sec'!$F$151</f>
        <v/>
      </c>
      <c r="F23" s="11">
        <f>D23*E23</f>
        <v/>
      </c>
      <c r="G23" s="11">
        <f>ROUND(E23*Hypotheses!$C$74,0)</f>
        <v/>
      </c>
      <c r="H23" s="11">
        <f>D23*G23</f>
        <v/>
      </c>
    </row>
    <row r="24">
      <c r="A24" s="5" t="inlineStr">
        <is>
          <t>500 – DIVERS</t>
        </is>
      </c>
      <c r="B24" s="6" t="n"/>
      <c r="C24" s="6" t="n"/>
      <c r="D24" s="6" t="n"/>
      <c r="E24" s="6" t="n"/>
      <c r="F24" s="6" t="n"/>
      <c r="G24" s="6" t="n"/>
      <c r="H24" s="6" t="n"/>
    </row>
    <row r="25">
      <c r="A25" s="7" t="inlineStr">
        <is>
          <t>501</t>
        </is>
      </c>
      <c r="B25" s="8" t="inlineStr">
        <is>
          <t>Joint de dilatation (tous les 15 m)</t>
        </is>
      </c>
      <c r="C25" s="7" t="inlineStr">
        <is>
          <t>ml</t>
        </is>
      </c>
      <c r="D25" s="9">
        <f>'Avant-metre'!$H$19</f>
        <v/>
      </c>
      <c r="E25" s="10">
        <f>'Deboursé sec'!$F$161</f>
        <v/>
      </c>
      <c r="F25" s="11">
        <f>D25*E25</f>
        <v/>
      </c>
      <c r="G25" s="11">
        <f>ROUND(E25*Hypotheses!$C$74,0)</f>
        <v/>
      </c>
      <c r="H25" s="11">
        <f>D25*G25</f>
        <v/>
      </c>
    </row>
    <row r="26">
      <c r="A26" s="12" t="inlineStr">
        <is>
          <t>TOTAL HORS TAXES (FCFA)</t>
        </is>
      </c>
      <c r="B26" s="6" t="n"/>
      <c r="C26" s="6" t="n"/>
      <c r="D26" s="6" t="n"/>
      <c r="E26" s="6" t="n"/>
      <c r="F26" s="13">
        <f>SUM(F7:F25)</f>
        <v/>
      </c>
      <c r="G26" s="14" t="inlineStr"/>
      <c r="H26" s="13">
        <f>SUM(H7:H25)</f>
        <v/>
      </c>
    </row>
    <row r="27">
      <c r="A27" s="15" t="inlineStr">
        <is>
          <t>TVA 18 %</t>
        </is>
      </c>
      <c r="B27" s="6" t="n"/>
      <c r="C27" s="6" t="n"/>
      <c r="D27" s="6" t="n"/>
      <c r="E27" s="6" t="n"/>
      <c r="F27" s="16" t="inlineStr"/>
      <c r="G27" s="17" t="inlineStr"/>
      <c r="H27" s="16">
        <f>H26*Hypotheses!$C$75</f>
        <v/>
      </c>
    </row>
    <row r="28">
      <c r="A28" s="12" t="inlineStr">
        <is>
          <t>TOTAL TOUTES TAXES COMPRISES (FCFA)</t>
        </is>
      </c>
      <c r="B28" s="6" t="n"/>
      <c r="C28" s="6" t="n"/>
      <c r="D28" s="6" t="n"/>
      <c r="E28" s="6" t="n"/>
      <c r="F28" s="13" t="inlineStr"/>
      <c r="G28" s="14" t="inlineStr"/>
      <c r="H28" s="13">
        <f>H26+H27</f>
        <v/>
      </c>
    </row>
    <row r="30">
      <c r="A30" s="18" t="inlineStr">
        <is>
          <t>Coefficient K appliqué</t>
        </is>
      </c>
      <c r="B30" s="6" t="n"/>
      <c r="C30" s="6" t="n"/>
      <c r="D30" s="6" t="n"/>
      <c r="E30" s="6" t="n"/>
      <c r="F30" s="6" t="n"/>
      <c r="G30" s="6" t="n"/>
      <c r="H30" s="19">
        <f>Hypotheses!$C$74</f>
        <v/>
      </c>
    </row>
    <row r="31">
      <c r="A31" s="18" t="inlineStr">
        <is>
          <t>Marge brute (HT − DS)</t>
        </is>
      </c>
      <c r="B31" s="6" t="n"/>
      <c r="C31" s="6" t="n"/>
      <c r="D31" s="6" t="n"/>
      <c r="E31" s="6" t="n"/>
      <c r="F31" s="6" t="n"/>
      <c r="G31" s="6" t="n"/>
      <c r="H31" s="16">
        <f>H26-F26</f>
        <v/>
      </c>
    </row>
    <row r="32">
      <c r="A32" s="18" t="inlineStr">
        <is>
          <t>Coût au mètre linéaire d'ouvrage – DS (FCFA/ml)</t>
        </is>
      </c>
      <c r="B32" s="6" t="n"/>
      <c r="C32" s="6" t="n"/>
      <c r="D32" s="6" t="n"/>
      <c r="E32" s="6" t="n"/>
      <c r="F32" s="6" t="n"/>
      <c r="G32" s="6" t="n"/>
      <c r="H32" s="16">
        <f>F26/Hypotheses!$C$8</f>
        <v/>
      </c>
    </row>
    <row r="33">
      <c r="A33" s="18" t="inlineStr">
        <is>
          <t>Coût au mètre linéaire d'ouvrage – HT (FCFA/ml)</t>
        </is>
      </c>
      <c r="B33" s="6" t="n"/>
      <c r="C33" s="6" t="n"/>
      <c r="D33" s="6" t="n"/>
      <c r="E33" s="6" t="n"/>
      <c r="F33" s="6" t="n"/>
      <c r="G33" s="6" t="n"/>
      <c r="H33" s="16">
        <f>H26/Hypotheses!$C$8</f>
        <v/>
      </c>
    </row>
    <row r="35">
      <c r="A35" s="20" t="inlineStr">
        <is>
          <t>NOTES</t>
        </is>
      </c>
    </row>
    <row r="36" ht="24" customHeight="1">
      <c r="A36" s="21" t="inlineStr">
        <is>
          <t>• Hypothèses à confirmer : épaisseur des voiles 20 cm (non fournie), terrain naturel au niveau du radier (pas de remblai latéral contre voiles), espacements des aciers 20 cm.</t>
        </is>
      </c>
    </row>
    <row r="37" ht="24" customHeight="1">
      <c r="A37" s="21" t="inlineStr">
        <is>
          <t>• Plantants en U HA8 e = 20 cm : U ancré dans le radier, une jambe de 0,60 m dans chaque nappe du voile (jonction voile/radier).</t>
        </is>
      </c>
    </row>
    <row r="38" ht="24" customHeight="1">
      <c r="A38" s="21" t="inlineStr">
        <is>
          <t>• Béton fabriqué sur chantier à la bétonnière ; cure humide d'au moins 7 jours obligatoire (chaleur tropicale) ; bétonnage de préférence le matin.</t>
        </is>
      </c>
    </row>
    <row r="39" ht="24" customHeight="1">
      <c r="A39" s="21" t="inlineStr">
        <is>
          <t>• Fond de forme latéritique compacté à 95 % OPM ; purge des zones argileuses non comprise.</t>
        </is>
      </c>
    </row>
    <row r="40" ht="24" customHeight="1">
      <c r="A40" s="21" t="inlineStr">
        <is>
          <t>• Prix de base indicatifs Abidjan 2026 – à actualiser selon les cotations fournisseurs (feuille « Hypotheses », cellules jaunes).</t>
        </is>
      </c>
    </row>
    <row r="42">
      <c r="B42" s="20" t="inlineStr">
        <is>
          <t>Établi par : Moulo Jean Claude</t>
        </is>
      </c>
      <c r="F42" s="20" t="inlineStr">
        <is>
          <t>Visa / Approbation :</t>
        </is>
      </c>
    </row>
  </sheetData>
  <mergeCells count="22">
    <mergeCell ref="A9:H9"/>
    <mergeCell ref="A32:G32"/>
    <mergeCell ref="A39:H39"/>
    <mergeCell ref="A24:H24"/>
    <mergeCell ref="A36:H36"/>
    <mergeCell ref="A1:H1"/>
    <mergeCell ref="A7:H7"/>
    <mergeCell ref="A31:G31"/>
    <mergeCell ref="A30:G30"/>
    <mergeCell ref="A37:H37"/>
    <mergeCell ref="A27:E27"/>
    <mergeCell ref="A3:H3"/>
    <mergeCell ref="A26:E26"/>
    <mergeCell ref="A2:H2"/>
    <mergeCell ref="A17:H17"/>
    <mergeCell ref="A4:H4"/>
    <mergeCell ref="A20:H20"/>
    <mergeCell ref="A38:H38"/>
    <mergeCell ref="A28:E28"/>
    <mergeCell ref="A13:H13"/>
    <mergeCell ref="A33:G33"/>
    <mergeCell ref="A40:H40"/>
  </mergeCells>
  <pageMargins left="0.75" right="0.75" top="1" bottom="1" header="0.5" footer="0.5"/>
  <pageSetup orientation="landscape" fitToHeight="0" fitToWidth="1"/>
  <headerFooter>
    <oddHeader>&amp;RMoulo Jean Claude – BTP Abidjan</oddHeader>
    <oddFooter>&amp;CPage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62" customWidth="1" min="4" max="4"/>
  </cols>
  <sheetData>
    <row r="1">
      <c r="A1" s="1" t="inlineStr">
        <is>
          <t>RÉALISATION DE VOILES (2 × 170 m, H = 2,40 m) ET RADIER (170 m × 4,00 m × 0,20 m)</t>
        </is>
      </c>
    </row>
    <row r="2">
      <c r="A2" s="2" t="inlineStr">
        <is>
          <t>HYPOTHÈSES DE CALCUL ET PRIX DE BASE (cellules jaunes modifiables)</t>
        </is>
      </c>
    </row>
    <row r="3">
      <c r="A3" s="3" t="inlineStr">
        <is>
          <t>Établi par : Moulo Jean Claude – Technicien Génie Civil BTP – Abidjan    |    Date : 01/10/2026    |    Monnaie : FCFA</t>
        </is>
      </c>
    </row>
    <row r="4">
      <c r="A4" s="3" t="inlineStr">
        <is>
          <t>Normes : EC2 (NF EN 1992-1-1) / BAEL 91 mod. 99 – Aciers FE500 (HA) – Contexte : sol latéritique, climat tropical humide</t>
        </is>
      </c>
    </row>
    <row r="6" ht="30" customHeight="1">
      <c r="A6" s="4" t="inlineStr">
        <is>
          <t>Paramètre</t>
        </is>
      </c>
      <c r="B6" s="4" t="inlineStr">
        <is>
          <t>Unité</t>
        </is>
      </c>
      <c r="C6" s="4" t="inlineStr">
        <is>
          <t>Valeur</t>
        </is>
      </c>
      <c r="D6" s="4" t="inlineStr">
        <is>
          <t>Source / commentaire</t>
        </is>
      </c>
    </row>
    <row r="7">
      <c r="A7" s="5" t="inlineStr">
        <is>
          <t>GÉOMÉTRIE</t>
        </is>
      </c>
      <c r="B7" s="6" t="n"/>
      <c r="C7" s="6" t="n"/>
      <c r="D7" s="6" t="n"/>
    </row>
    <row r="8">
      <c r="A8" s="17" t="inlineStr">
        <is>
          <t>Longueur d'ouvrage</t>
        </is>
      </c>
      <c r="B8" s="7" t="inlineStr">
        <is>
          <t>m</t>
        </is>
      </c>
      <c r="C8" s="22" t="n">
        <v>170</v>
      </c>
      <c r="D8" s="8" t="inlineStr">
        <is>
          <t>Donnée client</t>
        </is>
      </c>
    </row>
    <row r="9">
      <c r="A9" s="17" t="inlineStr">
        <is>
          <t>Nombre de voiles</t>
        </is>
      </c>
      <c r="B9" s="7" t="inlineStr">
        <is>
          <t>u</t>
        </is>
      </c>
      <c r="C9" s="23" t="n">
        <v>2</v>
      </c>
      <c r="D9" s="8" t="inlineStr">
        <is>
          <t>Donnée client (170 m × 2)</t>
        </is>
      </c>
    </row>
    <row r="10">
      <c r="A10" s="17" t="inlineStr">
        <is>
          <t>Hauteur des voiles (au-dessus du radier)</t>
        </is>
      </c>
      <c r="B10" s="7" t="inlineStr">
        <is>
          <t>m</t>
        </is>
      </c>
      <c r="C10" s="23" t="n">
        <v>2.4</v>
      </c>
      <c r="D10" s="8" t="inlineStr">
        <is>
          <t>Donnée client</t>
        </is>
      </c>
    </row>
    <row r="11">
      <c r="A11" s="17" t="inlineStr">
        <is>
          <t>Épaisseur des voiles</t>
        </is>
      </c>
      <c r="B11" s="7" t="inlineStr">
        <is>
          <t>m</t>
        </is>
      </c>
      <c r="C11" s="23" t="n">
        <v>0.2</v>
      </c>
      <c r="D11" s="8" t="inlineStr">
        <is>
          <t>HYPOTHÈSE (non fournie) – mini 15 cm pour nappe double, 20 cm retenus</t>
        </is>
      </c>
    </row>
    <row r="12">
      <c r="A12" s="17" t="inlineStr">
        <is>
          <t>Largeur du radier</t>
        </is>
      </c>
      <c r="B12" s="7" t="inlineStr">
        <is>
          <t>m</t>
        </is>
      </c>
      <c r="C12" s="23" t="n">
        <v>4</v>
      </c>
      <c r="D12" s="8" t="inlineStr">
        <is>
          <t>Donnée client</t>
        </is>
      </c>
    </row>
    <row r="13">
      <c r="A13" s="17" t="inlineStr">
        <is>
          <t>Épaisseur du radier</t>
        </is>
      </c>
      <c r="B13" s="7" t="inlineStr">
        <is>
          <t>m</t>
        </is>
      </c>
      <c r="C13" s="23" t="n">
        <v>0.2</v>
      </c>
      <c r="D13" s="8" t="inlineStr">
        <is>
          <t>Donnée client</t>
        </is>
      </c>
    </row>
    <row r="14">
      <c r="A14" s="17" t="inlineStr">
        <is>
          <t>Enrobage nominal</t>
        </is>
      </c>
      <c r="B14" s="7" t="inlineStr">
        <is>
          <t>m</t>
        </is>
      </c>
      <c r="C14" s="23" t="n">
        <v>0.04</v>
      </c>
      <c r="D14" s="8" t="inlineStr">
        <is>
          <t>EC2 §4.4 – classe XC2/XC4 (contact sol, humidité tropicale)</t>
        </is>
      </c>
    </row>
    <row r="15">
      <c r="A15" s="17" t="inlineStr">
        <is>
          <t>Surlargeur de fouille par côté</t>
        </is>
      </c>
      <c r="B15" s="7" t="inlineStr">
        <is>
          <t>m</t>
        </is>
      </c>
      <c r="C15" s="23" t="n">
        <v>0.3</v>
      </c>
      <c r="D15" s="8" t="inlineStr">
        <is>
          <t>Hypothèse – espace de travail coffrage</t>
        </is>
      </c>
    </row>
    <row r="16">
      <c r="A16" s="17" t="inlineStr">
        <is>
          <t>Profondeur de fouille (radier + BP + réglage)</t>
        </is>
      </c>
      <c r="B16" s="7" t="inlineStr">
        <is>
          <t>m</t>
        </is>
      </c>
      <c r="C16" s="23" t="n">
        <v>0.3</v>
      </c>
      <c r="D16" s="8" t="inlineStr">
        <is>
          <t>HYPOTHÈSE – terrain naturel supposé au niveau sous-face radier +5 cm</t>
        </is>
      </c>
    </row>
    <row r="17">
      <c r="A17" s="17" t="inlineStr">
        <is>
          <t>Épaisseur béton de propreté</t>
        </is>
      </c>
      <c r="B17" s="7" t="inlineStr">
        <is>
          <t>m</t>
        </is>
      </c>
      <c r="C17" s="23" t="n">
        <v>0.05</v>
      </c>
      <c r="D17" s="8" t="inlineStr">
        <is>
          <t>Usuel</t>
        </is>
      </c>
    </row>
    <row r="18">
      <c r="A18" s="17" t="inlineStr">
        <is>
          <t>Débord béton de propreté par côté</t>
        </is>
      </c>
      <c r="B18" s="7" t="inlineStr">
        <is>
          <t>m</t>
        </is>
      </c>
      <c r="C18" s="23" t="n">
        <v>0.1</v>
      </c>
      <c r="D18" s="8" t="inlineStr">
        <is>
          <t>Usuel</t>
        </is>
      </c>
    </row>
    <row r="19">
      <c r="A19" s="17" t="inlineStr">
        <is>
          <t>Coefficient de foisonnement (latérite)</t>
        </is>
      </c>
      <c r="B19" s="7" t="inlineStr">
        <is>
          <t>-</t>
        </is>
      </c>
      <c r="C19" s="23" t="n">
        <v>1.25</v>
      </c>
      <c r="D19" s="8" t="inlineStr">
        <is>
          <t>Sol latéritique – 1,20 à 1,30</t>
        </is>
      </c>
    </row>
    <row r="20">
      <c r="A20" s="5" t="inlineStr">
        <is>
          <t>ARMATURES FE500</t>
        </is>
      </c>
      <c r="B20" s="6" t="n"/>
      <c r="C20" s="6" t="n"/>
      <c r="D20" s="6" t="n"/>
    </row>
    <row r="21">
      <c r="A21" s="17" t="inlineStr">
        <is>
          <t>Voiles – HA12 verticaux, espacement (2 nappes)</t>
        </is>
      </c>
      <c r="B21" s="7" t="inlineStr">
        <is>
          <t>m</t>
        </is>
      </c>
      <c r="C21" s="23" t="n">
        <v>0.2</v>
      </c>
      <c r="D21" s="8" t="inlineStr">
        <is>
          <t>EC2 §9.6.2 : s ≤ min(3h ; 400 mm)</t>
        </is>
      </c>
    </row>
    <row r="22">
      <c r="A22" s="17" t="inlineStr">
        <is>
          <t>Voiles – HA8 horizontaux, espacement (2 nappes)</t>
        </is>
      </c>
      <c r="B22" s="7" t="inlineStr">
        <is>
          <t>m</t>
        </is>
      </c>
      <c r="C22" s="23" t="n">
        <v>0.2</v>
      </c>
      <c r="D22" s="8" t="inlineStr">
        <is>
          <t>EC2 §9.6.3 : s ≤ 400 mm</t>
        </is>
      </c>
    </row>
    <row r="23">
      <c r="A23" s="17" t="inlineStr">
        <is>
          <t>Radier – HA12 transversaux, espacement (2 nappes)</t>
        </is>
      </c>
      <c r="B23" s="7" t="inlineStr">
        <is>
          <t>m</t>
        </is>
      </c>
      <c r="C23" s="23" t="n">
        <v>0.2</v>
      </c>
      <c r="D23" s="8" t="inlineStr">
        <is>
          <t>Hypothèse – à confirmer par note de calcul</t>
        </is>
      </c>
    </row>
    <row r="24">
      <c r="A24" s="17" t="inlineStr">
        <is>
          <t>Radier – HA10 longitudinaux, espacement (2 nappes)</t>
        </is>
      </c>
      <c r="B24" s="7" t="inlineStr">
        <is>
          <t>m</t>
        </is>
      </c>
      <c r="C24" s="23" t="n">
        <v>0.2</v>
      </c>
      <c r="D24" s="8" t="inlineStr">
        <is>
          <t>Hypothèse – à confirmer par note de calcul</t>
        </is>
      </c>
    </row>
    <row r="25">
      <c r="A25" s="17" t="inlineStr">
        <is>
          <t>Plantants en U HA8 – espacement</t>
        </is>
      </c>
      <c r="B25" s="7" t="inlineStr">
        <is>
          <t>m</t>
        </is>
      </c>
      <c r="C25" s="23" t="n">
        <v>0.2</v>
      </c>
      <c r="D25" s="8" t="inlineStr">
        <is>
          <t>Demande client</t>
        </is>
      </c>
    </row>
    <row r="26">
      <c r="A26" s="17" t="inlineStr">
        <is>
          <t>Plantants en U – hauteur de jambe dans le voile</t>
        </is>
      </c>
      <c r="B26" s="7" t="inlineStr">
        <is>
          <t>m</t>
        </is>
      </c>
      <c r="C26" s="23" t="n">
        <v>0.6</v>
      </c>
      <c r="D26" s="8" t="inlineStr">
        <is>
          <t>Hypothèse ≥ recouvrement 50Ø HA12 = 0,60 m</t>
        </is>
      </c>
    </row>
    <row r="27">
      <c r="A27" s="17" t="inlineStr">
        <is>
          <t>Épingles HA8 de liaison des nappes voile</t>
        </is>
      </c>
      <c r="B27" s="7" t="inlineStr">
        <is>
          <t>u/m²</t>
        </is>
      </c>
      <c r="C27" s="23" t="n">
        <v>4</v>
      </c>
      <c r="D27" s="8" t="inlineStr">
        <is>
          <t>Disposition constructive usuelle (EC2 §9.6.4)</t>
        </is>
      </c>
    </row>
    <row r="28">
      <c r="A28" s="17" t="inlineStr">
        <is>
          <t>Chaises HA10 support nappe sup. radier</t>
        </is>
      </c>
      <c r="B28" s="7" t="inlineStr">
        <is>
          <t>u/m²</t>
        </is>
      </c>
      <c r="C28" s="23" t="n">
        <v>1</v>
      </c>
      <c r="D28" s="8" t="inlineStr">
        <is>
          <t>Disposition constructive usuelle</t>
        </is>
      </c>
    </row>
    <row r="29">
      <c r="A29" s="17" t="inlineStr">
        <is>
          <t>Retour / crochet d'extrémité</t>
        </is>
      </c>
      <c r="B29" s="7" t="inlineStr">
        <is>
          <t>m</t>
        </is>
      </c>
      <c r="C29" s="23" t="n">
        <v>0.15</v>
      </c>
      <c r="D29" s="8" t="inlineStr">
        <is>
          <t>Usuel</t>
        </is>
      </c>
    </row>
    <row r="30">
      <c r="A30" s="17" t="inlineStr">
        <is>
          <t>Retour d'ancrage des HA12 de voile dans le radier</t>
        </is>
      </c>
      <c r="B30" s="7" t="inlineStr">
        <is>
          <t>m</t>
        </is>
      </c>
      <c r="C30" s="23" t="n">
        <v>0.3</v>
      </c>
      <c r="D30" s="8" t="inlineStr">
        <is>
          <t>BAEL / EC2 – ancrage avec retour à 90°</t>
        </is>
      </c>
    </row>
    <row r="31">
      <c r="A31" s="17" t="inlineStr">
        <is>
          <t>Longueur de recouvrement (× Ø)</t>
        </is>
      </c>
      <c r="B31" s="7" t="inlineStr">
        <is>
          <t>-</t>
        </is>
      </c>
      <c r="C31" s="23" t="n">
        <v>50</v>
      </c>
      <c r="D31" s="8" t="inlineStr">
        <is>
          <t>BAEL A.6.1,23 FE500 : 50Ø / EC2 §8.7.3</t>
        </is>
      </c>
    </row>
    <row r="32">
      <c r="A32" s="17" t="inlineStr">
        <is>
          <t>Longueur commerciale des barres</t>
        </is>
      </c>
      <c r="B32" s="7" t="inlineStr">
        <is>
          <t>m</t>
        </is>
      </c>
      <c r="C32" s="23" t="n">
        <v>12</v>
      </c>
      <c r="D32" s="8" t="inlineStr">
        <is>
          <t>Marché ivoirien</t>
        </is>
      </c>
    </row>
    <row r="33">
      <c r="A33" s="17" t="inlineStr">
        <is>
          <t>Masse linéique HA8</t>
        </is>
      </c>
      <c r="B33" s="7" t="inlineStr">
        <is>
          <t>kg/m</t>
        </is>
      </c>
      <c r="C33" s="23" t="n">
        <v>0.395</v>
      </c>
      <c r="D33" s="8" t="inlineStr">
        <is>
          <t>Tables</t>
        </is>
      </c>
    </row>
    <row r="34">
      <c r="A34" s="17" t="inlineStr">
        <is>
          <t>Masse linéique HA10</t>
        </is>
      </c>
      <c r="B34" s="7" t="inlineStr">
        <is>
          <t>kg/m</t>
        </is>
      </c>
      <c r="C34" s="23" t="n">
        <v>0.617</v>
      </c>
      <c r="D34" s="8" t="inlineStr">
        <is>
          <t>Tables</t>
        </is>
      </c>
    </row>
    <row r="35">
      <c r="A35" s="17" t="inlineStr">
        <is>
          <t>Masse linéique HA12</t>
        </is>
      </c>
      <c r="B35" s="7" t="inlineStr">
        <is>
          <t>kg/m</t>
        </is>
      </c>
      <c r="C35" s="23" t="n">
        <v>0.888</v>
      </c>
      <c r="D35" s="8" t="inlineStr">
        <is>
          <t>Tables</t>
        </is>
      </c>
    </row>
    <row r="36">
      <c r="A36" s="17" t="inlineStr">
        <is>
          <t>Pertes / chutes aciers</t>
        </is>
      </c>
      <c r="B36" s="7" t="inlineStr">
        <is>
          <t>%</t>
        </is>
      </c>
      <c r="C36" s="24" t="n">
        <v>0.05</v>
      </c>
      <c r="D36" s="8" t="inlineStr">
        <is>
          <t>Usuel 3 à 7 %</t>
        </is>
      </c>
    </row>
    <row r="37">
      <c r="A37" s="17" t="inlineStr">
        <is>
          <t>Espacement des joints de dilatation</t>
        </is>
      </c>
      <c r="B37" s="7" t="inlineStr">
        <is>
          <t>m</t>
        </is>
      </c>
      <c r="C37" s="23" t="n">
        <v>15</v>
      </c>
      <c r="D37" s="8" t="inlineStr">
        <is>
          <t>Climat tropical (fortes amplitudes) – 12 à 20 m</t>
        </is>
      </c>
    </row>
    <row r="38">
      <c r="A38" s="5" t="inlineStr">
        <is>
          <t>PRIX DES MATÉRIAUX (Abidjan, rendus chantier – à actualiser)</t>
        </is>
      </c>
      <c r="B38" s="6" t="n"/>
      <c r="C38" s="6" t="n"/>
      <c r="D38" s="6" t="n"/>
    </row>
    <row r="39">
      <c r="A39" s="17" t="inlineStr">
        <is>
          <t>Ciment CPJ 42.5 (sac 50 kg)</t>
        </is>
      </c>
      <c r="B39" s="7" t="inlineStr">
        <is>
          <t>FCFA/sac</t>
        </is>
      </c>
      <c r="C39" s="22" t="n">
        <v>5500</v>
      </c>
      <c r="D39" s="8" t="inlineStr">
        <is>
          <t>Prix marché Abidjan 2026 indicatif</t>
        </is>
      </c>
    </row>
    <row r="40">
      <c r="A40" s="17" t="inlineStr">
        <is>
          <t>Sable lagunaire / de carrière</t>
        </is>
      </c>
      <c r="B40" s="7" t="inlineStr">
        <is>
          <t>FCFA/m³</t>
        </is>
      </c>
      <c r="C40" s="22" t="n">
        <v>12000</v>
      </c>
      <c r="D40" s="8" t="inlineStr">
        <is>
          <t>Indicatif</t>
        </is>
      </c>
    </row>
    <row r="41">
      <c r="A41" s="17" t="inlineStr">
        <is>
          <t>Gravier concassé 5/15 – 15/25</t>
        </is>
      </c>
      <c r="B41" s="7" t="inlineStr">
        <is>
          <t>FCFA/m³</t>
        </is>
      </c>
      <c r="C41" s="22" t="n">
        <v>22000</v>
      </c>
      <c r="D41" s="8" t="inlineStr">
        <is>
          <t>Indicatif</t>
        </is>
      </c>
    </row>
    <row r="42">
      <c r="A42" s="17" t="inlineStr">
        <is>
          <t>Eau de gâchage</t>
        </is>
      </c>
      <c r="B42" s="7" t="inlineStr">
        <is>
          <t>FCFA/m³</t>
        </is>
      </c>
      <c r="C42" s="22" t="n">
        <v>1000</v>
      </c>
      <c r="D42" s="8" t="inlineStr">
        <is>
          <t>Indicatif</t>
        </is>
      </c>
    </row>
    <row r="43">
      <c r="A43" s="17" t="inlineStr">
        <is>
          <t>Acier HA8 FE500</t>
        </is>
      </c>
      <c r="B43" s="7" t="inlineStr">
        <is>
          <t>FCFA/kg</t>
        </is>
      </c>
      <c r="C43" s="22" t="n">
        <v>650</v>
      </c>
      <c r="D43" s="8" t="inlineStr">
        <is>
          <t>Indicatif</t>
        </is>
      </c>
    </row>
    <row r="44">
      <c r="A44" s="17" t="inlineStr">
        <is>
          <t>Acier HA10 FE500</t>
        </is>
      </c>
      <c r="B44" s="7" t="inlineStr">
        <is>
          <t>FCFA/kg</t>
        </is>
      </c>
      <c r="C44" s="22" t="n">
        <v>620</v>
      </c>
      <c r="D44" s="8" t="inlineStr">
        <is>
          <t>Indicatif</t>
        </is>
      </c>
    </row>
    <row r="45">
      <c r="A45" s="17" t="inlineStr">
        <is>
          <t>Acier HA12 FE500</t>
        </is>
      </c>
      <c r="B45" s="7" t="inlineStr">
        <is>
          <t>FCFA/kg</t>
        </is>
      </c>
      <c r="C45" s="22" t="n">
        <v>620</v>
      </c>
      <c r="D45" s="8" t="inlineStr">
        <is>
          <t>Indicatif</t>
        </is>
      </c>
    </row>
    <row r="46">
      <c r="A46" s="17" t="inlineStr">
        <is>
          <t>Fil recuit (ligature)</t>
        </is>
      </c>
      <c r="B46" s="7" t="inlineStr">
        <is>
          <t>FCFA/kg</t>
        </is>
      </c>
      <c r="C46" s="22" t="n">
        <v>1000</v>
      </c>
      <c r="D46" s="8" t="inlineStr">
        <is>
          <t>Indicatif</t>
        </is>
      </c>
    </row>
    <row r="47">
      <c r="A47" s="17" t="inlineStr">
        <is>
          <t>Consommation fil recuit</t>
        </is>
      </c>
      <c r="B47" s="7" t="inlineStr">
        <is>
          <t>kg/kg acier</t>
        </is>
      </c>
      <c r="C47" s="23" t="n">
        <v>0.01</v>
      </c>
      <c r="D47" s="8" t="inlineStr">
        <is>
          <t>10 kg/tonne</t>
        </is>
      </c>
    </row>
    <row r="48">
      <c r="A48" s="17" t="inlineStr">
        <is>
          <t>Coffrage bois/contreplaqué amorti (4 réemplois)</t>
        </is>
      </c>
      <c r="B48" s="7" t="inlineStr">
        <is>
          <t>FCFA/m²</t>
        </is>
      </c>
      <c r="C48" s="22" t="n">
        <v>3000</v>
      </c>
      <c r="D48" s="8" t="inlineStr">
        <is>
          <t>Indicatif</t>
        </is>
      </c>
    </row>
    <row r="49">
      <c r="A49" s="17" t="inlineStr">
        <is>
          <t>Accessoires coffrage (pointes, huile, tiges, cales)</t>
        </is>
      </c>
      <c r="B49" s="7" t="inlineStr">
        <is>
          <t>FCFA/m²</t>
        </is>
      </c>
      <c r="C49" s="22" t="n">
        <v>500</v>
      </c>
      <c r="D49" s="8" t="inlineStr">
        <is>
          <t>Indicatif</t>
        </is>
      </c>
    </row>
    <row r="50">
      <c r="A50" s="17" t="inlineStr">
        <is>
          <t>Étaiement / échafaudage voiles</t>
        </is>
      </c>
      <c r="B50" s="7" t="inlineStr">
        <is>
          <t>FCFA/m²</t>
        </is>
      </c>
      <c r="C50" s="22" t="n">
        <v>800</v>
      </c>
      <c r="D50" s="8" t="inlineStr">
        <is>
          <t>Indicatif</t>
        </is>
      </c>
    </row>
    <row r="51">
      <c r="A51" s="17" t="inlineStr">
        <is>
          <t>Cure du béton (arrosage / produit de cure)</t>
        </is>
      </c>
      <c r="B51" s="7" t="inlineStr">
        <is>
          <t>FCFA/m³</t>
        </is>
      </c>
      <c r="C51" s="22" t="n">
        <v>500</v>
      </c>
      <c r="D51" s="8" t="inlineStr">
        <is>
          <t>Indispensable en climat chaud</t>
        </is>
      </c>
    </row>
    <row r="52">
      <c r="A52" s="17" t="inlineStr">
        <is>
          <t>Joint : polystyrène 2 cm + mastic</t>
        </is>
      </c>
      <c r="B52" s="7" t="inlineStr">
        <is>
          <t>FCFA/ml</t>
        </is>
      </c>
      <c r="C52" s="22" t="n">
        <v>3300</v>
      </c>
      <c r="D52" s="8" t="inlineStr">
        <is>
          <t>Indicatif</t>
        </is>
      </c>
    </row>
    <row r="53">
      <c r="A53" s="17" t="inlineStr">
        <is>
          <t>Pertes matériaux béton</t>
        </is>
      </c>
      <c r="B53" s="7" t="inlineStr">
        <is>
          <t>%</t>
        </is>
      </c>
      <c r="C53" s="24" t="n">
        <v>0.05</v>
      </c>
      <c r="D53" s="8" t="inlineStr">
        <is>
          <t>Usuel</t>
        </is>
      </c>
    </row>
    <row r="54">
      <c r="A54" s="5" t="inlineStr">
        <is>
          <t>MAIN D'ŒUVRE (FCFA / jour)</t>
        </is>
      </c>
      <c r="B54" s="6" t="n"/>
      <c r="C54" s="6" t="n"/>
      <c r="D54" s="6" t="n"/>
    </row>
    <row r="55">
      <c r="A55" s="17" t="inlineStr">
        <is>
          <t>Chef d'équipe</t>
        </is>
      </c>
      <c r="B55" s="7" t="inlineStr">
        <is>
          <t>FCFA/j</t>
        </is>
      </c>
      <c r="C55" s="22" t="n">
        <v>15000</v>
      </c>
      <c r="D55" s="8" t="inlineStr">
        <is>
          <t>Indicatif Abidjan</t>
        </is>
      </c>
    </row>
    <row r="56">
      <c r="A56" s="17" t="inlineStr">
        <is>
          <t>Ouvrier qualifié (maçon, coffreur, ferrailleur)</t>
        </is>
      </c>
      <c r="B56" s="7" t="inlineStr">
        <is>
          <t>FCFA/j</t>
        </is>
      </c>
      <c r="C56" s="22" t="n">
        <v>10000</v>
      </c>
      <c r="D56" s="8" t="inlineStr">
        <is>
          <t>Indicatif</t>
        </is>
      </c>
    </row>
    <row r="57">
      <c r="A57" s="17" t="inlineStr">
        <is>
          <t>Manœuvre</t>
        </is>
      </c>
      <c r="B57" s="7" t="inlineStr">
        <is>
          <t>FCFA/j</t>
        </is>
      </c>
      <c r="C57" s="22" t="n">
        <v>5000</v>
      </c>
      <c r="D57" s="8" t="inlineStr">
        <is>
          <t>Indicatif</t>
        </is>
      </c>
    </row>
    <row r="58">
      <c r="A58" s="5" t="inlineStr">
        <is>
          <t>MATÉRIEL ET RENDEMENTS</t>
        </is>
      </c>
      <c r="B58" s="6" t="n"/>
      <c r="C58" s="6" t="n"/>
      <c r="D58" s="6" t="n"/>
    </row>
    <row r="59">
      <c r="A59" s="17" t="inlineStr">
        <is>
          <t>Pelle hydraulique avec conducteur et carburant</t>
        </is>
      </c>
      <c r="B59" s="7" t="inlineStr">
        <is>
          <t>FCFA/j</t>
        </is>
      </c>
      <c r="C59" s="22" t="n">
        <v>350000</v>
      </c>
      <c r="D59" s="8" t="inlineStr">
        <is>
          <t>Location indicative</t>
        </is>
      </c>
    </row>
    <row r="60">
      <c r="A60" s="17" t="inlineStr">
        <is>
          <t>Rendement pelle (déblai)</t>
        </is>
      </c>
      <c r="B60" s="7" t="inlineStr">
        <is>
          <t>m³/j</t>
        </is>
      </c>
      <c r="C60" s="22" t="n">
        <v>250</v>
      </c>
      <c r="D60" s="8" t="inlineStr">
        <is>
          <t>Hypothèse</t>
        </is>
      </c>
    </row>
    <row r="61">
      <c r="A61" s="17" t="inlineStr">
        <is>
          <t>Camion benne (évacuation)</t>
        </is>
      </c>
      <c r="B61" s="7" t="inlineStr">
        <is>
          <t>FCFA/j</t>
        </is>
      </c>
      <c r="C61" s="22" t="n">
        <v>150000</v>
      </c>
      <c r="D61" s="8" t="inlineStr">
        <is>
          <t>Location indicative</t>
        </is>
      </c>
    </row>
    <row r="62">
      <c r="A62" s="17" t="inlineStr">
        <is>
          <t>Rendement évacuation par camion</t>
        </is>
      </c>
      <c r="B62" s="7" t="inlineStr">
        <is>
          <t>m³/j</t>
        </is>
      </c>
      <c r="C62" s="23" t="n">
        <v>60</v>
      </c>
      <c r="D62" s="8" t="inlineStr">
        <is>
          <t>Hypothèse – décharge ≤ 5 km</t>
        </is>
      </c>
    </row>
    <row r="63">
      <c r="A63" s="17" t="inlineStr">
        <is>
          <t>Compacteur (plaque/rouleau) + carburant</t>
        </is>
      </c>
      <c r="B63" s="7" t="inlineStr">
        <is>
          <t>FCFA/j</t>
        </is>
      </c>
      <c r="C63" s="22" t="n">
        <v>75000</v>
      </c>
      <c r="D63" s="8" t="inlineStr">
        <is>
          <t>Location indicative</t>
        </is>
      </c>
    </row>
    <row r="64">
      <c r="A64" s="17" t="inlineStr">
        <is>
          <t>Rendement compactage</t>
        </is>
      </c>
      <c r="B64" s="7" t="inlineStr">
        <is>
          <t>m²/j</t>
        </is>
      </c>
      <c r="C64" s="22" t="n">
        <v>800</v>
      </c>
      <c r="D64" s="8" t="inlineStr">
        <is>
          <t>Hypothèse</t>
        </is>
      </c>
    </row>
    <row r="65">
      <c r="A65" s="17" t="inlineStr">
        <is>
          <t>Bétonnière 350 L + aiguille vibrante + carburant</t>
        </is>
      </c>
      <c r="B65" s="7" t="inlineStr">
        <is>
          <t>FCFA/j</t>
        </is>
      </c>
      <c r="C65" s="22" t="n">
        <v>45000</v>
      </c>
      <c r="D65" s="8" t="inlineStr">
        <is>
          <t>Location indicative</t>
        </is>
      </c>
    </row>
    <row r="66">
      <c r="A66" s="17" t="inlineStr">
        <is>
          <t>Rendement bétonnage radier (1 chef, 2 maçons, 8 manœuvres)</t>
        </is>
      </c>
      <c r="B66" s="7" t="inlineStr">
        <is>
          <t>m³/j</t>
        </is>
      </c>
      <c r="C66" s="23" t="n">
        <v>12</v>
      </c>
      <c r="D66" s="8" t="inlineStr">
        <is>
          <t>Hypothèse</t>
        </is>
      </c>
    </row>
    <row r="67">
      <c r="A67" s="17" t="inlineStr">
        <is>
          <t>Rendement bétonnage voiles (même équipe)</t>
        </is>
      </c>
      <c r="B67" s="7" t="inlineStr">
        <is>
          <t>m³/j</t>
        </is>
      </c>
      <c r="C67" s="23" t="n">
        <v>8</v>
      </c>
      <c r="D67" s="8" t="inlineStr">
        <is>
          <t>Hypothèse</t>
        </is>
      </c>
    </row>
    <row r="68">
      <c r="A68" s="17" t="inlineStr">
        <is>
          <t>Rendement béton de propreté</t>
        </is>
      </c>
      <c r="B68" s="7" t="inlineStr">
        <is>
          <t>m³/j</t>
        </is>
      </c>
      <c r="C68" s="23" t="n">
        <v>15</v>
      </c>
      <c r="D68" s="8" t="inlineStr">
        <is>
          <t>Hypothèse</t>
        </is>
      </c>
    </row>
    <row r="69">
      <c r="A69" s="17" t="inlineStr">
        <is>
          <t>Rendement coffrage voiles (1 coffreur + 1 aide)</t>
        </is>
      </c>
      <c r="B69" s="7" t="inlineStr">
        <is>
          <t>m²/j</t>
        </is>
      </c>
      <c r="C69" s="23" t="n">
        <v>12</v>
      </c>
      <c r="D69" s="8" t="inlineStr">
        <is>
          <t>Pose + décoffrage</t>
        </is>
      </c>
    </row>
    <row r="70">
      <c r="A70" s="17" t="inlineStr">
        <is>
          <t>Rendement coffrage rives radier</t>
        </is>
      </c>
      <c r="B70" s="7" t="inlineStr">
        <is>
          <t>m²/j</t>
        </is>
      </c>
      <c r="C70" s="23" t="n">
        <v>20</v>
      </c>
      <c r="D70" s="8" t="inlineStr">
        <is>
          <t>Pose + décoffrage</t>
        </is>
      </c>
    </row>
    <row r="71">
      <c r="A71" s="17" t="inlineStr">
        <is>
          <t>Rendement ferraillage (1 ferrailleur + 1 aide)</t>
        </is>
      </c>
      <c r="B71" s="7" t="inlineStr">
        <is>
          <t>kg/j</t>
        </is>
      </c>
      <c r="C71" s="22" t="n">
        <v>250</v>
      </c>
      <c r="D71" s="8" t="inlineStr">
        <is>
          <t>Façonnage + pose</t>
        </is>
      </c>
    </row>
    <row r="72">
      <c r="A72" s="17" t="inlineStr">
        <is>
          <t>Rendement pose joints</t>
        </is>
      </c>
      <c r="B72" s="7" t="inlineStr">
        <is>
          <t>ml/j</t>
        </is>
      </c>
      <c r="C72" s="23" t="n">
        <v>20</v>
      </c>
      <c r="D72" s="8" t="inlineStr">
        <is>
          <t>Hypothèse</t>
        </is>
      </c>
    </row>
    <row r="73">
      <c r="A73" s="5" t="inlineStr">
        <is>
          <t>COEFFICIENTS</t>
        </is>
      </c>
      <c r="B73" s="6" t="n"/>
      <c r="C73" s="6" t="n"/>
      <c r="D73" s="6" t="n"/>
    </row>
    <row r="74">
      <c r="A74" s="17" t="inlineStr">
        <is>
          <t>Coefficient de vente K (FG + aléas + bénéfice)</t>
        </is>
      </c>
      <c r="B74" s="7" t="inlineStr">
        <is>
          <t>-</t>
        </is>
      </c>
      <c r="C74" s="23" t="n">
        <v>1.3</v>
      </c>
      <c r="D74" s="8" t="inlineStr">
        <is>
          <t>Hypothèse : FG 15 % + aléas 5 % + bénéfice 10 %</t>
        </is>
      </c>
    </row>
    <row r="75">
      <c r="A75" s="17" t="inlineStr">
        <is>
          <t>TVA</t>
        </is>
      </c>
      <c r="B75" s="7" t="inlineStr">
        <is>
          <t>%</t>
        </is>
      </c>
      <c r="C75" s="24" t="n">
        <v>0.18</v>
      </c>
      <c r="D75" s="8" t="inlineStr">
        <is>
          <t>Côte d'Ivoire</t>
        </is>
      </c>
    </row>
  </sheetData>
  <mergeCells count="10">
    <mergeCell ref="A1:D1"/>
    <mergeCell ref="A58:D58"/>
    <mergeCell ref="A4:D4"/>
    <mergeCell ref="A3:D3"/>
    <mergeCell ref="A20:D20"/>
    <mergeCell ref="A38:D38"/>
    <mergeCell ref="A54:D54"/>
    <mergeCell ref="A7:D7"/>
    <mergeCell ref="A73:D73"/>
    <mergeCell ref="A2:D2"/>
  </mergeCells>
  <pageMargins left="0.75" right="0.75" top="1" bottom="1" header="0.5" footer="0.5"/>
  <pageSetup orientation="landscape" fitToHeight="0" fitToWidth="1"/>
  <headerFooter>
    <oddHeader>&amp;RMoulo Jean Claude – BTP Abidjan</oddHeader>
    <oddFooter>&amp;CPage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48" customWidth="1" min="9" max="9"/>
  </cols>
  <sheetData>
    <row r="1">
      <c r="A1" s="1" t="inlineStr">
        <is>
          <t>RÉALISATION DE VOILES (2 × 170 m, H = 2,40 m) ET RADIER (170 m × 4,00 m × 0,20 m)</t>
        </is>
      </c>
    </row>
    <row r="2">
      <c r="A2" s="2" t="inlineStr">
        <is>
          <t>AVANT-MÉTRÉ ET NOMENCLATURE DES ACIERS</t>
        </is>
      </c>
    </row>
    <row r="3">
      <c r="A3" s="3" t="inlineStr">
        <is>
          <t>Établi par : Moulo Jean Claude – Technicien Génie Civil BTP – Abidjan    |    Date : 01/10/2026    |    Monnaie : FCFA</t>
        </is>
      </c>
    </row>
    <row r="4">
      <c r="A4" s="3" t="inlineStr">
        <is>
          <t>Normes : EC2 (NF EN 1992-1-1) / BAEL 91 mod. 99 – Aciers FE500 (HA) – Contexte : sol latéritique, climat tropical humide</t>
        </is>
      </c>
    </row>
    <row r="6" ht="30" customHeight="1">
      <c r="A6" s="4" t="inlineStr">
        <is>
          <t>Réf.</t>
        </is>
      </c>
      <c r="B6" s="4" t="inlineStr">
        <is>
          <t>Désignation</t>
        </is>
      </c>
      <c r="C6" s="4" t="inlineStr">
        <is>
          <t>Unité</t>
        </is>
      </c>
      <c r="D6" s="4" t="inlineStr">
        <is>
          <t>Formule / détail</t>
        </is>
      </c>
      <c r="E6" s="4" t="inlineStr"/>
      <c r="F6" s="4" t="inlineStr"/>
      <c r="G6" s="4" t="inlineStr"/>
      <c r="H6" s="4" t="inlineStr">
        <is>
          <t>Quantité</t>
        </is>
      </c>
      <c r="I6" s="4" t="inlineStr">
        <is>
          <t>Observation</t>
        </is>
      </c>
    </row>
    <row r="7">
      <c r="A7" s="5" t="inlineStr">
        <is>
          <t>1. TERRASSEMENTS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7" t="inlineStr">
        <is>
          <t>T1</t>
        </is>
      </c>
      <c r="B8" s="8" t="inlineStr">
        <is>
          <t>Implantation et piquetage</t>
        </is>
      </c>
      <c r="C8" s="7" t="inlineStr">
        <is>
          <t>ml</t>
        </is>
      </c>
      <c r="D8" s="8" t="inlineStr">
        <is>
          <t>L</t>
        </is>
      </c>
      <c r="E8" s="6" t="n"/>
      <c r="F8" s="6" t="n"/>
      <c r="G8" s="6" t="n"/>
      <c r="H8" s="25">
        <f>Hypotheses!$C$8</f>
        <v/>
      </c>
      <c r="I8" s="8" t="inlineStr"/>
    </row>
    <row r="9">
      <c r="A9" s="7" t="inlineStr">
        <is>
          <t>T2</t>
        </is>
      </c>
      <c r="B9" s="8" t="inlineStr">
        <is>
          <t>Déblai en fouille (radier)</t>
        </is>
      </c>
      <c r="C9" s="7" t="inlineStr">
        <is>
          <t>m³</t>
        </is>
      </c>
      <c r="D9" s="8" t="inlineStr">
        <is>
          <t>L × (B + 2×surlargeur) × profondeur</t>
        </is>
      </c>
      <c r="E9" s="6" t="n"/>
      <c r="F9" s="6" t="n"/>
      <c r="G9" s="6" t="n"/>
      <c r="H9" s="25">
        <f>Hypotheses!$C$8*(Hypotheses!$C$12+2*Hypotheses!$C$15)*Hypotheses!$C$16</f>
        <v/>
      </c>
      <c r="I9" s="8" t="inlineStr"/>
    </row>
    <row r="10">
      <c r="A10" s="7" t="inlineStr">
        <is>
          <t>T3</t>
        </is>
      </c>
      <c r="B10" s="8" t="inlineStr">
        <is>
          <t>Compactage du fond de fouille à 95 % OPM</t>
        </is>
      </c>
      <c r="C10" s="7" t="inlineStr">
        <is>
          <t>m²</t>
        </is>
      </c>
      <c r="D10" s="8" t="inlineStr">
        <is>
          <t>L × (B + 2×surlargeur)</t>
        </is>
      </c>
      <c r="E10" s="6" t="n"/>
      <c r="F10" s="6" t="n"/>
      <c r="G10" s="6" t="n"/>
      <c r="H10" s="25">
        <f>Hypotheses!$C$8*(Hypotheses!$C$12+2*Hypotheses!$C$15)</f>
        <v/>
      </c>
      <c r="I10" s="8" t="inlineStr">
        <is>
          <t>Purge des poches argileuses si rencontrées</t>
        </is>
      </c>
    </row>
    <row r="11">
      <c r="A11" s="5" t="inlineStr">
        <is>
          <t>2. BÉTONS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7" t="inlineStr">
        <is>
          <t>B1</t>
        </is>
      </c>
      <c r="B12" s="8" t="inlineStr">
        <is>
          <t>Béton de propreté dosé à 150 kg/m³</t>
        </is>
      </c>
      <c r="C12" s="7" t="inlineStr">
        <is>
          <t>m³</t>
        </is>
      </c>
      <c r="D12" s="8" t="inlineStr">
        <is>
          <t>L × (B + 2×débord) × e</t>
        </is>
      </c>
      <c r="E12" s="6" t="n"/>
      <c r="F12" s="6" t="n"/>
      <c r="G12" s="6" t="n"/>
      <c r="H12" s="25">
        <f>Hypotheses!$C$8*(Hypotheses!$C$12+2*Hypotheses!$C$18)*Hypotheses!$C$17</f>
        <v/>
      </c>
      <c r="I12" s="8" t="inlineStr"/>
    </row>
    <row r="13">
      <c r="A13" s="7" t="inlineStr">
        <is>
          <t>B2</t>
        </is>
      </c>
      <c r="B13" s="8" t="inlineStr">
        <is>
          <t>Béton armé radier dosé à 350 kg/m³ (C25/30)</t>
        </is>
      </c>
      <c r="C13" s="7" t="inlineStr">
        <is>
          <t>m³</t>
        </is>
      </c>
      <c r="D13" s="8" t="inlineStr">
        <is>
          <t>L × B × e</t>
        </is>
      </c>
      <c r="E13" s="6" t="n"/>
      <c r="F13" s="6" t="n"/>
      <c r="G13" s="6" t="n"/>
      <c r="H13" s="25">
        <f>Hypotheses!$C$8*Hypotheses!$C$12*Hypotheses!$C$13</f>
        <v/>
      </c>
      <c r="I13" s="8" t="inlineStr"/>
    </row>
    <row r="14">
      <c r="A14" s="7" t="inlineStr">
        <is>
          <t>B3</t>
        </is>
      </c>
      <c r="B14" s="8" t="inlineStr">
        <is>
          <t>Béton armé voiles dosé à 350 kg/m³ (C25/30)</t>
        </is>
      </c>
      <c r="C14" s="7" t="inlineStr">
        <is>
          <t>m³</t>
        </is>
      </c>
      <c r="D14" s="8" t="inlineStr">
        <is>
          <t>Nv × L × H × e</t>
        </is>
      </c>
      <c r="E14" s="6" t="n"/>
      <c r="F14" s="6" t="n"/>
      <c r="G14" s="6" t="n"/>
      <c r="H14" s="25">
        <f>Hypotheses!$C$9*Hypotheses!$C$8*Hypotheses!$C$10*Hypotheses!$C$11</f>
        <v/>
      </c>
      <c r="I14" s="8" t="inlineStr">
        <is>
          <t>Épaisseur 20 cm supposée</t>
        </is>
      </c>
    </row>
    <row r="15">
      <c r="A15" s="5" t="inlineStr">
        <is>
          <t>3. COFFRAGES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7" t="inlineStr">
        <is>
          <t>C1</t>
        </is>
      </c>
      <c r="B16" s="8" t="inlineStr">
        <is>
          <t>Coffrage des rives du radier</t>
        </is>
      </c>
      <c r="C16" s="7" t="inlineStr">
        <is>
          <t>m²</t>
        </is>
      </c>
      <c r="D16" s="8" t="inlineStr">
        <is>
          <t>Périmètre × e</t>
        </is>
      </c>
      <c r="E16" s="6" t="n"/>
      <c r="F16" s="6" t="n"/>
      <c r="G16" s="6" t="n"/>
      <c r="H16" s="25">
        <f>(2*Hypotheses!$C$8+2*Hypotheses!$C$12)*Hypotheses!$C$13</f>
        <v/>
      </c>
      <c r="I16" s="8" t="inlineStr"/>
    </row>
    <row r="17">
      <c r="A17" s="7" t="inlineStr">
        <is>
          <t>C2</t>
        </is>
      </c>
      <c r="B17" s="8" t="inlineStr">
        <is>
          <t>Coffrage des voiles (2 faces + abouts)</t>
        </is>
      </c>
      <c r="C17" s="7" t="inlineStr">
        <is>
          <t>m²</t>
        </is>
      </c>
      <c r="D17" s="8" t="inlineStr">
        <is>
          <t>Nv × (2 faces × L × H + 2 abouts)</t>
        </is>
      </c>
      <c r="E17" s="6" t="n"/>
      <c r="F17" s="6" t="n"/>
      <c r="G17" s="6" t="n"/>
      <c r="H17" s="25">
        <f>Hypotheses!$C$9*(2*Hypotheses!$C$8*Hypotheses!$C$10+2*Hypotheses!$C$11*Hypotheses!$C$10)</f>
        <v/>
      </c>
      <c r="I17" s="8" t="inlineStr"/>
    </row>
    <row r="18">
      <c r="A18" s="5" t="inlineStr">
        <is>
          <t>4. DIVERS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7" t="inlineStr">
        <is>
          <t>J1</t>
        </is>
      </c>
      <c r="B19" s="8" t="inlineStr">
        <is>
          <t>Joints de dilatation (radier + 2 voiles)</t>
        </is>
      </c>
      <c r="C19" s="7" t="inlineStr">
        <is>
          <t>ml</t>
        </is>
      </c>
      <c r="D19" s="8" t="inlineStr">
        <is>
          <t>(nb joints) × (B + Nv × H)</t>
        </is>
      </c>
      <c r="E19" s="6" t="n"/>
      <c r="F19" s="6" t="n"/>
      <c r="G19" s="6" t="n"/>
      <c r="H19" s="25">
        <f>(ROUNDUP(Hypotheses!$C$8/Hypotheses!$C$37,0)-1)*(Hypotheses!$C$12+Hypotheses!$C$9*Hypotheses!$C$10)</f>
        <v/>
      </c>
      <c r="I19" s="8" t="inlineStr">
        <is>
          <t>Joint tous les 15 m</t>
        </is>
      </c>
    </row>
    <row r="21">
      <c r="A21" s="5" t="inlineStr">
        <is>
          <t>5. NOMENCLATURE DES ACIERS FE500 (quantités nettes, pertes comptées au déboursé)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</row>
    <row r="22" ht="30" customHeight="1">
      <c r="A22" s="4" t="inlineStr">
        <is>
          <t>Rep.</t>
        </is>
      </c>
      <c r="B22" s="4" t="inlineStr">
        <is>
          <t>Désignation</t>
        </is>
      </c>
      <c r="C22" s="4" t="inlineStr">
        <is>
          <t>Ø (mm)</t>
        </is>
      </c>
      <c r="D22" s="4" t="inlineStr">
        <is>
          <t>Esp. (m)</t>
        </is>
      </c>
      <c r="E22" s="4" t="inlineStr">
        <is>
          <t>Nb barres</t>
        </is>
      </c>
      <c r="F22" s="4" t="inlineStr">
        <is>
          <t>L unit. (m)</t>
        </is>
      </c>
      <c r="G22" s="4" t="inlineStr">
        <is>
          <t>L totale (m)</t>
        </is>
      </c>
      <c r="H22" s="4" t="inlineStr">
        <is>
          <t>Masse (kg)</t>
        </is>
      </c>
      <c r="I22" s="4" t="inlineStr">
        <is>
          <t>Mode de calcul</t>
        </is>
      </c>
    </row>
    <row r="23">
      <c r="A23" s="7" t="inlineStr">
        <is>
          <t>V1</t>
        </is>
      </c>
      <c r="B23" s="8" t="inlineStr">
        <is>
          <t>Voiles – barres verticales, 2 nappes</t>
        </is>
      </c>
      <c r="C23" s="7" t="n">
        <v>12</v>
      </c>
      <c r="D23" s="26">
        <f>Hypotheses!$C$21</f>
        <v/>
      </c>
      <c r="E23" s="27">
        <f>(ROUNDUP(Hypotheses!$C$8/D23,0)+1)*2*Hypotheses!$C$9</f>
        <v/>
      </c>
      <c r="F23" s="26">
        <f>Hypotheses!$C$10-Hypotheses!$C$14+Hypotheses!$C$13-Hypotheses!$C$14+Hypotheses!$C$30</f>
        <v/>
      </c>
      <c r="G23" s="28">
        <f>E23*F23</f>
        <v/>
      </c>
      <c r="H23" s="25">
        <f>G23*Hypotheses!$C$35</f>
        <v/>
      </c>
      <c r="I23" s="8" t="inlineStr">
        <is>
          <t>(L/esp + 1) × 2 nappes × Nv ; L = H − enr. + ancrage radier + retour</t>
        </is>
      </c>
    </row>
    <row r="24">
      <c r="A24" s="7" t="inlineStr">
        <is>
          <t>V2</t>
        </is>
      </c>
      <c r="B24" s="8" t="inlineStr">
        <is>
          <t>Voiles – barres horizontales, 2 nappes</t>
        </is>
      </c>
      <c r="C24" s="7" t="n">
        <v>8</v>
      </c>
      <c r="D24" s="26">
        <f>Hypotheses!$C$22</f>
        <v/>
      </c>
      <c r="E24" s="27">
        <f>(ROUNDUP((Hypotheses!$C$10-Hypotheses!$C$14)/D24,0)+1)*2*Hypotheses!$C$9</f>
        <v/>
      </c>
      <c r="F24" s="26">
        <f>Hypotheses!$C$8-2*Hypotheses!$C$14+2*Hypotheses!$C$29+(ROUNDUP(Hypotheses!$C$8/Hypotheses!$C$32,0)-1)*Hypotheses!$C$31*8/1000</f>
        <v/>
      </c>
      <c r="G24" s="28">
        <f>E24*F24</f>
        <v/>
      </c>
      <c r="H24" s="25">
        <f>G24*Hypotheses!$C$33</f>
        <v/>
      </c>
      <c r="I24" s="8" t="inlineStr">
        <is>
          <t>Nb filants = (H/esp + 1) × 2 × Nv ; L = L + retours + recouvrements 50Ø</t>
        </is>
      </c>
    </row>
    <row r="25">
      <c r="A25" s="7" t="inlineStr">
        <is>
          <t>V3</t>
        </is>
      </c>
      <c r="B25" s="8" t="inlineStr">
        <is>
          <t>Voiles – épingles de liaison des nappes</t>
        </is>
      </c>
      <c r="C25" s="7" t="n">
        <v>8</v>
      </c>
      <c r="D25" s="26" t="inlineStr"/>
      <c r="E25" s="27">
        <f>ROUNDUP(Hypotheses!$C$9*Hypotheses!$C$8*Hypotheses!$C$10*Hypotheses!$C$27,0)</f>
        <v/>
      </c>
      <c r="F25" s="26">
        <f>Hypotheses!$C$11-2*Hypotheses!$C$14+2*0.10</f>
        <v/>
      </c>
      <c r="G25" s="28">
        <f>E25*F25</f>
        <v/>
      </c>
      <c r="H25" s="25">
        <f>G25*Hypotheses!$C$33</f>
        <v/>
      </c>
      <c r="I25" s="8" t="inlineStr">
        <is>
          <t>4 u/m² ; L = e − 2 enr. + 2 crochets</t>
        </is>
      </c>
    </row>
    <row r="26">
      <c r="A26" s="7" t="inlineStr">
        <is>
          <t>V4</t>
        </is>
      </c>
      <c r="B26" s="8" t="inlineStr">
        <is>
          <t>Plantants en U (jonction voile / radier)</t>
        </is>
      </c>
      <c r="C26" s="7" t="n">
        <v>8</v>
      </c>
      <c r="D26" s="26">
        <f>Hypotheses!$C$25</f>
        <v/>
      </c>
      <c r="E26" s="27">
        <f>(ROUNDUP(Hypotheses!$C$8/D26,0)+1)*Hypotheses!$C$9</f>
        <v/>
      </c>
      <c r="F26" s="26">
        <f>2*(Hypotheses!$C$26+Hypotheses!$C$13-Hypotheses!$C$14)+(Hypotheses!$C$11-2*Hypotheses!$C$14)</f>
        <v/>
      </c>
      <c r="G26" s="28">
        <f>E26*F26</f>
        <v/>
      </c>
      <c r="H26" s="25">
        <f>G26*Hypotheses!$C$33</f>
        <v/>
      </c>
      <c r="I26" s="8" t="inlineStr">
        <is>
          <t>U ancré dans le radier, 2 jambes de 0,60 m dans le voile (une par nappe)</t>
        </is>
      </c>
    </row>
    <row r="27">
      <c r="A27" s="7" t="inlineStr">
        <is>
          <t>R1</t>
        </is>
      </c>
      <c r="B27" s="8" t="inlineStr">
        <is>
          <t>Radier – barres transversales, 2 nappes</t>
        </is>
      </c>
      <c r="C27" s="7" t="n">
        <v>12</v>
      </c>
      <c r="D27" s="26">
        <f>Hypotheses!$C$23</f>
        <v/>
      </c>
      <c r="E27" s="27">
        <f>(ROUNDUP(Hypotheses!$C$8/D27,0)+1)*2</f>
        <v/>
      </c>
      <c r="F27" s="26">
        <f>Hypotheses!$C$12-2*Hypotheses!$C$14+2*Hypotheses!$C$29</f>
        <v/>
      </c>
      <c r="G27" s="28">
        <f>E27*F27</f>
        <v/>
      </c>
      <c r="H27" s="25">
        <f>G27*Hypotheses!$C$35</f>
        <v/>
      </c>
      <c r="I27" s="8" t="inlineStr">
        <is>
          <t>(L/esp + 1) × 2 nappes ; L = B − 2 enr. + 2 retours</t>
        </is>
      </c>
    </row>
    <row r="28">
      <c r="A28" s="7" t="inlineStr">
        <is>
          <t>R2</t>
        </is>
      </c>
      <c r="B28" s="8" t="inlineStr">
        <is>
          <t>Radier – barres longitudinales, 2 nappes</t>
        </is>
      </c>
      <c r="C28" s="7" t="n">
        <v>10</v>
      </c>
      <c r="D28" s="26">
        <f>Hypotheses!$C$24</f>
        <v/>
      </c>
      <c r="E28" s="27">
        <f>(ROUNDUP((Hypotheses!$C$12-2*Hypotheses!$C$14)/D28,0)+1)*2</f>
        <v/>
      </c>
      <c r="F28" s="26">
        <f>Hypotheses!$C$8-2*Hypotheses!$C$14+2*Hypotheses!$C$29+(ROUNDUP(Hypotheses!$C$8/Hypotheses!$C$32,0)-1)*Hypotheses!$C$31*10/1000</f>
        <v/>
      </c>
      <c r="G28" s="28">
        <f>E28*F28</f>
        <v/>
      </c>
      <c r="H28" s="25">
        <f>G28*Hypotheses!$C$34</f>
        <v/>
      </c>
      <c r="I28" s="8" t="inlineStr">
        <is>
          <t>Nb filants = (B/esp + 1) × 2 ; L avec recouvrements 50Ø</t>
        </is>
      </c>
    </row>
    <row r="29">
      <c r="A29" s="7" t="inlineStr">
        <is>
          <t>R3</t>
        </is>
      </c>
      <c r="B29" s="8" t="inlineStr">
        <is>
          <t>Radier – chaises support nappe supérieure</t>
        </is>
      </c>
      <c r="C29" s="7" t="n">
        <v>10</v>
      </c>
      <c r="D29" s="26" t="inlineStr"/>
      <c r="E29" s="27">
        <f>ROUNDUP(Hypotheses!$C$8*Hypotheses!$C$12*Hypotheses!$C$28,0)</f>
        <v/>
      </c>
      <c r="F29" s="26">
        <f>0.60</f>
        <v/>
      </c>
      <c r="G29" s="28">
        <f>E29*F29</f>
        <v/>
      </c>
      <c r="H29" s="25">
        <f>G29*Hypotheses!$C$34</f>
        <v/>
      </c>
      <c r="I29" s="8" t="inlineStr">
        <is>
          <t>1 u/m²</t>
        </is>
      </c>
    </row>
    <row r="30">
      <c r="A30" s="12" t="inlineStr">
        <is>
          <t>TOTAL HA8 (kg nets)</t>
        </is>
      </c>
      <c r="B30" s="6" t="n"/>
      <c r="C30" s="6" t="n"/>
      <c r="D30" s="6" t="n"/>
      <c r="E30" s="6" t="n"/>
      <c r="F30" s="6" t="n"/>
      <c r="G30" s="6" t="n"/>
      <c r="H30" s="29">
        <f>SUMIF($C$23:$C$29,8,$H$23:$H$29)</f>
        <v/>
      </c>
      <c r="I30" s="14" t="inlineStr"/>
    </row>
    <row r="31">
      <c r="A31" s="12" t="inlineStr">
        <is>
          <t>TOTAL HA10 (kg nets)</t>
        </is>
      </c>
      <c r="B31" s="6" t="n"/>
      <c r="C31" s="6" t="n"/>
      <c r="D31" s="6" t="n"/>
      <c r="E31" s="6" t="n"/>
      <c r="F31" s="6" t="n"/>
      <c r="G31" s="6" t="n"/>
      <c r="H31" s="29">
        <f>SUMIF($C$23:$C$29,10,$H$23:$H$29)</f>
        <v/>
      </c>
      <c r="I31" s="14" t="inlineStr"/>
    </row>
    <row r="32">
      <c r="A32" s="12" t="inlineStr">
        <is>
          <t>TOTAL HA12 (kg nets)</t>
        </is>
      </c>
      <c r="B32" s="6" t="n"/>
      <c r="C32" s="6" t="n"/>
      <c r="D32" s="6" t="n"/>
      <c r="E32" s="6" t="n"/>
      <c r="F32" s="6" t="n"/>
      <c r="G32" s="6" t="n"/>
      <c r="H32" s="29">
        <f>SUMIF($C$23:$C$29,12,$H$23:$H$29)</f>
        <v/>
      </c>
      <c r="I32" s="14" t="inlineStr"/>
    </row>
    <row r="33">
      <c r="A33" s="12" t="inlineStr">
        <is>
          <t>TOTAL ACIERS (kg nets)</t>
        </is>
      </c>
      <c r="B33" s="6" t="n"/>
      <c r="C33" s="6" t="n"/>
      <c r="D33" s="6" t="n"/>
      <c r="E33" s="6" t="n"/>
      <c r="F33" s="6" t="n"/>
      <c r="G33" s="6" t="n"/>
      <c r="H33" s="29">
        <f>SUM(H30:H32)</f>
        <v/>
      </c>
      <c r="I33" s="14" t="inlineStr"/>
    </row>
    <row r="34">
      <c r="A34" s="15" t="inlineStr">
        <is>
          <t>Ratio acier (kg/m³ de béton armé)</t>
        </is>
      </c>
      <c r="B34" s="6" t="n"/>
      <c r="C34" s="6" t="n"/>
      <c r="D34" s="6" t="n"/>
      <c r="E34" s="6" t="n"/>
      <c r="F34" s="6" t="n"/>
      <c r="G34" s="6" t="n"/>
      <c r="H34" s="30">
        <f>H33/('Avant-metre'!$H$13+'Avant-metre'!$H$14)</f>
        <v/>
      </c>
      <c r="I34" s="8" t="inlineStr">
        <is>
          <t>Ordre de grandeur usuel voiles/radiers : 60 à 120 kg/m³</t>
        </is>
      </c>
    </row>
    <row r="36">
      <c r="A36" s="5" t="inlineStr">
        <is>
          <t>6. VÉRIFICATION DES SECTIONS MINIMALES (EC2 §9.6 et §9.3 / BAEL)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7" ht="30" customHeight="1">
      <c r="A37" s="4" t="inlineStr">
        <is>
          <t>Élément</t>
        </is>
      </c>
      <c r="B37" s="4" t="inlineStr">
        <is>
          <t>Vérification</t>
        </is>
      </c>
      <c r="C37" s="4" t="inlineStr">
        <is>
          <t>Unité</t>
        </is>
      </c>
      <c r="D37" s="4" t="inlineStr">
        <is>
          <t>Calcul</t>
        </is>
      </c>
      <c r="E37" s="4" t="inlineStr"/>
      <c r="F37" s="4" t="inlineStr"/>
      <c r="G37" s="4" t="inlineStr"/>
      <c r="H37" s="4" t="inlineStr">
        <is>
          <t>Valeur</t>
        </is>
      </c>
      <c r="I37" s="4" t="inlineStr">
        <is>
          <t>Conclusion</t>
        </is>
      </c>
    </row>
    <row r="38">
      <c r="A38" s="7" t="inlineStr">
        <is>
          <t>Voile</t>
        </is>
      </c>
      <c r="B38" s="8" t="inlineStr">
        <is>
          <t>As,v fourni (HA12, 2 nappes)</t>
        </is>
      </c>
      <c r="C38" s="7" t="inlineStr">
        <is>
          <t>mm²/m</t>
        </is>
      </c>
      <c r="D38" s="8" t="inlineStr">
        <is>
          <t>2 × π×12²/4 / s</t>
        </is>
      </c>
      <c r="E38" s="6" t="n"/>
      <c r="F38" s="6" t="n"/>
      <c r="G38" s="6" t="n"/>
      <c r="H38" s="27">
        <f>2*PI()*12^2/4/Hypotheses!$C$21</f>
        <v/>
      </c>
      <c r="I38" s="8">
        <f>IF(H38&gt;=H39,"OK","À renforcer")</f>
        <v/>
      </c>
    </row>
    <row r="39">
      <c r="A39" s="7" t="inlineStr">
        <is>
          <t>Voile</t>
        </is>
      </c>
      <c r="B39" s="8" t="inlineStr">
        <is>
          <t>As,v,min = 0,002·Ac</t>
        </is>
      </c>
      <c r="C39" s="7" t="inlineStr">
        <is>
          <t>mm²/m</t>
        </is>
      </c>
      <c r="D39" s="8" t="inlineStr">
        <is>
          <t>EC2 §9.6.2(1)</t>
        </is>
      </c>
      <c r="E39" s="6" t="n"/>
      <c r="F39" s="6" t="n"/>
      <c r="G39" s="6" t="n"/>
      <c r="H39" s="27">
        <f>0.002*Hypotheses!$C$11*1000*1000</f>
        <v/>
      </c>
      <c r="I39" s="8" t="inlineStr"/>
    </row>
    <row r="40">
      <c r="A40" s="7" t="inlineStr">
        <is>
          <t>Voile</t>
        </is>
      </c>
      <c r="B40" s="8" t="inlineStr">
        <is>
          <t>As,h fourni (HA8, 2 nappes)</t>
        </is>
      </c>
      <c r="C40" s="7" t="inlineStr">
        <is>
          <t>mm²/m</t>
        </is>
      </c>
      <c r="D40" s="8" t="inlineStr">
        <is>
          <t>2 × π×8²/4 / s</t>
        </is>
      </c>
      <c r="E40" s="6" t="n"/>
      <c r="F40" s="6" t="n"/>
      <c r="G40" s="6" t="n"/>
      <c r="H40" s="27">
        <f>2*PI()*8^2/4/Hypotheses!$C$22</f>
        <v/>
      </c>
      <c r="I40" s="8">
        <f>IF(H40&gt;=H41,"OK","À renforcer")</f>
        <v/>
      </c>
    </row>
    <row r="41">
      <c r="A41" s="7" t="inlineStr">
        <is>
          <t>Voile</t>
        </is>
      </c>
      <c r="B41" s="8" t="inlineStr">
        <is>
          <t>As,h,min = max(25 % As,v ; 0,001·Ac)</t>
        </is>
      </c>
      <c r="C41" s="7" t="inlineStr">
        <is>
          <t>mm²/m</t>
        </is>
      </c>
      <c r="D41" s="8" t="inlineStr">
        <is>
          <t>EC2 §9.6.3(1)</t>
        </is>
      </c>
      <c r="E41" s="6" t="n"/>
      <c r="F41" s="6" t="n"/>
      <c r="G41" s="6" t="n"/>
      <c r="H41" s="27">
        <f>MAX(0.25*H38,0.001*Hypotheses!$C$11*1e6)</f>
        <v/>
      </c>
      <c r="I41" s="8" t="inlineStr"/>
    </row>
    <row r="42">
      <c r="A42" s="7" t="inlineStr">
        <is>
          <t>Radier</t>
        </is>
      </c>
      <c r="B42" s="8" t="inlineStr">
        <is>
          <t>As transv. fourni par nappe (HA12)</t>
        </is>
      </c>
      <c r="C42" s="7" t="inlineStr">
        <is>
          <t>mm²/m</t>
        </is>
      </c>
      <c r="D42" s="8" t="inlineStr">
        <is>
          <t>π×12²/4 / s</t>
        </is>
      </c>
      <c r="E42" s="6" t="n"/>
      <c r="F42" s="6" t="n"/>
      <c r="G42" s="6" t="n"/>
      <c r="H42" s="27">
        <f>PI()*12^2/4/Hypotheses!$C$23</f>
        <v/>
      </c>
      <c r="I42" s="8">
        <f>IF(H42&gt;=H43,"OK","À renforcer")</f>
        <v/>
      </c>
    </row>
    <row r="43">
      <c r="A43" s="7" t="inlineStr">
        <is>
          <t>Radier</t>
        </is>
      </c>
      <c r="B43" s="8" t="inlineStr">
        <is>
          <t>As,min = max(0,26·fctm/fyk ; 0,0013)·b·d</t>
        </is>
      </c>
      <c r="C43" s="7" t="inlineStr">
        <is>
          <t>mm²/m</t>
        </is>
      </c>
      <c r="D43" s="8" t="inlineStr">
        <is>
          <t>C25/30 : fctm = 2,6 MPa ; d = e − enr. − Ø/2</t>
        </is>
      </c>
      <c r="E43" s="6" t="n"/>
      <c r="F43" s="6" t="n"/>
      <c r="G43" s="6" t="n"/>
      <c r="H43" s="27">
        <f>MAX(0.26*2.6/500,0.0013)*1000*(Hypotheses!$C$13-Hypotheses!$C$14-0.006)*1000</f>
        <v/>
      </c>
      <c r="I43" s="8" t="inlineStr"/>
    </row>
    <row r="44">
      <c r="A44" s="7" t="inlineStr">
        <is>
          <t>Radier</t>
        </is>
      </c>
      <c r="B44" s="8" t="inlineStr">
        <is>
          <t>As long. fourni par nappe (HA10)</t>
        </is>
      </c>
      <c r="C44" s="7" t="inlineStr">
        <is>
          <t>mm²/m</t>
        </is>
      </c>
      <c r="D44" s="8" t="inlineStr">
        <is>
          <t>π×10²/4 / s</t>
        </is>
      </c>
      <c r="E44" s="6" t="n"/>
      <c r="F44" s="6" t="n"/>
      <c r="G44" s="6" t="n"/>
      <c r="H44" s="27">
        <f>PI()*10^2/4/Hypotheses!$C$24</f>
        <v/>
      </c>
      <c r="I44" s="8">
        <f>IF(H44&gt;=0.2*H42,"OK (≥ 20 % As princ.)","À renforcer")</f>
        <v/>
      </c>
    </row>
    <row r="46" ht="30" customHeight="1">
      <c r="A46" s="8" t="inlineStr">
        <is>
          <t>NB : ces vérifications portent uniquement sur les sections minimales et les espacements réglementaires. Les sections réelles doivent être confirmées par une note de calcul (poussée des terres/eau sur voiles, réaction du sol latéritique sous radier).</t>
        </is>
      </c>
    </row>
    <row r="47"/>
  </sheetData>
  <mergeCells count="32">
    <mergeCell ref="A32:G32"/>
    <mergeCell ref="A7:I7"/>
    <mergeCell ref="D9:G9"/>
    <mergeCell ref="D12:G12"/>
    <mergeCell ref="D39:G39"/>
    <mergeCell ref="D8:G8"/>
    <mergeCell ref="A18:I18"/>
    <mergeCell ref="A3:I3"/>
    <mergeCell ref="D42:G42"/>
    <mergeCell ref="D38:G38"/>
    <mergeCell ref="A21:I21"/>
    <mergeCell ref="D14:G14"/>
    <mergeCell ref="A2:I2"/>
    <mergeCell ref="A31:G31"/>
    <mergeCell ref="A34:G34"/>
    <mergeCell ref="D44:G44"/>
    <mergeCell ref="A30:G30"/>
    <mergeCell ref="D19:G19"/>
    <mergeCell ref="D10:G10"/>
    <mergeCell ref="A4:I4"/>
    <mergeCell ref="D40:G40"/>
    <mergeCell ref="D13:G13"/>
    <mergeCell ref="A46:I47"/>
    <mergeCell ref="A15:I15"/>
    <mergeCell ref="D41:G41"/>
    <mergeCell ref="D17:G17"/>
    <mergeCell ref="A11:I11"/>
    <mergeCell ref="A36:I36"/>
    <mergeCell ref="D16:G16"/>
    <mergeCell ref="A1:I1"/>
    <mergeCell ref="D43:G43"/>
    <mergeCell ref="A33:G33"/>
  </mergeCells>
  <pageMargins left="0.75" right="0.75" top="1" bottom="1" header="0.5" footer="0.5"/>
  <pageSetup orientation="landscape" fitToHeight="0" fitToWidth="1"/>
  <headerFooter>
    <oddHeader>&amp;RMoulo Jean Claude – BTP Abidjan</oddHeader>
    <oddFooter>&amp;CPage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6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8" customWidth="1" min="3" max="3"/>
    <col width="12" customWidth="1" min="4" max="4"/>
    <col width="14" customWidth="1" min="5" max="5"/>
    <col width="14" customWidth="1" min="6" max="6"/>
    <col width="2" customWidth="1" min="7" max="7"/>
  </cols>
  <sheetData>
    <row r="1">
      <c r="A1" s="1" t="inlineStr">
        <is>
          <t>RÉALISATION DE VOILES (2 × 170 m, H = 2,40 m) ET RADIER (170 m × 4,00 m × 0,20 m)</t>
        </is>
      </c>
    </row>
    <row r="2">
      <c r="A2" s="2" t="inlineStr">
        <is>
          <t>SOUS-DÉTAILS DE PRIX – DÉBOURSÉ SEC UNITAIRE</t>
        </is>
      </c>
    </row>
    <row r="3">
      <c r="A3" s="3" t="inlineStr">
        <is>
          <t>Établi par : Moulo Jean Claude – Technicien Génie Civil BTP – Abidjan    |    Date : 01/10/2026    |    Monnaie : FCFA</t>
        </is>
      </c>
    </row>
    <row r="4">
      <c r="A4" s="3" t="inlineStr">
        <is>
          <t>Normes : EC2 (NF EN 1992-1-1) / BAEL 91 mod. 99 – Aciers FE500 (HA) – Contexte : sol latéritique, climat tropical humide</t>
        </is>
      </c>
    </row>
    <row r="6">
      <c r="A6" s="5" t="inlineStr">
        <is>
          <t>Prix 000 – Installation et repli de chantier   (unité : Ft)</t>
        </is>
      </c>
      <c r="B6" s="6" t="n"/>
      <c r="C6" s="6" t="n"/>
      <c r="D6" s="6" t="n"/>
      <c r="E6" s="6" t="n"/>
      <c r="F6" s="6" t="n"/>
      <c r="G6" s="6" t="n"/>
    </row>
    <row r="7" ht="30" customHeight="1">
      <c r="A7" s="4" t="inlineStr">
        <is>
          <t>Nature</t>
        </is>
      </c>
      <c r="B7" s="4" t="inlineStr">
        <is>
          <t>Désignation</t>
        </is>
      </c>
      <c r="C7" s="4" t="inlineStr">
        <is>
          <t>Unité</t>
        </is>
      </c>
      <c r="D7" s="4" t="inlineStr">
        <is>
          <t>Quantité</t>
        </is>
      </c>
      <c r="E7" s="4" t="inlineStr">
        <is>
          <t>Prix unitaire</t>
        </is>
      </c>
      <c r="F7" s="4" t="inlineStr">
        <is>
          <t>Montant</t>
        </is>
      </c>
      <c r="G7" s="4" t="inlineStr"/>
    </row>
    <row r="8">
      <c r="A8" s="7" t="inlineStr">
        <is>
          <t>MTL</t>
        </is>
      </c>
      <c r="B8" s="8" t="inlineStr">
        <is>
          <t>Amenée et repli du matériel</t>
        </is>
      </c>
      <c r="C8" s="7" t="inlineStr">
        <is>
          <t>Ft</t>
        </is>
      </c>
      <c r="D8" s="31" t="n">
        <v>1</v>
      </c>
      <c r="E8" s="11" t="n">
        <v>400000</v>
      </c>
      <c r="F8" s="11">
        <f>D8*E8</f>
        <v/>
      </c>
      <c r="G8" s="17" t="inlineStr"/>
    </row>
    <row r="9">
      <c r="A9" s="7" t="inlineStr">
        <is>
          <t>MAT</t>
        </is>
      </c>
      <c r="B9" s="8" t="inlineStr">
        <is>
          <t>Magasin / abri de chantier</t>
        </is>
      </c>
      <c r="C9" s="7" t="inlineStr">
        <is>
          <t>Ft</t>
        </is>
      </c>
      <c r="D9" s="31" t="n">
        <v>1</v>
      </c>
      <c r="E9" s="11" t="n">
        <v>250000</v>
      </c>
      <c r="F9" s="11">
        <f>D9*E9</f>
        <v/>
      </c>
      <c r="G9" s="17" t="inlineStr"/>
    </row>
    <row r="10">
      <c r="A10" s="7" t="inlineStr">
        <is>
          <t>MAT</t>
        </is>
      </c>
      <c r="B10" s="8" t="inlineStr">
        <is>
          <t>Panneau de chantier</t>
        </is>
      </c>
      <c r="C10" s="7" t="inlineStr">
        <is>
          <t>Ft</t>
        </is>
      </c>
      <c r="D10" s="31" t="n">
        <v>1</v>
      </c>
      <c r="E10" s="11" t="n">
        <v>150000</v>
      </c>
      <c r="F10" s="11">
        <f>D10*E10</f>
        <v/>
      </c>
      <c r="G10" s="17" t="inlineStr"/>
    </row>
    <row r="11">
      <c r="A11" s="7" t="inlineStr">
        <is>
          <t>MAT</t>
        </is>
      </c>
      <c r="B11" s="8" t="inlineStr">
        <is>
          <t>Équipements HSE (EPI, signalisation, trousse de secours)</t>
        </is>
      </c>
      <c r="C11" s="7" t="inlineStr">
        <is>
          <t>Ft</t>
        </is>
      </c>
      <c r="D11" s="31" t="n">
        <v>1</v>
      </c>
      <c r="E11" s="11" t="n">
        <v>200000</v>
      </c>
      <c r="F11" s="11">
        <f>D11*E11</f>
        <v/>
      </c>
      <c r="G11" s="17" t="inlineStr"/>
    </row>
    <row r="12">
      <c r="A12" s="18" t="inlineStr">
        <is>
          <t>Sous-total matériaux</t>
        </is>
      </c>
      <c r="B12" s="6" t="n"/>
      <c r="C12" s="6" t="n"/>
      <c r="D12" s="6" t="n"/>
      <c r="E12" s="6" t="n"/>
      <c r="F12" s="11">
        <f>SUMIF($A$8:$A$11,"MAT",$F$8:$F$11)</f>
        <v/>
      </c>
      <c r="G12" s="17" t="inlineStr"/>
    </row>
    <row r="13">
      <c r="A13" s="18" t="inlineStr">
        <is>
          <t>Sous-total main d'œuvre</t>
        </is>
      </c>
      <c r="B13" s="6" t="n"/>
      <c r="C13" s="6" t="n"/>
      <c r="D13" s="6" t="n"/>
      <c r="E13" s="6" t="n"/>
      <c r="F13" s="11">
        <f>SUMIF($A$8:$A$11,"MO",$F$8:$F$11)</f>
        <v/>
      </c>
      <c r="G13" s="17" t="inlineStr"/>
    </row>
    <row r="14">
      <c r="A14" s="18" t="inlineStr">
        <is>
          <t>Sous-total matériel</t>
        </is>
      </c>
      <c r="B14" s="6" t="n"/>
      <c r="C14" s="6" t="n"/>
      <c r="D14" s="6" t="n"/>
      <c r="E14" s="6" t="n"/>
      <c r="F14" s="11">
        <f>SUMIF($A$8:$A$11,"MTL",$F$8:$F$11)</f>
        <v/>
      </c>
      <c r="G14" s="17" t="inlineStr"/>
    </row>
    <row r="15">
      <c r="A15" s="12" t="inlineStr">
        <is>
          <t>DÉBOURSÉ SEC UNITAIRE (FCFA / Ft)</t>
        </is>
      </c>
      <c r="B15" s="6" t="n"/>
      <c r="C15" s="6" t="n"/>
      <c r="D15" s="6" t="n"/>
      <c r="E15" s="6" t="n"/>
      <c r="F15" s="13">
        <f>SUM(F8:F11)</f>
        <v/>
      </c>
      <c r="G15" s="14" t="inlineStr"/>
    </row>
    <row r="17">
      <c r="A17" s="5" t="inlineStr">
        <is>
          <t>Prix 101 – Implantation et piquetage   (unité : Ft)</t>
        </is>
      </c>
      <c r="B17" s="6" t="n"/>
      <c r="C17" s="6" t="n"/>
      <c r="D17" s="6" t="n"/>
      <c r="E17" s="6" t="n"/>
      <c r="F17" s="6" t="n"/>
      <c r="G17" s="6" t="n"/>
    </row>
    <row r="18" ht="30" customHeight="1">
      <c r="A18" s="4" t="inlineStr">
        <is>
          <t>Nature</t>
        </is>
      </c>
      <c r="B18" s="4" t="inlineStr">
        <is>
          <t>Désignation</t>
        </is>
      </c>
      <c r="C18" s="4" t="inlineStr">
        <is>
          <t>Unité</t>
        </is>
      </c>
      <c r="D18" s="4" t="inlineStr">
        <is>
          <t>Quantité</t>
        </is>
      </c>
      <c r="E18" s="4" t="inlineStr">
        <is>
          <t>Prix unitaire</t>
        </is>
      </c>
      <c r="F18" s="4" t="inlineStr">
        <is>
          <t>Montant</t>
        </is>
      </c>
      <c r="G18" s="4" t="inlineStr"/>
    </row>
    <row r="19">
      <c r="A19" s="7" t="inlineStr">
        <is>
          <t>MO</t>
        </is>
      </c>
      <c r="B19" s="8" t="inlineStr">
        <is>
          <t>Topographe</t>
        </is>
      </c>
      <c r="C19" s="7" t="inlineStr">
        <is>
          <t>j</t>
        </is>
      </c>
      <c r="D19" s="31" t="n">
        <v>1.5</v>
      </c>
      <c r="E19" s="11" t="n">
        <v>25000</v>
      </c>
      <c r="F19" s="11">
        <f>D19*E19</f>
        <v/>
      </c>
      <c r="G19" s="17" t="inlineStr"/>
    </row>
    <row r="20">
      <c r="A20" s="7" t="inlineStr">
        <is>
          <t>MO</t>
        </is>
      </c>
      <c r="B20" s="8" t="inlineStr">
        <is>
          <t>Aides (2)</t>
        </is>
      </c>
      <c r="C20" s="7" t="inlineStr">
        <is>
          <t>j</t>
        </is>
      </c>
      <c r="D20" s="31" t="n">
        <v>3</v>
      </c>
      <c r="E20" s="11">
        <f>Hypotheses!$C$57</f>
        <v/>
      </c>
      <c r="F20" s="11">
        <f>D20*E20</f>
        <v/>
      </c>
      <c r="G20" s="17" t="inlineStr"/>
    </row>
    <row r="21">
      <c r="A21" s="7" t="inlineStr">
        <is>
          <t>MTL</t>
        </is>
      </c>
      <c r="B21" s="8" t="inlineStr">
        <is>
          <t>Station totale / niveau</t>
        </is>
      </c>
      <c r="C21" s="7" t="inlineStr">
        <is>
          <t>j</t>
        </is>
      </c>
      <c r="D21" s="31" t="n">
        <v>1.5</v>
      </c>
      <c r="E21" s="11" t="n">
        <v>75000</v>
      </c>
      <c r="F21" s="11">
        <f>D21*E21</f>
        <v/>
      </c>
      <c r="G21" s="17" t="inlineStr"/>
    </row>
    <row r="22">
      <c r="A22" s="7" t="inlineStr">
        <is>
          <t>MAT</t>
        </is>
      </c>
      <c r="B22" s="8" t="inlineStr">
        <is>
          <t>Piquets, chaises d'implantation, peinture</t>
        </is>
      </c>
      <c r="C22" s="7" t="inlineStr">
        <is>
          <t>Ft</t>
        </is>
      </c>
      <c r="D22" s="31" t="n">
        <v>1</v>
      </c>
      <c r="E22" s="11" t="n">
        <v>25000</v>
      </c>
      <c r="F22" s="11">
        <f>D22*E22</f>
        <v/>
      </c>
      <c r="G22" s="17" t="inlineStr"/>
    </row>
    <row r="23">
      <c r="A23" s="18" t="inlineStr">
        <is>
          <t>Sous-total matériaux</t>
        </is>
      </c>
      <c r="B23" s="6" t="n"/>
      <c r="C23" s="6" t="n"/>
      <c r="D23" s="6" t="n"/>
      <c r="E23" s="6" t="n"/>
      <c r="F23" s="11">
        <f>SUMIF($A$19:$A$22,"MAT",$F$19:$F$22)</f>
        <v/>
      </c>
      <c r="G23" s="17" t="inlineStr"/>
    </row>
    <row r="24">
      <c r="A24" s="18" t="inlineStr">
        <is>
          <t>Sous-total main d'œuvre</t>
        </is>
      </c>
      <c r="B24" s="6" t="n"/>
      <c r="C24" s="6" t="n"/>
      <c r="D24" s="6" t="n"/>
      <c r="E24" s="6" t="n"/>
      <c r="F24" s="11">
        <f>SUMIF($A$19:$A$22,"MO",$F$19:$F$22)</f>
        <v/>
      </c>
      <c r="G24" s="17" t="inlineStr"/>
    </row>
    <row r="25">
      <c r="A25" s="18" t="inlineStr">
        <is>
          <t>Sous-total matériel</t>
        </is>
      </c>
      <c r="B25" s="6" t="n"/>
      <c r="C25" s="6" t="n"/>
      <c r="D25" s="6" t="n"/>
      <c r="E25" s="6" t="n"/>
      <c r="F25" s="11">
        <f>SUMIF($A$19:$A$22,"MTL",$F$19:$F$22)</f>
        <v/>
      </c>
      <c r="G25" s="17" t="inlineStr"/>
    </row>
    <row r="26">
      <c r="A26" s="12" t="inlineStr">
        <is>
          <t>DÉBOURSÉ SEC UNITAIRE (FCFA / Ft)</t>
        </is>
      </c>
      <c r="B26" s="6" t="n"/>
      <c r="C26" s="6" t="n"/>
      <c r="D26" s="6" t="n"/>
      <c r="E26" s="6" t="n"/>
      <c r="F26" s="13">
        <f>SUM(F19:F22)</f>
        <v/>
      </c>
      <c r="G26" s="14" t="inlineStr"/>
    </row>
    <row r="28">
      <c r="A28" s="5" t="inlineStr">
        <is>
          <t>Prix 102 – Déblai mécanique en fouille et évacuation   (unité : m³)</t>
        </is>
      </c>
      <c r="B28" s="6" t="n"/>
      <c r="C28" s="6" t="n"/>
      <c r="D28" s="6" t="n"/>
      <c r="E28" s="6" t="n"/>
      <c r="F28" s="6" t="n"/>
      <c r="G28" s="6" t="n"/>
    </row>
    <row r="29" ht="30" customHeight="1">
      <c r="A29" s="4" t="inlineStr">
        <is>
          <t>Nature</t>
        </is>
      </c>
      <c r="B29" s="4" t="inlineStr">
        <is>
          <t>Désignation</t>
        </is>
      </c>
      <c r="C29" s="4" t="inlineStr">
        <is>
          <t>Unité</t>
        </is>
      </c>
      <c r="D29" s="4" t="inlineStr">
        <is>
          <t>Quantité</t>
        </is>
      </c>
      <c r="E29" s="4" t="inlineStr">
        <is>
          <t>Prix unitaire</t>
        </is>
      </c>
      <c r="F29" s="4" t="inlineStr">
        <is>
          <t>Montant</t>
        </is>
      </c>
      <c r="G29" s="4" t="inlineStr"/>
    </row>
    <row r="30">
      <c r="A30" s="7" t="inlineStr">
        <is>
          <t>MTL</t>
        </is>
      </c>
      <c r="B30" s="8" t="inlineStr">
        <is>
          <t>Pelle hydraulique</t>
        </is>
      </c>
      <c r="C30" s="7" t="inlineStr">
        <is>
          <t>j</t>
        </is>
      </c>
      <c r="D30" s="31">
        <f>1/Hypotheses!$C$60</f>
        <v/>
      </c>
      <c r="E30" s="11">
        <f>Hypotheses!$C$59</f>
        <v/>
      </c>
      <c r="F30" s="11">
        <f>D30*E30</f>
        <v/>
      </c>
      <c r="G30" s="17" t="inlineStr"/>
    </row>
    <row r="31">
      <c r="A31" s="7" t="inlineStr">
        <is>
          <t>MTL</t>
        </is>
      </c>
      <c r="B31" s="8" t="inlineStr">
        <is>
          <t>Camion benne – évacuation (avec foisonnement)</t>
        </is>
      </c>
      <c r="C31" s="7" t="inlineStr">
        <is>
          <t>j</t>
        </is>
      </c>
      <c r="D31" s="31">
        <f>Hypotheses!$C$19/Hypotheses!$C$62</f>
        <v/>
      </c>
      <c r="E31" s="11">
        <f>Hypotheses!$C$61</f>
        <v/>
      </c>
      <c r="F31" s="11">
        <f>D31*E31</f>
        <v/>
      </c>
      <c r="G31" s="17" t="inlineStr"/>
    </row>
    <row r="32">
      <c r="A32" s="7" t="inlineStr">
        <is>
          <t>MO</t>
        </is>
      </c>
      <c r="B32" s="8" t="inlineStr">
        <is>
          <t>Chef d'équipe</t>
        </is>
      </c>
      <c r="C32" s="7" t="inlineStr">
        <is>
          <t>j</t>
        </is>
      </c>
      <c r="D32" s="31">
        <f>1/Hypotheses!$C$60</f>
        <v/>
      </c>
      <c r="E32" s="11">
        <f>Hypotheses!$C$55</f>
        <v/>
      </c>
      <c r="F32" s="11">
        <f>D32*E32</f>
        <v/>
      </c>
      <c r="G32" s="17" t="inlineStr"/>
    </row>
    <row r="33">
      <c r="A33" s="7" t="inlineStr">
        <is>
          <t>MO</t>
        </is>
      </c>
      <c r="B33" s="8" t="inlineStr">
        <is>
          <t>Manœuvres – réglage manuel (2)</t>
        </is>
      </c>
      <c r="C33" s="7" t="inlineStr">
        <is>
          <t>j</t>
        </is>
      </c>
      <c r="D33" s="31">
        <f>2/Hypotheses!$C$60</f>
        <v/>
      </c>
      <c r="E33" s="11">
        <f>Hypotheses!$C$57</f>
        <v/>
      </c>
      <c r="F33" s="11">
        <f>D33*E33</f>
        <v/>
      </c>
      <c r="G33" s="17" t="inlineStr"/>
    </row>
    <row r="34">
      <c r="A34" s="18" t="inlineStr">
        <is>
          <t>Sous-total matériaux</t>
        </is>
      </c>
      <c r="B34" s="6" t="n"/>
      <c r="C34" s="6" t="n"/>
      <c r="D34" s="6" t="n"/>
      <c r="E34" s="6" t="n"/>
      <c r="F34" s="11">
        <f>SUMIF($A$30:$A$33,"MAT",$F$30:$F$33)</f>
        <v/>
      </c>
      <c r="G34" s="17" t="inlineStr"/>
    </row>
    <row r="35">
      <c r="A35" s="18" t="inlineStr">
        <is>
          <t>Sous-total main d'œuvre</t>
        </is>
      </c>
      <c r="B35" s="6" t="n"/>
      <c r="C35" s="6" t="n"/>
      <c r="D35" s="6" t="n"/>
      <c r="E35" s="6" t="n"/>
      <c r="F35" s="11">
        <f>SUMIF($A$30:$A$33,"MO",$F$30:$F$33)</f>
        <v/>
      </c>
      <c r="G35" s="17" t="inlineStr"/>
    </row>
    <row r="36">
      <c r="A36" s="18" t="inlineStr">
        <is>
          <t>Sous-total matériel</t>
        </is>
      </c>
      <c r="B36" s="6" t="n"/>
      <c r="C36" s="6" t="n"/>
      <c r="D36" s="6" t="n"/>
      <c r="E36" s="6" t="n"/>
      <c r="F36" s="11">
        <f>SUMIF($A$30:$A$33,"MTL",$F$30:$F$33)</f>
        <v/>
      </c>
      <c r="G36" s="17" t="inlineStr"/>
    </row>
    <row r="37">
      <c r="A37" s="12" t="inlineStr">
        <is>
          <t>DÉBOURSÉ SEC UNITAIRE (FCFA / m³)</t>
        </is>
      </c>
      <c r="B37" s="6" t="n"/>
      <c r="C37" s="6" t="n"/>
      <c r="D37" s="6" t="n"/>
      <c r="E37" s="6" t="n"/>
      <c r="F37" s="13">
        <f>SUM(F30:F33)</f>
        <v/>
      </c>
      <c r="G37" s="14" t="inlineStr"/>
    </row>
    <row r="39">
      <c r="A39" s="5" t="inlineStr">
        <is>
          <t>Prix 103 – Compactage du fond de fouille à 95 % OPM   (unité : m²)</t>
        </is>
      </c>
      <c r="B39" s="6" t="n"/>
      <c r="C39" s="6" t="n"/>
      <c r="D39" s="6" t="n"/>
      <c r="E39" s="6" t="n"/>
      <c r="F39" s="6" t="n"/>
      <c r="G39" s="6" t="n"/>
    </row>
    <row r="40" ht="30" customHeight="1">
      <c r="A40" s="4" t="inlineStr">
        <is>
          <t>Nature</t>
        </is>
      </c>
      <c r="B40" s="4" t="inlineStr">
        <is>
          <t>Désignation</t>
        </is>
      </c>
      <c r="C40" s="4" t="inlineStr">
        <is>
          <t>Unité</t>
        </is>
      </c>
      <c r="D40" s="4" t="inlineStr">
        <is>
          <t>Quantité</t>
        </is>
      </c>
      <c r="E40" s="4" t="inlineStr">
        <is>
          <t>Prix unitaire</t>
        </is>
      </c>
      <c r="F40" s="4" t="inlineStr">
        <is>
          <t>Montant</t>
        </is>
      </c>
      <c r="G40" s="4" t="inlineStr"/>
    </row>
    <row r="41">
      <c r="A41" s="7" t="inlineStr">
        <is>
          <t>MTL</t>
        </is>
      </c>
      <c r="B41" s="8" t="inlineStr">
        <is>
          <t>Compacteur</t>
        </is>
      </c>
      <c r="C41" s="7" t="inlineStr">
        <is>
          <t>j</t>
        </is>
      </c>
      <c r="D41" s="31">
        <f>1/Hypotheses!$C$64</f>
        <v/>
      </c>
      <c r="E41" s="11">
        <f>Hypotheses!$C$63</f>
        <v/>
      </c>
      <c r="F41" s="11">
        <f>D41*E41</f>
        <v/>
      </c>
      <c r="G41" s="17" t="inlineStr"/>
    </row>
    <row r="42">
      <c r="A42" s="7" t="inlineStr">
        <is>
          <t>MAT</t>
        </is>
      </c>
      <c r="B42" s="8" t="inlineStr">
        <is>
          <t>Eau d'arrosage (teneur en eau OPM)</t>
        </is>
      </c>
      <c r="C42" s="7" t="inlineStr">
        <is>
          <t>m³</t>
        </is>
      </c>
      <c r="D42" s="31" t="n">
        <v>0.02</v>
      </c>
      <c r="E42" s="11">
        <f>Hypotheses!$C$42</f>
        <v/>
      </c>
      <c r="F42" s="11">
        <f>D42*E42</f>
        <v/>
      </c>
      <c r="G42" s="17" t="inlineStr"/>
    </row>
    <row r="43">
      <c r="A43" s="7" t="inlineStr">
        <is>
          <t>MO</t>
        </is>
      </c>
      <c r="B43" s="8" t="inlineStr">
        <is>
          <t>Manœuvres (2)</t>
        </is>
      </c>
      <c r="C43" s="7" t="inlineStr">
        <is>
          <t>j</t>
        </is>
      </c>
      <c r="D43" s="31">
        <f>2/Hypotheses!$C$64</f>
        <v/>
      </c>
      <c r="E43" s="11">
        <f>Hypotheses!$C$57</f>
        <v/>
      </c>
      <c r="F43" s="11">
        <f>D43*E43</f>
        <v/>
      </c>
      <c r="G43" s="17" t="inlineStr"/>
    </row>
    <row r="44">
      <c r="A44" s="18" t="inlineStr">
        <is>
          <t>Sous-total matériaux</t>
        </is>
      </c>
      <c r="B44" s="6" t="n"/>
      <c r="C44" s="6" t="n"/>
      <c r="D44" s="6" t="n"/>
      <c r="E44" s="6" t="n"/>
      <c r="F44" s="11">
        <f>SUMIF($A$41:$A$43,"MAT",$F$41:$F$43)</f>
        <v/>
      </c>
      <c r="G44" s="17" t="inlineStr"/>
    </row>
    <row r="45">
      <c r="A45" s="18" t="inlineStr">
        <is>
          <t>Sous-total main d'œuvre</t>
        </is>
      </c>
      <c r="B45" s="6" t="n"/>
      <c r="C45" s="6" t="n"/>
      <c r="D45" s="6" t="n"/>
      <c r="E45" s="6" t="n"/>
      <c r="F45" s="11">
        <f>SUMIF($A$41:$A$43,"MO",$F$41:$F$43)</f>
        <v/>
      </c>
      <c r="G45" s="17" t="inlineStr"/>
    </row>
    <row r="46">
      <c r="A46" s="18" t="inlineStr">
        <is>
          <t>Sous-total matériel</t>
        </is>
      </c>
      <c r="B46" s="6" t="n"/>
      <c r="C46" s="6" t="n"/>
      <c r="D46" s="6" t="n"/>
      <c r="E46" s="6" t="n"/>
      <c r="F46" s="11">
        <f>SUMIF($A$41:$A$43,"MTL",$F$41:$F$43)</f>
        <v/>
      </c>
      <c r="G46" s="17" t="inlineStr"/>
    </row>
    <row r="47">
      <c r="A47" s="12" t="inlineStr">
        <is>
          <t>DÉBOURSÉ SEC UNITAIRE (FCFA / m²)</t>
        </is>
      </c>
      <c r="B47" s="6" t="n"/>
      <c r="C47" s="6" t="n"/>
      <c r="D47" s="6" t="n"/>
      <c r="E47" s="6" t="n"/>
      <c r="F47" s="13">
        <f>SUM(F41:F43)</f>
        <v/>
      </c>
      <c r="G47" s="14" t="inlineStr"/>
    </row>
    <row r="49">
      <c r="A49" s="5" t="inlineStr">
        <is>
          <t>Prix 201 – Béton de propreté dosé à 150 kg/m³   (unité : m³)</t>
        </is>
      </c>
      <c r="B49" s="6" t="n"/>
      <c r="C49" s="6" t="n"/>
      <c r="D49" s="6" t="n"/>
      <c r="E49" s="6" t="n"/>
      <c r="F49" s="6" t="n"/>
      <c r="G49" s="6" t="n"/>
    </row>
    <row r="50" ht="30" customHeight="1">
      <c r="A50" s="4" t="inlineStr">
        <is>
          <t>Nature</t>
        </is>
      </c>
      <c r="B50" s="4" t="inlineStr">
        <is>
          <t>Désignation</t>
        </is>
      </c>
      <c r="C50" s="4" t="inlineStr">
        <is>
          <t>Unité</t>
        </is>
      </c>
      <c r="D50" s="4" t="inlineStr">
        <is>
          <t>Quantité</t>
        </is>
      </c>
      <c r="E50" s="4" t="inlineStr">
        <is>
          <t>Prix unitaire</t>
        </is>
      </c>
      <c r="F50" s="4" t="inlineStr">
        <is>
          <t>Montant</t>
        </is>
      </c>
      <c r="G50" s="4" t="inlineStr"/>
    </row>
    <row r="51">
      <c r="A51" s="7" t="inlineStr">
        <is>
          <t>MAT</t>
        </is>
      </c>
      <c r="B51" s="8" t="inlineStr">
        <is>
          <t>Ciment CPJ 42.5 (150 kg/m³)</t>
        </is>
      </c>
      <c r="C51" s="7" t="inlineStr">
        <is>
          <t>sac</t>
        </is>
      </c>
      <c r="D51" s="31">
        <f>150/50*(1+Hypotheses!$C$53)</f>
        <v/>
      </c>
      <c r="E51" s="11">
        <f>Hypotheses!$C$39</f>
        <v/>
      </c>
      <c r="F51" s="11">
        <f>D51*E51</f>
        <v/>
      </c>
      <c r="G51" s="17" t="inlineStr"/>
    </row>
    <row r="52">
      <c r="A52" s="7" t="inlineStr">
        <is>
          <t>MAT</t>
        </is>
      </c>
      <c r="B52" s="8" t="inlineStr">
        <is>
          <t>Sable</t>
        </is>
      </c>
      <c r="C52" s="7" t="inlineStr">
        <is>
          <t>m³</t>
        </is>
      </c>
      <c r="D52" s="31">
        <f>0.45*(1+Hypotheses!$C$53)</f>
        <v/>
      </c>
      <c r="E52" s="11">
        <f>Hypotheses!$C$40</f>
        <v/>
      </c>
      <c r="F52" s="11">
        <f>D52*E52</f>
        <v/>
      </c>
      <c r="G52" s="17" t="inlineStr"/>
    </row>
    <row r="53">
      <c r="A53" s="7" t="inlineStr">
        <is>
          <t>MAT</t>
        </is>
      </c>
      <c r="B53" s="8" t="inlineStr">
        <is>
          <t>Gravier concassé</t>
        </is>
      </c>
      <c r="C53" s="7" t="inlineStr">
        <is>
          <t>m³</t>
        </is>
      </c>
      <c r="D53" s="31">
        <f>0.85*(1+Hypotheses!$C$53)</f>
        <v/>
      </c>
      <c r="E53" s="11">
        <f>Hypotheses!$C$41</f>
        <v/>
      </c>
      <c r="F53" s="11">
        <f>D53*E53</f>
        <v/>
      </c>
      <c r="G53" s="17" t="inlineStr"/>
    </row>
    <row r="54">
      <c r="A54" s="7" t="inlineStr">
        <is>
          <t>MAT</t>
        </is>
      </c>
      <c r="B54" s="8" t="inlineStr">
        <is>
          <t>Eau de gâchage</t>
        </is>
      </c>
      <c r="C54" s="7" t="inlineStr">
        <is>
          <t>m³</t>
        </is>
      </c>
      <c r="D54" s="31" t="n">
        <v>0.18</v>
      </c>
      <c r="E54" s="11">
        <f>Hypotheses!$C$42</f>
        <v/>
      </c>
      <c r="F54" s="11">
        <f>D54*E54</f>
        <v/>
      </c>
      <c r="G54" s="17" t="inlineStr"/>
    </row>
    <row r="55">
      <c r="A55" s="7" t="inlineStr">
        <is>
          <t>MAT</t>
        </is>
      </c>
      <c r="B55" s="8" t="inlineStr">
        <is>
          <t>Cure du béton (arrosage / produit de cure)</t>
        </is>
      </c>
      <c r="C55" s="7" t="inlineStr">
        <is>
          <t>m³</t>
        </is>
      </c>
      <c r="D55" s="31" t="n">
        <v>1</v>
      </c>
      <c r="E55" s="11">
        <f>Hypotheses!$C$51</f>
        <v/>
      </c>
      <c r="F55" s="11">
        <f>D55*E55</f>
        <v/>
      </c>
      <c r="G55" s="17" t="inlineStr"/>
    </row>
    <row r="56">
      <c r="A56" s="7" t="inlineStr">
        <is>
          <t>MO</t>
        </is>
      </c>
      <c r="B56" s="8" t="inlineStr">
        <is>
          <t>Chef d'équipe</t>
        </is>
      </c>
      <c r="C56" s="7" t="inlineStr">
        <is>
          <t>j</t>
        </is>
      </c>
      <c r="D56" s="31">
        <f>1/Hypotheses!$C$68</f>
        <v/>
      </c>
      <c r="E56" s="11">
        <f>Hypotheses!$C$55</f>
        <v/>
      </c>
      <c r="F56" s="11">
        <f>D56*E56</f>
        <v/>
      </c>
      <c r="G56" s="17" t="inlineStr"/>
    </row>
    <row r="57">
      <c r="A57" s="7" t="inlineStr">
        <is>
          <t>MO</t>
        </is>
      </c>
      <c r="B57" s="8" t="inlineStr">
        <is>
          <t>Maçons (2)</t>
        </is>
      </c>
      <c r="C57" s="7" t="inlineStr">
        <is>
          <t>j</t>
        </is>
      </c>
      <c r="D57" s="31">
        <f>2/Hypotheses!$C$68</f>
        <v/>
      </c>
      <c r="E57" s="11">
        <f>Hypotheses!$C$56</f>
        <v/>
      </c>
      <c r="F57" s="11">
        <f>D57*E57</f>
        <v/>
      </c>
      <c r="G57" s="17" t="inlineStr"/>
    </row>
    <row r="58">
      <c r="A58" s="7" t="inlineStr">
        <is>
          <t>MO</t>
        </is>
      </c>
      <c r="B58" s="8" t="inlineStr">
        <is>
          <t>Manœuvres (8)</t>
        </is>
      </c>
      <c r="C58" s="7" t="inlineStr">
        <is>
          <t>j</t>
        </is>
      </c>
      <c r="D58" s="31">
        <f>8/Hypotheses!$C$68</f>
        <v/>
      </c>
      <c r="E58" s="11">
        <f>Hypotheses!$C$57</f>
        <v/>
      </c>
      <c r="F58" s="11">
        <f>D58*E58</f>
        <v/>
      </c>
      <c r="G58" s="17" t="inlineStr"/>
    </row>
    <row r="59">
      <c r="A59" s="7" t="inlineStr">
        <is>
          <t>MTL</t>
        </is>
      </c>
      <c r="B59" s="8" t="inlineStr">
        <is>
          <t>Bétonnière + vibreur</t>
        </is>
      </c>
      <c r="C59" s="7" t="inlineStr">
        <is>
          <t>j</t>
        </is>
      </c>
      <c r="D59" s="31">
        <f>1/Hypotheses!$C$68</f>
        <v/>
      </c>
      <c r="E59" s="11">
        <f>Hypotheses!$C$65</f>
        <v/>
      </c>
      <c r="F59" s="11">
        <f>D59*E59</f>
        <v/>
      </c>
      <c r="G59" s="17" t="inlineStr"/>
    </row>
    <row r="60">
      <c r="A60" s="18" t="inlineStr">
        <is>
          <t>Sous-total matériaux</t>
        </is>
      </c>
      <c r="B60" s="6" t="n"/>
      <c r="C60" s="6" t="n"/>
      <c r="D60" s="6" t="n"/>
      <c r="E60" s="6" t="n"/>
      <c r="F60" s="11">
        <f>SUMIF($A$51:$A$59,"MAT",$F$51:$F$59)</f>
        <v/>
      </c>
      <c r="G60" s="17" t="inlineStr"/>
    </row>
    <row r="61">
      <c r="A61" s="18" t="inlineStr">
        <is>
          <t>Sous-total main d'œuvre</t>
        </is>
      </c>
      <c r="B61" s="6" t="n"/>
      <c r="C61" s="6" t="n"/>
      <c r="D61" s="6" t="n"/>
      <c r="E61" s="6" t="n"/>
      <c r="F61" s="11">
        <f>SUMIF($A$51:$A$59,"MO",$F$51:$F$59)</f>
        <v/>
      </c>
      <c r="G61" s="17" t="inlineStr"/>
    </row>
    <row r="62">
      <c r="A62" s="18" t="inlineStr">
        <is>
          <t>Sous-total matériel</t>
        </is>
      </c>
      <c r="B62" s="6" t="n"/>
      <c r="C62" s="6" t="n"/>
      <c r="D62" s="6" t="n"/>
      <c r="E62" s="6" t="n"/>
      <c r="F62" s="11">
        <f>SUMIF($A$51:$A$59,"MTL",$F$51:$F$59)</f>
        <v/>
      </c>
      <c r="G62" s="17" t="inlineStr"/>
    </row>
    <row r="63">
      <c r="A63" s="12" t="inlineStr">
        <is>
          <t>DÉBOURSÉ SEC UNITAIRE (FCFA / m³)</t>
        </is>
      </c>
      <c r="B63" s="6" t="n"/>
      <c r="C63" s="6" t="n"/>
      <c r="D63" s="6" t="n"/>
      <c r="E63" s="6" t="n"/>
      <c r="F63" s="13">
        <f>SUM(F51:F59)</f>
        <v/>
      </c>
      <c r="G63" s="14" t="inlineStr"/>
    </row>
    <row r="65">
      <c r="A65" s="5" t="inlineStr">
        <is>
          <t>Prix 202 – Béton radier dosé à 350 kg/m³ (hors acier et coffrage)   (unité : m³)</t>
        </is>
      </c>
      <c r="B65" s="6" t="n"/>
      <c r="C65" s="6" t="n"/>
      <c r="D65" s="6" t="n"/>
      <c r="E65" s="6" t="n"/>
      <c r="F65" s="6" t="n"/>
      <c r="G65" s="6" t="n"/>
    </row>
    <row r="66" ht="30" customHeight="1">
      <c r="A66" s="4" t="inlineStr">
        <is>
          <t>Nature</t>
        </is>
      </c>
      <c r="B66" s="4" t="inlineStr">
        <is>
          <t>Désignation</t>
        </is>
      </c>
      <c r="C66" s="4" t="inlineStr">
        <is>
          <t>Unité</t>
        </is>
      </c>
      <c r="D66" s="4" t="inlineStr">
        <is>
          <t>Quantité</t>
        </is>
      </c>
      <c r="E66" s="4" t="inlineStr">
        <is>
          <t>Prix unitaire</t>
        </is>
      </c>
      <c r="F66" s="4" t="inlineStr">
        <is>
          <t>Montant</t>
        </is>
      </c>
      <c r="G66" s="4" t="inlineStr"/>
    </row>
    <row r="67">
      <c r="A67" s="7" t="inlineStr">
        <is>
          <t>MAT</t>
        </is>
      </c>
      <c r="B67" s="8" t="inlineStr">
        <is>
          <t>Ciment CPJ 42.5 (350 kg/m³)</t>
        </is>
      </c>
      <c r="C67" s="7" t="inlineStr">
        <is>
          <t>sac</t>
        </is>
      </c>
      <c r="D67" s="31">
        <f>350/50*(1+Hypotheses!$C$53)</f>
        <v/>
      </c>
      <c r="E67" s="11">
        <f>Hypotheses!$C$39</f>
        <v/>
      </c>
      <c r="F67" s="11">
        <f>D67*E67</f>
        <v/>
      </c>
      <c r="G67" s="17" t="inlineStr"/>
    </row>
    <row r="68">
      <c r="A68" s="7" t="inlineStr">
        <is>
          <t>MAT</t>
        </is>
      </c>
      <c r="B68" s="8" t="inlineStr">
        <is>
          <t>Sable</t>
        </is>
      </c>
      <c r="C68" s="7" t="inlineStr">
        <is>
          <t>m³</t>
        </is>
      </c>
      <c r="D68" s="31">
        <f>0.4*(1+Hypotheses!$C$53)</f>
        <v/>
      </c>
      <c r="E68" s="11">
        <f>Hypotheses!$C$40</f>
        <v/>
      </c>
      <c r="F68" s="11">
        <f>D68*E68</f>
        <v/>
      </c>
      <c r="G68" s="17" t="inlineStr"/>
    </row>
    <row r="69">
      <c r="A69" s="7" t="inlineStr">
        <is>
          <t>MAT</t>
        </is>
      </c>
      <c r="B69" s="8" t="inlineStr">
        <is>
          <t>Gravier concassé</t>
        </is>
      </c>
      <c r="C69" s="7" t="inlineStr">
        <is>
          <t>m³</t>
        </is>
      </c>
      <c r="D69" s="31">
        <f>0.8*(1+Hypotheses!$C$53)</f>
        <v/>
      </c>
      <c r="E69" s="11">
        <f>Hypotheses!$C$41</f>
        <v/>
      </c>
      <c r="F69" s="11">
        <f>D69*E69</f>
        <v/>
      </c>
      <c r="G69" s="17" t="inlineStr"/>
    </row>
    <row r="70">
      <c r="A70" s="7" t="inlineStr">
        <is>
          <t>MAT</t>
        </is>
      </c>
      <c r="B70" s="8" t="inlineStr">
        <is>
          <t>Eau de gâchage</t>
        </is>
      </c>
      <c r="C70" s="7" t="inlineStr">
        <is>
          <t>m³</t>
        </is>
      </c>
      <c r="D70" s="31" t="n">
        <v>0.18</v>
      </c>
      <c r="E70" s="11">
        <f>Hypotheses!$C$42</f>
        <v/>
      </c>
      <c r="F70" s="11">
        <f>D70*E70</f>
        <v/>
      </c>
      <c r="G70" s="17" t="inlineStr"/>
    </row>
    <row r="71">
      <c r="A71" s="7" t="inlineStr">
        <is>
          <t>MAT</t>
        </is>
      </c>
      <c r="B71" s="8" t="inlineStr">
        <is>
          <t>Cure du béton (arrosage / produit de cure)</t>
        </is>
      </c>
      <c r="C71" s="7" t="inlineStr">
        <is>
          <t>m³</t>
        </is>
      </c>
      <c r="D71" s="31" t="n">
        <v>1</v>
      </c>
      <c r="E71" s="11">
        <f>Hypotheses!$C$51</f>
        <v/>
      </c>
      <c r="F71" s="11">
        <f>D71*E71</f>
        <v/>
      </c>
      <c r="G71" s="17" t="inlineStr"/>
    </row>
    <row r="72">
      <c r="A72" s="7" t="inlineStr">
        <is>
          <t>MO</t>
        </is>
      </c>
      <c r="B72" s="8" t="inlineStr">
        <is>
          <t>Chef d'équipe</t>
        </is>
      </c>
      <c r="C72" s="7" t="inlineStr">
        <is>
          <t>j</t>
        </is>
      </c>
      <c r="D72" s="31">
        <f>1/Hypotheses!$C$66</f>
        <v/>
      </c>
      <c r="E72" s="11">
        <f>Hypotheses!$C$55</f>
        <v/>
      </c>
      <c r="F72" s="11">
        <f>D72*E72</f>
        <v/>
      </c>
      <c r="G72" s="17" t="inlineStr"/>
    </row>
    <row r="73">
      <c r="A73" s="7" t="inlineStr">
        <is>
          <t>MO</t>
        </is>
      </c>
      <c r="B73" s="8" t="inlineStr">
        <is>
          <t>Maçons (2)</t>
        </is>
      </c>
      <c r="C73" s="7" t="inlineStr">
        <is>
          <t>j</t>
        </is>
      </c>
      <c r="D73" s="31">
        <f>2/Hypotheses!$C$66</f>
        <v/>
      </c>
      <c r="E73" s="11">
        <f>Hypotheses!$C$56</f>
        <v/>
      </c>
      <c r="F73" s="11">
        <f>D73*E73</f>
        <v/>
      </c>
      <c r="G73" s="17" t="inlineStr"/>
    </row>
    <row r="74">
      <c r="A74" s="7" t="inlineStr">
        <is>
          <t>MO</t>
        </is>
      </c>
      <c r="B74" s="8" t="inlineStr">
        <is>
          <t>Manœuvres (8)</t>
        </is>
      </c>
      <c r="C74" s="7" t="inlineStr">
        <is>
          <t>j</t>
        </is>
      </c>
      <c r="D74" s="31">
        <f>8/Hypotheses!$C$66</f>
        <v/>
      </c>
      <c r="E74" s="11">
        <f>Hypotheses!$C$57</f>
        <v/>
      </c>
      <c r="F74" s="11">
        <f>D74*E74</f>
        <v/>
      </c>
      <c r="G74" s="17" t="inlineStr"/>
    </row>
    <row r="75">
      <c r="A75" s="7" t="inlineStr">
        <is>
          <t>MTL</t>
        </is>
      </c>
      <c r="B75" s="8" t="inlineStr">
        <is>
          <t>Bétonnière + vibreur</t>
        </is>
      </c>
      <c r="C75" s="7" t="inlineStr">
        <is>
          <t>j</t>
        </is>
      </c>
      <c r="D75" s="31">
        <f>1/Hypotheses!$C$66</f>
        <v/>
      </c>
      <c r="E75" s="11">
        <f>Hypotheses!$C$65</f>
        <v/>
      </c>
      <c r="F75" s="11">
        <f>D75*E75</f>
        <v/>
      </c>
      <c r="G75" s="17" t="inlineStr"/>
    </row>
    <row r="76">
      <c r="A76" s="18" t="inlineStr">
        <is>
          <t>Sous-total matériaux</t>
        </is>
      </c>
      <c r="B76" s="6" t="n"/>
      <c r="C76" s="6" t="n"/>
      <c r="D76" s="6" t="n"/>
      <c r="E76" s="6" t="n"/>
      <c r="F76" s="11">
        <f>SUMIF($A$67:$A$75,"MAT",$F$67:$F$75)</f>
        <v/>
      </c>
      <c r="G76" s="17" t="inlineStr"/>
    </row>
    <row r="77">
      <c r="A77" s="18" t="inlineStr">
        <is>
          <t>Sous-total main d'œuvre</t>
        </is>
      </c>
      <c r="B77" s="6" t="n"/>
      <c r="C77" s="6" t="n"/>
      <c r="D77" s="6" t="n"/>
      <c r="E77" s="6" t="n"/>
      <c r="F77" s="11">
        <f>SUMIF($A$67:$A$75,"MO",$F$67:$F$75)</f>
        <v/>
      </c>
      <c r="G77" s="17" t="inlineStr"/>
    </row>
    <row r="78">
      <c r="A78" s="18" t="inlineStr">
        <is>
          <t>Sous-total matériel</t>
        </is>
      </c>
      <c r="B78" s="6" t="n"/>
      <c r="C78" s="6" t="n"/>
      <c r="D78" s="6" t="n"/>
      <c r="E78" s="6" t="n"/>
      <c r="F78" s="11">
        <f>SUMIF($A$67:$A$75,"MTL",$F$67:$F$75)</f>
        <v/>
      </c>
      <c r="G78" s="17" t="inlineStr"/>
    </row>
    <row r="79">
      <c r="A79" s="12" t="inlineStr">
        <is>
          <t>DÉBOURSÉ SEC UNITAIRE (FCFA / m³)</t>
        </is>
      </c>
      <c r="B79" s="6" t="n"/>
      <c r="C79" s="6" t="n"/>
      <c r="D79" s="6" t="n"/>
      <c r="E79" s="6" t="n"/>
      <c r="F79" s="13">
        <f>SUM(F67:F75)</f>
        <v/>
      </c>
      <c r="G79" s="14" t="inlineStr"/>
    </row>
    <row r="81">
      <c r="A81" s="5" t="inlineStr">
        <is>
          <t>Prix 203 – Béton voiles dosé à 350 kg/m³ (hors acier et coffrage)   (unité : m³)</t>
        </is>
      </c>
      <c r="B81" s="6" t="n"/>
      <c r="C81" s="6" t="n"/>
      <c r="D81" s="6" t="n"/>
      <c r="E81" s="6" t="n"/>
      <c r="F81" s="6" t="n"/>
      <c r="G81" s="6" t="n"/>
    </row>
    <row r="82" ht="30" customHeight="1">
      <c r="A82" s="4" t="inlineStr">
        <is>
          <t>Nature</t>
        </is>
      </c>
      <c r="B82" s="4" t="inlineStr">
        <is>
          <t>Désignation</t>
        </is>
      </c>
      <c r="C82" s="4" t="inlineStr">
        <is>
          <t>Unité</t>
        </is>
      </c>
      <c r="D82" s="4" t="inlineStr">
        <is>
          <t>Quantité</t>
        </is>
      </c>
      <c r="E82" s="4" t="inlineStr">
        <is>
          <t>Prix unitaire</t>
        </is>
      </c>
      <c r="F82" s="4" t="inlineStr">
        <is>
          <t>Montant</t>
        </is>
      </c>
      <c r="G82" s="4" t="inlineStr"/>
    </row>
    <row r="83">
      <c r="A83" s="7" t="inlineStr">
        <is>
          <t>MAT</t>
        </is>
      </c>
      <c r="B83" s="8" t="inlineStr">
        <is>
          <t>Ciment CPJ 42.5 (350 kg/m³)</t>
        </is>
      </c>
      <c r="C83" s="7" t="inlineStr">
        <is>
          <t>sac</t>
        </is>
      </c>
      <c r="D83" s="31">
        <f>350/50*(1+Hypotheses!$C$53)</f>
        <v/>
      </c>
      <c r="E83" s="11">
        <f>Hypotheses!$C$39</f>
        <v/>
      </c>
      <c r="F83" s="11">
        <f>D83*E83</f>
        <v/>
      </c>
      <c r="G83" s="17" t="inlineStr"/>
    </row>
    <row r="84">
      <c r="A84" s="7" t="inlineStr">
        <is>
          <t>MAT</t>
        </is>
      </c>
      <c r="B84" s="8" t="inlineStr">
        <is>
          <t>Sable</t>
        </is>
      </c>
      <c r="C84" s="7" t="inlineStr">
        <is>
          <t>m³</t>
        </is>
      </c>
      <c r="D84" s="31">
        <f>0.4*(1+Hypotheses!$C$53)</f>
        <v/>
      </c>
      <c r="E84" s="11">
        <f>Hypotheses!$C$40</f>
        <v/>
      </c>
      <c r="F84" s="11">
        <f>D84*E84</f>
        <v/>
      </c>
      <c r="G84" s="17" t="inlineStr"/>
    </row>
    <row r="85">
      <c r="A85" s="7" t="inlineStr">
        <is>
          <t>MAT</t>
        </is>
      </c>
      <c r="B85" s="8" t="inlineStr">
        <is>
          <t>Gravier concassé</t>
        </is>
      </c>
      <c r="C85" s="7" t="inlineStr">
        <is>
          <t>m³</t>
        </is>
      </c>
      <c r="D85" s="31">
        <f>0.8*(1+Hypotheses!$C$53)</f>
        <v/>
      </c>
      <c r="E85" s="11">
        <f>Hypotheses!$C$41</f>
        <v/>
      </c>
      <c r="F85" s="11">
        <f>D85*E85</f>
        <v/>
      </c>
      <c r="G85" s="17" t="inlineStr"/>
    </row>
    <row r="86">
      <c r="A86" s="7" t="inlineStr">
        <is>
          <t>MAT</t>
        </is>
      </c>
      <c r="B86" s="8" t="inlineStr">
        <is>
          <t>Eau de gâchage</t>
        </is>
      </c>
      <c r="C86" s="7" t="inlineStr">
        <is>
          <t>m³</t>
        </is>
      </c>
      <c r="D86" s="31" t="n">
        <v>0.18</v>
      </c>
      <c r="E86" s="11">
        <f>Hypotheses!$C$42</f>
        <v/>
      </c>
      <c r="F86" s="11">
        <f>D86*E86</f>
        <v/>
      </c>
      <c r="G86" s="17" t="inlineStr"/>
    </row>
    <row r="87">
      <c r="A87" s="7" t="inlineStr">
        <is>
          <t>MAT</t>
        </is>
      </c>
      <c r="B87" s="8" t="inlineStr">
        <is>
          <t>Cure du béton (arrosage / produit de cure)</t>
        </is>
      </c>
      <c r="C87" s="7" t="inlineStr">
        <is>
          <t>m³</t>
        </is>
      </c>
      <c r="D87" s="31" t="n">
        <v>1</v>
      </c>
      <c r="E87" s="11">
        <f>Hypotheses!$C$51</f>
        <v/>
      </c>
      <c r="F87" s="11">
        <f>D87*E87</f>
        <v/>
      </c>
      <c r="G87" s="17" t="inlineStr"/>
    </row>
    <row r="88">
      <c r="A88" s="7" t="inlineStr">
        <is>
          <t>MO</t>
        </is>
      </c>
      <c r="B88" s="8" t="inlineStr">
        <is>
          <t>Chef d'équipe</t>
        </is>
      </c>
      <c r="C88" s="7" t="inlineStr">
        <is>
          <t>j</t>
        </is>
      </c>
      <c r="D88" s="31">
        <f>1/Hypotheses!$C$67</f>
        <v/>
      </c>
      <c r="E88" s="11">
        <f>Hypotheses!$C$55</f>
        <v/>
      </c>
      <c r="F88" s="11">
        <f>D88*E88</f>
        <v/>
      </c>
      <c r="G88" s="17" t="inlineStr"/>
    </row>
    <row r="89">
      <c r="A89" s="7" t="inlineStr">
        <is>
          <t>MO</t>
        </is>
      </c>
      <c r="B89" s="8" t="inlineStr">
        <is>
          <t>Maçons (2)</t>
        </is>
      </c>
      <c r="C89" s="7" t="inlineStr">
        <is>
          <t>j</t>
        </is>
      </c>
      <c r="D89" s="31">
        <f>2/Hypotheses!$C$67</f>
        <v/>
      </c>
      <c r="E89" s="11">
        <f>Hypotheses!$C$56</f>
        <v/>
      </c>
      <c r="F89" s="11">
        <f>D89*E89</f>
        <v/>
      </c>
      <c r="G89" s="17" t="inlineStr"/>
    </row>
    <row r="90">
      <c r="A90" s="7" t="inlineStr">
        <is>
          <t>MO</t>
        </is>
      </c>
      <c r="B90" s="8" t="inlineStr">
        <is>
          <t>Manœuvres (8)</t>
        </is>
      </c>
      <c r="C90" s="7" t="inlineStr">
        <is>
          <t>j</t>
        </is>
      </c>
      <c r="D90" s="31">
        <f>8/Hypotheses!$C$67</f>
        <v/>
      </c>
      <c r="E90" s="11">
        <f>Hypotheses!$C$57</f>
        <v/>
      </c>
      <c r="F90" s="11">
        <f>D90*E90</f>
        <v/>
      </c>
      <c r="G90" s="17" t="inlineStr"/>
    </row>
    <row r="91">
      <c r="A91" s="7" t="inlineStr">
        <is>
          <t>MTL</t>
        </is>
      </c>
      <c r="B91" s="8" t="inlineStr">
        <is>
          <t>Bétonnière + vibreur</t>
        </is>
      </c>
      <c r="C91" s="7" t="inlineStr">
        <is>
          <t>j</t>
        </is>
      </c>
      <c r="D91" s="31">
        <f>1/Hypotheses!$C$67</f>
        <v/>
      </c>
      <c r="E91" s="11">
        <f>Hypotheses!$C$65</f>
        <v/>
      </c>
      <c r="F91" s="11">
        <f>D91*E91</f>
        <v/>
      </c>
      <c r="G91" s="17" t="inlineStr"/>
    </row>
    <row r="92">
      <c r="A92" s="18" t="inlineStr">
        <is>
          <t>Sous-total matériaux</t>
        </is>
      </c>
      <c r="B92" s="6" t="n"/>
      <c r="C92" s="6" t="n"/>
      <c r="D92" s="6" t="n"/>
      <c r="E92" s="6" t="n"/>
      <c r="F92" s="11">
        <f>SUMIF($A$83:$A$91,"MAT",$F$83:$F$91)</f>
        <v/>
      </c>
      <c r="G92" s="17" t="inlineStr"/>
    </row>
    <row r="93">
      <c r="A93" s="18" t="inlineStr">
        <is>
          <t>Sous-total main d'œuvre</t>
        </is>
      </c>
      <c r="B93" s="6" t="n"/>
      <c r="C93" s="6" t="n"/>
      <c r="D93" s="6" t="n"/>
      <c r="E93" s="6" t="n"/>
      <c r="F93" s="11">
        <f>SUMIF($A$83:$A$91,"MO",$F$83:$F$91)</f>
        <v/>
      </c>
      <c r="G93" s="17" t="inlineStr"/>
    </row>
    <row r="94">
      <c r="A94" s="18" t="inlineStr">
        <is>
          <t>Sous-total matériel</t>
        </is>
      </c>
      <c r="B94" s="6" t="n"/>
      <c r="C94" s="6" t="n"/>
      <c r="D94" s="6" t="n"/>
      <c r="E94" s="6" t="n"/>
      <c r="F94" s="11">
        <f>SUMIF($A$83:$A$91,"MTL",$F$83:$F$91)</f>
        <v/>
      </c>
      <c r="G94" s="17" t="inlineStr"/>
    </row>
    <row r="95">
      <c r="A95" s="12" t="inlineStr">
        <is>
          <t>DÉBOURSÉ SEC UNITAIRE (FCFA / m³)</t>
        </is>
      </c>
      <c r="B95" s="6" t="n"/>
      <c r="C95" s="6" t="n"/>
      <c r="D95" s="6" t="n"/>
      <c r="E95" s="6" t="n"/>
      <c r="F95" s="13">
        <f>SUM(F83:F91)</f>
        <v/>
      </c>
      <c r="G95" s="14" t="inlineStr"/>
    </row>
    <row r="97">
      <c r="A97" s="5" t="inlineStr">
        <is>
          <t>Prix 301 – Coffrage des rives du radier   (unité : m²)</t>
        </is>
      </c>
      <c r="B97" s="6" t="n"/>
      <c r="C97" s="6" t="n"/>
      <c r="D97" s="6" t="n"/>
      <c r="E97" s="6" t="n"/>
      <c r="F97" s="6" t="n"/>
      <c r="G97" s="6" t="n"/>
    </row>
    <row r="98" ht="30" customHeight="1">
      <c r="A98" s="4" t="inlineStr">
        <is>
          <t>Nature</t>
        </is>
      </c>
      <c r="B98" s="4" t="inlineStr">
        <is>
          <t>Désignation</t>
        </is>
      </c>
      <c r="C98" s="4" t="inlineStr">
        <is>
          <t>Unité</t>
        </is>
      </c>
      <c r="D98" s="4" t="inlineStr">
        <is>
          <t>Quantité</t>
        </is>
      </c>
      <c r="E98" s="4" t="inlineStr">
        <is>
          <t>Prix unitaire</t>
        </is>
      </c>
      <c r="F98" s="4" t="inlineStr">
        <is>
          <t>Montant</t>
        </is>
      </c>
      <c r="G98" s="4" t="inlineStr"/>
    </row>
    <row r="99">
      <c r="A99" s="7" t="inlineStr">
        <is>
          <t>MAT</t>
        </is>
      </c>
      <c r="B99" s="8" t="inlineStr">
        <is>
          <t>Coffrage bois amorti</t>
        </is>
      </c>
      <c r="C99" s="7" t="inlineStr">
        <is>
          <t>m²</t>
        </is>
      </c>
      <c r="D99" s="31" t="n">
        <v>1</v>
      </c>
      <c r="E99" s="11">
        <f>Hypotheses!$C$48</f>
        <v/>
      </c>
      <c r="F99" s="11">
        <f>D99*E99</f>
        <v/>
      </c>
      <c r="G99" s="17" t="inlineStr"/>
    </row>
    <row r="100">
      <c r="A100" s="7" t="inlineStr">
        <is>
          <t>MAT</t>
        </is>
      </c>
      <c r="B100" s="8" t="inlineStr">
        <is>
          <t>Accessoires</t>
        </is>
      </c>
      <c r="C100" s="7" t="inlineStr">
        <is>
          <t>m²</t>
        </is>
      </c>
      <c r="D100" s="31" t="n">
        <v>1</v>
      </c>
      <c r="E100" s="11">
        <f>Hypotheses!$C$49</f>
        <v/>
      </c>
      <c r="F100" s="11">
        <f>D100*E100</f>
        <v/>
      </c>
      <c r="G100" s="17" t="inlineStr"/>
    </row>
    <row r="101">
      <c r="A101" s="7" t="inlineStr">
        <is>
          <t>MO</t>
        </is>
      </c>
      <c r="B101" s="8" t="inlineStr">
        <is>
          <t>Coffreur</t>
        </is>
      </c>
      <c r="C101" s="7" t="inlineStr">
        <is>
          <t>j</t>
        </is>
      </c>
      <c r="D101" s="31">
        <f>1/Hypotheses!$C$70</f>
        <v/>
      </c>
      <c r="E101" s="11">
        <f>Hypotheses!$C$56</f>
        <v/>
      </c>
      <c r="F101" s="11">
        <f>D101*E101</f>
        <v/>
      </c>
      <c r="G101" s="17" t="inlineStr"/>
    </row>
    <row r="102">
      <c r="A102" s="7" t="inlineStr">
        <is>
          <t>MO</t>
        </is>
      </c>
      <c r="B102" s="8" t="inlineStr">
        <is>
          <t>Aide coffreur</t>
        </is>
      </c>
      <c r="C102" s="7" t="inlineStr">
        <is>
          <t>j</t>
        </is>
      </c>
      <c r="D102" s="31">
        <f>1/Hypotheses!$C$70</f>
        <v/>
      </c>
      <c r="E102" s="11">
        <f>Hypotheses!$C$57</f>
        <v/>
      </c>
      <c r="F102" s="11">
        <f>D102*E102</f>
        <v/>
      </c>
      <c r="G102" s="17" t="inlineStr"/>
    </row>
    <row r="103">
      <c r="A103" s="18" t="inlineStr">
        <is>
          <t>Sous-total matériaux</t>
        </is>
      </c>
      <c r="B103" s="6" t="n"/>
      <c r="C103" s="6" t="n"/>
      <c r="D103" s="6" t="n"/>
      <c r="E103" s="6" t="n"/>
      <c r="F103" s="11">
        <f>SUMIF($A$99:$A$102,"MAT",$F$99:$F$102)</f>
        <v/>
      </c>
      <c r="G103" s="17" t="inlineStr"/>
    </row>
    <row r="104">
      <c r="A104" s="18" t="inlineStr">
        <is>
          <t>Sous-total main d'œuvre</t>
        </is>
      </c>
      <c r="B104" s="6" t="n"/>
      <c r="C104" s="6" t="n"/>
      <c r="D104" s="6" t="n"/>
      <c r="E104" s="6" t="n"/>
      <c r="F104" s="11">
        <f>SUMIF($A$99:$A$102,"MO",$F$99:$F$102)</f>
        <v/>
      </c>
      <c r="G104" s="17" t="inlineStr"/>
    </row>
    <row r="105">
      <c r="A105" s="18" t="inlineStr">
        <is>
          <t>Sous-total matériel</t>
        </is>
      </c>
      <c r="B105" s="6" t="n"/>
      <c r="C105" s="6" t="n"/>
      <c r="D105" s="6" t="n"/>
      <c r="E105" s="6" t="n"/>
      <c r="F105" s="11">
        <f>SUMIF($A$99:$A$102,"MTL",$F$99:$F$102)</f>
        <v/>
      </c>
      <c r="G105" s="17" t="inlineStr"/>
    </row>
    <row r="106">
      <c r="A106" s="12" t="inlineStr">
        <is>
          <t>DÉBOURSÉ SEC UNITAIRE (FCFA / m²)</t>
        </is>
      </c>
      <c r="B106" s="6" t="n"/>
      <c r="C106" s="6" t="n"/>
      <c r="D106" s="6" t="n"/>
      <c r="E106" s="6" t="n"/>
      <c r="F106" s="13">
        <f>SUM(F99:F102)</f>
        <v/>
      </c>
      <c r="G106" s="14" t="inlineStr"/>
    </row>
    <row r="108">
      <c r="A108" s="5" t="inlineStr">
        <is>
          <t>Prix 302 – Coffrage des voiles (2 faces)   (unité : m²)</t>
        </is>
      </c>
      <c r="B108" s="6" t="n"/>
      <c r="C108" s="6" t="n"/>
      <c r="D108" s="6" t="n"/>
      <c r="E108" s="6" t="n"/>
      <c r="F108" s="6" t="n"/>
      <c r="G108" s="6" t="n"/>
    </row>
    <row r="109" ht="30" customHeight="1">
      <c r="A109" s="4" t="inlineStr">
        <is>
          <t>Nature</t>
        </is>
      </c>
      <c r="B109" s="4" t="inlineStr">
        <is>
          <t>Désignation</t>
        </is>
      </c>
      <c r="C109" s="4" t="inlineStr">
        <is>
          <t>Unité</t>
        </is>
      </c>
      <c r="D109" s="4" t="inlineStr">
        <is>
          <t>Quantité</t>
        </is>
      </c>
      <c r="E109" s="4" t="inlineStr">
        <is>
          <t>Prix unitaire</t>
        </is>
      </c>
      <c r="F109" s="4" t="inlineStr">
        <is>
          <t>Montant</t>
        </is>
      </c>
      <c r="G109" s="4" t="inlineStr"/>
    </row>
    <row r="110">
      <c r="A110" s="7" t="inlineStr">
        <is>
          <t>MAT</t>
        </is>
      </c>
      <c r="B110" s="8" t="inlineStr">
        <is>
          <t>Coffrage contreplaqué amorti</t>
        </is>
      </c>
      <c r="C110" s="7" t="inlineStr">
        <is>
          <t>m²</t>
        </is>
      </c>
      <c r="D110" s="31" t="n">
        <v>1</v>
      </c>
      <c r="E110" s="11">
        <f>Hypotheses!$C$48</f>
        <v/>
      </c>
      <c r="F110" s="11">
        <f>D110*E110</f>
        <v/>
      </c>
      <c r="G110" s="17" t="inlineStr"/>
    </row>
    <row r="111">
      <c r="A111" s="7" t="inlineStr">
        <is>
          <t>MAT</t>
        </is>
      </c>
      <c r="B111" s="8" t="inlineStr">
        <is>
          <t>Accessoires (tiges, cônes, huile, pointes)</t>
        </is>
      </c>
      <c r="C111" s="7" t="inlineStr">
        <is>
          <t>m²</t>
        </is>
      </c>
      <c r="D111" s="31" t="n">
        <v>1</v>
      </c>
      <c r="E111" s="11">
        <f>Hypotheses!$C$49</f>
        <v/>
      </c>
      <c r="F111" s="11">
        <f>D111*E111</f>
        <v/>
      </c>
      <c r="G111" s="17" t="inlineStr"/>
    </row>
    <row r="112">
      <c r="A112" s="7" t="inlineStr">
        <is>
          <t>MTL</t>
        </is>
      </c>
      <c r="B112" s="8" t="inlineStr">
        <is>
          <t>Étaiement / échafaudage</t>
        </is>
      </c>
      <c r="C112" s="7" t="inlineStr">
        <is>
          <t>m²</t>
        </is>
      </c>
      <c r="D112" s="31" t="n">
        <v>1</v>
      </c>
      <c r="E112" s="11">
        <f>Hypotheses!$C$50</f>
        <v/>
      </c>
      <c r="F112" s="11">
        <f>D112*E112</f>
        <v/>
      </c>
      <c r="G112" s="17" t="inlineStr"/>
    </row>
    <row r="113">
      <c r="A113" s="7" t="inlineStr">
        <is>
          <t>MO</t>
        </is>
      </c>
      <c r="B113" s="8" t="inlineStr">
        <is>
          <t>Coffreur</t>
        </is>
      </c>
      <c r="C113" s="7" t="inlineStr">
        <is>
          <t>j</t>
        </is>
      </c>
      <c r="D113" s="31">
        <f>1/Hypotheses!$C$69</f>
        <v/>
      </c>
      <c r="E113" s="11">
        <f>Hypotheses!$C$56</f>
        <v/>
      </c>
      <c r="F113" s="11">
        <f>D113*E113</f>
        <v/>
      </c>
      <c r="G113" s="17" t="inlineStr"/>
    </row>
    <row r="114">
      <c r="A114" s="7" t="inlineStr">
        <is>
          <t>MO</t>
        </is>
      </c>
      <c r="B114" s="8" t="inlineStr">
        <is>
          <t>Aide coffreur</t>
        </is>
      </c>
      <c r="C114" s="7" t="inlineStr">
        <is>
          <t>j</t>
        </is>
      </c>
      <c r="D114" s="31">
        <f>1/Hypotheses!$C$69</f>
        <v/>
      </c>
      <c r="E114" s="11">
        <f>Hypotheses!$C$57</f>
        <v/>
      </c>
      <c r="F114" s="11">
        <f>D114*E114</f>
        <v/>
      </c>
      <c r="G114" s="17" t="inlineStr"/>
    </row>
    <row r="115">
      <c r="A115" s="18" t="inlineStr">
        <is>
          <t>Sous-total matériaux</t>
        </is>
      </c>
      <c r="B115" s="6" t="n"/>
      <c r="C115" s="6" t="n"/>
      <c r="D115" s="6" t="n"/>
      <c r="E115" s="6" t="n"/>
      <c r="F115" s="11">
        <f>SUMIF($A$110:$A$114,"MAT",$F$110:$F$114)</f>
        <v/>
      </c>
      <c r="G115" s="17" t="inlineStr"/>
    </row>
    <row r="116">
      <c r="A116" s="18" t="inlineStr">
        <is>
          <t>Sous-total main d'œuvre</t>
        </is>
      </c>
      <c r="B116" s="6" t="n"/>
      <c r="C116" s="6" t="n"/>
      <c r="D116" s="6" t="n"/>
      <c r="E116" s="6" t="n"/>
      <c r="F116" s="11">
        <f>SUMIF($A$110:$A$114,"MO",$F$110:$F$114)</f>
        <v/>
      </c>
      <c r="G116" s="17" t="inlineStr"/>
    </row>
    <row r="117">
      <c r="A117" s="18" t="inlineStr">
        <is>
          <t>Sous-total matériel</t>
        </is>
      </c>
      <c r="B117" s="6" t="n"/>
      <c r="C117" s="6" t="n"/>
      <c r="D117" s="6" t="n"/>
      <c r="E117" s="6" t="n"/>
      <c r="F117" s="11">
        <f>SUMIF($A$110:$A$114,"MTL",$F$110:$F$114)</f>
        <v/>
      </c>
      <c r="G117" s="17" t="inlineStr"/>
    </row>
    <row r="118">
      <c r="A118" s="12" t="inlineStr">
        <is>
          <t>DÉBOURSÉ SEC UNITAIRE (FCFA / m²)</t>
        </is>
      </c>
      <c r="B118" s="6" t="n"/>
      <c r="C118" s="6" t="n"/>
      <c r="D118" s="6" t="n"/>
      <c r="E118" s="6" t="n"/>
      <c r="F118" s="13">
        <f>SUM(F110:F114)</f>
        <v/>
      </c>
      <c r="G118" s="14" t="inlineStr"/>
    </row>
    <row r="120">
      <c r="A120" s="5" t="inlineStr">
        <is>
          <t>Prix 401 – Acier HA8 FE500 façonné et posé   (unité : kg)</t>
        </is>
      </c>
      <c r="B120" s="6" t="n"/>
      <c r="C120" s="6" t="n"/>
      <c r="D120" s="6" t="n"/>
      <c r="E120" s="6" t="n"/>
      <c r="F120" s="6" t="n"/>
      <c r="G120" s="6" t="n"/>
    </row>
    <row r="121" ht="30" customHeight="1">
      <c r="A121" s="4" t="inlineStr">
        <is>
          <t>Nature</t>
        </is>
      </c>
      <c r="B121" s="4" t="inlineStr">
        <is>
          <t>Désignation</t>
        </is>
      </c>
      <c r="C121" s="4" t="inlineStr">
        <is>
          <t>Unité</t>
        </is>
      </c>
      <c r="D121" s="4" t="inlineStr">
        <is>
          <t>Quantité</t>
        </is>
      </c>
      <c r="E121" s="4" t="inlineStr">
        <is>
          <t>Prix unitaire</t>
        </is>
      </c>
      <c r="F121" s="4" t="inlineStr">
        <is>
          <t>Montant</t>
        </is>
      </c>
      <c r="G121" s="4" t="inlineStr"/>
    </row>
    <row r="122">
      <c r="A122" s="7" t="inlineStr">
        <is>
          <t>MAT</t>
        </is>
      </c>
      <c r="B122" s="8" t="inlineStr">
        <is>
          <t>Acier HA8 FE500 (avec chutes)</t>
        </is>
      </c>
      <c r="C122" s="7" t="inlineStr">
        <is>
          <t>kg</t>
        </is>
      </c>
      <c r="D122" s="31">
        <f>1+Hypotheses!$C$36</f>
        <v/>
      </c>
      <c r="E122" s="11">
        <f>Hypotheses!$C$43</f>
        <v/>
      </c>
      <c r="F122" s="11">
        <f>D122*E122</f>
        <v/>
      </c>
      <c r="G122" s="17" t="inlineStr"/>
    </row>
    <row r="123">
      <c r="A123" s="7" t="inlineStr">
        <is>
          <t>MAT</t>
        </is>
      </c>
      <c r="B123" s="8" t="inlineStr">
        <is>
          <t>Fil recuit</t>
        </is>
      </c>
      <c r="C123" s="7" t="inlineStr">
        <is>
          <t>kg</t>
        </is>
      </c>
      <c r="D123" s="31">
        <f>Hypotheses!$C$47</f>
        <v/>
      </c>
      <c r="E123" s="11">
        <f>Hypotheses!$C$46</f>
        <v/>
      </c>
      <c r="F123" s="11">
        <f>D123*E123</f>
        <v/>
      </c>
      <c r="G123" s="17" t="inlineStr"/>
    </row>
    <row r="124">
      <c r="A124" s="7" t="inlineStr">
        <is>
          <t>MO</t>
        </is>
      </c>
      <c r="B124" s="8" t="inlineStr">
        <is>
          <t>Ferrailleur</t>
        </is>
      </c>
      <c r="C124" s="7" t="inlineStr">
        <is>
          <t>j</t>
        </is>
      </c>
      <c r="D124" s="31">
        <f>1/Hypotheses!$C$71</f>
        <v/>
      </c>
      <c r="E124" s="11">
        <f>Hypotheses!$C$56</f>
        <v/>
      </c>
      <c r="F124" s="11">
        <f>D124*E124</f>
        <v/>
      </c>
      <c r="G124" s="17" t="inlineStr"/>
    </row>
    <row r="125">
      <c r="A125" s="7" t="inlineStr">
        <is>
          <t>MO</t>
        </is>
      </c>
      <c r="B125" s="8" t="inlineStr">
        <is>
          <t>Aide ferrailleur</t>
        </is>
      </c>
      <c r="C125" s="7" t="inlineStr">
        <is>
          <t>j</t>
        </is>
      </c>
      <c r="D125" s="31">
        <f>1/Hypotheses!$C$71</f>
        <v/>
      </c>
      <c r="E125" s="11">
        <f>Hypotheses!$C$57</f>
        <v/>
      </c>
      <c r="F125" s="11">
        <f>D125*E125</f>
        <v/>
      </c>
      <c r="G125" s="17" t="inlineStr"/>
    </row>
    <row r="126">
      <c r="A126" s="18" t="inlineStr">
        <is>
          <t>Sous-total matériaux</t>
        </is>
      </c>
      <c r="B126" s="6" t="n"/>
      <c r="C126" s="6" t="n"/>
      <c r="D126" s="6" t="n"/>
      <c r="E126" s="6" t="n"/>
      <c r="F126" s="11">
        <f>SUMIF($A$122:$A$125,"MAT",$F$122:$F$125)</f>
        <v/>
      </c>
      <c r="G126" s="17" t="inlineStr"/>
    </row>
    <row r="127">
      <c r="A127" s="18" t="inlineStr">
        <is>
          <t>Sous-total main d'œuvre</t>
        </is>
      </c>
      <c r="B127" s="6" t="n"/>
      <c r="C127" s="6" t="n"/>
      <c r="D127" s="6" t="n"/>
      <c r="E127" s="6" t="n"/>
      <c r="F127" s="11">
        <f>SUMIF($A$122:$A$125,"MO",$F$122:$F$125)</f>
        <v/>
      </c>
      <c r="G127" s="17" t="inlineStr"/>
    </row>
    <row r="128">
      <c r="A128" s="18" t="inlineStr">
        <is>
          <t>Sous-total matériel</t>
        </is>
      </c>
      <c r="B128" s="6" t="n"/>
      <c r="C128" s="6" t="n"/>
      <c r="D128" s="6" t="n"/>
      <c r="E128" s="6" t="n"/>
      <c r="F128" s="11">
        <f>SUMIF($A$122:$A$125,"MTL",$F$122:$F$125)</f>
        <v/>
      </c>
      <c r="G128" s="17" t="inlineStr"/>
    </row>
    <row r="129">
      <c r="A129" s="12" t="inlineStr">
        <is>
          <t>DÉBOURSÉ SEC UNITAIRE (FCFA / kg)</t>
        </is>
      </c>
      <c r="B129" s="6" t="n"/>
      <c r="C129" s="6" t="n"/>
      <c r="D129" s="6" t="n"/>
      <c r="E129" s="6" t="n"/>
      <c r="F129" s="13">
        <f>SUM(F122:F125)</f>
        <v/>
      </c>
      <c r="G129" s="14" t="inlineStr"/>
    </row>
    <row r="131">
      <c r="A131" s="5" t="inlineStr">
        <is>
          <t>Prix 402 – Acier HA10 FE500 façonné et posé   (unité : kg)</t>
        </is>
      </c>
      <c r="B131" s="6" t="n"/>
      <c r="C131" s="6" t="n"/>
      <c r="D131" s="6" t="n"/>
      <c r="E131" s="6" t="n"/>
      <c r="F131" s="6" t="n"/>
      <c r="G131" s="6" t="n"/>
    </row>
    <row r="132" ht="30" customHeight="1">
      <c r="A132" s="4" t="inlineStr">
        <is>
          <t>Nature</t>
        </is>
      </c>
      <c r="B132" s="4" t="inlineStr">
        <is>
          <t>Désignation</t>
        </is>
      </c>
      <c r="C132" s="4" t="inlineStr">
        <is>
          <t>Unité</t>
        </is>
      </c>
      <c r="D132" s="4" t="inlineStr">
        <is>
          <t>Quantité</t>
        </is>
      </c>
      <c r="E132" s="4" t="inlineStr">
        <is>
          <t>Prix unitaire</t>
        </is>
      </c>
      <c r="F132" s="4" t="inlineStr">
        <is>
          <t>Montant</t>
        </is>
      </c>
      <c r="G132" s="4" t="inlineStr"/>
    </row>
    <row r="133">
      <c r="A133" s="7" t="inlineStr">
        <is>
          <t>MAT</t>
        </is>
      </c>
      <c r="B133" s="8" t="inlineStr">
        <is>
          <t>Acier HA10 FE500 (avec chutes)</t>
        </is>
      </c>
      <c r="C133" s="7" t="inlineStr">
        <is>
          <t>kg</t>
        </is>
      </c>
      <c r="D133" s="31">
        <f>1+Hypotheses!$C$36</f>
        <v/>
      </c>
      <c r="E133" s="11">
        <f>Hypotheses!$C$44</f>
        <v/>
      </c>
      <c r="F133" s="11">
        <f>D133*E133</f>
        <v/>
      </c>
      <c r="G133" s="17" t="inlineStr"/>
    </row>
    <row r="134">
      <c r="A134" s="7" t="inlineStr">
        <is>
          <t>MAT</t>
        </is>
      </c>
      <c r="B134" s="8" t="inlineStr">
        <is>
          <t>Fil recuit</t>
        </is>
      </c>
      <c r="C134" s="7" t="inlineStr">
        <is>
          <t>kg</t>
        </is>
      </c>
      <c r="D134" s="31">
        <f>Hypotheses!$C$47</f>
        <v/>
      </c>
      <c r="E134" s="11">
        <f>Hypotheses!$C$46</f>
        <v/>
      </c>
      <c r="F134" s="11">
        <f>D134*E134</f>
        <v/>
      </c>
      <c r="G134" s="17" t="inlineStr"/>
    </row>
    <row r="135">
      <c r="A135" s="7" t="inlineStr">
        <is>
          <t>MO</t>
        </is>
      </c>
      <c r="B135" s="8" t="inlineStr">
        <is>
          <t>Ferrailleur</t>
        </is>
      </c>
      <c r="C135" s="7" t="inlineStr">
        <is>
          <t>j</t>
        </is>
      </c>
      <c r="D135" s="31">
        <f>1/Hypotheses!$C$71</f>
        <v/>
      </c>
      <c r="E135" s="11">
        <f>Hypotheses!$C$56</f>
        <v/>
      </c>
      <c r="F135" s="11">
        <f>D135*E135</f>
        <v/>
      </c>
      <c r="G135" s="17" t="inlineStr"/>
    </row>
    <row r="136">
      <c r="A136" s="7" t="inlineStr">
        <is>
          <t>MO</t>
        </is>
      </c>
      <c r="B136" s="8" t="inlineStr">
        <is>
          <t>Aide ferrailleur</t>
        </is>
      </c>
      <c r="C136" s="7" t="inlineStr">
        <is>
          <t>j</t>
        </is>
      </c>
      <c r="D136" s="31">
        <f>1/Hypotheses!$C$71</f>
        <v/>
      </c>
      <c r="E136" s="11">
        <f>Hypotheses!$C$57</f>
        <v/>
      </c>
      <c r="F136" s="11">
        <f>D136*E136</f>
        <v/>
      </c>
      <c r="G136" s="17" t="inlineStr"/>
    </row>
    <row r="137">
      <c r="A137" s="18" t="inlineStr">
        <is>
          <t>Sous-total matériaux</t>
        </is>
      </c>
      <c r="B137" s="6" t="n"/>
      <c r="C137" s="6" t="n"/>
      <c r="D137" s="6" t="n"/>
      <c r="E137" s="6" t="n"/>
      <c r="F137" s="11">
        <f>SUMIF($A$133:$A$136,"MAT",$F$133:$F$136)</f>
        <v/>
      </c>
      <c r="G137" s="17" t="inlineStr"/>
    </row>
    <row r="138">
      <c r="A138" s="18" t="inlineStr">
        <is>
          <t>Sous-total main d'œuvre</t>
        </is>
      </c>
      <c r="B138" s="6" t="n"/>
      <c r="C138" s="6" t="n"/>
      <c r="D138" s="6" t="n"/>
      <c r="E138" s="6" t="n"/>
      <c r="F138" s="11">
        <f>SUMIF($A$133:$A$136,"MO",$F$133:$F$136)</f>
        <v/>
      </c>
      <c r="G138" s="17" t="inlineStr"/>
    </row>
    <row r="139">
      <c r="A139" s="18" t="inlineStr">
        <is>
          <t>Sous-total matériel</t>
        </is>
      </c>
      <c r="B139" s="6" t="n"/>
      <c r="C139" s="6" t="n"/>
      <c r="D139" s="6" t="n"/>
      <c r="E139" s="6" t="n"/>
      <c r="F139" s="11">
        <f>SUMIF($A$133:$A$136,"MTL",$F$133:$F$136)</f>
        <v/>
      </c>
      <c r="G139" s="17" t="inlineStr"/>
    </row>
    <row r="140">
      <c r="A140" s="12" t="inlineStr">
        <is>
          <t>DÉBOURSÉ SEC UNITAIRE (FCFA / kg)</t>
        </is>
      </c>
      <c r="B140" s="6" t="n"/>
      <c r="C140" s="6" t="n"/>
      <c r="D140" s="6" t="n"/>
      <c r="E140" s="6" t="n"/>
      <c r="F140" s="13">
        <f>SUM(F133:F136)</f>
        <v/>
      </c>
      <c r="G140" s="14" t="inlineStr"/>
    </row>
    <row r="142">
      <c r="A142" s="5" t="inlineStr">
        <is>
          <t>Prix 403 – Acier HA12 FE500 façonné et posé   (unité : kg)</t>
        </is>
      </c>
      <c r="B142" s="6" t="n"/>
      <c r="C142" s="6" t="n"/>
      <c r="D142" s="6" t="n"/>
      <c r="E142" s="6" t="n"/>
      <c r="F142" s="6" t="n"/>
      <c r="G142" s="6" t="n"/>
    </row>
    <row r="143" ht="30" customHeight="1">
      <c r="A143" s="4" t="inlineStr">
        <is>
          <t>Nature</t>
        </is>
      </c>
      <c r="B143" s="4" t="inlineStr">
        <is>
          <t>Désignation</t>
        </is>
      </c>
      <c r="C143" s="4" t="inlineStr">
        <is>
          <t>Unité</t>
        </is>
      </c>
      <c r="D143" s="4" t="inlineStr">
        <is>
          <t>Quantité</t>
        </is>
      </c>
      <c r="E143" s="4" t="inlineStr">
        <is>
          <t>Prix unitaire</t>
        </is>
      </c>
      <c r="F143" s="4" t="inlineStr">
        <is>
          <t>Montant</t>
        </is>
      </c>
      <c r="G143" s="4" t="inlineStr"/>
    </row>
    <row r="144">
      <c r="A144" s="7" t="inlineStr">
        <is>
          <t>MAT</t>
        </is>
      </c>
      <c r="B144" s="8" t="inlineStr">
        <is>
          <t>Acier HA12 FE500 (avec chutes)</t>
        </is>
      </c>
      <c r="C144" s="7" t="inlineStr">
        <is>
          <t>kg</t>
        </is>
      </c>
      <c r="D144" s="31">
        <f>1+Hypotheses!$C$36</f>
        <v/>
      </c>
      <c r="E144" s="11">
        <f>Hypotheses!$C$45</f>
        <v/>
      </c>
      <c r="F144" s="11">
        <f>D144*E144</f>
        <v/>
      </c>
      <c r="G144" s="17" t="inlineStr"/>
    </row>
    <row r="145">
      <c r="A145" s="7" t="inlineStr">
        <is>
          <t>MAT</t>
        </is>
      </c>
      <c r="B145" s="8" t="inlineStr">
        <is>
          <t>Fil recuit</t>
        </is>
      </c>
      <c r="C145" s="7" t="inlineStr">
        <is>
          <t>kg</t>
        </is>
      </c>
      <c r="D145" s="31">
        <f>Hypotheses!$C$47</f>
        <v/>
      </c>
      <c r="E145" s="11">
        <f>Hypotheses!$C$46</f>
        <v/>
      </c>
      <c r="F145" s="11">
        <f>D145*E145</f>
        <v/>
      </c>
      <c r="G145" s="17" t="inlineStr"/>
    </row>
    <row r="146">
      <c r="A146" s="7" t="inlineStr">
        <is>
          <t>MO</t>
        </is>
      </c>
      <c r="B146" s="8" t="inlineStr">
        <is>
          <t>Ferrailleur</t>
        </is>
      </c>
      <c r="C146" s="7" t="inlineStr">
        <is>
          <t>j</t>
        </is>
      </c>
      <c r="D146" s="31">
        <f>1/Hypotheses!$C$71</f>
        <v/>
      </c>
      <c r="E146" s="11">
        <f>Hypotheses!$C$56</f>
        <v/>
      </c>
      <c r="F146" s="11">
        <f>D146*E146</f>
        <v/>
      </c>
      <c r="G146" s="17" t="inlineStr"/>
    </row>
    <row r="147">
      <c r="A147" s="7" t="inlineStr">
        <is>
          <t>MO</t>
        </is>
      </c>
      <c r="B147" s="8" t="inlineStr">
        <is>
          <t>Aide ferrailleur</t>
        </is>
      </c>
      <c r="C147" s="7" t="inlineStr">
        <is>
          <t>j</t>
        </is>
      </c>
      <c r="D147" s="31">
        <f>1/Hypotheses!$C$71</f>
        <v/>
      </c>
      <c r="E147" s="11">
        <f>Hypotheses!$C$57</f>
        <v/>
      </c>
      <c r="F147" s="11">
        <f>D147*E147</f>
        <v/>
      </c>
      <c r="G147" s="17" t="inlineStr"/>
    </row>
    <row r="148">
      <c r="A148" s="18" t="inlineStr">
        <is>
          <t>Sous-total matériaux</t>
        </is>
      </c>
      <c r="B148" s="6" t="n"/>
      <c r="C148" s="6" t="n"/>
      <c r="D148" s="6" t="n"/>
      <c r="E148" s="6" t="n"/>
      <c r="F148" s="11">
        <f>SUMIF($A$144:$A$147,"MAT",$F$144:$F$147)</f>
        <v/>
      </c>
      <c r="G148" s="17" t="inlineStr"/>
    </row>
    <row r="149">
      <c r="A149" s="18" t="inlineStr">
        <is>
          <t>Sous-total main d'œuvre</t>
        </is>
      </c>
      <c r="B149" s="6" t="n"/>
      <c r="C149" s="6" t="n"/>
      <c r="D149" s="6" t="n"/>
      <c r="E149" s="6" t="n"/>
      <c r="F149" s="11">
        <f>SUMIF($A$144:$A$147,"MO",$F$144:$F$147)</f>
        <v/>
      </c>
      <c r="G149" s="17" t="inlineStr"/>
    </row>
    <row r="150">
      <c r="A150" s="18" t="inlineStr">
        <is>
          <t>Sous-total matériel</t>
        </is>
      </c>
      <c r="B150" s="6" t="n"/>
      <c r="C150" s="6" t="n"/>
      <c r="D150" s="6" t="n"/>
      <c r="E150" s="6" t="n"/>
      <c r="F150" s="11">
        <f>SUMIF($A$144:$A$147,"MTL",$F$144:$F$147)</f>
        <v/>
      </c>
      <c r="G150" s="17" t="inlineStr"/>
    </row>
    <row r="151">
      <c r="A151" s="12" t="inlineStr">
        <is>
          <t>DÉBOURSÉ SEC UNITAIRE (FCFA / kg)</t>
        </is>
      </c>
      <c r="B151" s="6" t="n"/>
      <c r="C151" s="6" t="n"/>
      <c r="D151" s="6" t="n"/>
      <c r="E151" s="6" t="n"/>
      <c r="F151" s="13">
        <f>SUM(F144:F147)</f>
        <v/>
      </c>
      <c r="G151" s="14" t="inlineStr"/>
    </row>
    <row r="153">
      <c r="A153" s="5" t="inlineStr">
        <is>
          <t>Prix 501 – Joint de dilatation (polystyrène 2 cm + mastic)   (unité : ml)</t>
        </is>
      </c>
      <c r="B153" s="6" t="n"/>
      <c r="C153" s="6" t="n"/>
      <c r="D153" s="6" t="n"/>
      <c r="E153" s="6" t="n"/>
      <c r="F153" s="6" t="n"/>
      <c r="G153" s="6" t="n"/>
    </row>
    <row r="154" ht="30" customHeight="1">
      <c r="A154" s="4" t="inlineStr">
        <is>
          <t>Nature</t>
        </is>
      </c>
      <c r="B154" s="4" t="inlineStr">
        <is>
          <t>Désignation</t>
        </is>
      </c>
      <c r="C154" s="4" t="inlineStr">
        <is>
          <t>Unité</t>
        </is>
      </c>
      <c r="D154" s="4" t="inlineStr">
        <is>
          <t>Quantité</t>
        </is>
      </c>
      <c r="E154" s="4" t="inlineStr">
        <is>
          <t>Prix unitaire</t>
        </is>
      </c>
      <c r="F154" s="4" t="inlineStr">
        <is>
          <t>Montant</t>
        </is>
      </c>
      <c r="G154" s="4" t="inlineStr"/>
    </row>
    <row r="155">
      <c r="A155" s="7" t="inlineStr">
        <is>
          <t>MAT</t>
        </is>
      </c>
      <c r="B155" s="8" t="inlineStr">
        <is>
          <t>Polystyrène + mastic polyuréthane</t>
        </is>
      </c>
      <c r="C155" s="7" t="inlineStr">
        <is>
          <t>ml</t>
        </is>
      </c>
      <c r="D155" s="31" t="n">
        <v>1</v>
      </c>
      <c r="E155" s="11">
        <f>Hypotheses!$C$52</f>
        <v/>
      </c>
      <c r="F155" s="11">
        <f>D155*E155</f>
        <v/>
      </c>
      <c r="G155" s="17" t="inlineStr"/>
    </row>
    <row r="156">
      <c r="A156" s="7" t="inlineStr">
        <is>
          <t>MO</t>
        </is>
      </c>
      <c r="B156" s="8" t="inlineStr">
        <is>
          <t>Ouvrier qualifié</t>
        </is>
      </c>
      <c r="C156" s="7" t="inlineStr">
        <is>
          <t>j</t>
        </is>
      </c>
      <c r="D156" s="31">
        <f>1/Hypotheses!$C$72</f>
        <v/>
      </c>
      <c r="E156" s="11">
        <f>Hypotheses!$C$56</f>
        <v/>
      </c>
      <c r="F156" s="11">
        <f>D156*E156</f>
        <v/>
      </c>
      <c r="G156" s="17" t="inlineStr"/>
    </row>
    <row r="157">
      <c r="A157" s="7" t="inlineStr">
        <is>
          <t>MO</t>
        </is>
      </c>
      <c r="B157" s="8" t="inlineStr">
        <is>
          <t>Manœuvre</t>
        </is>
      </c>
      <c r="C157" s="7" t="inlineStr">
        <is>
          <t>j</t>
        </is>
      </c>
      <c r="D157" s="31">
        <f>1/Hypotheses!$C$72</f>
        <v/>
      </c>
      <c r="E157" s="11">
        <f>Hypotheses!$C$57</f>
        <v/>
      </c>
      <c r="F157" s="11">
        <f>D157*E157</f>
        <v/>
      </c>
      <c r="G157" s="17" t="inlineStr"/>
    </row>
    <row r="158">
      <c r="A158" s="18" t="inlineStr">
        <is>
          <t>Sous-total matériaux</t>
        </is>
      </c>
      <c r="B158" s="6" t="n"/>
      <c r="C158" s="6" t="n"/>
      <c r="D158" s="6" t="n"/>
      <c r="E158" s="6" t="n"/>
      <c r="F158" s="11">
        <f>SUMIF($A$155:$A$157,"MAT",$F$155:$F$157)</f>
        <v/>
      </c>
      <c r="G158" s="17" t="inlineStr"/>
    </row>
    <row r="159">
      <c r="A159" s="18" t="inlineStr">
        <is>
          <t>Sous-total main d'œuvre</t>
        </is>
      </c>
      <c r="B159" s="6" t="n"/>
      <c r="C159" s="6" t="n"/>
      <c r="D159" s="6" t="n"/>
      <c r="E159" s="6" t="n"/>
      <c r="F159" s="11">
        <f>SUMIF($A$155:$A$157,"MO",$F$155:$F$157)</f>
        <v/>
      </c>
      <c r="G159" s="17" t="inlineStr"/>
    </row>
    <row r="160">
      <c r="A160" s="18" t="inlineStr">
        <is>
          <t>Sous-total matériel</t>
        </is>
      </c>
      <c r="B160" s="6" t="n"/>
      <c r="C160" s="6" t="n"/>
      <c r="D160" s="6" t="n"/>
      <c r="E160" s="6" t="n"/>
      <c r="F160" s="11">
        <f>SUMIF($A$155:$A$157,"MTL",$F$155:$F$157)</f>
        <v/>
      </c>
      <c r="G160" s="17" t="inlineStr"/>
    </row>
    <row r="161">
      <c r="A161" s="12" t="inlineStr">
        <is>
          <t>DÉBOURSÉ SEC UNITAIRE (FCFA / ml)</t>
        </is>
      </c>
      <c r="B161" s="6" t="n"/>
      <c r="C161" s="6" t="n"/>
      <c r="D161" s="6" t="n"/>
      <c r="E161" s="6" t="n"/>
      <c r="F161" s="13">
        <f>SUM(F155:F157)</f>
        <v/>
      </c>
      <c r="G161" s="14" t="inlineStr"/>
    </row>
  </sheetData>
  <mergeCells count="69">
    <mergeCell ref="A77:E77"/>
    <mergeCell ref="A34:E34"/>
    <mergeCell ref="A148:E148"/>
    <mergeCell ref="A97:G97"/>
    <mergeCell ref="A17:G17"/>
    <mergeCell ref="A24:E24"/>
    <mergeCell ref="A15:E15"/>
    <mergeCell ref="A60:E60"/>
    <mergeCell ref="A131:G131"/>
    <mergeCell ref="A4:G4"/>
    <mergeCell ref="A138:E138"/>
    <mergeCell ref="A45:E45"/>
    <mergeCell ref="A94:E94"/>
    <mergeCell ref="A103:E103"/>
    <mergeCell ref="A36:E36"/>
    <mergeCell ref="A61:E61"/>
    <mergeCell ref="A81:G81"/>
    <mergeCell ref="A79:E79"/>
    <mergeCell ref="A28:G28"/>
    <mergeCell ref="A78:E78"/>
    <mergeCell ref="A25:E25"/>
    <mergeCell ref="A39:G39"/>
    <mergeCell ref="A128:E128"/>
    <mergeCell ref="A137:E137"/>
    <mergeCell ref="A118:E118"/>
    <mergeCell ref="A37:E37"/>
    <mergeCell ref="A46:E46"/>
    <mergeCell ref="A142:G142"/>
    <mergeCell ref="A149:E149"/>
    <mergeCell ref="A49:G49"/>
    <mergeCell ref="A158:E158"/>
    <mergeCell ref="A105:E105"/>
    <mergeCell ref="A12:E12"/>
    <mergeCell ref="A1:G1"/>
    <mergeCell ref="A26:E26"/>
    <mergeCell ref="A95:E95"/>
    <mergeCell ref="A139:E139"/>
    <mergeCell ref="A104:E104"/>
    <mergeCell ref="A6:G6"/>
    <mergeCell ref="A76:E76"/>
    <mergeCell ref="A129:E129"/>
    <mergeCell ref="A151:E151"/>
    <mergeCell ref="A153:G153"/>
    <mergeCell ref="A47:E47"/>
    <mergeCell ref="A116:E116"/>
    <mergeCell ref="A23:E23"/>
    <mergeCell ref="A160:E160"/>
    <mergeCell ref="A14:E14"/>
    <mergeCell ref="A65:G65"/>
    <mergeCell ref="A159:E159"/>
    <mergeCell ref="A108:G108"/>
    <mergeCell ref="A150:E150"/>
    <mergeCell ref="A126:E126"/>
    <mergeCell ref="A106:E106"/>
    <mergeCell ref="A140:E140"/>
    <mergeCell ref="A35:E35"/>
    <mergeCell ref="A62:E62"/>
    <mergeCell ref="A120:G120"/>
    <mergeCell ref="A3:G3"/>
    <mergeCell ref="A161:E161"/>
    <mergeCell ref="A63:E63"/>
    <mergeCell ref="A2:G2"/>
    <mergeCell ref="A115:E115"/>
    <mergeCell ref="A93:E93"/>
    <mergeCell ref="A13:E13"/>
    <mergeCell ref="A117:E117"/>
    <mergeCell ref="A44:E44"/>
    <mergeCell ref="A127:E127"/>
    <mergeCell ref="A92:E92"/>
  </mergeCells>
  <pageMargins left="0.75" right="0.75" top="1" bottom="1" header="0.5" footer="0.5"/>
  <pageSetup orientation="landscape" fitToHeight="0" fitToWidth="1"/>
  <headerFooter>
    <oddHeader>&amp;RMoulo Jean Claude – BTP Abidjan</oddHeader>
    <oddFooter>&amp;CPage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Moulo Jean Claude</dc:creator>
  <dcterms:created xsi:type="dcterms:W3CDTF">2026-10-01T21:03:55Z</dcterms:created>
  <dcterms:modified xsi:type="dcterms:W3CDTF">2026-10-01T21:03:55Z</dcterms:modified>
</cp:coreProperties>
</file>