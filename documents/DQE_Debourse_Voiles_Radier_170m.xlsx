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QE" sheetId="1" state="visible" r:id="rId1"/>
    <sheet name="Note de calcul" sheetId="2" state="visible" r:id="rId2"/>
    <sheet name="Hypotheses" sheetId="3" state="visible" r:id="rId3"/>
    <sheet name="Avant-metre" sheetId="4" state="visible" r:id="rId4"/>
    <sheet name="Deboursé se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#,##0.00;(#,##0.00);-"/>
    <numFmt numFmtId="166" formatCode="0.0"/>
    <numFmt numFmtId="167" formatCode="#,##0.0000"/>
    <numFmt numFmtId="168" formatCode="#,##0;(#,##0);-"/>
  </numFmts>
  <fonts count="9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b val="1"/>
      <color rgb="001F4E78"/>
      <sz val="12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color rgb="000000FF"/>
      <sz val="9"/>
    </font>
    <font>
      <name val="Arial"/>
      <color rgb="00008000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165" fontId="8" fillId="0" borderId="1" applyAlignment="1" pivotButton="0" quotePrefix="0" xfId="0">
      <alignment vertical="center"/>
    </xf>
    <xf numFmtId="168" fontId="8" fillId="0" borderId="1" applyAlignment="1" pivotButton="0" quotePrefix="0" xfId="0">
      <alignment vertical="center"/>
    </xf>
    <xf numFmtId="168" fontId="6" fillId="0" borderId="1" applyAlignment="1" pivotButton="0" quotePrefix="0" xfId="0">
      <alignment vertical="center"/>
    </xf>
    <xf numFmtId="0" fontId="5" fillId="5" borderId="1" applyAlignment="1" pivotButton="0" quotePrefix="0" xfId="0">
      <alignment horizontal="right" vertical="center"/>
    </xf>
    <xf numFmtId="168" fontId="5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wrapText="1"/>
    </xf>
    <xf numFmtId="164" fontId="5" fillId="0" borderId="1" applyAlignment="1" pivotButton="0" quotePrefix="0" xfId="0">
      <alignment vertical="center"/>
    </xf>
    <xf numFmtId="166" fontId="7" fillId="4" borderId="1" applyAlignment="1" pivotButton="0" quotePrefix="0" xfId="0">
      <alignment vertical="center"/>
    </xf>
    <xf numFmtId="1" fontId="7" fillId="4" borderId="1" applyAlignment="1" pivotButton="0" quotePrefix="0" xfId="0">
      <alignment vertical="center"/>
    </xf>
    <xf numFmtId="3" fontId="5" fillId="0" borderId="1" applyAlignment="1" pivotButton="0" quotePrefix="0" xfId="0">
      <alignment vertical="center"/>
    </xf>
    <xf numFmtId="49" fontId="5" fillId="0" borderId="1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3" fontId="7" fillId="4" borderId="1" applyAlignment="1" pivotButton="0" quotePrefix="0" xfId="0">
      <alignment vertical="center"/>
    </xf>
    <xf numFmtId="164" fontId="7" fillId="4" borderId="1" applyAlignment="1" pivotButton="0" quotePrefix="0" xfId="0">
      <alignment vertical="center"/>
    </xf>
    <xf numFmtId="9" fontId="7" fillId="4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2" fontId="6" fillId="0" borderId="1" applyAlignment="1" pivotButton="0" quotePrefix="0" xfId="0">
      <alignment vertical="center"/>
    </xf>
    <xf numFmtId="3" fontId="6" fillId="0" borderId="1" applyAlignment="1" pivotButton="0" quotePrefix="0" xfId="0">
      <alignment vertical="center"/>
    </xf>
    <xf numFmtId="165" fontId="6" fillId="0" borderId="1" applyAlignment="1" pivotButton="0" quotePrefix="0" xfId="0">
      <alignment vertical="center"/>
    </xf>
    <xf numFmtId="165" fontId="5" fillId="5" borderId="1" applyAlignment="1" pivotButton="0" quotePrefix="0" xfId="0">
      <alignment vertical="center"/>
    </xf>
    <xf numFmtId="167" fontId="6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7" customWidth="1" min="3" max="3"/>
    <col width="12" customWidth="1" min="4" max="4"/>
    <col width="15" customWidth="1" min="5" max="5"/>
    <col width="17" customWidth="1" min="6" max="6"/>
    <col width="17" customWidth="1" min="7" max="7"/>
    <col width="18" customWidth="1" min="8" max="8"/>
  </cols>
  <sheetData>
    <row r="1">
      <c r="A1" s="1" t="inlineStr">
        <is>
          <t>RÉALISATION DE VOILES (2 × 170 m, H = 2,40 m) ET RADIER (170 m × 4,00 m × 0,20 m)</t>
        </is>
      </c>
    </row>
    <row r="2">
      <c r="A2" s="2" t="inlineStr">
        <is>
          <t>DEVIS QUANTITATIF ET ESTIMATIF (DQE) + DÉBOURSÉ SEC</t>
        </is>
      </c>
    </row>
    <row r="3">
      <c r="A3" s="3" t="inlineStr">
        <is>
          <t>Lieu des travaux : BOUAFLÉ (Marahoué) – aménagement du thalweg en canal BA    |    Établi par : Moulo Jean Claude – Technicien Génie Civil BTP    |    Date : 01/10/2026    |    FCFA</t>
        </is>
      </c>
    </row>
    <row r="4">
      <c r="A4" s="3" t="inlineStr">
        <is>
          <t>Normes : EC2 (NF EN 1992-1-1) / BAEL 91 mod. 99 – Aciers FE500 (HA) – Contexte : sol latéritique, climat tropical humide</t>
        </is>
      </c>
    </row>
    <row r="6" ht="30" customHeight="1">
      <c r="A6" s="4" t="inlineStr">
        <is>
          <t>N° prix</t>
        </is>
      </c>
      <c r="B6" s="4" t="inlineStr">
        <is>
          <t>Désignation des ouvrages</t>
        </is>
      </c>
      <c r="C6" s="4" t="inlineStr">
        <is>
          <t>Unité</t>
        </is>
      </c>
      <c r="D6" s="4" t="inlineStr">
        <is>
          <t>Quantité</t>
        </is>
      </c>
      <c r="E6" s="4" t="inlineStr">
        <is>
          <t>Déboursé sec unitaire</t>
        </is>
      </c>
      <c r="F6" s="4" t="inlineStr">
        <is>
          <t>Déboursé sec total</t>
        </is>
      </c>
      <c r="G6" s="4" t="inlineStr">
        <is>
          <t>Prix unitaire HT (DS × K)</t>
        </is>
      </c>
      <c r="H6" s="4" t="inlineStr">
        <is>
          <t>Montant HT</t>
        </is>
      </c>
    </row>
    <row r="7">
      <c r="A7" s="5" t="inlineStr">
        <is>
          <t>000 – INSTALLATION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s="7" t="inlineStr">
        <is>
          <t>000</t>
        </is>
      </c>
      <c r="B8" s="8" t="inlineStr">
        <is>
          <t>Installation et repli de chantier</t>
        </is>
      </c>
      <c r="C8" s="7" t="inlineStr">
        <is>
          <t>Ft</t>
        </is>
      </c>
      <c r="D8" s="9">
        <f>1</f>
        <v/>
      </c>
      <c r="E8" s="10">
        <f>'Deboursé sec'!$F$16</f>
        <v/>
      </c>
      <c r="F8" s="11">
        <f>D8*E8</f>
        <v/>
      </c>
      <c r="G8" s="11">
        <f>ROUND(E8*Hypotheses!$C$88,0)</f>
        <v/>
      </c>
      <c r="H8" s="11">
        <f>D8*G8</f>
        <v/>
      </c>
    </row>
    <row r="9">
      <c r="A9" s="5" t="inlineStr">
        <is>
          <t>100 – TRAVAUX PRÉPARATOIRES ET TERRASSEMENTS</t>
        </is>
      </c>
      <c r="B9" s="6" t="n"/>
      <c r="C9" s="6" t="n"/>
      <c r="D9" s="6" t="n"/>
      <c r="E9" s="6" t="n"/>
      <c r="F9" s="6" t="n"/>
      <c r="G9" s="6" t="n"/>
      <c r="H9" s="6" t="n"/>
    </row>
    <row r="10">
      <c r="A10" s="7" t="inlineStr">
        <is>
          <t>101</t>
        </is>
      </c>
      <c r="B10" s="8" t="inlineStr">
        <is>
          <t>Implantation et piquetage</t>
        </is>
      </c>
      <c r="C10" s="7" t="inlineStr">
        <is>
          <t>Ft</t>
        </is>
      </c>
      <c r="D10" s="9">
        <f>1</f>
        <v/>
      </c>
      <c r="E10" s="10">
        <f>'Deboursé sec'!$F$27</f>
        <v/>
      </c>
      <c r="F10" s="11">
        <f>D10*E10</f>
        <v/>
      </c>
      <c r="G10" s="11">
        <f>ROUND(E10*Hypotheses!$C$88,0)</f>
        <v/>
      </c>
      <c r="H10" s="11">
        <f>D10*G10</f>
        <v/>
      </c>
    </row>
    <row r="11">
      <c r="A11" s="7" t="inlineStr">
        <is>
          <t>104</t>
        </is>
      </c>
      <c r="B11" s="8" t="inlineStr">
        <is>
          <t>Débroussaillage et nettoyage de l'emprise</t>
        </is>
      </c>
      <c r="C11" s="7" t="inlineStr">
        <is>
          <t>m²</t>
        </is>
      </c>
      <c r="D11" s="9">
        <f>'Avant-metre'!$H$10</f>
        <v/>
      </c>
      <c r="E11" s="10">
        <f>'Deboursé sec'!$F$47</f>
        <v/>
      </c>
      <c r="F11" s="11">
        <f>D11*E11</f>
        <v/>
      </c>
      <c r="G11" s="11">
        <f>ROUND(E11*Hypotheses!$C$88,0)</f>
        <v/>
      </c>
      <c r="H11" s="11">
        <f>D11*G11</f>
        <v/>
      </c>
    </row>
    <row r="12">
      <c r="A12" s="7" t="inlineStr">
        <is>
          <t>105</t>
        </is>
      </c>
      <c r="B12" s="8" t="inlineStr">
        <is>
          <t>Enlèvement et évacuation des ordures / déchets</t>
        </is>
      </c>
      <c r="C12" s="7" t="inlineStr">
        <is>
          <t>m³</t>
        </is>
      </c>
      <c r="D12" s="9">
        <f>'Avant-metre'!$H$11</f>
        <v/>
      </c>
      <c r="E12" s="10">
        <f>'Deboursé sec'!$F$57</f>
        <v/>
      </c>
      <c r="F12" s="11">
        <f>D12*E12</f>
        <v/>
      </c>
      <c r="G12" s="11">
        <f>ROUND(E12*Hypotheses!$C$88,0)</f>
        <v/>
      </c>
      <c r="H12" s="11">
        <f>D12*G12</f>
        <v/>
      </c>
    </row>
    <row r="13">
      <c r="A13" s="7" t="inlineStr">
        <is>
          <t>102</t>
        </is>
      </c>
      <c r="B13" s="8" t="inlineStr">
        <is>
          <t>Déblai mécanique en fouille et évacuation</t>
        </is>
      </c>
      <c r="C13" s="7" t="inlineStr">
        <is>
          <t>m³</t>
        </is>
      </c>
      <c r="D13" s="9">
        <f>'Avant-metre'!$H$9</f>
        <v/>
      </c>
      <c r="E13" s="10">
        <f>'Deboursé sec'!$F$38</f>
        <v/>
      </c>
      <c r="F13" s="11">
        <f>D13*E13</f>
        <v/>
      </c>
      <c r="G13" s="11">
        <f>ROUND(E13*Hypotheses!$C$88,0)</f>
        <v/>
      </c>
      <c r="H13" s="11">
        <f>D13*G13</f>
        <v/>
      </c>
    </row>
    <row r="14">
      <c r="A14" s="7" t="inlineStr">
        <is>
          <t>103</t>
        </is>
      </c>
      <c r="B14" s="8" t="inlineStr">
        <is>
          <t>Compactage du fond de fouille à 95 % OPM</t>
        </is>
      </c>
      <c r="C14" s="7" t="inlineStr">
        <is>
          <t>m²</t>
        </is>
      </c>
      <c r="D14" s="9">
        <f>'Avant-metre'!$H$12</f>
        <v/>
      </c>
      <c r="E14" s="10">
        <f>'Deboursé sec'!$F$89</f>
        <v/>
      </c>
      <c r="F14" s="11">
        <f>D14*E14</f>
        <v/>
      </c>
      <c r="G14" s="11">
        <f>ROUND(E14*Hypotheses!$C$88,0)</f>
        <v/>
      </c>
      <c r="H14" s="11">
        <f>D14*G14</f>
        <v/>
      </c>
    </row>
    <row r="15">
      <c r="A15" s="7" t="inlineStr">
        <is>
          <t>106</t>
        </is>
      </c>
      <c r="B15" s="8" t="inlineStr">
        <is>
          <t>Couche de forme en latérite compactée, ép. 20 cm</t>
        </is>
      </c>
      <c r="C15" s="7" t="inlineStr">
        <is>
          <t>m³</t>
        </is>
      </c>
      <c r="D15" s="9">
        <f>'Avant-metre'!$H$13</f>
        <v/>
      </c>
      <c r="E15" s="10">
        <f>'Deboursé sec'!$F$68</f>
        <v/>
      </c>
      <c r="F15" s="11">
        <f>D15*E15</f>
        <v/>
      </c>
      <c r="G15" s="11">
        <f>ROUND(E15*Hypotheses!$C$88,0)</f>
        <v/>
      </c>
      <c r="H15" s="11">
        <f>D15*G15</f>
        <v/>
      </c>
    </row>
    <row r="16">
      <c r="A16" s="7" t="inlineStr">
        <is>
          <t>107</t>
        </is>
      </c>
      <c r="B16" s="8" t="inlineStr">
        <is>
          <t>Remblai latéral en latérite compactée derrière les voiles</t>
        </is>
      </c>
      <c r="C16" s="7" t="inlineStr">
        <is>
          <t>m³</t>
        </is>
      </c>
      <c r="D16" s="9">
        <f>'Avant-metre'!$H$14</f>
        <v/>
      </c>
      <c r="E16" s="10">
        <f>'Deboursé sec'!$F$79</f>
        <v/>
      </c>
      <c r="F16" s="11">
        <f>D16*E16</f>
        <v/>
      </c>
      <c r="G16" s="11">
        <f>ROUND(E16*Hypotheses!$C$88,0)</f>
        <v/>
      </c>
      <c r="H16" s="11">
        <f>D16*G16</f>
        <v/>
      </c>
    </row>
    <row r="17">
      <c r="A17" s="5" t="inlineStr">
        <is>
          <t>200 – BÉTONS</t>
        </is>
      </c>
      <c r="B17" s="6" t="n"/>
      <c r="C17" s="6" t="n"/>
      <c r="D17" s="6" t="n"/>
      <c r="E17" s="6" t="n"/>
      <c r="F17" s="6" t="n"/>
      <c r="G17" s="6" t="n"/>
      <c r="H17" s="6" t="n"/>
    </row>
    <row r="18">
      <c r="A18" s="7" t="inlineStr">
        <is>
          <t>201</t>
        </is>
      </c>
      <c r="B18" s="8" t="inlineStr">
        <is>
          <t>Béton de propreté dosé à 150 kg/m³, ép. 5 cm</t>
        </is>
      </c>
      <c r="C18" s="7" t="inlineStr">
        <is>
          <t>m³</t>
        </is>
      </c>
      <c r="D18" s="9">
        <f>'Avant-metre'!$H$16</f>
        <v/>
      </c>
      <c r="E18" s="10">
        <f>'Deboursé sec'!$F$105</f>
        <v/>
      </c>
      <c r="F18" s="11">
        <f>D18*E18</f>
        <v/>
      </c>
      <c r="G18" s="11">
        <f>ROUND(E18*Hypotheses!$C$88,0)</f>
        <v/>
      </c>
      <c r="H18" s="11">
        <f>D18*G18</f>
        <v/>
      </c>
    </row>
    <row r="19">
      <c r="A19" s="7" t="inlineStr">
        <is>
          <t>202</t>
        </is>
      </c>
      <c r="B19" s="8" t="inlineStr">
        <is>
          <t>Béton pour radier dosé à 350 kg/m³ (C25/30), ép. 20 cm</t>
        </is>
      </c>
      <c r="C19" s="7" t="inlineStr">
        <is>
          <t>m³</t>
        </is>
      </c>
      <c r="D19" s="9">
        <f>'Avant-metre'!$H$17</f>
        <v/>
      </c>
      <c r="E19" s="10">
        <f>'Deboursé sec'!$F$121</f>
        <v/>
      </c>
      <c r="F19" s="11">
        <f>D19*E19</f>
        <v/>
      </c>
      <c r="G19" s="11">
        <f>ROUND(E19*Hypotheses!$C$88,0)</f>
        <v/>
      </c>
      <c r="H19" s="11">
        <f>D19*G19</f>
        <v/>
      </c>
    </row>
    <row r="20">
      <c r="A20" s="7" t="inlineStr">
        <is>
          <t>203</t>
        </is>
      </c>
      <c r="B20" s="8" t="inlineStr">
        <is>
          <t>Béton pour voiles dosé à 350 kg/m³ (C25/30)</t>
        </is>
      </c>
      <c r="C20" s="7" t="inlineStr">
        <is>
          <t>m³</t>
        </is>
      </c>
      <c r="D20" s="9">
        <f>'Avant-metre'!$H$18</f>
        <v/>
      </c>
      <c r="E20" s="10">
        <f>'Deboursé sec'!$F$137</f>
        <v/>
      </c>
      <c r="F20" s="11">
        <f>D20*E20</f>
        <v/>
      </c>
      <c r="G20" s="11">
        <f>ROUND(E20*Hypotheses!$C$88,0)</f>
        <v/>
      </c>
      <c r="H20" s="11">
        <f>D20*G20</f>
        <v/>
      </c>
    </row>
    <row r="21">
      <c r="A21" s="5" t="inlineStr">
        <is>
          <t>300 – COFFRAGES</t>
        </is>
      </c>
      <c r="B21" s="6" t="n"/>
      <c r="C21" s="6" t="n"/>
      <c r="D21" s="6" t="n"/>
      <c r="E21" s="6" t="n"/>
      <c r="F21" s="6" t="n"/>
      <c r="G21" s="6" t="n"/>
      <c r="H21" s="6" t="n"/>
    </row>
    <row r="22">
      <c r="A22" s="7" t="inlineStr">
        <is>
          <t>301</t>
        </is>
      </c>
      <c r="B22" s="8" t="inlineStr">
        <is>
          <t>Coffrage des rives du radier</t>
        </is>
      </c>
      <c r="C22" s="7" t="inlineStr">
        <is>
          <t>m²</t>
        </is>
      </c>
      <c r="D22" s="9">
        <f>'Avant-metre'!$H$20</f>
        <v/>
      </c>
      <c r="E22" s="10">
        <f>'Deboursé sec'!$F$148</f>
        <v/>
      </c>
      <c r="F22" s="11">
        <f>D22*E22</f>
        <v/>
      </c>
      <c r="G22" s="11">
        <f>ROUND(E22*Hypotheses!$C$88,0)</f>
        <v/>
      </c>
      <c r="H22" s="11">
        <f>D22*G22</f>
        <v/>
      </c>
    </row>
    <row r="23">
      <c r="A23" s="7" t="inlineStr">
        <is>
          <t>302</t>
        </is>
      </c>
      <c r="B23" s="8" t="inlineStr">
        <is>
          <t>Coffrage des voiles (2 faces)</t>
        </is>
      </c>
      <c r="C23" s="7" t="inlineStr">
        <is>
          <t>m²</t>
        </is>
      </c>
      <c r="D23" s="9">
        <f>'Avant-metre'!$H$21</f>
        <v/>
      </c>
      <c r="E23" s="10">
        <f>'Deboursé sec'!$F$160</f>
        <v/>
      </c>
      <c r="F23" s="11">
        <f>D23*E23</f>
        <v/>
      </c>
      <c r="G23" s="11">
        <f>ROUND(E23*Hypotheses!$C$88,0)</f>
        <v/>
      </c>
      <c r="H23" s="11">
        <f>D23*G23</f>
        <v/>
      </c>
    </row>
    <row r="24">
      <c r="A24" s="5" t="inlineStr">
        <is>
          <t>400 – ACIERS FE500</t>
        </is>
      </c>
      <c r="B24" s="6" t="n"/>
      <c r="C24" s="6" t="n"/>
      <c r="D24" s="6" t="n"/>
      <c r="E24" s="6" t="n"/>
      <c r="F24" s="6" t="n"/>
      <c r="G24" s="6" t="n"/>
      <c r="H24" s="6" t="n"/>
    </row>
    <row r="25">
      <c r="A25" s="7" t="inlineStr">
        <is>
          <t>401</t>
        </is>
      </c>
      <c r="B25" s="8" t="inlineStr">
        <is>
          <t>Acier HA8 (voiles horiz. face intérieure, épingles, plantants en U e = 20 cm)</t>
        </is>
      </c>
      <c r="C25" s="7" t="inlineStr">
        <is>
          <t>kg</t>
        </is>
      </c>
      <c r="D25" s="9">
        <f>'Avant-metre'!$H$40</f>
        <v/>
      </c>
      <c r="E25" s="10">
        <f>'Deboursé sec'!$F$171</f>
        <v/>
      </c>
      <c r="F25" s="11">
        <f>D25*E25</f>
        <v/>
      </c>
      <c r="G25" s="11">
        <f>ROUND(E25*Hypotheses!$C$88,0)</f>
        <v/>
      </c>
      <c r="H25" s="11">
        <f>D25*G25</f>
        <v/>
      </c>
    </row>
    <row r="26">
      <c r="A26" s="7" t="inlineStr">
        <is>
          <t>402</t>
        </is>
      </c>
      <c r="B26" s="8" t="inlineStr">
        <is>
          <t>Acier HA10 (voiles horiz. face extérieure, radier longitudinal + chaises)</t>
        </is>
      </c>
      <c r="C26" s="7" t="inlineStr">
        <is>
          <t>kg</t>
        </is>
      </c>
      <c r="D26" s="9">
        <f>'Avant-metre'!$H$41</f>
        <v/>
      </c>
      <c r="E26" s="10">
        <f>'Deboursé sec'!$F$182</f>
        <v/>
      </c>
      <c r="F26" s="11">
        <f>D26*E26</f>
        <v/>
      </c>
      <c r="G26" s="11">
        <f>ROUND(E26*Hypotheses!$C$88,0)</f>
        <v/>
      </c>
      <c r="H26" s="11">
        <f>D26*G26</f>
        <v/>
      </c>
    </row>
    <row r="27">
      <c r="A27" s="7" t="inlineStr">
        <is>
          <t>403</t>
        </is>
      </c>
      <c r="B27" s="8" t="inlineStr">
        <is>
          <t>Acier HA12 (voiles verticaux ext. e=12,5 / int. e=20 + radier transversal inf. e=15 / sup. e=20)</t>
        </is>
      </c>
      <c r="C27" s="7" t="inlineStr">
        <is>
          <t>kg</t>
        </is>
      </c>
      <c r="D27" s="9">
        <f>'Avant-metre'!$H$42</f>
        <v/>
      </c>
      <c r="E27" s="10">
        <f>'Deboursé sec'!$F$193</f>
        <v/>
      </c>
      <c r="F27" s="11">
        <f>D27*E27</f>
        <v/>
      </c>
      <c r="G27" s="11">
        <f>ROUND(E27*Hypotheses!$C$88,0)</f>
        <v/>
      </c>
      <c r="H27" s="11">
        <f>D27*G27</f>
        <v/>
      </c>
    </row>
    <row r="28">
      <c r="A28" s="5" t="inlineStr">
        <is>
          <t>500 – DIVERS</t>
        </is>
      </c>
      <c r="B28" s="6" t="n"/>
      <c r="C28" s="6" t="n"/>
      <c r="D28" s="6" t="n"/>
      <c r="E28" s="6" t="n"/>
      <c r="F28" s="6" t="n"/>
      <c r="G28" s="6" t="n"/>
      <c r="H28" s="6" t="n"/>
    </row>
    <row r="29">
      <c r="A29" s="7" t="inlineStr">
        <is>
          <t>501</t>
        </is>
      </c>
      <c r="B29" s="8" t="inlineStr">
        <is>
          <t>Joint de dilatation (tous les 15 m)</t>
        </is>
      </c>
      <c r="C29" s="7" t="inlineStr">
        <is>
          <t>ml</t>
        </is>
      </c>
      <c r="D29" s="9">
        <f>'Avant-metre'!$H$26</f>
        <v/>
      </c>
      <c r="E29" s="10">
        <f>'Deboursé sec'!$F$232</f>
        <v/>
      </c>
      <c r="F29" s="11">
        <f>D29*E29</f>
        <v/>
      </c>
      <c r="G29" s="11">
        <f>ROUND(E29*Hypotheses!$C$88,0)</f>
        <v/>
      </c>
      <c r="H29" s="11">
        <f>D29*G29</f>
        <v/>
      </c>
    </row>
    <row r="30">
      <c r="A30" s="7" t="inlineStr">
        <is>
          <t>502</t>
        </is>
      </c>
      <c r="B30" s="8" t="inlineStr">
        <is>
          <t>Déviation provisoire des eaux et épuisement</t>
        </is>
      </c>
      <c r="C30" s="7" t="inlineStr">
        <is>
          <t>Ft</t>
        </is>
      </c>
      <c r="D30" s="9">
        <f>'Avant-metre'!$H$23</f>
        <v/>
      </c>
      <c r="E30" s="10">
        <f>'Deboursé sec'!$F$203</f>
        <v/>
      </c>
      <c r="F30" s="11">
        <f>D30*E30</f>
        <v/>
      </c>
      <c r="G30" s="11">
        <f>ROUND(E30*Hypotheses!$C$88,0)</f>
        <v/>
      </c>
      <c r="H30" s="11">
        <f>D30*G30</f>
        <v/>
      </c>
    </row>
    <row r="31">
      <c r="A31" s="7" t="inlineStr">
        <is>
          <t>503</t>
        </is>
      </c>
      <c r="B31" s="8" t="inlineStr">
        <is>
          <t>Barbacanes PVC Ø75 avec filtre</t>
        </is>
      </c>
      <c r="C31" s="7" t="inlineStr">
        <is>
          <t>u</t>
        </is>
      </c>
      <c r="D31" s="9">
        <f>'Avant-metre'!$H$24</f>
        <v/>
      </c>
      <c r="E31" s="10">
        <f>'Deboursé sec'!$F$212</f>
        <v/>
      </c>
      <c r="F31" s="11">
        <f>D31*E31</f>
        <v/>
      </c>
      <c r="G31" s="11">
        <f>ROUND(E31*Hypotheses!$C$88,0)</f>
        <v/>
      </c>
      <c r="H31" s="11">
        <f>D31*G31</f>
        <v/>
      </c>
    </row>
    <row r="32">
      <c r="A32" s="7" t="inlineStr">
        <is>
          <t>504</t>
        </is>
      </c>
      <c r="B32" s="8" t="inlineStr">
        <is>
          <t>Raccordements aux ouvrages existants</t>
        </is>
      </c>
      <c r="C32" s="7" t="inlineStr">
        <is>
          <t>u</t>
        </is>
      </c>
      <c r="D32" s="9">
        <f>'Avant-metre'!$H$25</f>
        <v/>
      </c>
      <c r="E32" s="10">
        <f>'Deboursé sec'!$F$222</f>
        <v/>
      </c>
      <c r="F32" s="11">
        <f>D32*E32</f>
        <v/>
      </c>
      <c r="G32" s="11">
        <f>ROUND(E32*Hypotheses!$C$88,0)</f>
        <v/>
      </c>
      <c r="H32" s="11">
        <f>D32*G32</f>
        <v/>
      </c>
    </row>
    <row r="33">
      <c r="A33" s="12" t="inlineStr">
        <is>
          <t>TOTAL HORS TAXES (FCFA)</t>
        </is>
      </c>
      <c r="B33" s="6" t="n"/>
      <c r="C33" s="6" t="n"/>
      <c r="D33" s="6" t="n"/>
      <c r="E33" s="6" t="n"/>
      <c r="F33" s="13">
        <f>SUM(F7:F32)</f>
        <v/>
      </c>
      <c r="G33" s="14" t="inlineStr"/>
      <c r="H33" s="13">
        <f>SUM(H7:H32)</f>
        <v/>
      </c>
    </row>
    <row r="34">
      <c r="A34" s="15" t="inlineStr">
        <is>
          <t>TVA 18 %</t>
        </is>
      </c>
      <c r="B34" s="6" t="n"/>
      <c r="C34" s="6" t="n"/>
      <c r="D34" s="6" t="n"/>
      <c r="E34" s="6" t="n"/>
      <c r="F34" s="16" t="inlineStr"/>
      <c r="G34" s="17" t="inlineStr"/>
      <c r="H34" s="16">
        <f>H33*Hypotheses!$C$89</f>
        <v/>
      </c>
    </row>
    <row r="35">
      <c r="A35" s="12" t="inlineStr">
        <is>
          <t>TOTAL TOUTES TAXES COMPRISES (FCFA)</t>
        </is>
      </c>
      <c r="B35" s="6" t="n"/>
      <c r="C35" s="6" t="n"/>
      <c r="D35" s="6" t="n"/>
      <c r="E35" s="6" t="n"/>
      <c r="F35" s="13" t="inlineStr"/>
      <c r="G35" s="14" t="inlineStr"/>
      <c r="H35" s="13">
        <f>H33+H34</f>
        <v/>
      </c>
    </row>
    <row r="37">
      <c r="A37" s="18" t="inlineStr">
        <is>
          <t>Coefficient K appliqué</t>
        </is>
      </c>
      <c r="B37" s="6" t="n"/>
      <c r="C37" s="6" t="n"/>
      <c r="D37" s="6" t="n"/>
      <c r="E37" s="6" t="n"/>
      <c r="F37" s="6" t="n"/>
      <c r="G37" s="6" t="n"/>
      <c r="H37" s="19">
        <f>Hypotheses!$C$88</f>
        <v/>
      </c>
    </row>
    <row r="38">
      <c r="A38" s="18" t="inlineStr">
        <is>
          <t>Marge brute (HT − DS)</t>
        </is>
      </c>
      <c r="B38" s="6" t="n"/>
      <c r="C38" s="6" t="n"/>
      <c r="D38" s="6" t="n"/>
      <c r="E38" s="6" t="n"/>
      <c r="F38" s="6" t="n"/>
      <c r="G38" s="6" t="n"/>
      <c r="H38" s="16">
        <f>H33-F33</f>
        <v/>
      </c>
    </row>
    <row r="39">
      <c r="A39" s="18" t="inlineStr">
        <is>
          <t>Coût au mètre linéaire d'ouvrage – DS (FCFA/ml)</t>
        </is>
      </c>
      <c r="B39" s="6" t="n"/>
      <c r="C39" s="6" t="n"/>
      <c r="D39" s="6" t="n"/>
      <c r="E39" s="6" t="n"/>
      <c r="F39" s="6" t="n"/>
      <c r="G39" s="6" t="n"/>
      <c r="H39" s="16">
        <f>F33/Hypotheses!$C$8</f>
        <v/>
      </c>
    </row>
    <row r="40">
      <c r="A40" s="18" t="inlineStr">
        <is>
          <t>Coût au mètre linéaire d'ouvrage – HT (FCFA/ml)</t>
        </is>
      </c>
      <c r="B40" s="6" t="n"/>
      <c r="C40" s="6" t="n"/>
      <c r="D40" s="6" t="n"/>
      <c r="E40" s="6" t="n"/>
      <c r="F40" s="6" t="n"/>
      <c r="G40" s="6" t="n"/>
      <c r="H40" s="16">
        <f>H33/Hypotheses!$C$8</f>
        <v/>
      </c>
    </row>
    <row r="42">
      <c r="A42" s="20" t="inlineStr">
        <is>
          <t>NOTES</t>
        </is>
      </c>
    </row>
    <row r="43" ht="24" customHeight="1">
      <c r="A43" s="21" t="inlineStr">
        <is>
          <t>• Hypothèses à confirmer : épaisseur des voiles 20 cm (non fournie), profondeur de déblai 0,60 m, remblai latéral 1,00 m de large derrière chaque voile, volume d'ordures 150 m³ (à confirmer par levé topographique), espacements des aciers 20 cm.</t>
        </is>
      </c>
    </row>
    <row r="44" ht="24" customHeight="1">
      <c r="A44" s="21" t="inlineStr">
        <is>
          <t>• Faces extérieures (côté terre) justifiées par la note de calcul : voiles HA12 verticaux e = 12,5 cm, radier nappe inférieure HA12 e = 15 cm ; faces intérieures HA12 e = 20 cm.</t>
        </is>
      </c>
    </row>
    <row r="45" ht="24" customHeight="1">
      <c r="A45" s="21" t="inlineStr">
        <is>
          <t>• Voiles – aciers horizontaux : HA10 sur la face extérieure (reprise de la poussée) et HA8 sur la face intérieure, e = 20 cm.</t>
        </is>
      </c>
    </row>
    <row r="46" ht="24" customHeight="1">
      <c r="A46" s="21" t="inlineStr">
        <is>
          <t>• Plantants en U HA8 e = 20 cm : U ancré dans le radier, une jambe de 0,60 m dans chaque nappe du voile (jonction voile/radier).</t>
        </is>
      </c>
    </row>
    <row r="47" ht="24" customHeight="1">
      <c r="A47" s="21" t="inlineStr">
        <is>
          <t>• Béton fabriqué sur chantier à la bétonnière ; cure humide d'au moins 7 jours obligatoire (chaleur tropicale) ; bétonnage de préférence le matin.</t>
        </is>
      </c>
    </row>
    <row r="48" ht="24" customHeight="1">
      <c r="A48" s="21" t="inlineStr">
        <is>
          <t>• Site de Bouaflé (vidéo du 01/10/2026) : thalweg en terre avec écoulement permanent, ordures et berges érodées → déviation des eaux, couche de forme en latérite et barbacanes prévues.</t>
        </is>
      </c>
    </row>
    <row r="49" ht="24" customHeight="1">
      <c r="A49" s="21" t="inlineStr">
        <is>
          <t>• Prix de base indicatifs rendus Bouaflé 2026 (transport depuis Abidjan / Yamoussoukro inclus) – à actualiser selon les cotations fournisseurs (feuille « Hypotheses », cellules jaunes).</t>
        </is>
      </c>
    </row>
    <row r="51">
      <c r="B51" s="20" t="inlineStr">
        <is>
          <t>Établi par : Moulo Jean Claude</t>
        </is>
      </c>
      <c r="F51" s="20" t="inlineStr">
        <is>
          <t>Visa / Approbation :</t>
        </is>
      </c>
    </row>
  </sheetData>
  <mergeCells count="24">
    <mergeCell ref="A9:H9"/>
    <mergeCell ref="A34:E34"/>
    <mergeCell ref="A48:H48"/>
    <mergeCell ref="A24:H24"/>
    <mergeCell ref="A38:G38"/>
    <mergeCell ref="A49:H49"/>
    <mergeCell ref="A1:H1"/>
    <mergeCell ref="A45:H45"/>
    <mergeCell ref="A40:G40"/>
    <mergeCell ref="A7:H7"/>
    <mergeCell ref="A39:G39"/>
    <mergeCell ref="A46:H46"/>
    <mergeCell ref="A3:H3"/>
    <mergeCell ref="A21:H21"/>
    <mergeCell ref="A2:H2"/>
    <mergeCell ref="A33:E33"/>
    <mergeCell ref="A47:H47"/>
    <mergeCell ref="A37:G37"/>
    <mergeCell ref="A17:H17"/>
    <mergeCell ref="A4:H4"/>
    <mergeCell ref="A35:E35"/>
    <mergeCell ref="A43:H43"/>
    <mergeCell ref="A28:H28"/>
    <mergeCell ref="A44:H44"/>
  </mergeCells>
  <pageMargins left="0.75" right="0.75" top="1" bottom="1" header="0.5" footer="0.5"/>
  <pageSetup orientation="landscape" fitToHeight="0" fitToWidth="1"/>
  <headerFooter>
    <oddHeader>&amp;RMoulo Jean Claude – Chantier de Bouaflé</oddHeader>
    <oddFooter>&amp;CPage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4" customWidth="1" min="2" max="2"/>
    <col width="9" customWidth="1" min="3" max="3"/>
    <col width="12" customWidth="1" min="4" max="4"/>
    <col width="60" customWidth="1" min="5" max="5"/>
  </cols>
  <sheetData>
    <row r="1">
      <c r="A1" s="1" t="inlineStr">
        <is>
          <t>RÉALISATION DE VOILES (2 × 170 m, H = 2,40 m) ET RADIER (170 m × 4,00 m × 0,20 m)</t>
        </is>
      </c>
    </row>
    <row r="2">
      <c r="A2" s="2" t="inlineStr">
        <is>
          <t>NOTE DE CALCUL SIMPLIFIÉE – VOILES ET ANGLE VOILE/RADIER SOUS POUSSÉE DES TERRES</t>
        </is>
      </c>
    </row>
    <row r="3">
      <c r="A3" s="3" t="inlineStr">
        <is>
          <t>Lieu des travaux : BOUAFLÉ (Marahoué) – aménagement du thalweg en canal BA    |    Établi par : Moulo Jean Claude – Technicien Génie Civil BTP    |    Date : 01/10/2026    |    FCFA</t>
        </is>
      </c>
    </row>
    <row r="4">
      <c r="A4" s="3" t="inlineStr">
        <is>
          <t>Normes : EC2 (NF EN 1992-1-1) / BAEL 91 mod. 99 – Aciers FE500 (HA) – Contexte : sol latéritique, climat tropical humide</t>
        </is>
      </c>
    </row>
    <row r="6" ht="30" customHeight="1">
      <c r="A6" s="4" t="inlineStr">
        <is>
          <t>Grandeur</t>
        </is>
      </c>
      <c r="B6" s="4" t="inlineStr">
        <is>
          <t>Symbole / formule</t>
        </is>
      </c>
      <c r="C6" s="4" t="inlineStr">
        <is>
          <t>Unité</t>
        </is>
      </c>
      <c r="D6" s="4" t="inlineStr">
        <is>
          <t>Valeur</t>
        </is>
      </c>
      <c r="E6" s="4" t="inlineStr">
        <is>
          <t>Commentaire</t>
        </is>
      </c>
    </row>
    <row r="7">
      <c r="A7" s="5" t="inlineStr">
        <is>
          <t>1. DONNÉES (site de Bouaflé – canal en U dans un thalweg, remblai latéritique derrière les voiles)</t>
        </is>
      </c>
      <c r="B7" s="6" t="n"/>
      <c r="C7" s="6" t="n"/>
      <c r="D7" s="6" t="n"/>
      <c r="E7" s="6" t="n"/>
    </row>
    <row r="8">
      <c r="A8" s="8" t="inlineStr">
        <is>
          <t>Hauteur de terre retenue</t>
        </is>
      </c>
      <c r="B8" s="8" t="inlineStr">
        <is>
          <t>H</t>
        </is>
      </c>
      <c r="C8" s="7" t="inlineStr">
        <is>
          <t>m</t>
        </is>
      </c>
      <c r="D8" s="22">
        <f>Hypotheses!$C$10</f>
        <v/>
      </c>
      <c r="E8" s="8" t="inlineStr">
        <is>
          <t>Voile totalement remblayé (cas défavorable)</t>
        </is>
      </c>
    </row>
    <row r="9">
      <c r="A9" s="8" t="inlineStr">
        <is>
          <t>Poids volumique du remblai latéritique</t>
        </is>
      </c>
      <c r="B9" s="8" t="inlineStr">
        <is>
          <t>γ</t>
        </is>
      </c>
      <c r="C9" s="7" t="inlineStr">
        <is>
          <t>kN/m³</t>
        </is>
      </c>
      <c r="D9" s="23" t="n">
        <v>20</v>
      </c>
      <c r="E9" s="8" t="inlineStr">
        <is>
          <t>Latérite compactée</t>
        </is>
      </c>
    </row>
    <row r="10">
      <c r="A10" s="8" t="inlineStr">
        <is>
          <t>Angle de frottement interne</t>
        </is>
      </c>
      <c r="B10" s="8" t="inlineStr">
        <is>
          <t>φ</t>
        </is>
      </c>
      <c r="C10" s="7" t="inlineStr">
        <is>
          <t>°</t>
        </is>
      </c>
      <c r="D10" s="23" t="n">
        <v>30</v>
      </c>
      <c r="E10" s="8" t="inlineStr">
        <is>
          <t>Latérite compactée – valeur prudente</t>
        </is>
      </c>
    </row>
    <row r="11">
      <c r="A11" s="8" t="inlineStr">
        <is>
          <t>Surcharge en tête de berge</t>
        </is>
      </c>
      <c r="B11" s="8" t="inlineStr">
        <is>
          <t>q</t>
        </is>
      </c>
      <c r="C11" s="7" t="inlineStr">
        <is>
          <t>kN/m²</t>
        </is>
      </c>
      <c r="D11" s="23" t="n">
        <v>10</v>
      </c>
      <c r="E11" s="8" t="inlineStr">
        <is>
          <t>Voie / circulation piétonne et légère au bord du thalweg (vidéo)</t>
        </is>
      </c>
    </row>
    <row r="12">
      <c r="A12" s="8" t="inlineStr">
        <is>
          <t>Résistance du béton (C25/30)</t>
        </is>
      </c>
      <c r="B12" s="8" t="inlineStr">
        <is>
          <t>fck = fc28</t>
        </is>
      </c>
      <c r="C12" s="7" t="inlineStr">
        <is>
          <t>MPa</t>
        </is>
      </c>
      <c r="D12" s="23" t="n">
        <v>25</v>
      </c>
      <c r="E12" s="8" t="inlineStr">
        <is>
          <t>Béton dosé à 350 kg/m³</t>
        </is>
      </c>
    </row>
    <row r="13">
      <c r="A13" s="8" t="inlineStr">
        <is>
          <t>Limite élastique des aciers FE500</t>
        </is>
      </c>
      <c r="B13" s="8" t="inlineStr">
        <is>
          <t>fyk = fe</t>
        </is>
      </c>
      <c r="C13" s="7" t="inlineStr">
        <is>
          <t>MPa</t>
        </is>
      </c>
      <c r="D13" s="24" t="n">
        <v>500</v>
      </c>
      <c r="E13" s="8" t="inlineStr"/>
    </row>
    <row r="14">
      <c r="A14" s="8" t="inlineStr">
        <is>
          <t>Épaisseur du voile</t>
        </is>
      </c>
      <c r="B14" s="8" t="inlineStr">
        <is>
          <t>e</t>
        </is>
      </c>
      <c r="C14" s="7" t="inlineStr">
        <is>
          <t>m</t>
        </is>
      </c>
      <c r="D14" s="22">
        <f>Hypotheses!$C$11</f>
        <v/>
      </c>
      <c r="E14" s="8" t="inlineStr"/>
    </row>
    <row r="15">
      <c r="A15" s="8" t="inlineStr">
        <is>
          <t>Épaisseur du radier</t>
        </is>
      </c>
      <c r="B15" s="8" t="inlineStr">
        <is>
          <t>e_r</t>
        </is>
      </c>
      <c r="C15" s="7" t="inlineStr">
        <is>
          <t>m</t>
        </is>
      </c>
      <c r="D15" s="22">
        <f>Hypotheses!$C$13</f>
        <v/>
      </c>
      <c r="E15" s="8" t="inlineStr"/>
    </row>
    <row r="16">
      <c r="A16" s="8" t="inlineStr">
        <is>
          <t>Enrobage nominal</t>
        </is>
      </c>
      <c r="B16" s="8" t="inlineStr">
        <is>
          <t>c</t>
        </is>
      </c>
      <c r="C16" s="7" t="inlineStr">
        <is>
          <t>m</t>
        </is>
      </c>
      <c r="D16" s="22">
        <f>Hypotheses!$C$14</f>
        <v/>
      </c>
      <c r="E16" s="8" t="inlineStr">
        <is>
          <t>XC2/XC4</t>
        </is>
      </c>
    </row>
    <row r="17">
      <c r="A17" s="5" t="inlineStr">
        <is>
          <t>2. SOLLICITATIONS PAR MÈTRE LINÉAIRE À L'ENCASTREMENT VOILE / RADIER (console)</t>
        </is>
      </c>
      <c r="B17" s="6" t="n"/>
      <c r="C17" s="6" t="n"/>
      <c r="D17" s="6" t="n"/>
      <c r="E17" s="6" t="n"/>
    </row>
    <row r="18">
      <c r="A18" s="8" t="inlineStr">
        <is>
          <t>Coefficient de poussée active (Rankine)</t>
        </is>
      </c>
      <c r="B18" s="8" t="inlineStr">
        <is>
          <t>Ka = tan²(π/4 − φ/2)</t>
        </is>
      </c>
      <c r="C18" s="7" t="inlineStr">
        <is>
          <t>-</t>
        </is>
      </c>
      <c r="D18" s="22">
        <f>TAN(PI()/4-RADIANS($D$10)/2)^2</f>
        <v/>
      </c>
      <c r="E18" s="8" t="inlineStr"/>
    </row>
    <row r="19">
      <c r="A19" s="8" t="inlineStr">
        <is>
          <t>Moment dû aux terres</t>
        </is>
      </c>
      <c r="B19" s="8" t="inlineStr">
        <is>
          <t>Mg = Ka·γ·H³/6</t>
        </is>
      </c>
      <c r="C19" s="7" t="inlineStr">
        <is>
          <t>kN·m/m</t>
        </is>
      </c>
      <c r="D19" s="22">
        <f>$D$18*$D$9*$D$8^3/6</f>
        <v/>
      </c>
      <c r="E19" s="8" t="inlineStr"/>
    </row>
    <row r="20">
      <c r="A20" s="8" t="inlineStr">
        <is>
          <t>Moment dû à la surcharge</t>
        </is>
      </c>
      <c r="B20" s="8" t="inlineStr">
        <is>
          <t>Mq = Ka·q·H²/2</t>
        </is>
      </c>
      <c r="C20" s="7" t="inlineStr">
        <is>
          <t>kN·m/m</t>
        </is>
      </c>
      <c r="D20" s="22">
        <f>$D$18*$D$11*$D$8^2/2</f>
        <v/>
      </c>
      <c r="E20" s="8" t="inlineStr"/>
    </row>
    <row r="21">
      <c r="A21" s="8" t="inlineStr">
        <is>
          <t>Moment de service</t>
        </is>
      </c>
      <c r="B21" s="8" t="inlineStr">
        <is>
          <t>Mser = Mg + Mq</t>
        </is>
      </c>
      <c r="C21" s="7" t="inlineStr">
        <is>
          <t>kN·m/m</t>
        </is>
      </c>
      <c r="D21" s="22">
        <f>$D$19+$D$20</f>
        <v/>
      </c>
      <c r="E21" s="8" t="inlineStr">
        <is>
          <t>ELS</t>
        </is>
      </c>
    </row>
    <row r="22">
      <c r="A22" s="8" t="inlineStr">
        <is>
          <t>Moment ultime</t>
        </is>
      </c>
      <c r="B22" s="8" t="inlineStr">
        <is>
          <t>MEd = 1,35·Mg + 1,5·Mq</t>
        </is>
      </c>
      <c r="C22" s="7" t="inlineStr">
        <is>
          <t>kN·m/m</t>
        </is>
      </c>
      <c r="D22" s="22">
        <f>1.35*$D$19+1.5*$D$20</f>
        <v/>
      </c>
      <c r="E22" s="8" t="inlineStr">
        <is>
          <t>ELU (EC0 / BAEL)</t>
        </is>
      </c>
    </row>
    <row r="23">
      <c r="A23" s="8" t="inlineStr">
        <is>
          <t>Effort tranchant ultime</t>
        </is>
      </c>
      <c r="B23" s="8" t="inlineStr">
        <is>
          <t>VEd = 1,35·Ka·γ·H²/2 + 1,5·Ka·q·H</t>
        </is>
      </c>
      <c r="C23" s="7" t="inlineStr">
        <is>
          <t>kN/m</t>
        </is>
      </c>
      <c r="D23" s="22">
        <f>1.35*$D$18*$D$9*$D$8^2/2+1.5*$D$18*$D$11*$D$8</f>
        <v/>
      </c>
      <c r="E23" s="8" t="inlineStr"/>
    </row>
    <row r="24">
      <c r="A24" s="5" t="inlineStr">
        <is>
          <t>3. MATÉRIAUX</t>
        </is>
      </c>
      <c r="B24" s="6" t="n"/>
      <c r="C24" s="6" t="n"/>
      <c r="D24" s="6" t="n"/>
      <c r="E24" s="6" t="n"/>
    </row>
    <row r="25">
      <c r="A25" s="8" t="inlineStr">
        <is>
          <t>Résistance de calcul du béton</t>
        </is>
      </c>
      <c r="B25" s="8" t="inlineStr">
        <is>
          <t>fcd = fck/1,5</t>
        </is>
      </c>
      <c r="C25" s="7" t="inlineStr">
        <is>
          <t>MPa</t>
        </is>
      </c>
      <c r="D25" s="22">
        <f>$D$12/1.5</f>
        <v/>
      </c>
      <c r="E25" s="8" t="inlineStr">
        <is>
          <t>EC2</t>
        </is>
      </c>
    </row>
    <row r="26">
      <c r="A26" s="8" t="inlineStr">
        <is>
          <t>Résistance de calcul de l'acier</t>
        </is>
      </c>
      <c r="B26" s="8" t="inlineStr">
        <is>
          <t>fyd = fyk/1,15</t>
        </is>
      </c>
      <c r="C26" s="7" t="inlineStr">
        <is>
          <t>MPa</t>
        </is>
      </c>
      <c r="D26" s="22">
        <f>$D$13/1.15</f>
        <v/>
      </c>
      <c r="E26" s="8" t="inlineStr">
        <is>
          <t>EC2</t>
        </is>
      </c>
    </row>
    <row r="27">
      <c r="A27" s="8" t="inlineStr">
        <is>
          <t>Résistance en traction du béton</t>
        </is>
      </c>
      <c r="B27" s="8" t="inlineStr">
        <is>
          <t>ft28 = 0,6 + 0,06·fc28</t>
        </is>
      </c>
      <c r="C27" s="7" t="inlineStr">
        <is>
          <t>MPa</t>
        </is>
      </c>
      <c r="D27" s="22">
        <f>0.6+0.06*$D$12</f>
        <v/>
      </c>
      <c r="E27" s="8" t="inlineStr">
        <is>
          <t>BAEL</t>
        </is>
      </c>
    </row>
    <row r="28">
      <c r="A28" s="8" t="inlineStr">
        <is>
          <t>Contrainte limite acier – fissuration préjudiciable</t>
        </is>
      </c>
      <c r="B28" s="8" t="inlineStr">
        <is>
          <t>σ̄s = min(2/3·fe ; max(0,5·fe ; 110·√(η·ft28)))</t>
        </is>
      </c>
      <c r="C28" s="7" t="inlineStr">
        <is>
          <t>MPa</t>
        </is>
      </c>
      <c r="D28" s="22">
        <f>MIN(2/3*$D$13,MAX(0.5*$D$13,110*SQRT(1.6*$D$27)))</f>
        <v/>
      </c>
      <c r="E28" s="8" t="inlineStr">
        <is>
          <t>BAEL A.4.5,33 – milieu humide (canal)</t>
        </is>
      </c>
    </row>
    <row r="29">
      <c r="A29" s="5" t="inlineStr">
        <is>
          <t>4. VOILE – FACE EXTÉRIEURE (côté terre, tendue à l'encastrement)</t>
        </is>
      </c>
      <c r="B29" s="6" t="n"/>
      <c r="C29" s="6" t="n"/>
      <c r="D29" s="6" t="n"/>
      <c r="E29" s="6" t="n"/>
    </row>
    <row r="30">
      <c r="A30" s="8" t="inlineStr">
        <is>
          <t>Hauteur utile</t>
        </is>
      </c>
      <c r="B30" s="8" t="inlineStr">
        <is>
          <t>d</t>
        </is>
      </c>
      <c r="C30" s="7" t="inlineStr">
        <is>
          <t>m</t>
        </is>
      </c>
      <c r="D30" s="22">
        <f>$D$14-$D$16-0.010-0.006</f>
        <v/>
      </c>
      <c r="E30" s="8" t="inlineStr">
        <is>
          <t>d = e − c − Ø horiz. HA10 − Ø/2 (verticaux derrière les horizontaux)</t>
        </is>
      </c>
    </row>
    <row r="31">
      <c r="A31" s="8" t="inlineStr">
        <is>
          <t>Moment réduit</t>
        </is>
      </c>
      <c r="B31" s="8" t="inlineStr">
        <is>
          <t>μ = MEd/(b·d²·fcd)</t>
        </is>
      </c>
      <c r="C31" s="7" t="inlineStr">
        <is>
          <t>-</t>
        </is>
      </c>
      <c r="D31" s="22">
        <f>$D$22/(1*$D$30^2*$D$25*1000)</f>
        <v/>
      </c>
      <c r="E31" s="8" t="inlineStr">
        <is>
          <t>b = 1 m ; μ &lt; 0,372 → pas d'acier comprimé</t>
        </is>
      </c>
    </row>
    <row r="32">
      <c r="A32" s="8" t="inlineStr"/>
      <c r="B32" s="8" t="inlineStr">
        <is>
          <t>α = 1,25·(1 − √(1 − 2μ))</t>
        </is>
      </c>
      <c r="C32" s="7" t="inlineStr">
        <is>
          <t>-</t>
        </is>
      </c>
      <c r="D32" s="22">
        <f>1.25*(1-SQRT(1-2*$D$31))</f>
        <v/>
      </c>
      <c r="E32" s="8" t="inlineStr"/>
    </row>
    <row r="33">
      <c r="A33" s="8" t="inlineStr">
        <is>
          <t>Bras de levier</t>
        </is>
      </c>
      <c r="B33" s="8" t="inlineStr">
        <is>
          <t>z = d·(1 − 0,4·α)</t>
        </is>
      </c>
      <c r="C33" s="7" t="inlineStr">
        <is>
          <t>m</t>
        </is>
      </c>
      <c r="D33" s="22">
        <f>$D$30*(1-0.4*$D$32)</f>
        <v/>
      </c>
      <c r="E33" s="8" t="inlineStr"/>
    </row>
    <row r="34">
      <c r="A34" s="8" t="inlineStr">
        <is>
          <t>Section requise ELU</t>
        </is>
      </c>
      <c r="B34" s="8" t="inlineStr">
        <is>
          <t>As = MEd/(z·fyd)</t>
        </is>
      </c>
      <c r="C34" s="7" t="inlineStr">
        <is>
          <t>mm²/m</t>
        </is>
      </c>
      <c r="D34" s="25">
        <f>$D$22/($D$33*$D$26*1000)*1e6</f>
        <v/>
      </c>
      <c r="E34" s="8" t="inlineStr"/>
    </row>
    <row r="35">
      <c r="A35" s="8" t="inlineStr">
        <is>
          <t>Espacement retenu HA12</t>
        </is>
      </c>
      <c r="B35" s="8" t="inlineStr">
        <is>
          <t>s</t>
        </is>
      </c>
      <c r="C35" s="7" t="inlineStr">
        <is>
          <t>m</t>
        </is>
      </c>
      <c r="D35" s="22">
        <f>Hypotheses!$C$27</f>
        <v/>
      </c>
      <c r="E35" s="8" t="inlineStr">
        <is>
          <t>Modifiable dans « Hypotheses »</t>
        </is>
      </c>
    </row>
    <row r="36">
      <c r="A36" s="8" t="inlineStr">
        <is>
          <t>Section fournie HA12</t>
        </is>
      </c>
      <c r="B36" s="8" t="inlineStr">
        <is>
          <t>As = π·12²/4 / s</t>
        </is>
      </c>
      <c r="C36" s="7" t="inlineStr">
        <is>
          <t>mm²/m</t>
        </is>
      </c>
      <c r="D36" s="25">
        <f>PI()*12^2/4/$D$35</f>
        <v/>
      </c>
      <c r="E36" s="8" t="inlineStr"/>
    </row>
    <row r="37">
      <c r="A37" s="8" t="inlineStr">
        <is>
          <t>Vérification ELU</t>
        </is>
      </c>
      <c r="B37" s="8" t="inlineStr">
        <is>
          <t>As fournie ≥ As requise</t>
        </is>
      </c>
      <c r="C37" s="7" t="inlineStr">
        <is>
          <t>-</t>
        </is>
      </c>
      <c r="D37" s="26">
        <f>IF($D$36&gt;=$D$34,"OK","NON – réduire s")</f>
        <v/>
      </c>
      <c r="E37" s="8" t="inlineStr"/>
    </row>
    <row r="38">
      <c r="A38" s="8" t="inlineStr">
        <is>
          <t>Axe neutre ELS (n = 15)</t>
        </is>
      </c>
      <c r="B38" s="8" t="inlineStr">
        <is>
          <t>b·x²/2 = n·As·(d − x)</t>
        </is>
      </c>
      <c r="C38" s="7" t="inlineStr">
        <is>
          <t>m</t>
        </is>
      </c>
      <c r="D38" s="22">
        <f>(-15*$D$36/1e6+SQRT((15*$D$36/1e6)^2+2*15*$D$36/1e6*$D$30))</f>
        <v/>
      </c>
      <c r="E38" s="8" t="inlineStr"/>
    </row>
    <row r="39">
      <c r="A39" s="8" t="inlineStr">
        <is>
          <t>Contrainte de l'acier en service</t>
        </is>
      </c>
      <c r="B39" s="8" t="inlineStr">
        <is>
          <t>σs = Mser/(As·(d − x/3))</t>
        </is>
      </c>
      <c r="C39" s="7" t="inlineStr">
        <is>
          <t>MPa</t>
        </is>
      </c>
      <c r="D39" s="27">
        <f>$D$21/($D$36/1e6*($D$30-$D$38/3))/1000</f>
        <v/>
      </c>
      <c r="E39" s="8" t="inlineStr"/>
    </row>
    <row r="40">
      <c r="A40" s="8" t="inlineStr">
        <is>
          <t>Vérification ELS (fissuration)</t>
        </is>
      </c>
      <c r="B40" s="8" t="inlineStr">
        <is>
          <t>σs ≤ σ̄s</t>
        </is>
      </c>
      <c r="C40" s="7" t="inlineStr">
        <is>
          <t>-</t>
        </is>
      </c>
      <c r="D40" s="26">
        <f>IF($D$39&lt;=$D$28,"OK","NON – réduire s")</f>
        <v/>
      </c>
      <c r="E40" s="8" t="inlineStr">
        <is>
          <t>BAEL strict ; EC2 tab. 7.2N : Ø12 admis jusqu'à σs ≈ 280 MPa (wk = 0,3 mm)</t>
        </is>
      </c>
    </row>
    <row r="41">
      <c r="A41" s="5" t="inlineStr">
        <is>
          <t>5. RADIER – NAPPE INFÉRIEURE TRANSVERSALE (angle tendu, continuité du moment du voile)</t>
        </is>
      </c>
      <c r="B41" s="6" t="n"/>
      <c r="C41" s="6" t="n"/>
      <c r="D41" s="6" t="n"/>
      <c r="E41" s="6" t="n"/>
    </row>
    <row r="42">
      <c r="A42" s="8" t="inlineStr">
        <is>
          <t>Hauteur utile</t>
        </is>
      </c>
      <c r="B42" s="8" t="inlineStr">
        <is>
          <t>d</t>
        </is>
      </c>
      <c r="C42" s="7" t="inlineStr">
        <is>
          <t>m</t>
        </is>
      </c>
      <c r="D42" s="22">
        <f>$D$15-$D$16-0.006</f>
        <v/>
      </c>
      <c r="E42" s="8" t="inlineStr">
        <is>
          <t>d = e_r − c − Ø/2 (transversaux en lit extérieur)</t>
        </is>
      </c>
    </row>
    <row r="43">
      <c r="A43" s="8" t="inlineStr">
        <is>
          <t>Moment réduit</t>
        </is>
      </c>
      <c r="B43" s="8" t="inlineStr">
        <is>
          <t>μ = MEd/(b·d²·fcd)</t>
        </is>
      </c>
      <c r="C43" s="7" t="inlineStr">
        <is>
          <t>-</t>
        </is>
      </c>
      <c r="D43" s="22">
        <f>$D$22/(1*$D$42^2*$D$25*1000)</f>
        <v/>
      </c>
      <c r="E43" s="8" t="inlineStr">
        <is>
          <t>b = 1 m ; μ &lt; 0,372 → pas d'acier comprimé</t>
        </is>
      </c>
    </row>
    <row r="44">
      <c r="A44" s="8" t="inlineStr"/>
      <c r="B44" s="8" t="inlineStr">
        <is>
          <t>α = 1,25·(1 − √(1 − 2μ))</t>
        </is>
      </c>
      <c r="C44" s="7" t="inlineStr">
        <is>
          <t>-</t>
        </is>
      </c>
      <c r="D44" s="22">
        <f>1.25*(1-SQRT(1-2*$D$43))</f>
        <v/>
      </c>
      <c r="E44" s="8" t="inlineStr"/>
    </row>
    <row r="45">
      <c r="A45" s="8" t="inlineStr">
        <is>
          <t>Bras de levier</t>
        </is>
      </c>
      <c r="B45" s="8" t="inlineStr">
        <is>
          <t>z = d·(1 − 0,4·α)</t>
        </is>
      </c>
      <c r="C45" s="7" t="inlineStr">
        <is>
          <t>m</t>
        </is>
      </c>
      <c r="D45" s="22">
        <f>$D$42*(1-0.4*$D$44)</f>
        <v/>
      </c>
      <c r="E45" s="8" t="inlineStr"/>
    </row>
    <row r="46">
      <c r="A46" s="8" t="inlineStr">
        <is>
          <t>Section requise ELU</t>
        </is>
      </c>
      <c r="B46" s="8" t="inlineStr">
        <is>
          <t>As = MEd/(z·fyd)</t>
        </is>
      </c>
      <c r="C46" s="7" t="inlineStr">
        <is>
          <t>mm²/m</t>
        </is>
      </c>
      <c r="D46" s="25">
        <f>$D$22/($D$45*$D$26*1000)*1e6</f>
        <v/>
      </c>
      <c r="E46" s="8" t="inlineStr"/>
    </row>
    <row r="47">
      <c r="A47" s="8" t="inlineStr">
        <is>
          <t>Espacement retenu HA12</t>
        </is>
      </c>
      <c r="B47" s="8" t="inlineStr">
        <is>
          <t>s</t>
        </is>
      </c>
      <c r="C47" s="7" t="inlineStr">
        <is>
          <t>m</t>
        </is>
      </c>
      <c r="D47" s="22">
        <f>Hypotheses!$C$30</f>
        <v/>
      </c>
      <c r="E47" s="8" t="inlineStr">
        <is>
          <t>Modifiable dans « Hypotheses »</t>
        </is>
      </c>
    </row>
    <row r="48">
      <c r="A48" s="8" t="inlineStr">
        <is>
          <t>Section fournie HA12</t>
        </is>
      </c>
      <c r="B48" s="8" t="inlineStr">
        <is>
          <t>As = π·12²/4 / s</t>
        </is>
      </c>
      <c r="C48" s="7" t="inlineStr">
        <is>
          <t>mm²/m</t>
        </is>
      </c>
      <c r="D48" s="25">
        <f>PI()*12^2/4/$D$47</f>
        <v/>
      </c>
      <c r="E48" s="8" t="inlineStr"/>
    </row>
    <row r="49">
      <c r="A49" s="8" t="inlineStr">
        <is>
          <t>Vérification ELU</t>
        </is>
      </c>
      <c r="B49" s="8" t="inlineStr">
        <is>
          <t>As fournie ≥ As requise</t>
        </is>
      </c>
      <c r="C49" s="7" t="inlineStr">
        <is>
          <t>-</t>
        </is>
      </c>
      <c r="D49" s="26">
        <f>IF($D$48&gt;=$D$46,"OK","NON – réduire s")</f>
        <v/>
      </c>
      <c r="E49" s="8" t="inlineStr"/>
    </row>
    <row r="50">
      <c r="A50" s="8" t="inlineStr">
        <is>
          <t>Axe neutre ELS (n = 15)</t>
        </is>
      </c>
      <c r="B50" s="8" t="inlineStr">
        <is>
          <t>b·x²/2 = n·As·(d − x)</t>
        </is>
      </c>
      <c r="C50" s="7" t="inlineStr">
        <is>
          <t>m</t>
        </is>
      </c>
      <c r="D50" s="22">
        <f>(-15*$D$48/1e6+SQRT((15*$D$48/1e6)^2+2*15*$D$48/1e6*$D$42))</f>
        <v/>
      </c>
      <c r="E50" s="8" t="inlineStr"/>
    </row>
    <row r="51">
      <c r="A51" s="8" t="inlineStr">
        <is>
          <t>Contrainte de l'acier en service</t>
        </is>
      </c>
      <c r="B51" s="8" t="inlineStr">
        <is>
          <t>σs = Mser/(As·(d − x/3))</t>
        </is>
      </c>
      <c r="C51" s="7" t="inlineStr">
        <is>
          <t>MPa</t>
        </is>
      </c>
      <c r="D51" s="27">
        <f>$D$21/($D$48/1e6*($D$42-$D$50/3))/1000</f>
        <v/>
      </c>
      <c r="E51" s="8" t="inlineStr"/>
    </row>
    <row r="52">
      <c r="A52" s="8" t="inlineStr">
        <is>
          <t>Vérification ELS (fissuration)</t>
        </is>
      </c>
      <c r="B52" s="8" t="inlineStr">
        <is>
          <t>σs ≤ σ̄s</t>
        </is>
      </c>
      <c r="C52" s="7" t="inlineStr">
        <is>
          <t>-</t>
        </is>
      </c>
      <c r="D52" s="26">
        <f>IF($D$51&lt;=$D$28,"OK","NON – réduire s")</f>
        <v/>
      </c>
      <c r="E52" s="8" t="inlineStr">
        <is>
          <t>BAEL strict ; EC2 tab. 7.2N : Ø12 admis jusqu'à σs ≈ 280 MPa (wk = 0,3 mm)</t>
        </is>
      </c>
    </row>
    <row r="53">
      <c r="A53" s="5" t="inlineStr">
        <is>
          <t>6. EFFORT TRANCHANT (EC2 §6.2.2 – sans armatures d'effort tranchant)</t>
        </is>
      </c>
      <c r="B53" s="6" t="n"/>
      <c r="C53" s="6" t="n"/>
      <c r="D53" s="6" t="n"/>
      <c r="E53" s="6" t="n"/>
    </row>
    <row r="54">
      <c r="A54" s="8" t="inlineStr"/>
      <c r="B54" s="8" t="inlineStr">
        <is>
          <t>k = 1 + √(200/d) ≤ 2</t>
        </is>
      </c>
      <c r="C54" s="7" t="inlineStr">
        <is>
          <t>-</t>
        </is>
      </c>
      <c r="D54" s="22">
        <f>MIN(2,1+SQRT(200/($D$30*1000)))</f>
        <v/>
      </c>
      <c r="E54" s="8" t="inlineStr"/>
    </row>
    <row r="55">
      <c r="A55" s="8" t="inlineStr"/>
      <c r="B55" s="8" t="inlineStr">
        <is>
          <t>ρl = As/(b·d) ≤ 0,02</t>
        </is>
      </c>
      <c r="C55" s="7" t="inlineStr">
        <is>
          <t>-</t>
        </is>
      </c>
      <c r="D55" s="22">
        <f>MIN(0.02,$D$36/1e6/$D$30)</f>
        <v/>
      </c>
      <c r="E55" s="8" t="inlineStr"/>
    </row>
    <row r="56">
      <c r="A56" s="8" t="inlineStr">
        <is>
          <t>Résistance à l'effort tranchant</t>
        </is>
      </c>
      <c r="B56" s="8" t="inlineStr">
        <is>
          <t>VRd,c = max(0,12·k·(100·ρl·fck)^(1/3) ; 0,035·k^1,5·√fck)·b·d</t>
        </is>
      </c>
      <c r="C56" s="7" t="inlineStr">
        <is>
          <t>kN/m</t>
        </is>
      </c>
      <c r="D56" s="22">
        <f>MAX(0.12*$D$54*(100*$D$55*$D$12)^(1/3),0.035*$D$54^1.5*SQRT($D$12))*$D$30*1000</f>
        <v/>
      </c>
      <c r="E56" s="8" t="inlineStr"/>
    </row>
    <row r="57">
      <c r="A57" s="8" t="inlineStr">
        <is>
          <t>Vérification</t>
        </is>
      </c>
      <c r="B57" s="8" t="inlineStr">
        <is>
          <t>VEd ≤ VRd,c</t>
        </is>
      </c>
      <c r="C57" s="7" t="inlineStr">
        <is>
          <t>-</t>
        </is>
      </c>
      <c r="D57" s="26">
        <f>IF($D$23&lt;=$D$56,"OK","NON")</f>
        <v/>
      </c>
      <c r="E57" s="8" t="inlineStr"/>
    </row>
    <row r="58">
      <c r="A58" s="5" t="inlineStr">
        <is>
          <t>7. CONCLUSIONS</t>
        </is>
      </c>
      <c r="B58" s="6" t="n"/>
      <c r="C58" s="6" t="n"/>
      <c r="D58" s="6" t="n"/>
      <c r="E58" s="6" t="n"/>
    </row>
    <row r="59" ht="30" customHeight="1">
      <c r="A59" s="28" t="inlineStr">
        <is>
          <t>• Faces EXTÉRIEURES (côté terre) : voiles HA12 verticaux e = 12,5 cm ; radier nappe inférieure transversale HA12 e = 15 cm ; retour des HA12 extérieurs de 0,60 m (50Ø) le long de la nappe inférieure du radier (angle tendu).</t>
        </is>
      </c>
    </row>
    <row r="60" ht="30" customHeight="1">
      <c r="A60" s="28" t="inlineStr">
        <is>
          <t>• Voile : HA12 e = 20 cm insuffisant à l'ELU (565 &lt; 593 mm²/m) ; HA12 e = 15 cm vérifie l'ELU mais σs ≈ 258 MPa &gt; 250 MPa (BAEL fissuration préjudiciable) → HA12 e = 12,5 cm retenu (σs ≈ 217 MPa).</t>
        </is>
      </c>
    </row>
    <row r="61" ht="30" customHeight="1">
      <c r="A61" s="28" t="inlineStr">
        <is>
          <t>• Horizontaux : HA10 e = 20 cm côté extérieur (retrait / répartition, ≥ 25 % des verticaux) et HA8 e = 20 cm côté intérieur – conformes EC2 §9.6.3.</t>
        </is>
      </c>
    </row>
    <row r="62" ht="30" customHeight="1">
      <c r="A62" s="28" t="inlineStr">
        <is>
          <t>• Faces INTÉRIEURES : HA12 e = 20 cm (voile et nappe supérieure du radier) – armatures minimales EC2 suffisantes, À CONDITION que le remblai latéral soit en place et compacté avant la mise en eau du canal (sinon la poussée de l'eau, Mser ≈ 23 kN·m/m, tend la face intérieure).</t>
        </is>
      </c>
    </row>
    <row r="63" ht="30" customHeight="1">
      <c r="A63" s="28" t="inlineStr">
        <is>
          <t>• Barbacanes obligatoires (pas de pression d'eau derrière les voiles prise en compte dans ce calcul).</t>
        </is>
      </c>
    </row>
    <row r="64" ht="30" customHeight="1">
      <c r="A64" s="28" t="inlineStr">
        <is>
          <t>• Note simplifiée (console encastrée, 1 ml) : à faire valider par un bureau d'études avant exécution.</t>
        </is>
      </c>
    </row>
    <row r="66">
      <c r="A66" s="20" t="inlineStr">
        <is>
          <t>Établi par : Moulo Jean Claude – Technicien Génie Civil BTP</t>
        </is>
      </c>
    </row>
  </sheetData>
  <mergeCells count="17">
    <mergeCell ref="A53:E53"/>
    <mergeCell ref="A29:E29"/>
    <mergeCell ref="A4:E4"/>
    <mergeCell ref="A59:E59"/>
    <mergeCell ref="A62:E62"/>
    <mergeCell ref="A24:E24"/>
    <mergeCell ref="A2:E2"/>
    <mergeCell ref="A64:E64"/>
    <mergeCell ref="A7:E7"/>
    <mergeCell ref="A60:E60"/>
    <mergeCell ref="A41:E41"/>
    <mergeCell ref="A63:E63"/>
    <mergeCell ref="A1:E1"/>
    <mergeCell ref="A61:E61"/>
    <mergeCell ref="A58:E58"/>
    <mergeCell ref="A17:E17"/>
    <mergeCell ref="A3:E3"/>
  </mergeCells>
  <pageMargins left="0.75" right="0.75" top="1" bottom="1" header="0.5" footer="0.5"/>
  <pageSetup orientation="landscape" fitToHeight="0" fitToWidth="1"/>
  <headerFooter>
    <oddHeader>&amp;RMoulo Jean Claude – Chantier de Bouaflé</oddHeader>
    <oddFooter>&amp;CPage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62" customWidth="1" min="4" max="4"/>
  </cols>
  <sheetData>
    <row r="1">
      <c r="A1" s="1" t="inlineStr">
        <is>
          <t>RÉALISATION DE VOILES (2 × 170 m, H = 2,40 m) ET RADIER (170 m × 4,00 m × 0,20 m)</t>
        </is>
      </c>
    </row>
    <row r="2">
      <c r="A2" s="2" t="inlineStr">
        <is>
          <t>HYPOTHÈSES DE CALCUL ET PRIX DE BASE (cellules jaunes modifiables)</t>
        </is>
      </c>
    </row>
    <row r="3">
      <c r="A3" s="3" t="inlineStr">
        <is>
          <t>Lieu des travaux : BOUAFLÉ (Marahoué) – aménagement du thalweg en canal BA    |    Établi par : Moulo Jean Claude – Technicien Génie Civil BTP    |    Date : 01/10/2026    |    FCFA</t>
        </is>
      </c>
    </row>
    <row r="4">
      <c r="A4" s="3" t="inlineStr">
        <is>
          <t>Normes : EC2 (NF EN 1992-1-1) / BAEL 91 mod. 99 – Aciers FE500 (HA) – Contexte : sol latéritique, climat tropical humide</t>
        </is>
      </c>
    </row>
    <row r="6" ht="30" customHeight="1">
      <c r="A6" s="4" t="inlineStr">
        <is>
          <t>Paramètre</t>
        </is>
      </c>
      <c r="B6" s="4" t="inlineStr">
        <is>
          <t>Unité</t>
        </is>
      </c>
      <c r="C6" s="4" t="inlineStr">
        <is>
          <t>Valeur</t>
        </is>
      </c>
      <c r="D6" s="4" t="inlineStr">
        <is>
          <t>Source / commentaire</t>
        </is>
      </c>
    </row>
    <row r="7">
      <c r="A7" s="5" t="inlineStr">
        <is>
          <t>GÉOMÉTRIE</t>
        </is>
      </c>
      <c r="B7" s="6" t="n"/>
      <c r="C7" s="6" t="n"/>
      <c r="D7" s="6" t="n"/>
    </row>
    <row r="8">
      <c r="A8" s="17" t="inlineStr">
        <is>
          <t>Longueur d'ouvrage</t>
        </is>
      </c>
      <c r="B8" s="7" t="inlineStr">
        <is>
          <t>m</t>
        </is>
      </c>
      <c r="C8" s="29" t="n">
        <v>170</v>
      </c>
      <c r="D8" s="8" t="inlineStr">
        <is>
          <t>Donnée client</t>
        </is>
      </c>
    </row>
    <row r="9">
      <c r="A9" s="17" t="inlineStr">
        <is>
          <t>Nombre de voiles</t>
        </is>
      </c>
      <c r="B9" s="7" t="inlineStr">
        <is>
          <t>u</t>
        </is>
      </c>
      <c r="C9" s="30" t="n">
        <v>2</v>
      </c>
      <c r="D9" s="8" t="inlineStr">
        <is>
          <t>Donnée client (170 m × 2)</t>
        </is>
      </c>
    </row>
    <row r="10">
      <c r="A10" s="17" t="inlineStr">
        <is>
          <t>Hauteur des voiles (au-dessus du radier)</t>
        </is>
      </c>
      <c r="B10" s="7" t="inlineStr">
        <is>
          <t>m</t>
        </is>
      </c>
      <c r="C10" s="30" t="n">
        <v>2.4</v>
      </c>
      <c r="D10" s="8" t="inlineStr">
        <is>
          <t>Donnée client</t>
        </is>
      </c>
    </row>
    <row r="11">
      <c r="A11" s="17" t="inlineStr">
        <is>
          <t>Épaisseur des voiles</t>
        </is>
      </c>
      <c r="B11" s="7" t="inlineStr">
        <is>
          <t>m</t>
        </is>
      </c>
      <c r="C11" s="30" t="n">
        <v>0.2</v>
      </c>
      <c r="D11" s="8" t="inlineStr">
        <is>
          <t>HYPOTHÈSE (non fournie) – mini 15 cm pour nappe double, 20 cm retenus</t>
        </is>
      </c>
    </row>
    <row r="12">
      <c r="A12" s="17" t="inlineStr">
        <is>
          <t>Largeur du radier</t>
        </is>
      </c>
      <c r="B12" s="7" t="inlineStr">
        <is>
          <t>m</t>
        </is>
      </c>
      <c r="C12" s="30" t="n">
        <v>4</v>
      </c>
      <c r="D12" s="8" t="inlineStr">
        <is>
          <t>Donnée client</t>
        </is>
      </c>
    </row>
    <row r="13">
      <c r="A13" s="17" t="inlineStr">
        <is>
          <t>Épaisseur du radier</t>
        </is>
      </c>
      <c r="B13" s="7" t="inlineStr">
        <is>
          <t>m</t>
        </is>
      </c>
      <c r="C13" s="30" t="n">
        <v>0.2</v>
      </c>
      <c r="D13" s="8" t="inlineStr">
        <is>
          <t>Donnée client</t>
        </is>
      </c>
    </row>
    <row r="14">
      <c r="A14" s="17" t="inlineStr">
        <is>
          <t>Enrobage nominal</t>
        </is>
      </c>
      <c r="B14" s="7" t="inlineStr">
        <is>
          <t>m</t>
        </is>
      </c>
      <c r="C14" s="30" t="n">
        <v>0.04</v>
      </c>
      <c r="D14" s="8" t="inlineStr">
        <is>
          <t>EC2 §4.4 – classe XC2/XC4 (contact sol, humidité tropicale)</t>
        </is>
      </c>
    </row>
    <row r="15">
      <c r="A15" s="17" t="inlineStr">
        <is>
          <t>Surlargeur de fouille par côté</t>
        </is>
      </c>
      <c r="B15" s="7" t="inlineStr">
        <is>
          <t>m</t>
        </is>
      </c>
      <c r="C15" s="30" t="n">
        <v>0.6</v>
      </c>
      <c r="D15" s="8" t="inlineStr">
        <is>
          <t>Hypothèse – espace de travail coffrage (berges irrégulières du thalweg)</t>
        </is>
      </c>
    </row>
    <row r="16">
      <c r="A16" s="17" t="inlineStr">
        <is>
          <t>Profondeur moyenne de déblai (curage + reprofilage du fond + couche de forme)</t>
        </is>
      </c>
      <c r="B16" s="7" t="inlineStr">
        <is>
          <t>m</t>
        </is>
      </c>
      <c r="C16" s="30" t="n">
        <v>0.6</v>
      </c>
      <c r="D16" s="8" t="inlineStr">
        <is>
          <t>HYPOTHÈSE d'après la vidéo du site – à confirmer par levé topographique / profils en travers</t>
        </is>
      </c>
    </row>
    <row r="17">
      <c r="A17" s="17" t="inlineStr">
        <is>
          <t>Épaisseur béton de propreté</t>
        </is>
      </c>
      <c r="B17" s="7" t="inlineStr">
        <is>
          <t>m</t>
        </is>
      </c>
      <c r="C17" s="30" t="n">
        <v>0.05</v>
      </c>
      <c r="D17" s="8" t="inlineStr">
        <is>
          <t>Usuel</t>
        </is>
      </c>
    </row>
    <row r="18">
      <c r="A18" s="17" t="inlineStr">
        <is>
          <t>Débord béton de propreté par côté</t>
        </is>
      </c>
      <c r="B18" s="7" t="inlineStr">
        <is>
          <t>m</t>
        </is>
      </c>
      <c r="C18" s="30" t="n">
        <v>0.1</v>
      </c>
      <c r="D18" s="8" t="inlineStr">
        <is>
          <t>Usuel</t>
        </is>
      </c>
    </row>
    <row r="19">
      <c r="A19" s="17" t="inlineStr">
        <is>
          <t>Épaisseur couche de forme (latérite ou tout-venant) sous radier</t>
        </is>
      </c>
      <c r="B19" s="7" t="inlineStr">
        <is>
          <t>m</t>
        </is>
      </c>
      <c r="C19" s="30" t="n">
        <v>0.2</v>
      </c>
      <c r="D19" s="8" t="inlineStr">
        <is>
          <t>Fond de thalweg humide – substitution du sol vaseux</t>
        </is>
      </c>
    </row>
    <row r="20">
      <c r="A20" s="17" t="inlineStr">
        <is>
          <t>Largeur de l'emprise à débroussailler / nettoyer</t>
        </is>
      </c>
      <c r="B20" s="7" t="inlineStr">
        <is>
          <t>m</t>
        </is>
      </c>
      <c r="C20" s="30" t="n">
        <v>10</v>
      </c>
      <c r="D20" s="8" t="inlineStr">
        <is>
          <t>HYPOTHÈSE d'après la vidéo</t>
        </is>
      </c>
    </row>
    <row r="21">
      <c r="A21" s="17" t="inlineStr">
        <is>
          <t>Volume d'ordures et déchets à évacuer</t>
        </is>
      </c>
      <c r="B21" s="7" t="inlineStr">
        <is>
          <t>m³</t>
        </is>
      </c>
      <c r="C21" s="29" t="n">
        <v>150</v>
      </c>
      <c r="D21" s="8" t="inlineStr">
        <is>
          <t>HYPOTHÈSE d'après la vidéo – à constater contradictoirement</t>
        </is>
      </c>
    </row>
    <row r="22">
      <c r="A22" s="17" t="inlineStr">
        <is>
          <t>Largeur moyenne de remblai derrière chaque voile</t>
        </is>
      </c>
      <c r="B22" s="7" t="inlineStr">
        <is>
          <t>m</t>
        </is>
      </c>
      <c r="C22" s="30" t="n">
        <v>1</v>
      </c>
      <c r="D22" s="8" t="inlineStr">
        <is>
          <t>HYPOTHÈSE – thalweg plus large que le canal</t>
        </is>
      </c>
    </row>
    <row r="23">
      <c r="A23" s="17" t="inlineStr">
        <is>
          <t>Espacement des barbacanes (1 rang par voile)</t>
        </is>
      </c>
      <c r="B23" s="7" t="inlineStr">
        <is>
          <t>m</t>
        </is>
      </c>
      <c r="C23" s="30" t="n">
        <v>2</v>
      </c>
      <c r="D23" s="8" t="inlineStr">
        <is>
          <t>Usuel – drainage de la poussée d'eau derrière les voiles</t>
        </is>
      </c>
    </row>
    <row r="24">
      <c r="A24" s="17" t="inlineStr">
        <is>
          <t>Durée de déviation des eaux / pompage</t>
        </is>
      </c>
      <c r="B24" s="7" t="inlineStr">
        <is>
          <t>j</t>
        </is>
      </c>
      <c r="C24" s="30" t="n">
        <v>45</v>
      </c>
      <c r="D24" s="8" t="inlineStr">
        <is>
          <t>HYPOTHÈSE – durée des travaux</t>
        </is>
      </c>
    </row>
    <row r="25">
      <c r="A25" s="17" t="inlineStr">
        <is>
          <t>Coefficient de foisonnement (latérite)</t>
        </is>
      </c>
      <c r="B25" s="7" t="inlineStr">
        <is>
          <t>-</t>
        </is>
      </c>
      <c r="C25" s="30" t="n">
        <v>1.25</v>
      </c>
      <c r="D25" s="8" t="inlineStr">
        <is>
          <t>Sol latéritique – 1,20 à 1,30</t>
        </is>
      </c>
    </row>
    <row r="26">
      <c r="A26" s="5" t="inlineStr">
        <is>
          <t>ARMATURES FE500</t>
        </is>
      </c>
      <c r="B26" s="6" t="n"/>
      <c r="C26" s="6" t="n"/>
      <c r="D26" s="6" t="n"/>
    </row>
    <row r="27">
      <c r="A27" s="17" t="inlineStr">
        <is>
          <t>Voiles – HA12 verticaux FACE EXTÉRIEURE (côté terre), espacement</t>
        </is>
      </c>
      <c r="B27" s="7" t="inlineStr">
        <is>
          <t>m</t>
        </is>
      </c>
      <c r="C27" s="30" t="n">
        <v>0.125</v>
      </c>
      <c r="D27" s="8" t="inlineStr">
        <is>
          <t>Note de calcul (poussée des terres + surcharge) – EC2 ELU / BAEL ELS</t>
        </is>
      </c>
    </row>
    <row r="28">
      <c r="A28" s="17" t="inlineStr">
        <is>
          <t>Voiles – HA12 verticaux face intérieure, espacement</t>
        </is>
      </c>
      <c r="B28" s="7" t="inlineStr">
        <is>
          <t>m</t>
        </is>
      </c>
      <c r="C28" s="30" t="n">
        <v>0.2</v>
      </c>
      <c r="D28" s="8" t="inlineStr">
        <is>
          <t>EC2 §9.6.2 : s ≤ min(3h ; 400 mm)</t>
        </is>
      </c>
    </row>
    <row r="29">
      <c r="A29" s="17" t="inlineStr">
        <is>
          <t>Voiles – horizontaux HA10 ext. / HA8 int., espacement</t>
        </is>
      </c>
      <c r="B29" s="7" t="inlineStr">
        <is>
          <t>m</t>
        </is>
      </c>
      <c r="C29" s="30" t="n">
        <v>0.2</v>
      </c>
      <c r="D29" s="8" t="inlineStr">
        <is>
          <t>EC2 §9.6.3 : s ≤ 400 mm</t>
        </is>
      </c>
    </row>
    <row r="30">
      <c r="A30" s="17" t="inlineStr">
        <is>
          <t>Radier – HA12 transversaux NAPPE INFÉRIEURE (extérieure), espacement</t>
        </is>
      </c>
      <c r="B30" s="7" t="inlineStr">
        <is>
          <t>m</t>
        </is>
      </c>
      <c r="C30" s="30" t="n">
        <v>0.15</v>
      </c>
      <c r="D30" s="8" t="inlineStr">
        <is>
          <t>Note de calcul – continuité du moment d'encastrement du voile</t>
        </is>
      </c>
    </row>
    <row r="31">
      <c r="A31" s="17" t="inlineStr">
        <is>
          <t>Radier – HA12 transversaux nappe supérieure, espacement</t>
        </is>
      </c>
      <c r="B31" s="7" t="inlineStr">
        <is>
          <t>m</t>
        </is>
      </c>
      <c r="C31" s="30" t="n">
        <v>0.2</v>
      </c>
      <c r="D31" s="8" t="inlineStr">
        <is>
          <t>Disposition constructive / mini EC2</t>
        </is>
      </c>
    </row>
    <row r="32">
      <c r="A32" s="17" t="inlineStr">
        <is>
          <t>Radier – HA10 longitudinaux, espacement (2 nappes)</t>
        </is>
      </c>
      <c r="B32" s="7" t="inlineStr">
        <is>
          <t>m</t>
        </is>
      </c>
      <c r="C32" s="30" t="n">
        <v>0.2</v>
      </c>
      <c r="D32" s="8" t="inlineStr">
        <is>
          <t>Hypothèse – à confirmer par note de calcul</t>
        </is>
      </c>
    </row>
    <row r="33">
      <c r="A33" s="17" t="inlineStr">
        <is>
          <t>Plantants en U HA8 – espacement</t>
        </is>
      </c>
      <c r="B33" s="7" t="inlineStr">
        <is>
          <t>m</t>
        </is>
      </c>
      <c r="C33" s="30" t="n">
        <v>0.2</v>
      </c>
      <c r="D33" s="8" t="inlineStr">
        <is>
          <t>Demande client</t>
        </is>
      </c>
    </row>
    <row r="34">
      <c r="A34" s="17" t="inlineStr">
        <is>
          <t>Plantants en U – hauteur de jambe dans le voile</t>
        </is>
      </c>
      <c r="B34" s="7" t="inlineStr">
        <is>
          <t>m</t>
        </is>
      </c>
      <c r="C34" s="30" t="n">
        <v>0.6</v>
      </c>
      <c r="D34" s="8" t="inlineStr">
        <is>
          <t>Hypothèse ≥ recouvrement 50Ø HA12 = 0,60 m</t>
        </is>
      </c>
    </row>
    <row r="35">
      <c r="A35" s="17" t="inlineStr">
        <is>
          <t>Épingles HA8 de liaison des nappes voile</t>
        </is>
      </c>
      <c r="B35" s="7" t="inlineStr">
        <is>
          <t>u/m²</t>
        </is>
      </c>
      <c r="C35" s="30" t="n">
        <v>4</v>
      </c>
      <c r="D35" s="8" t="inlineStr">
        <is>
          <t>Disposition constructive usuelle (EC2 §9.6.4)</t>
        </is>
      </c>
    </row>
    <row r="36">
      <c r="A36" s="17" t="inlineStr">
        <is>
          <t>Chaises HA10 support nappe sup. radier</t>
        </is>
      </c>
      <c r="B36" s="7" t="inlineStr">
        <is>
          <t>u/m²</t>
        </is>
      </c>
      <c r="C36" s="30" t="n">
        <v>1</v>
      </c>
      <c r="D36" s="8" t="inlineStr">
        <is>
          <t>Disposition constructive usuelle</t>
        </is>
      </c>
    </row>
    <row r="37">
      <c r="A37" s="17" t="inlineStr">
        <is>
          <t>Retour / crochet d'extrémité</t>
        </is>
      </c>
      <c r="B37" s="7" t="inlineStr">
        <is>
          <t>m</t>
        </is>
      </c>
      <c r="C37" s="30" t="n">
        <v>0.15</v>
      </c>
      <c r="D37" s="8" t="inlineStr">
        <is>
          <t>Usuel</t>
        </is>
      </c>
    </row>
    <row r="38">
      <c r="A38" s="17" t="inlineStr">
        <is>
          <t>Retour d'ancrage des HA12 de voile (face int.) dans le radier</t>
        </is>
      </c>
      <c r="B38" s="7" t="inlineStr">
        <is>
          <t>m</t>
        </is>
      </c>
      <c r="C38" s="30" t="n">
        <v>0.3</v>
      </c>
      <c r="D38" s="8" t="inlineStr">
        <is>
          <t>BAEL / EC2 – ancrage avec retour à 90°</t>
        </is>
      </c>
    </row>
    <row r="39">
      <c r="A39" s="17" t="inlineStr">
        <is>
          <t>Retour des HA12 extérieurs le long de la nappe inf. du radier</t>
        </is>
      </c>
      <c r="B39" s="7" t="inlineStr">
        <is>
          <t>m</t>
        </is>
      </c>
      <c r="C39" s="30" t="n">
        <v>0.6</v>
      </c>
      <c r="D39" s="8" t="inlineStr">
        <is>
          <t>Recouvrement 50Ø avec la nappe inférieure (angle tendu)</t>
        </is>
      </c>
    </row>
    <row r="40">
      <c r="A40" s="17" t="inlineStr">
        <is>
          <t>Longueur de recouvrement (× Ø)</t>
        </is>
      </c>
      <c r="B40" s="7" t="inlineStr">
        <is>
          <t>-</t>
        </is>
      </c>
      <c r="C40" s="30" t="n">
        <v>50</v>
      </c>
      <c r="D40" s="8" t="inlineStr">
        <is>
          <t>BAEL A.6.1,23 FE500 : 50Ø / EC2 §8.7.3</t>
        </is>
      </c>
    </row>
    <row r="41">
      <c r="A41" s="17" t="inlineStr">
        <is>
          <t>Longueur commerciale des barres</t>
        </is>
      </c>
      <c r="B41" s="7" t="inlineStr">
        <is>
          <t>m</t>
        </is>
      </c>
      <c r="C41" s="30" t="n">
        <v>12</v>
      </c>
      <c r="D41" s="8" t="inlineStr">
        <is>
          <t>Marché ivoirien</t>
        </is>
      </c>
    </row>
    <row r="42">
      <c r="A42" s="17" t="inlineStr">
        <is>
          <t>Masse linéique HA8</t>
        </is>
      </c>
      <c r="B42" s="7" t="inlineStr">
        <is>
          <t>kg/m</t>
        </is>
      </c>
      <c r="C42" s="30" t="n">
        <v>0.395</v>
      </c>
      <c r="D42" s="8" t="inlineStr">
        <is>
          <t>Tables</t>
        </is>
      </c>
    </row>
    <row r="43">
      <c r="A43" s="17" t="inlineStr">
        <is>
          <t>Masse linéique HA10</t>
        </is>
      </c>
      <c r="B43" s="7" t="inlineStr">
        <is>
          <t>kg/m</t>
        </is>
      </c>
      <c r="C43" s="30" t="n">
        <v>0.617</v>
      </c>
      <c r="D43" s="8" t="inlineStr">
        <is>
          <t>Tables</t>
        </is>
      </c>
    </row>
    <row r="44">
      <c r="A44" s="17" t="inlineStr">
        <is>
          <t>Masse linéique HA12</t>
        </is>
      </c>
      <c r="B44" s="7" t="inlineStr">
        <is>
          <t>kg/m</t>
        </is>
      </c>
      <c r="C44" s="30" t="n">
        <v>0.888</v>
      </c>
      <c r="D44" s="8" t="inlineStr">
        <is>
          <t>Tables</t>
        </is>
      </c>
    </row>
    <row r="45">
      <c r="A45" s="17" t="inlineStr">
        <is>
          <t>Pertes / chutes aciers</t>
        </is>
      </c>
      <c r="B45" s="7" t="inlineStr">
        <is>
          <t>%</t>
        </is>
      </c>
      <c r="C45" s="31" t="n">
        <v>0.05</v>
      </c>
      <c r="D45" s="8" t="inlineStr">
        <is>
          <t>Usuel 3 à 7 %</t>
        </is>
      </c>
    </row>
    <row r="46">
      <c r="A46" s="17" t="inlineStr">
        <is>
          <t>Espacement des joints de dilatation</t>
        </is>
      </c>
      <c r="B46" s="7" t="inlineStr">
        <is>
          <t>m</t>
        </is>
      </c>
      <c r="C46" s="30" t="n">
        <v>15</v>
      </c>
      <c r="D46" s="8" t="inlineStr">
        <is>
          <t>Climat tropical (fortes amplitudes) – 12 à 20 m</t>
        </is>
      </c>
    </row>
    <row r="47">
      <c r="A47" s="5" t="inlineStr">
        <is>
          <t>PRIX DES MATÉRIAUX (rendus chantier BOUAFLÉ, transport inclus – à actualiser)</t>
        </is>
      </c>
      <c r="B47" s="6" t="n"/>
      <c r="C47" s="6" t="n"/>
      <c r="D47" s="6" t="n"/>
    </row>
    <row r="48">
      <c r="A48" s="17" t="inlineStr">
        <is>
          <t>Ciment CPJ 42.5 (sac 50 kg)</t>
        </is>
      </c>
      <c r="B48" s="7" t="inlineStr">
        <is>
          <t>FCFA/sac</t>
        </is>
      </c>
      <c r="C48" s="29" t="n">
        <v>6200</v>
      </c>
      <c r="D48" s="8" t="inlineStr">
        <is>
          <t>Indicatif Bouaflé 2026 (Abidjan ≈ 5 500 + transport)</t>
        </is>
      </c>
    </row>
    <row r="49">
      <c r="A49" s="17" t="inlineStr">
        <is>
          <t>Sable de rivière / de carrière</t>
        </is>
      </c>
      <c r="B49" s="7" t="inlineStr">
        <is>
          <t>FCFA/m³</t>
        </is>
      </c>
      <c r="C49" s="29" t="n">
        <v>12000</v>
      </c>
      <c r="D49" s="8" t="inlineStr">
        <is>
          <t>Indicatif Bouaflé (sable local)</t>
        </is>
      </c>
    </row>
    <row r="50">
      <c r="A50" s="17" t="inlineStr">
        <is>
          <t>Gravier concassé 5/15 – 15/25</t>
        </is>
      </c>
      <c r="B50" s="7" t="inlineStr">
        <is>
          <t>FCFA/m³</t>
        </is>
      </c>
      <c r="C50" s="29" t="n">
        <v>30000</v>
      </c>
      <c r="D50" s="8" t="inlineStr">
        <is>
          <t>Indicatif – carrières de la région de Yamoussoukro + transport</t>
        </is>
      </c>
    </row>
    <row r="51">
      <c r="A51" s="17" t="inlineStr">
        <is>
          <t>Eau de gâchage</t>
        </is>
      </c>
      <c r="B51" s="7" t="inlineStr">
        <is>
          <t>FCFA/m³</t>
        </is>
      </c>
      <c r="C51" s="29" t="n">
        <v>1000</v>
      </c>
      <c r="D51" s="8" t="inlineStr">
        <is>
          <t>Indicatif</t>
        </is>
      </c>
    </row>
    <row r="52">
      <c r="A52" s="17" t="inlineStr">
        <is>
          <t>Acier HA8 FE500</t>
        </is>
      </c>
      <c r="B52" s="7" t="inlineStr">
        <is>
          <t>FCFA/kg</t>
        </is>
      </c>
      <c r="C52" s="29" t="n">
        <v>690</v>
      </c>
      <c r="D52" s="8" t="inlineStr">
        <is>
          <t>Indicatif Bouaflé (Abidjan + transport ≈ 40 FCFA/kg)</t>
        </is>
      </c>
    </row>
    <row r="53">
      <c r="A53" s="17" t="inlineStr">
        <is>
          <t>Acier HA10 FE500</t>
        </is>
      </c>
      <c r="B53" s="7" t="inlineStr">
        <is>
          <t>FCFA/kg</t>
        </is>
      </c>
      <c r="C53" s="29" t="n">
        <v>660</v>
      </c>
      <c r="D53" s="8" t="inlineStr">
        <is>
          <t>Indicatif Bouaflé</t>
        </is>
      </c>
    </row>
    <row r="54">
      <c r="A54" s="17" t="inlineStr">
        <is>
          <t>Acier HA12 FE500</t>
        </is>
      </c>
      <c r="B54" s="7" t="inlineStr">
        <is>
          <t>FCFA/kg</t>
        </is>
      </c>
      <c r="C54" s="29" t="n">
        <v>660</v>
      </c>
      <c r="D54" s="8" t="inlineStr">
        <is>
          <t>Indicatif Bouaflé</t>
        </is>
      </c>
    </row>
    <row r="55">
      <c r="A55" s="17" t="inlineStr">
        <is>
          <t>Fil recuit (ligature)</t>
        </is>
      </c>
      <c r="B55" s="7" t="inlineStr">
        <is>
          <t>FCFA/kg</t>
        </is>
      </c>
      <c r="C55" s="29" t="n">
        <v>1000</v>
      </c>
      <c r="D55" s="8" t="inlineStr">
        <is>
          <t>Indicatif</t>
        </is>
      </c>
    </row>
    <row r="56">
      <c r="A56" s="17" t="inlineStr">
        <is>
          <t>Consommation fil recuit</t>
        </is>
      </c>
      <c r="B56" s="7" t="inlineStr">
        <is>
          <t>kg/kg acier</t>
        </is>
      </c>
      <c r="C56" s="30" t="n">
        <v>0.01</v>
      </c>
      <c r="D56" s="8" t="inlineStr">
        <is>
          <t>10 kg/tonne</t>
        </is>
      </c>
    </row>
    <row r="57">
      <c r="A57" s="17" t="inlineStr">
        <is>
          <t>Coffrage bois/contreplaqué amorti (4 réemplois)</t>
        </is>
      </c>
      <c r="B57" s="7" t="inlineStr">
        <is>
          <t>FCFA/m²</t>
        </is>
      </c>
      <c r="C57" s="29" t="n">
        <v>3000</v>
      </c>
      <c r="D57" s="8" t="inlineStr">
        <is>
          <t>Indicatif</t>
        </is>
      </c>
    </row>
    <row r="58">
      <c r="A58" s="17" t="inlineStr">
        <is>
          <t>Accessoires coffrage (pointes, huile, tiges, cales)</t>
        </is>
      </c>
      <c r="B58" s="7" t="inlineStr">
        <is>
          <t>FCFA/m²</t>
        </is>
      </c>
      <c r="C58" s="29" t="n">
        <v>500</v>
      </c>
      <c r="D58" s="8" t="inlineStr">
        <is>
          <t>Indicatif</t>
        </is>
      </c>
    </row>
    <row r="59">
      <c r="A59" s="17" t="inlineStr">
        <is>
          <t>Étaiement / échafaudage voiles</t>
        </is>
      </c>
      <c r="B59" s="7" t="inlineStr">
        <is>
          <t>FCFA/m²</t>
        </is>
      </c>
      <c r="C59" s="29" t="n">
        <v>800</v>
      </c>
      <c r="D59" s="8" t="inlineStr">
        <is>
          <t>Indicatif</t>
        </is>
      </c>
    </row>
    <row r="60">
      <c r="A60" s="17" t="inlineStr">
        <is>
          <t>Latérite d'apport (rendue chantier)</t>
        </is>
      </c>
      <c r="B60" s="7" t="inlineStr">
        <is>
          <t>FCFA/m³</t>
        </is>
      </c>
      <c r="C60" s="29" t="n">
        <v>6000</v>
      </c>
      <c r="D60" s="8" t="inlineStr">
        <is>
          <t>Indicatif Bouaflé – emprunt local</t>
        </is>
      </c>
    </row>
    <row r="61">
      <c r="A61" s="17" t="inlineStr">
        <is>
          <t>Barbacane PVC Ø75 + filtre (gravier + géotextile)</t>
        </is>
      </c>
      <c r="B61" s="7" t="inlineStr">
        <is>
          <t>FCFA/u</t>
        </is>
      </c>
      <c r="C61" s="29" t="n">
        <v>4500</v>
      </c>
      <c r="D61" s="8" t="inlineStr">
        <is>
          <t>Indicatif</t>
        </is>
      </c>
    </row>
    <row r="62">
      <c r="A62" s="17" t="inlineStr">
        <is>
          <t>Motopompe 3" + carburant (épuisement)</t>
        </is>
      </c>
      <c r="B62" s="7" t="inlineStr">
        <is>
          <t>FCFA/j</t>
        </is>
      </c>
      <c r="C62" s="29" t="n">
        <v>25000</v>
      </c>
      <c r="D62" s="8" t="inlineStr">
        <is>
          <t>Location indicative</t>
        </is>
      </c>
    </row>
    <row r="63">
      <c r="A63" s="17" t="inlineStr">
        <is>
          <t>Cure du béton (arrosage / produit de cure)</t>
        </is>
      </c>
      <c r="B63" s="7" t="inlineStr">
        <is>
          <t>FCFA/m³</t>
        </is>
      </c>
      <c r="C63" s="29" t="n">
        <v>500</v>
      </c>
      <c r="D63" s="8" t="inlineStr">
        <is>
          <t>Indispensable en climat chaud</t>
        </is>
      </c>
    </row>
    <row r="64">
      <c r="A64" s="17" t="inlineStr">
        <is>
          <t>Joint : polystyrène 2 cm + mastic</t>
        </is>
      </c>
      <c r="B64" s="7" t="inlineStr">
        <is>
          <t>FCFA/ml</t>
        </is>
      </c>
      <c r="C64" s="29" t="n">
        <v>3300</v>
      </c>
      <c r="D64" s="8" t="inlineStr">
        <is>
          <t>Indicatif</t>
        </is>
      </c>
    </row>
    <row r="65">
      <c r="A65" s="17" t="inlineStr">
        <is>
          <t>Pertes matériaux béton</t>
        </is>
      </c>
      <c r="B65" s="7" t="inlineStr">
        <is>
          <t>%</t>
        </is>
      </c>
      <c r="C65" s="31" t="n">
        <v>0.05</v>
      </c>
      <c r="D65" s="8" t="inlineStr">
        <is>
          <t>Usuel</t>
        </is>
      </c>
    </row>
    <row r="66">
      <c r="A66" s="5" t="inlineStr">
        <is>
          <t>MAIN D'ŒUVRE (FCFA / jour)</t>
        </is>
      </c>
      <c r="B66" s="6" t="n"/>
      <c r="C66" s="6" t="n"/>
      <c r="D66" s="6" t="n"/>
    </row>
    <row r="67">
      <c r="A67" s="17" t="inlineStr">
        <is>
          <t>Chef d'équipe</t>
        </is>
      </c>
      <c r="B67" s="7" t="inlineStr">
        <is>
          <t>FCFA/j</t>
        </is>
      </c>
      <c r="C67" s="29" t="n">
        <v>15000</v>
      </c>
      <c r="D67" s="8" t="inlineStr">
        <is>
          <t>Indicatif (personnel qualifié déplacé)</t>
        </is>
      </c>
    </row>
    <row r="68">
      <c r="A68" s="17" t="inlineStr">
        <is>
          <t>Ouvrier qualifié (maçon, coffreur, ferrailleur)</t>
        </is>
      </c>
      <c r="B68" s="7" t="inlineStr">
        <is>
          <t>FCFA/j</t>
        </is>
      </c>
      <c r="C68" s="29" t="n">
        <v>10000</v>
      </c>
      <c r="D68" s="8" t="inlineStr">
        <is>
          <t>Indicatif</t>
        </is>
      </c>
    </row>
    <row r="69">
      <c r="A69" s="17" t="inlineStr">
        <is>
          <t>Manœuvre</t>
        </is>
      </c>
      <c r="B69" s="7" t="inlineStr">
        <is>
          <t>FCFA/j</t>
        </is>
      </c>
      <c r="C69" s="29" t="n">
        <v>4000</v>
      </c>
      <c r="D69" s="8" t="inlineStr">
        <is>
          <t>Indicatif – recrutement local Bouaflé</t>
        </is>
      </c>
    </row>
    <row r="70">
      <c r="A70" s="5" t="inlineStr">
        <is>
          <t>MATÉRIEL ET RENDEMENTS</t>
        </is>
      </c>
      <c r="B70" s="6" t="n"/>
      <c r="C70" s="6" t="n"/>
      <c r="D70" s="6" t="n"/>
    </row>
    <row r="71">
      <c r="A71" s="17" t="inlineStr">
        <is>
          <t>Pelle hydraulique avec conducteur et carburant</t>
        </is>
      </c>
      <c r="B71" s="7" t="inlineStr">
        <is>
          <t>FCFA/j</t>
        </is>
      </c>
      <c r="C71" s="29" t="n">
        <v>350000</v>
      </c>
      <c r="D71" s="8" t="inlineStr">
        <is>
          <t>Location indicative</t>
        </is>
      </c>
    </row>
    <row r="72">
      <c r="A72" s="17" t="inlineStr">
        <is>
          <t>Rendement pelle (déblai)</t>
        </is>
      </c>
      <c r="B72" s="7" t="inlineStr">
        <is>
          <t>m³/j</t>
        </is>
      </c>
      <c r="C72" s="29" t="n">
        <v>250</v>
      </c>
      <c r="D72" s="8" t="inlineStr">
        <is>
          <t>Hypothèse</t>
        </is>
      </c>
    </row>
    <row r="73">
      <c r="A73" s="17" t="inlineStr">
        <is>
          <t>Camion benne (évacuation)</t>
        </is>
      </c>
      <c r="B73" s="7" t="inlineStr">
        <is>
          <t>FCFA/j</t>
        </is>
      </c>
      <c r="C73" s="29" t="n">
        <v>150000</v>
      </c>
      <c r="D73" s="8" t="inlineStr">
        <is>
          <t>Location indicative</t>
        </is>
      </c>
    </row>
    <row r="74">
      <c r="A74" s="17" t="inlineStr">
        <is>
          <t>Rendement évacuation par camion</t>
        </is>
      </c>
      <c r="B74" s="7" t="inlineStr">
        <is>
          <t>m³/j</t>
        </is>
      </c>
      <c r="C74" s="30" t="n">
        <v>60</v>
      </c>
      <c r="D74" s="8" t="inlineStr">
        <is>
          <t>Hypothèse – décharge ≤ 5 km</t>
        </is>
      </c>
    </row>
    <row r="75">
      <c r="A75" s="17" t="inlineStr">
        <is>
          <t>Compacteur (plaque/rouleau) + carburant</t>
        </is>
      </c>
      <c r="B75" s="7" t="inlineStr">
        <is>
          <t>FCFA/j</t>
        </is>
      </c>
      <c r="C75" s="29" t="n">
        <v>75000</v>
      </c>
      <c r="D75" s="8" t="inlineStr">
        <is>
          <t>Location indicative</t>
        </is>
      </c>
    </row>
    <row r="76">
      <c r="A76" s="17" t="inlineStr">
        <is>
          <t>Rendement compactage</t>
        </is>
      </c>
      <c r="B76" s="7" t="inlineStr">
        <is>
          <t>m²/j</t>
        </is>
      </c>
      <c r="C76" s="29" t="n">
        <v>800</v>
      </c>
      <c r="D76" s="8" t="inlineStr">
        <is>
          <t>Hypothèse</t>
        </is>
      </c>
    </row>
    <row r="77">
      <c r="A77" s="17" t="inlineStr">
        <is>
          <t>Bétonnière 350 L + aiguille vibrante + carburant</t>
        </is>
      </c>
      <c r="B77" s="7" t="inlineStr">
        <is>
          <t>FCFA/j</t>
        </is>
      </c>
      <c r="C77" s="29" t="n">
        <v>45000</v>
      </c>
      <c r="D77" s="8" t="inlineStr">
        <is>
          <t>Location indicative</t>
        </is>
      </c>
    </row>
    <row r="78">
      <c r="A78" s="17" t="inlineStr">
        <is>
          <t>Rendement bétonnage radier (1 chef, 2 maçons, 8 manœuvres)</t>
        </is>
      </c>
      <c r="B78" s="7" t="inlineStr">
        <is>
          <t>m³/j</t>
        </is>
      </c>
      <c r="C78" s="30" t="n">
        <v>12</v>
      </c>
      <c r="D78" s="8" t="inlineStr">
        <is>
          <t>Hypothèse</t>
        </is>
      </c>
    </row>
    <row r="79">
      <c r="A79" s="17" t="inlineStr">
        <is>
          <t>Rendement bétonnage voiles (même équipe)</t>
        </is>
      </c>
      <c r="B79" s="7" t="inlineStr">
        <is>
          <t>m³/j</t>
        </is>
      </c>
      <c r="C79" s="30" t="n">
        <v>8</v>
      </c>
      <c r="D79" s="8" t="inlineStr">
        <is>
          <t>Hypothèse</t>
        </is>
      </c>
    </row>
    <row r="80">
      <c r="A80" s="17" t="inlineStr">
        <is>
          <t>Rendement béton de propreté</t>
        </is>
      </c>
      <c r="B80" s="7" t="inlineStr">
        <is>
          <t>m³/j</t>
        </is>
      </c>
      <c r="C80" s="30" t="n">
        <v>15</v>
      </c>
      <c r="D80" s="8" t="inlineStr">
        <is>
          <t>Hypothèse</t>
        </is>
      </c>
    </row>
    <row r="81">
      <c r="A81" s="17" t="inlineStr">
        <is>
          <t>Rendement coffrage voiles (1 coffreur + 1 aide)</t>
        </is>
      </c>
      <c r="B81" s="7" t="inlineStr">
        <is>
          <t>m²/j</t>
        </is>
      </c>
      <c r="C81" s="30" t="n">
        <v>12</v>
      </c>
      <c r="D81" s="8" t="inlineStr">
        <is>
          <t>Pose + décoffrage</t>
        </is>
      </c>
    </row>
    <row r="82">
      <c r="A82" s="17" t="inlineStr">
        <is>
          <t>Rendement coffrage rives radier</t>
        </is>
      </c>
      <c r="B82" s="7" t="inlineStr">
        <is>
          <t>m²/j</t>
        </is>
      </c>
      <c r="C82" s="30" t="n">
        <v>20</v>
      </c>
      <c r="D82" s="8" t="inlineStr">
        <is>
          <t>Pose + décoffrage</t>
        </is>
      </c>
    </row>
    <row r="83">
      <c r="A83" s="17" t="inlineStr">
        <is>
          <t>Rendement ferraillage (1 ferrailleur + 1 aide)</t>
        </is>
      </c>
      <c r="B83" s="7" t="inlineStr">
        <is>
          <t>kg/j</t>
        </is>
      </c>
      <c r="C83" s="29" t="n">
        <v>250</v>
      </c>
      <c r="D83" s="8" t="inlineStr">
        <is>
          <t>Façonnage + pose</t>
        </is>
      </c>
    </row>
    <row r="84">
      <c r="A84" s="17" t="inlineStr">
        <is>
          <t>Rendement pose joints</t>
        </is>
      </c>
      <c r="B84" s="7" t="inlineStr">
        <is>
          <t>ml/j</t>
        </is>
      </c>
      <c r="C84" s="30" t="n">
        <v>20</v>
      </c>
      <c r="D84" s="8" t="inlineStr">
        <is>
          <t>Hypothèse</t>
        </is>
      </c>
    </row>
    <row r="85">
      <c r="A85" s="17" t="inlineStr">
        <is>
          <t>Rendement débroussaillage manuel (par manœuvre)</t>
        </is>
      </c>
      <c r="B85" s="7" t="inlineStr">
        <is>
          <t>m²/j</t>
        </is>
      </c>
      <c r="C85" s="29" t="n">
        <v>100</v>
      </c>
      <c r="D85" s="8" t="inlineStr">
        <is>
          <t>Hypothèse</t>
        </is>
      </c>
    </row>
    <row r="86">
      <c r="A86" s="17" t="inlineStr">
        <is>
          <t>Rendement remblai compacté par couches de 20 cm</t>
        </is>
      </c>
      <c r="B86" s="7" t="inlineStr">
        <is>
          <t>m³/j</t>
        </is>
      </c>
      <c r="C86" s="30" t="n">
        <v>80</v>
      </c>
      <c r="D86" s="8" t="inlineStr">
        <is>
          <t>Hypothèse</t>
        </is>
      </c>
    </row>
    <row r="87">
      <c r="A87" s="5" t="inlineStr">
        <is>
          <t>COEFFICIENTS</t>
        </is>
      </c>
      <c r="B87" s="6" t="n"/>
      <c r="C87" s="6" t="n"/>
      <c r="D87" s="6" t="n"/>
    </row>
    <row r="88">
      <c r="A88" s="17" t="inlineStr">
        <is>
          <t>Coefficient de vente K (FG + aléas + bénéfice)</t>
        </is>
      </c>
      <c r="B88" s="7" t="inlineStr">
        <is>
          <t>-</t>
        </is>
      </c>
      <c r="C88" s="30" t="n">
        <v>1.3</v>
      </c>
      <c r="D88" s="8" t="inlineStr">
        <is>
          <t>Hypothèse : FG 15 % + aléas 5 % + bénéfice 10 %</t>
        </is>
      </c>
    </row>
    <row r="89">
      <c r="A89" s="17" t="inlineStr">
        <is>
          <t>TVA</t>
        </is>
      </c>
      <c r="B89" s="7" t="inlineStr">
        <is>
          <t>%</t>
        </is>
      </c>
      <c r="C89" s="31" t="n">
        <v>0.18</v>
      </c>
      <c r="D89" s="8" t="inlineStr">
        <is>
          <t>Côte d'Ivoire</t>
        </is>
      </c>
    </row>
  </sheetData>
  <mergeCells count="10">
    <mergeCell ref="A1:D1"/>
    <mergeCell ref="A70:D70"/>
    <mergeCell ref="A4:D4"/>
    <mergeCell ref="A3:D3"/>
    <mergeCell ref="A26:D26"/>
    <mergeCell ref="A87:D87"/>
    <mergeCell ref="A7:D7"/>
    <mergeCell ref="A2:D2"/>
    <mergeCell ref="A47:D47"/>
    <mergeCell ref="A66:D66"/>
  </mergeCells>
  <pageMargins left="0.75" right="0.75" top="1" bottom="1" header="0.5" footer="0.5"/>
  <pageSetup orientation="landscape" fitToHeight="0" fitToWidth="1"/>
  <headerFooter>
    <oddHeader>&amp;RMoulo Jean Claude – Chantier de Bouaflé</oddHeader>
    <oddFooter>&amp;CPage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5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8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48" customWidth="1" min="9" max="9"/>
  </cols>
  <sheetData>
    <row r="1">
      <c r="A1" s="1" t="inlineStr">
        <is>
          <t>RÉALISATION DE VOILES (2 × 170 m, H = 2,40 m) ET RADIER (170 m × 4,00 m × 0,20 m)</t>
        </is>
      </c>
    </row>
    <row r="2">
      <c r="A2" s="2" t="inlineStr">
        <is>
          <t>AVANT-MÉTRÉ ET NOMENCLATURE DES ACIERS</t>
        </is>
      </c>
    </row>
    <row r="3">
      <c r="A3" s="3" t="inlineStr">
        <is>
          <t>Lieu des travaux : BOUAFLÉ (Marahoué) – aménagement du thalweg en canal BA    |    Établi par : Moulo Jean Claude – Technicien Génie Civil BTP    |    Date : 01/10/2026    |    FCFA</t>
        </is>
      </c>
    </row>
    <row r="4">
      <c r="A4" s="3" t="inlineStr">
        <is>
          <t>Normes : EC2 (NF EN 1992-1-1) / BAEL 91 mod. 99 – Aciers FE500 (HA) – Contexte : sol latéritique, climat tropical humide</t>
        </is>
      </c>
    </row>
    <row r="6" ht="30" customHeight="1">
      <c r="A6" s="4" t="inlineStr">
        <is>
          <t>Réf.</t>
        </is>
      </c>
      <c r="B6" s="4" t="inlineStr">
        <is>
          <t>Désignation</t>
        </is>
      </c>
      <c r="C6" s="4" t="inlineStr">
        <is>
          <t>Unité</t>
        </is>
      </c>
      <c r="D6" s="4" t="inlineStr">
        <is>
          <t>Formule / détail</t>
        </is>
      </c>
      <c r="E6" s="4" t="inlineStr"/>
      <c r="F6" s="4" t="inlineStr"/>
      <c r="G6" s="4" t="inlineStr"/>
      <c r="H6" s="4" t="inlineStr">
        <is>
          <t>Quantité</t>
        </is>
      </c>
      <c r="I6" s="4" t="inlineStr">
        <is>
          <t>Observation</t>
        </is>
      </c>
    </row>
    <row r="7">
      <c r="A7" s="5" t="inlineStr">
        <is>
          <t>1. TERRASSEMENTS</t>
        </is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7" t="inlineStr">
        <is>
          <t>T1</t>
        </is>
      </c>
      <c r="B8" s="8" t="inlineStr">
        <is>
          <t>Implantation et piquetage</t>
        </is>
      </c>
      <c r="C8" s="7" t="inlineStr">
        <is>
          <t>ml</t>
        </is>
      </c>
      <c r="D8" s="8" t="inlineStr">
        <is>
          <t>L</t>
        </is>
      </c>
      <c r="E8" s="6" t="n"/>
      <c r="F8" s="6" t="n"/>
      <c r="G8" s="6" t="n"/>
      <c r="H8" s="32">
        <f>Hypotheses!$C$8</f>
        <v/>
      </c>
      <c r="I8" s="8" t="inlineStr"/>
    </row>
    <row r="9">
      <c r="A9" s="7" t="inlineStr">
        <is>
          <t>T2</t>
        </is>
      </c>
      <c r="B9" s="8" t="inlineStr">
        <is>
          <t>Déblai en fouille (radier)</t>
        </is>
      </c>
      <c r="C9" s="7" t="inlineStr">
        <is>
          <t>m³</t>
        </is>
      </c>
      <c r="D9" s="8" t="inlineStr">
        <is>
          <t>L × (B + 2×surlargeur) × profondeur</t>
        </is>
      </c>
      <c r="E9" s="6" t="n"/>
      <c r="F9" s="6" t="n"/>
      <c r="G9" s="6" t="n"/>
      <c r="H9" s="32">
        <f>Hypotheses!$C$8*(Hypotheses!$C$12+2*Hypotheses!$C$15)*Hypotheses!$C$16</f>
        <v/>
      </c>
      <c r="I9" s="8" t="inlineStr"/>
    </row>
    <row r="10">
      <c r="A10" s="7" t="inlineStr">
        <is>
          <t>T0</t>
        </is>
      </c>
      <c r="B10" s="8" t="inlineStr">
        <is>
          <t>Débroussaillage et nettoyage de l'emprise</t>
        </is>
      </c>
      <c r="C10" s="7" t="inlineStr">
        <is>
          <t>m²</t>
        </is>
      </c>
      <c r="D10" s="8" t="inlineStr">
        <is>
          <t>L × largeur d'emprise</t>
        </is>
      </c>
      <c r="E10" s="6" t="n"/>
      <c r="F10" s="6" t="n"/>
      <c r="G10" s="6" t="n"/>
      <c r="H10" s="32">
        <f>Hypotheses!$C$8*Hypotheses!$C$20</f>
        <v/>
      </c>
      <c r="I10" s="8" t="inlineStr">
        <is>
          <t>Vidéo : herbes hautes, broussailles</t>
        </is>
      </c>
    </row>
    <row r="11">
      <c r="A11" s="7" t="inlineStr">
        <is>
          <t>T0b</t>
        </is>
      </c>
      <c r="B11" s="8" t="inlineStr">
        <is>
          <t>Enlèvement et évacuation des ordures / déchets</t>
        </is>
      </c>
      <c r="C11" s="7" t="inlineStr">
        <is>
          <t>m³</t>
        </is>
      </c>
      <c r="D11" s="8" t="inlineStr">
        <is>
          <t>Volume estimé</t>
        </is>
      </c>
      <c r="E11" s="6" t="n"/>
      <c r="F11" s="6" t="n"/>
      <c r="G11" s="6" t="n"/>
      <c r="H11" s="32">
        <f>Hypotheses!$C$21</f>
        <v/>
      </c>
      <c r="I11" s="8" t="inlineStr">
        <is>
          <t>À constater contradictoirement</t>
        </is>
      </c>
    </row>
    <row r="12">
      <c r="A12" s="7" t="inlineStr">
        <is>
          <t>T3</t>
        </is>
      </c>
      <c r="B12" s="8" t="inlineStr">
        <is>
          <t>Compactage du fond de fouille à 95 % OPM</t>
        </is>
      </c>
      <c r="C12" s="7" t="inlineStr">
        <is>
          <t>m²</t>
        </is>
      </c>
      <c r="D12" s="8" t="inlineStr">
        <is>
          <t>L × (B + 2×surlargeur)</t>
        </is>
      </c>
      <c r="E12" s="6" t="n"/>
      <c r="F12" s="6" t="n"/>
      <c r="G12" s="6" t="n"/>
      <c r="H12" s="32">
        <f>Hypotheses!$C$8*(Hypotheses!$C$12+2*Hypotheses!$C$15)</f>
        <v/>
      </c>
      <c r="I12" s="8" t="inlineStr">
        <is>
          <t>Purge des poches argileuses si rencontrées</t>
        </is>
      </c>
    </row>
    <row r="13">
      <c r="A13" s="7" t="inlineStr">
        <is>
          <t>T4</t>
        </is>
      </c>
      <c r="B13" s="8" t="inlineStr">
        <is>
          <t>Couche de forme en latérite compactée sous radier</t>
        </is>
      </c>
      <c r="C13" s="7" t="inlineStr">
        <is>
          <t>m³</t>
        </is>
      </c>
      <c r="D13" s="8" t="inlineStr">
        <is>
          <t>L × (B + 2×débord) × e</t>
        </is>
      </c>
      <c r="E13" s="6" t="n"/>
      <c r="F13" s="6" t="n"/>
      <c r="G13" s="6" t="n"/>
      <c r="H13" s="32">
        <f>Hypotheses!$C$8*(Hypotheses!$C$12+2*Hypotheses!$C$18)*Hypotheses!$C$19</f>
        <v/>
      </c>
      <c r="I13" s="8" t="inlineStr">
        <is>
          <t>Fond de thalweg humide</t>
        </is>
      </c>
    </row>
    <row r="14">
      <c r="A14" s="7" t="inlineStr">
        <is>
          <t>T5</t>
        </is>
      </c>
      <c r="B14" s="8" t="inlineStr">
        <is>
          <t>Remblai latéral en latérite compactée derrière les voiles</t>
        </is>
      </c>
      <c r="C14" s="7" t="inlineStr">
        <is>
          <t>m³</t>
        </is>
      </c>
      <c r="D14" s="8" t="inlineStr">
        <is>
          <t>Nv × L × largeur moy. × H</t>
        </is>
      </c>
      <c r="E14" s="6" t="n"/>
      <c r="F14" s="6" t="n"/>
      <c r="G14" s="6" t="n"/>
      <c r="H14" s="32">
        <f>Hypotheses!$C$9*Hypotheses!$C$8*Hypotheses!$C$22*Hypotheses!$C$10</f>
        <v/>
      </c>
      <c r="I14" s="8" t="inlineStr">
        <is>
          <t>Couches de 20 cm à 95 % OPM</t>
        </is>
      </c>
    </row>
    <row r="15">
      <c r="A15" s="5" t="inlineStr">
        <is>
          <t>2. BÉTONS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7" t="inlineStr">
        <is>
          <t>B1</t>
        </is>
      </c>
      <c r="B16" s="8" t="inlineStr">
        <is>
          <t>Béton de propreté dosé à 150 kg/m³</t>
        </is>
      </c>
      <c r="C16" s="7" t="inlineStr">
        <is>
          <t>m³</t>
        </is>
      </c>
      <c r="D16" s="8" t="inlineStr">
        <is>
          <t>L × (B + 2×débord) × e</t>
        </is>
      </c>
      <c r="E16" s="6" t="n"/>
      <c r="F16" s="6" t="n"/>
      <c r="G16" s="6" t="n"/>
      <c r="H16" s="32">
        <f>Hypotheses!$C$8*(Hypotheses!$C$12+2*Hypotheses!$C$18)*Hypotheses!$C$17</f>
        <v/>
      </c>
      <c r="I16" s="8" t="inlineStr"/>
    </row>
    <row r="17">
      <c r="A17" s="7" t="inlineStr">
        <is>
          <t>B2</t>
        </is>
      </c>
      <c r="B17" s="8" t="inlineStr">
        <is>
          <t>Béton armé radier dosé à 350 kg/m³ (C25/30)</t>
        </is>
      </c>
      <c r="C17" s="7" t="inlineStr">
        <is>
          <t>m³</t>
        </is>
      </c>
      <c r="D17" s="8" t="inlineStr">
        <is>
          <t>L × B × e</t>
        </is>
      </c>
      <c r="E17" s="6" t="n"/>
      <c r="F17" s="6" t="n"/>
      <c r="G17" s="6" t="n"/>
      <c r="H17" s="32">
        <f>Hypotheses!$C$8*Hypotheses!$C$12*Hypotheses!$C$13</f>
        <v/>
      </c>
      <c r="I17" s="8" t="inlineStr"/>
    </row>
    <row r="18">
      <c r="A18" s="7" t="inlineStr">
        <is>
          <t>B3</t>
        </is>
      </c>
      <c r="B18" s="8" t="inlineStr">
        <is>
          <t>Béton armé voiles dosé à 350 kg/m³ (C25/30)</t>
        </is>
      </c>
      <c r="C18" s="7" t="inlineStr">
        <is>
          <t>m³</t>
        </is>
      </c>
      <c r="D18" s="8" t="inlineStr">
        <is>
          <t>Nv × L × H × e</t>
        </is>
      </c>
      <c r="E18" s="6" t="n"/>
      <c r="F18" s="6" t="n"/>
      <c r="G18" s="6" t="n"/>
      <c r="H18" s="32">
        <f>Hypotheses!$C$9*Hypotheses!$C$8*Hypotheses!$C$10*Hypotheses!$C$11</f>
        <v/>
      </c>
      <c r="I18" s="8" t="inlineStr">
        <is>
          <t>Épaisseur 20 cm supposée</t>
        </is>
      </c>
    </row>
    <row r="19">
      <c r="A19" s="5" t="inlineStr">
        <is>
          <t>3. COFFRAGES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7" t="inlineStr">
        <is>
          <t>C1</t>
        </is>
      </c>
      <c r="B20" s="8" t="inlineStr">
        <is>
          <t>Coffrage des rives du radier</t>
        </is>
      </c>
      <c r="C20" s="7" t="inlineStr">
        <is>
          <t>m²</t>
        </is>
      </c>
      <c r="D20" s="8" t="inlineStr">
        <is>
          <t>Périmètre × e</t>
        </is>
      </c>
      <c r="E20" s="6" t="n"/>
      <c r="F20" s="6" t="n"/>
      <c r="G20" s="6" t="n"/>
      <c r="H20" s="32">
        <f>(2*Hypotheses!$C$8+2*Hypotheses!$C$12)*Hypotheses!$C$13</f>
        <v/>
      </c>
      <c r="I20" s="8" t="inlineStr"/>
    </row>
    <row r="21">
      <c r="A21" s="7" t="inlineStr">
        <is>
          <t>C2</t>
        </is>
      </c>
      <c r="B21" s="8" t="inlineStr">
        <is>
          <t>Coffrage des voiles (2 faces + abouts)</t>
        </is>
      </c>
      <c r="C21" s="7" t="inlineStr">
        <is>
          <t>m²</t>
        </is>
      </c>
      <c r="D21" s="8" t="inlineStr">
        <is>
          <t>Nv × (2 faces × L × H + 2 abouts)</t>
        </is>
      </c>
      <c r="E21" s="6" t="n"/>
      <c r="F21" s="6" t="n"/>
      <c r="G21" s="6" t="n"/>
      <c r="H21" s="32">
        <f>Hypotheses!$C$9*(2*Hypotheses!$C$8*Hypotheses!$C$10+2*Hypotheses!$C$11*Hypotheses!$C$10)</f>
        <v/>
      </c>
      <c r="I21" s="8" t="inlineStr"/>
    </row>
    <row r="22">
      <c r="A22" s="5" t="inlineStr">
        <is>
          <t>4. DIVERS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7" t="inlineStr">
        <is>
          <t>D1</t>
        </is>
      </c>
      <c r="B23" s="8" t="inlineStr">
        <is>
          <t>Déviation provisoire des eaux et épuisement</t>
        </is>
      </c>
      <c r="C23" s="7" t="inlineStr">
        <is>
          <t>Ft</t>
        </is>
      </c>
      <c r="D23" s="8" t="inlineStr">
        <is>
          <t>Batardeaux + pompage</t>
        </is>
      </c>
      <c r="E23" s="6" t="n"/>
      <c r="F23" s="6" t="n"/>
      <c r="G23" s="6" t="n"/>
      <c r="H23" s="32">
        <f>1</f>
        <v/>
      </c>
      <c r="I23" s="8" t="inlineStr">
        <is>
          <t>Écoulement permanent constaté sur la vidéo</t>
        </is>
      </c>
    </row>
    <row r="24">
      <c r="A24" s="7" t="inlineStr">
        <is>
          <t>BA</t>
        </is>
      </c>
      <c r="B24" s="8" t="inlineStr">
        <is>
          <t>Barbacanes PVC Ø75 avec filtre</t>
        </is>
      </c>
      <c r="C24" s="7" t="inlineStr">
        <is>
          <t>u</t>
        </is>
      </c>
      <c r="D24" s="8" t="inlineStr">
        <is>
          <t>Nv × (L/esp + 1)</t>
        </is>
      </c>
      <c r="E24" s="6" t="n"/>
      <c r="F24" s="6" t="n"/>
      <c r="G24" s="6" t="n"/>
      <c r="H24" s="32">
        <f>Hypotheses!$C$9*(ROUNDUP(Hypotheses!$C$8/Hypotheses!$C$23,0)+1)</f>
        <v/>
      </c>
      <c r="I24" s="8" t="inlineStr">
        <is>
          <t>1 rang à 0,40 m au-dessus du radier</t>
        </is>
      </c>
    </row>
    <row r="25">
      <c r="A25" s="7" t="inlineStr">
        <is>
          <t>RC</t>
        </is>
      </c>
      <c r="B25" s="8" t="inlineStr">
        <is>
          <t>Raccordements aux ouvrages existants (caniveau amont, buses aval)</t>
        </is>
      </c>
      <c r="C25" s="7" t="inlineStr">
        <is>
          <t>Ft</t>
        </is>
      </c>
      <c r="D25" s="8" t="inlineStr">
        <is>
          <t>2 raccordements</t>
        </is>
      </c>
      <c r="E25" s="6" t="n"/>
      <c r="F25" s="6" t="n"/>
      <c r="G25" s="6" t="n"/>
      <c r="H25" s="32">
        <f>2</f>
        <v/>
      </c>
      <c r="I25" s="8" t="inlineStr">
        <is>
          <t>Vus sur la vidéo</t>
        </is>
      </c>
    </row>
    <row r="26">
      <c r="A26" s="7" t="inlineStr">
        <is>
          <t>J1</t>
        </is>
      </c>
      <c r="B26" s="8" t="inlineStr">
        <is>
          <t>Joints de dilatation (radier + 2 voiles)</t>
        </is>
      </c>
      <c r="C26" s="7" t="inlineStr">
        <is>
          <t>ml</t>
        </is>
      </c>
      <c r="D26" s="8" t="inlineStr">
        <is>
          <t>(nb joints) × (B + Nv × H)</t>
        </is>
      </c>
      <c r="E26" s="6" t="n"/>
      <c r="F26" s="6" t="n"/>
      <c r="G26" s="6" t="n"/>
      <c r="H26" s="32">
        <f>(ROUNDUP(Hypotheses!$C$8/Hypotheses!$C$46,0)-1)*(Hypotheses!$C$12+Hypotheses!$C$9*Hypotheses!$C$10)</f>
        <v/>
      </c>
      <c r="I26" s="8" t="inlineStr">
        <is>
          <t>Joint tous les 15 m</t>
        </is>
      </c>
    </row>
    <row r="28">
      <c r="A28" s="5" t="inlineStr">
        <is>
          <t>5. NOMENCLATURE DES ACIERS FE500 (quantités nettes, pertes comptées au déboursé)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 ht="30" customHeight="1">
      <c r="A29" s="4" t="inlineStr">
        <is>
          <t>Rep.</t>
        </is>
      </c>
      <c r="B29" s="4" t="inlineStr">
        <is>
          <t>Désignation</t>
        </is>
      </c>
      <c r="C29" s="4" t="inlineStr">
        <is>
          <t>Ø (mm)</t>
        </is>
      </c>
      <c r="D29" s="4" t="inlineStr">
        <is>
          <t>Esp. (m)</t>
        </is>
      </c>
      <c r="E29" s="4" t="inlineStr">
        <is>
          <t>Nb barres</t>
        </is>
      </c>
      <c r="F29" s="4" t="inlineStr">
        <is>
          <t>L unit. (m)</t>
        </is>
      </c>
      <c r="G29" s="4" t="inlineStr">
        <is>
          <t>L totale (m)</t>
        </is>
      </c>
      <c r="H29" s="4" t="inlineStr">
        <is>
          <t>Masse (kg)</t>
        </is>
      </c>
      <c r="I29" s="4" t="inlineStr">
        <is>
          <t>Mode de calcul</t>
        </is>
      </c>
    </row>
    <row r="30">
      <c r="A30" s="7" t="inlineStr">
        <is>
          <t>V1e</t>
        </is>
      </c>
      <c r="B30" s="8" t="inlineStr">
        <is>
          <t>Voiles – barres verticales FACE EXTÉRIEURE (côté terre)</t>
        </is>
      </c>
      <c r="C30" s="7" t="n">
        <v>12</v>
      </c>
      <c r="D30" s="33">
        <f>Hypotheses!$C$27</f>
        <v/>
      </c>
      <c r="E30" s="34">
        <f>(ROUNDUP(Hypotheses!$C$8/D30,0)+1)*Hypotheses!$C$9</f>
        <v/>
      </c>
      <c r="F30" s="33">
        <f>Hypotheses!$C$10-Hypotheses!$C$14+Hypotheses!$C$13-Hypotheses!$C$14+Hypotheses!$C$39</f>
        <v/>
      </c>
      <c r="G30" s="35">
        <f>E30*F30</f>
        <v/>
      </c>
      <c r="H30" s="32">
        <f>G30*Hypotheses!$C$44</f>
        <v/>
      </c>
      <c r="I30" s="8" t="inlineStr">
        <is>
          <t>(L/esp + 1) × Nv ; L = H − enr. + hauteur radier + retour 50Ø dans la nappe inf.</t>
        </is>
      </c>
    </row>
    <row r="31">
      <c r="A31" s="7" t="inlineStr">
        <is>
          <t>V1i</t>
        </is>
      </c>
      <c r="B31" s="8" t="inlineStr">
        <is>
          <t>Voiles – barres verticales face intérieure</t>
        </is>
      </c>
      <c r="C31" s="7" t="n">
        <v>12</v>
      </c>
      <c r="D31" s="33">
        <f>Hypotheses!$C$28</f>
        <v/>
      </c>
      <c r="E31" s="34">
        <f>(ROUNDUP(Hypotheses!$C$8/D31,0)+1)*Hypotheses!$C$9</f>
        <v/>
      </c>
      <c r="F31" s="33">
        <f>Hypotheses!$C$10-Hypotheses!$C$14+Hypotheses!$C$13-Hypotheses!$C$14+Hypotheses!$C$38</f>
        <v/>
      </c>
      <c r="G31" s="35">
        <f>E31*F31</f>
        <v/>
      </c>
      <c r="H31" s="32">
        <f>G31*Hypotheses!$C$44</f>
        <v/>
      </c>
      <c r="I31" s="8" t="inlineStr">
        <is>
          <t>(L/esp + 1) × Nv ; L = H − enr. + ancrage radier + retour</t>
        </is>
      </c>
    </row>
    <row r="32">
      <c r="A32" s="7" t="inlineStr">
        <is>
          <t>V2a</t>
        </is>
      </c>
      <c r="B32" s="8" t="inlineStr">
        <is>
          <t>Voiles – barres horizontales, nappe EXTÉRIEURE (côté poussée)</t>
        </is>
      </c>
      <c r="C32" s="7" t="n">
        <v>10</v>
      </c>
      <c r="D32" s="33">
        <f>Hypotheses!$C$29</f>
        <v/>
      </c>
      <c r="E32" s="34">
        <f>(ROUNDUP((Hypotheses!$C$10-Hypotheses!$C$14)/D32,0)+1)*Hypotheses!$C$9</f>
        <v/>
      </c>
      <c r="F32" s="33">
        <f>Hypotheses!$C$8-2*Hypotheses!$C$14+2*Hypotheses!$C$37+(ROUNDUP(Hypotheses!$C$8/Hypotheses!$C$41,0)-1)*Hypotheses!$C$40*10/1000</f>
        <v/>
      </c>
      <c r="G32" s="35">
        <f>E32*F32</f>
        <v/>
      </c>
      <c r="H32" s="32">
        <f>G32*Hypotheses!$C$43</f>
        <v/>
      </c>
      <c r="I32" s="8" t="inlineStr">
        <is>
          <t>Nb filants = (H/esp + 1) × Nv ; L = L + retours + recouvrements 50Ø – HA10 à cause de la poussée</t>
        </is>
      </c>
    </row>
    <row r="33">
      <c r="A33" s="7" t="inlineStr">
        <is>
          <t>V2b</t>
        </is>
      </c>
      <c r="B33" s="8" t="inlineStr">
        <is>
          <t>Voiles – barres horizontales, nappe INTÉRIEURE</t>
        </is>
      </c>
      <c r="C33" s="7" t="n">
        <v>8</v>
      </c>
      <c r="D33" s="33">
        <f>Hypotheses!$C$29</f>
        <v/>
      </c>
      <c r="E33" s="34">
        <f>(ROUNDUP((Hypotheses!$C$10-Hypotheses!$C$14)/D33,0)+1)*Hypotheses!$C$9</f>
        <v/>
      </c>
      <c r="F33" s="33">
        <f>Hypotheses!$C$8-2*Hypotheses!$C$14+2*Hypotheses!$C$37+(ROUNDUP(Hypotheses!$C$8/Hypotheses!$C$41,0)-1)*Hypotheses!$C$40*8/1000</f>
        <v/>
      </c>
      <c r="G33" s="35">
        <f>E33*F33</f>
        <v/>
      </c>
      <c r="H33" s="32">
        <f>G33*Hypotheses!$C$42</f>
        <v/>
      </c>
      <c r="I33" s="8" t="inlineStr">
        <is>
          <t>Nb filants = (H/esp + 1) × Nv ; L = L + retours + recouvrements 50Ø</t>
        </is>
      </c>
    </row>
    <row r="34">
      <c r="A34" s="7" t="inlineStr">
        <is>
          <t>V3</t>
        </is>
      </c>
      <c r="B34" s="8" t="inlineStr">
        <is>
          <t>Voiles – épingles de liaison des nappes</t>
        </is>
      </c>
      <c r="C34" s="7" t="n">
        <v>8</v>
      </c>
      <c r="D34" s="33" t="inlineStr"/>
      <c r="E34" s="34">
        <f>ROUNDUP(Hypotheses!$C$9*Hypotheses!$C$8*Hypotheses!$C$10*Hypotheses!$C$35,0)</f>
        <v/>
      </c>
      <c r="F34" s="33">
        <f>Hypotheses!$C$11-2*Hypotheses!$C$14+2*0.10</f>
        <v/>
      </c>
      <c r="G34" s="35">
        <f>E34*F34</f>
        <v/>
      </c>
      <c r="H34" s="32">
        <f>G34*Hypotheses!$C$42</f>
        <v/>
      </c>
      <c r="I34" s="8" t="inlineStr">
        <is>
          <t>4 u/m² ; L = e − 2 enr. + 2 crochets</t>
        </is>
      </c>
    </row>
    <row r="35">
      <c r="A35" s="7" t="inlineStr">
        <is>
          <t>V4</t>
        </is>
      </c>
      <c r="B35" s="8" t="inlineStr">
        <is>
          <t>Plantants en U (jonction voile / radier)</t>
        </is>
      </c>
      <c r="C35" s="7" t="n">
        <v>8</v>
      </c>
      <c r="D35" s="33">
        <f>Hypotheses!$C$33</f>
        <v/>
      </c>
      <c r="E35" s="34">
        <f>(ROUNDUP(Hypotheses!$C$8/D35,0)+1)*Hypotheses!$C$9</f>
        <v/>
      </c>
      <c r="F35" s="33">
        <f>2*(Hypotheses!$C$34+Hypotheses!$C$13-Hypotheses!$C$14)+(Hypotheses!$C$11-2*Hypotheses!$C$14)</f>
        <v/>
      </c>
      <c r="G35" s="35">
        <f>E35*F35</f>
        <v/>
      </c>
      <c r="H35" s="32">
        <f>G35*Hypotheses!$C$42</f>
        <v/>
      </c>
      <c r="I35" s="8" t="inlineStr">
        <is>
          <t>U ancré dans le radier, 2 jambes de 0,60 m dans le voile (une par nappe)</t>
        </is>
      </c>
    </row>
    <row r="36">
      <c r="A36" s="7" t="inlineStr">
        <is>
          <t>R1i</t>
        </is>
      </c>
      <c r="B36" s="8" t="inlineStr">
        <is>
          <t>Radier – barres transversales NAPPE INFÉRIEURE (extérieure)</t>
        </is>
      </c>
      <c r="C36" s="7" t="n">
        <v>12</v>
      </c>
      <c r="D36" s="33">
        <f>Hypotheses!$C$30</f>
        <v/>
      </c>
      <c r="E36" s="34">
        <f>ROUNDUP(Hypotheses!$C$8/D36,0)+1</f>
        <v/>
      </c>
      <c r="F36" s="33">
        <f>Hypotheses!$C$12-2*Hypotheses!$C$14+2*Hypotheses!$C$37</f>
        <v/>
      </c>
      <c r="G36" s="35">
        <f>E36*F36</f>
        <v/>
      </c>
      <c r="H36" s="32">
        <f>G36*Hypotheses!$C$44</f>
        <v/>
      </c>
      <c r="I36" s="8" t="inlineStr">
        <is>
          <t>L/esp + 1 ; L = B − 2 enr. + 2 retours</t>
        </is>
      </c>
    </row>
    <row r="37">
      <c r="A37" s="7" t="inlineStr">
        <is>
          <t>R1s</t>
        </is>
      </c>
      <c r="B37" s="8" t="inlineStr">
        <is>
          <t>Radier – barres transversales nappe supérieure</t>
        </is>
      </c>
      <c r="C37" s="7" t="n">
        <v>12</v>
      </c>
      <c r="D37" s="33">
        <f>Hypotheses!$C$31</f>
        <v/>
      </c>
      <c r="E37" s="34">
        <f>ROUNDUP(Hypotheses!$C$8/D37,0)+1</f>
        <v/>
      </c>
      <c r="F37" s="33">
        <f>Hypotheses!$C$12-2*Hypotheses!$C$14+2*Hypotheses!$C$37</f>
        <v/>
      </c>
      <c r="G37" s="35">
        <f>E37*F37</f>
        <v/>
      </c>
      <c r="H37" s="32">
        <f>G37*Hypotheses!$C$44</f>
        <v/>
      </c>
      <c r="I37" s="8" t="inlineStr">
        <is>
          <t>L/esp + 1 ; L = B − 2 enr. + 2 retours</t>
        </is>
      </c>
    </row>
    <row r="38">
      <c r="A38" s="7" t="inlineStr">
        <is>
          <t>R2</t>
        </is>
      </c>
      <c r="B38" s="8" t="inlineStr">
        <is>
          <t>Radier – barres longitudinales, 2 nappes</t>
        </is>
      </c>
      <c r="C38" s="7" t="n">
        <v>10</v>
      </c>
      <c r="D38" s="33">
        <f>Hypotheses!$C$32</f>
        <v/>
      </c>
      <c r="E38" s="34">
        <f>(ROUNDUP((Hypotheses!$C$12-2*Hypotheses!$C$14)/D38,0)+1)*2</f>
        <v/>
      </c>
      <c r="F38" s="33">
        <f>Hypotheses!$C$8-2*Hypotheses!$C$14+2*Hypotheses!$C$37+(ROUNDUP(Hypotheses!$C$8/Hypotheses!$C$41,0)-1)*Hypotheses!$C$40*10/1000</f>
        <v/>
      </c>
      <c r="G38" s="35">
        <f>E38*F38</f>
        <v/>
      </c>
      <c r="H38" s="32">
        <f>G38*Hypotheses!$C$43</f>
        <v/>
      </c>
      <c r="I38" s="8" t="inlineStr">
        <is>
          <t>Nb filants = (B/esp + 1) × 2 ; L avec recouvrements 50Ø</t>
        </is>
      </c>
    </row>
    <row r="39">
      <c r="A39" s="7" t="inlineStr">
        <is>
          <t>R3</t>
        </is>
      </c>
      <c r="B39" s="8" t="inlineStr">
        <is>
          <t>Radier – chaises support nappe supérieure</t>
        </is>
      </c>
      <c r="C39" s="7" t="n">
        <v>10</v>
      </c>
      <c r="D39" s="33" t="inlineStr"/>
      <c r="E39" s="34">
        <f>ROUNDUP(Hypotheses!$C$8*Hypotheses!$C$12*Hypotheses!$C$36,0)</f>
        <v/>
      </c>
      <c r="F39" s="33">
        <f>0.60</f>
        <v/>
      </c>
      <c r="G39" s="35">
        <f>E39*F39</f>
        <v/>
      </c>
      <c r="H39" s="32">
        <f>G39*Hypotheses!$C$43</f>
        <v/>
      </c>
      <c r="I39" s="8" t="inlineStr">
        <is>
          <t>1 u/m²</t>
        </is>
      </c>
    </row>
    <row r="40">
      <c r="A40" s="12" t="inlineStr">
        <is>
          <t>TOTAL HA8 (kg nets)</t>
        </is>
      </c>
      <c r="B40" s="6" t="n"/>
      <c r="C40" s="6" t="n"/>
      <c r="D40" s="6" t="n"/>
      <c r="E40" s="6" t="n"/>
      <c r="F40" s="6" t="n"/>
      <c r="G40" s="6" t="n"/>
      <c r="H40" s="36">
        <f>SUMIF($C$30:$C$39,8,$H$30:$H$39)</f>
        <v/>
      </c>
      <c r="I40" s="14" t="inlineStr"/>
    </row>
    <row r="41">
      <c r="A41" s="12" t="inlineStr">
        <is>
          <t>TOTAL HA10 (kg nets)</t>
        </is>
      </c>
      <c r="B41" s="6" t="n"/>
      <c r="C41" s="6" t="n"/>
      <c r="D41" s="6" t="n"/>
      <c r="E41" s="6" t="n"/>
      <c r="F41" s="6" t="n"/>
      <c r="G41" s="6" t="n"/>
      <c r="H41" s="36">
        <f>SUMIF($C$30:$C$39,10,$H$30:$H$39)</f>
        <v/>
      </c>
      <c r="I41" s="14" t="inlineStr"/>
    </row>
    <row r="42">
      <c r="A42" s="12" t="inlineStr">
        <is>
          <t>TOTAL HA12 (kg nets)</t>
        </is>
      </c>
      <c r="B42" s="6" t="n"/>
      <c r="C42" s="6" t="n"/>
      <c r="D42" s="6" t="n"/>
      <c r="E42" s="6" t="n"/>
      <c r="F42" s="6" t="n"/>
      <c r="G42" s="6" t="n"/>
      <c r="H42" s="36">
        <f>SUMIF($C$30:$C$39,12,$H$30:$H$39)</f>
        <v/>
      </c>
      <c r="I42" s="14" t="inlineStr"/>
    </row>
    <row r="43">
      <c r="A43" s="12" t="inlineStr">
        <is>
          <t>TOTAL ACIERS (kg nets)</t>
        </is>
      </c>
      <c r="B43" s="6" t="n"/>
      <c r="C43" s="6" t="n"/>
      <c r="D43" s="6" t="n"/>
      <c r="E43" s="6" t="n"/>
      <c r="F43" s="6" t="n"/>
      <c r="G43" s="6" t="n"/>
      <c r="H43" s="36">
        <f>SUM(H40:H42)</f>
        <v/>
      </c>
      <c r="I43" s="14" t="inlineStr"/>
    </row>
    <row r="44">
      <c r="A44" s="15" t="inlineStr">
        <is>
          <t>Ratio acier (kg/m³ de béton armé)</t>
        </is>
      </c>
      <c r="B44" s="6" t="n"/>
      <c r="C44" s="6" t="n"/>
      <c r="D44" s="6" t="n"/>
      <c r="E44" s="6" t="n"/>
      <c r="F44" s="6" t="n"/>
      <c r="G44" s="6" t="n"/>
      <c r="H44" s="27">
        <f>H43/('Avant-metre'!$H$17+'Avant-metre'!$H$18)</f>
        <v/>
      </c>
      <c r="I44" s="8" t="inlineStr">
        <is>
          <t>Ordre de grandeur usuel voiles/radiers : 60 à 120 kg/m³</t>
        </is>
      </c>
    </row>
    <row r="46">
      <c r="A46" s="5" t="inlineStr">
        <is>
          <t>6. VÉRIFICATION DES SECTIONS MINIMALES (EC2 §9.6 et §9.3 / BAEL)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</row>
    <row r="47" ht="30" customHeight="1">
      <c r="A47" s="4" t="inlineStr">
        <is>
          <t>Élément</t>
        </is>
      </c>
      <c r="B47" s="4" t="inlineStr">
        <is>
          <t>Vérification</t>
        </is>
      </c>
      <c r="C47" s="4" t="inlineStr">
        <is>
          <t>Unité</t>
        </is>
      </c>
      <c r="D47" s="4" t="inlineStr">
        <is>
          <t>Calcul</t>
        </is>
      </c>
      <c r="E47" s="4" t="inlineStr"/>
      <c r="F47" s="4" t="inlineStr"/>
      <c r="G47" s="4" t="inlineStr"/>
      <c r="H47" s="4" t="inlineStr">
        <is>
          <t>Valeur</t>
        </is>
      </c>
      <c r="I47" s="4" t="inlineStr">
        <is>
          <t>Conclusion</t>
        </is>
      </c>
    </row>
    <row r="48">
      <c r="A48" s="7" t="inlineStr">
        <is>
          <t>Voile</t>
        </is>
      </c>
      <c r="B48" s="8" t="inlineStr">
        <is>
          <t>As,v fourni (HA12 ext. e=12,5 + HA12 int. e=20)</t>
        </is>
      </c>
      <c r="C48" s="7" t="inlineStr">
        <is>
          <t>mm²/m</t>
        </is>
      </c>
      <c r="D48" s="8" t="inlineStr">
        <is>
          <t>π×12²/4 × (1/s_ext + 1/s_int)</t>
        </is>
      </c>
      <c r="E48" s="6" t="n"/>
      <c r="F48" s="6" t="n"/>
      <c r="G48" s="6" t="n"/>
      <c r="H48" s="34">
        <f>PI()*12^2/4/Hypotheses!$C$27+PI()*12^2/4/Hypotheses!$C$28</f>
        <v/>
      </c>
      <c r="I48" s="8">
        <f>IF(H48&gt;=H49,"OK","À renforcer")</f>
        <v/>
      </c>
    </row>
    <row r="49">
      <c r="A49" s="7" t="inlineStr">
        <is>
          <t>Voile</t>
        </is>
      </c>
      <c r="B49" s="8" t="inlineStr">
        <is>
          <t>As,v,min = 0,002·Ac</t>
        </is>
      </c>
      <c r="C49" s="7" t="inlineStr">
        <is>
          <t>mm²/m</t>
        </is>
      </c>
      <c r="D49" s="8" t="inlineStr">
        <is>
          <t>EC2 §9.6.2(1)</t>
        </is>
      </c>
      <c r="E49" s="6" t="n"/>
      <c r="F49" s="6" t="n"/>
      <c r="G49" s="6" t="n"/>
      <c r="H49" s="34">
        <f>0.002*Hypotheses!$C$11*1000*1000</f>
        <v/>
      </c>
      <c r="I49" s="8" t="inlineStr"/>
    </row>
    <row r="50">
      <c r="A50" s="7" t="inlineStr">
        <is>
          <t>Voile</t>
        </is>
      </c>
      <c r="B50" s="8" t="inlineStr">
        <is>
          <t>As,h fourni (HA10 ext. + HA8 int.)</t>
        </is>
      </c>
      <c r="C50" s="7" t="inlineStr">
        <is>
          <t>mm²/m</t>
        </is>
      </c>
      <c r="D50" s="8" t="inlineStr">
        <is>
          <t>(π×10²/4 + π×8²/4) / s</t>
        </is>
      </c>
      <c r="E50" s="6" t="n"/>
      <c r="F50" s="6" t="n"/>
      <c r="G50" s="6" t="n"/>
      <c r="H50" s="34">
        <f>(PI()*10^2/4+PI()*8^2/4)/Hypotheses!$C$29</f>
        <v/>
      </c>
      <c r="I50" s="8">
        <f>IF(H50&gt;=H51,"OK","À renforcer")</f>
        <v/>
      </c>
    </row>
    <row r="51">
      <c r="A51" s="7" t="inlineStr">
        <is>
          <t>Voile</t>
        </is>
      </c>
      <c r="B51" s="8" t="inlineStr">
        <is>
          <t>As,h,min = max(25 % As,v ; 0,001·Ac)</t>
        </is>
      </c>
      <c r="C51" s="7" t="inlineStr">
        <is>
          <t>mm²/m</t>
        </is>
      </c>
      <c r="D51" s="8" t="inlineStr">
        <is>
          <t>EC2 §9.6.3(1)</t>
        </is>
      </c>
      <c r="E51" s="6" t="n"/>
      <c r="F51" s="6" t="n"/>
      <c r="G51" s="6" t="n"/>
      <c r="H51" s="34">
        <f>MAX(0.25*H48,0.001*Hypotheses!$C$11*1e6)</f>
        <v/>
      </c>
      <c r="I51" s="8" t="inlineStr"/>
    </row>
    <row r="52">
      <c r="A52" s="7" t="inlineStr">
        <is>
          <t>Radier</t>
        </is>
      </c>
      <c r="B52" s="8" t="inlineStr">
        <is>
          <t>As transv. nappe sup. (HA12, la plus faible)</t>
        </is>
      </c>
      <c r="C52" s="7" t="inlineStr">
        <is>
          <t>mm²/m</t>
        </is>
      </c>
      <c r="D52" s="8" t="inlineStr">
        <is>
          <t>π×12²/4 / s</t>
        </is>
      </c>
      <c r="E52" s="6" t="n"/>
      <c r="F52" s="6" t="n"/>
      <c r="G52" s="6" t="n"/>
      <c r="H52" s="34">
        <f>PI()*12^2/4/Hypotheses!$C$31</f>
        <v/>
      </c>
      <c r="I52" s="8">
        <f>IF(H52&gt;=H53,"OK","À renforcer")</f>
        <v/>
      </c>
    </row>
    <row r="53">
      <c r="A53" s="7" t="inlineStr">
        <is>
          <t>Radier</t>
        </is>
      </c>
      <c r="B53" s="8" t="inlineStr">
        <is>
          <t>As,min = max(0,26·fctm/fyk ; 0,0013)·b·d</t>
        </is>
      </c>
      <c r="C53" s="7" t="inlineStr">
        <is>
          <t>mm²/m</t>
        </is>
      </c>
      <c r="D53" s="8" t="inlineStr">
        <is>
          <t>C25/30 : fctm = 2,6 MPa ; d = e − enr. − Ø/2</t>
        </is>
      </c>
      <c r="E53" s="6" t="n"/>
      <c r="F53" s="6" t="n"/>
      <c r="G53" s="6" t="n"/>
      <c r="H53" s="34">
        <f>MAX(0.26*2.6/500,0.0013)*1000*(Hypotheses!$C$13-Hypotheses!$C$14-0.006)*1000</f>
        <v/>
      </c>
      <c r="I53" s="8" t="inlineStr"/>
    </row>
    <row r="54">
      <c r="A54" s="7" t="inlineStr">
        <is>
          <t>Radier</t>
        </is>
      </c>
      <c r="B54" s="8" t="inlineStr">
        <is>
          <t>As long. fourni par nappe (HA10)</t>
        </is>
      </c>
      <c r="C54" s="7" t="inlineStr">
        <is>
          <t>mm²/m</t>
        </is>
      </c>
      <c r="D54" s="8" t="inlineStr">
        <is>
          <t>π×10²/4 / s</t>
        </is>
      </c>
      <c r="E54" s="6" t="n"/>
      <c r="F54" s="6" t="n"/>
      <c r="G54" s="6" t="n"/>
      <c r="H54" s="34">
        <f>PI()*10^2/4/Hypotheses!$C$32</f>
        <v/>
      </c>
      <c r="I54" s="8">
        <f>IF(H54&gt;=0.2*H52,"OK (≥ 20 % As princ.)","À renforcer")</f>
        <v/>
      </c>
    </row>
    <row r="56" ht="30" customHeight="1">
      <c r="A56" s="8" t="inlineStr">
        <is>
          <t>NB : ces vérifications portent uniquement sur les sections minimales et les espacements réglementaires. Les sections réelles doivent être confirmées par une note de calcul (poussée des terres/eau sur voiles, réaction du sol latéritique sous radier).</t>
        </is>
      </c>
    </row>
    <row r="57"/>
  </sheetData>
  <mergeCells count="39">
    <mergeCell ref="A7:I7"/>
    <mergeCell ref="D18:G18"/>
    <mergeCell ref="D9:G9"/>
    <mergeCell ref="D12:G12"/>
    <mergeCell ref="A46:I46"/>
    <mergeCell ref="D8:G8"/>
    <mergeCell ref="D25:G25"/>
    <mergeCell ref="D24:G24"/>
    <mergeCell ref="A3:I3"/>
    <mergeCell ref="A43:G43"/>
    <mergeCell ref="D51:G51"/>
    <mergeCell ref="D14:G14"/>
    <mergeCell ref="D23:G23"/>
    <mergeCell ref="D54:G54"/>
    <mergeCell ref="A44:G44"/>
    <mergeCell ref="A2:I2"/>
    <mergeCell ref="D26:G26"/>
    <mergeCell ref="A40:G40"/>
    <mergeCell ref="D50:G50"/>
    <mergeCell ref="D20:G20"/>
    <mergeCell ref="A22:I22"/>
    <mergeCell ref="D10:G10"/>
    <mergeCell ref="A4:I4"/>
    <mergeCell ref="A19:I19"/>
    <mergeCell ref="A28:I28"/>
    <mergeCell ref="D52:G52"/>
    <mergeCell ref="D21:G21"/>
    <mergeCell ref="A56:I57"/>
    <mergeCell ref="D11:G11"/>
    <mergeCell ref="D13:G13"/>
    <mergeCell ref="D49:G49"/>
    <mergeCell ref="A41:G41"/>
    <mergeCell ref="A15:I15"/>
    <mergeCell ref="D48:G48"/>
    <mergeCell ref="D17:G17"/>
    <mergeCell ref="D53:G53"/>
    <mergeCell ref="D16:G16"/>
    <mergeCell ref="A1:I1"/>
    <mergeCell ref="A42:G42"/>
  </mergeCells>
  <pageMargins left="0.75" right="0.75" top="1" bottom="1" header="0.5" footer="0.5"/>
  <pageSetup orientation="landscape" fitToHeight="0" fitToWidth="1"/>
  <headerFooter>
    <oddHeader>&amp;RMoulo Jean Claude – Chantier de Bouaflé</oddHeader>
    <oddFooter>&amp;CPage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3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8" customWidth="1" min="3" max="3"/>
    <col width="12" customWidth="1" min="4" max="4"/>
    <col width="14" customWidth="1" min="5" max="5"/>
    <col width="14" customWidth="1" min="6" max="6"/>
    <col width="2" customWidth="1" min="7" max="7"/>
  </cols>
  <sheetData>
    <row r="1">
      <c r="A1" s="1" t="inlineStr">
        <is>
          <t>RÉALISATION DE VOILES (2 × 170 m, H = 2,40 m) ET RADIER (170 m × 4,00 m × 0,20 m)</t>
        </is>
      </c>
    </row>
    <row r="2">
      <c r="A2" s="2" t="inlineStr">
        <is>
          <t>SOUS-DÉTAILS DE PRIX – DÉBOURSÉ SEC UNITAIRE</t>
        </is>
      </c>
    </row>
    <row r="3">
      <c r="A3" s="3" t="inlineStr">
        <is>
          <t>Lieu des travaux : BOUAFLÉ (Marahoué) – aménagement du thalweg en canal BA    |    Établi par : Moulo Jean Claude – Technicien Génie Civil BTP    |    Date : 01/10/2026    |    FCFA</t>
        </is>
      </c>
    </row>
    <row r="4">
      <c r="A4" s="3" t="inlineStr">
        <is>
          <t>Normes : EC2 (NF EN 1992-1-1) / BAEL 91 mod. 99 – Aciers FE500 (HA) – Contexte : sol latéritique, climat tropical humide</t>
        </is>
      </c>
    </row>
    <row r="6">
      <c r="A6" s="5" t="inlineStr">
        <is>
          <t>Prix 000 – Installation et repli de chantier   (unité : Ft)</t>
        </is>
      </c>
      <c r="B6" s="6" t="n"/>
      <c r="C6" s="6" t="n"/>
      <c r="D6" s="6" t="n"/>
      <c r="E6" s="6" t="n"/>
      <c r="F6" s="6" t="n"/>
      <c r="G6" s="6" t="n"/>
    </row>
    <row r="7" ht="30" customHeight="1">
      <c r="A7" s="4" t="inlineStr">
        <is>
          <t>Nature</t>
        </is>
      </c>
      <c r="B7" s="4" t="inlineStr">
        <is>
          <t>Désignation</t>
        </is>
      </c>
      <c r="C7" s="4" t="inlineStr">
        <is>
          <t>Unité</t>
        </is>
      </c>
      <c r="D7" s="4" t="inlineStr">
        <is>
          <t>Quantité</t>
        </is>
      </c>
      <c r="E7" s="4" t="inlineStr">
        <is>
          <t>Prix unitaire</t>
        </is>
      </c>
      <c r="F7" s="4" t="inlineStr">
        <is>
          <t>Montant</t>
        </is>
      </c>
      <c r="G7" s="4" t="inlineStr"/>
    </row>
    <row r="8">
      <c r="A8" s="7" t="inlineStr">
        <is>
          <t>MTL</t>
        </is>
      </c>
      <c r="B8" s="8" t="inlineStr">
        <is>
          <t>Amenée et repli du matériel (Abidjan → Bouaflé ≈ 300 km)</t>
        </is>
      </c>
      <c r="C8" s="7" t="inlineStr">
        <is>
          <t>Ft</t>
        </is>
      </c>
      <c r="D8" s="37" t="n">
        <v>1</v>
      </c>
      <c r="E8" s="11" t="n">
        <v>1500000</v>
      </c>
      <c r="F8" s="11">
        <f>D8*E8</f>
        <v/>
      </c>
      <c r="G8" s="17" t="inlineStr"/>
    </row>
    <row r="9">
      <c r="A9" s="7" t="inlineStr">
        <is>
          <t>MAT</t>
        </is>
      </c>
      <c r="B9" s="8" t="inlineStr">
        <is>
          <t>Logement / base vie du personnel déplacé</t>
        </is>
      </c>
      <c r="C9" s="7" t="inlineStr">
        <is>
          <t>Ft</t>
        </is>
      </c>
      <c r="D9" s="37" t="n">
        <v>1</v>
      </c>
      <c r="E9" s="11" t="n">
        <v>600000</v>
      </c>
      <c r="F9" s="11">
        <f>D9*E9</f>
        <v/>
      </c>
      <c r="G9" s="17" t="inlineStr"/>
    </row>
    <row r="10">
      <c r="A10" s="7" t="inlineStr">
        <is>
          <t>MAT</t>
        </is>
      </c>
      <c r="B10" s="8" t="inlineStr">
        <is>
          <t>Magasin / abri de chantier</t>
        </is>
      </c>
      <c r="C10" s="7" t="inlineStr">
        <is>
          <t>Ft</t>
        </is>
      </c>
      <c r="D10" s="37" t="n">
        <v>1</v>
      </c>
      <c r="E10" s="11" t="n">
        <v>250000</v>
      </c>
      <c r="F10" s="11">
        <f>D10*E10</f>
        <v/>
      </c>
      <c r="G10" s="17" t="inlineStr"/>
    </row>
    <row r="11">
      <c r="A11" s="7" t="inlineStr">
        <is>
          <t>MAT</t>
        </is>
      </c>
      <c r="B11" s="8" t="inlineStr">
        <is>
          <t>Panneau de chantier</t>
        </is>
      </c>
      <c r="C11" s="7" t="inlineStr">
        <is>
          <t>Ft</t>
        </is>
      </c>
      <c r="D11" s="37" t="n">
        <v>1</v>
      </c>
      <c r="E11" s="11" t="n">
        <v>150000</v>
      </c>
      <c r="F11" s="11">
        <f>D11*E11</f>
        <v/>
      </c>
      <c r="G11" s="17" t="inlineStr"/>
    </row>
    <row r="12">
      <c r="A12" s="7" t="inlineStr">
        <is>
          <t>MAT</t>
        </is>
      </c>
      <c r="B12" s="8" t="inlineStr">
        <is>
          <t>Équipements HSE (EPI, signalisation, trousse de secours)</t>
        </is>
      </c>
      <c r="C12" s="7" t="inlineStr">
        <is>
          <t>Ft</t>
        </is>
      </c>
      <c r="D12" s="37" t="n">
        <v>1</v>
      </c>
      <c r="E12" s="11" t="n">
        <v>200000</v>
      </c>
      <c r="F12" s="11">
        <f>D12*E12</f>
        <v/>
      </c>
      <c r="G12" s="17" t="inlineStr"/>
    </row>
    <row r="13">
      <c r="A13" s="18" t="inlineStr">
        <is>
          <t>Sous-total matériaux</t>
        </is>
      </c>
      <c r="B13" s="6" t="n"/>
      <c r="C13" s="6" t="n"/>
      <c r="D13" s="6" t="n"/>
      <c r="E13" s="6" t="n"/>
      <c r="F13" s="11">
        <f>SUMIF($A$8:$A$12,"MAT",$F$8:$F$12)</f>
        <v/>
      </c>
      <c r="G13" s="17" t="inlineStr"/>
    </row>
    <row r="14">
      <c r="A14" s="18" t="inlineStr">
        <is>
          <t>Sous-total main d'œuvre</t>
        </is>
      </c>
      <c r="B14" s="6" t="n"/>
      <c r="C14" s="6" t="n"/>
      <c r="D14" s="6" t="n"/>
      <c r="E14" s="6" t="n"/>
      <c r="F14" s="11">
        <f>SUMIF($A$8:$A$12,"MO",$F$8:$F$12)</f>
        <v/>
      </c>
      <c r="G14" s="17" t="inlineStr"/>
    </row>
    <row r="15">
      <c r="A15" s="18" t="inlineStr">
        <is>
          <t>Sous-total matériel</t>
        </is>
      </c>
      <c r="B15" s="6" t="n"/>
      <c r="C15" s="6" t="n"/>
      <c r="D15" s="6" t="n"/>
      <c r="E15" s="6" t="n"/>
      <c r="F15" s="11">
        <f>SUMIF($A$8:$A$12,"MTL",$F$8:$F$12)</f>
        <v/>
      </c>
      <c r="G15" s="17" t="inlineStr"/>
    </row>
    <row r="16">
      <c r="A16" s="12" t="inlineStr">
        <is>
          <t>DÉBOURSÉ SEC UNITAIRE (FCFA / Ft)</t>
        </is>
      </c>
      <c r="B16" s="6" t="n"/>
      <c r="C16" s="6" t="n"/>
      <c r="D16" s="6" t="n"/>
      <c r="E16" s="6" t="n"/>
      <c r="F16" s="13">
        <f>SUM(F8:F12)</f>
        <v/>
      </c>
      <c r="G16" s="14" t="inlineStr"/>
    </row>
    <row r="18">
      <c r="A18" s="5" t="inlineStr">
        <is>
          <t>Prix 101 – Implantation et piquetage   (unité : Ft)</t>
        </is>
      </c>
      <c r="B18" s="6" t="n"/>
      <c r="C18" s="6" t="n"/>
      <c r="D18" s="6" t="n"/>
      <c r="E18" s="6" t="n"/>
      <c r="F18" s="6" t="n"/>
      <c r="G18" s="6" t="n"/>
    </row>
    <row r="19" ht="30" customHeight="1">
      <c r="A19" s="4" t="inlineStr">
        <is>
          <t>Nature</t>
        </is>
      </c>
      <c r="B19" s="4" t="inlineStr">
        <is>
          <t>Désignation</t>
        </is>
      </c>
      <c r="C19" s="4" t="inlineStr">
        <is>
          <t>Unité</t>
        </is>
      </c>
      <c r="D19" s="4" t="inlineStr">
        <is>
          <t>Quantité</t>
        </is>
      </c>
      <c r="E19" s="4" t="inlineStr">
        <is>
          <t>Prix unitaire</t>
        </is>
      </c>
      <c r="F19" s="4" t="inlineStr">
        <is>
          <t>Montant</t>
        </is>
      </c>
      <c r="G19" s="4" t="inlineStr"/>
    </row>
    <row r="20">
      <c r="A20" s="7" t="inlineStr">
        <is>
          <t>MO</t>
        </is>
      </c>
      <c r="B20" s="8" t="inlineStr">
        <is>
          <t>Topographe</t>
        </is>
      </c>
      <c r="C20" s="7" t="inlineStr">
        <is>
          <t>j</t>
        </is>
      </c>
      <c r="D20" s="37" t="n">
        <v>1.5</v>
      </c>
      <c r="E20" s="11" t="n">
        <v>25000</v>
      </c>
      <c r="F20" s="11">
        <f>D20*E20</f>
        <v/>
      </c>
      <c r="G20" s="17" t="inlineStr"/>
    </row>
    <row r="21">
      <c r="A21" s="7" t="inlineStr">
        <is>
          <t>MO</t>
        </is>
      </c>
      <c r="B21" s="8" t="inlineStr">
        <is>
          <t>Aides (2)</t>
        </is>
      </c>
      <c r="C21" s="7" t="inlineStr">
        <is>
          <t>j</t>
        </is>
      </c>
      <c r="D21" s="37" t="n">
        <v>3</v>
      </c>
      <c r="E21" s="11">
        <f>Hypotheses!$C$69</f>
        <v/>
      </c>
      <c r="F21" s="11">
        <f>D21*E21</f>
        <v/>
      </c>
      <c r="G21" s="17" t="inlineStr"/>
    </row>
    <row r="22">
      <c r="A22" s="7" t="inlineStr">
        <is>
          <t>MTL</t>
        </is>
      </c>
      <c r="B22" s="8" t="inlineStr">
        <is>
          <t>Station totale / niveau</t>
        </is>
      </c>
      <c r="C22" s="7" t="inlineStr">
        <is>
          <t>j</t>
        </is>
      </c>
      <c r="D22" s="37" t="n">
        <v>1.5</v>
      </c>
      <c r="E22" s="11" t="n">
        <v>75000</v>
      </c>
      <c r="F22" s="11">
        <f>D22*E22</f>
        <v/>
      </c>
      <c r="G22" s="17" t="inlineStr"/>
    </row>
    <row r="23">
      <c r="A23" s="7" t="inlineStr">
        <is>
          <t>MAT</t>
        </is>
      </c>
      <c r="B23" s="8" t="inlineStr">
        <is>
          <t>Piquets, chaises d'implantation, peinture</t>
        </is>
      </c>
      <c r="C23" s="7" t="inlineStr">
        <is>
          <t>Ft</t>
        </is>
      </c>
      <c r="D23" s="37" t="n">
        <v>1</v>
      </c>
      <c r="E23" s="11" t="n">
        <v>25000</v>
      </c>
      <c r="F23" s="11">
        <f>D23*E23</f>
        <v/>
      </c>
      <c r="G23" s="17" t="inlineStr"/>
    </row>
    <row r="24">
      <c r="A24" s="18" t="inlineStr">
        <is>
          <t>Sous-total matériaux</t>
        </is>
      </c>
      <c r="B24" s="6" t="n"/>
      <c r="C24" s="6" t="n"/>
      <c r="D24" s="6" t="n"/>
      <c r="E24" s="6" t="n"/>
      <c r="F24" s="11">
        <f>SUMIF($A$20:$A$23,"MAT",$F$20:$F$23)</f>
        <v/>
      </c>
      <c r="G24" s="17" t="inlineStr"/>
    </row>
    <row r="25">
      <c r="A25" s="18" t="inlineStr">
        <is>
          <t>Sous-total main d'œuvre</t>
        </is>
      </c>
      <c r="B25" s="6" t="n"/>
      <c r="C25" s="6" t="n"/>
      <c r="D25" s="6" t="n"/>
      <c r="E25" s="6" t="n"/>
      <c r="F25" s="11">
        <f>SUMIF($A$20:$A$23,"MO",$F$20:$F$23)</f>
        <v/>
      </c>
      <c r="G25" s="17" t="inlineStr"/>
    </row>
    <row r="26">
      <c r="A26" s="18" t="inlineStr">
        <is>
          <t>Sous-total matériel</t>
        </is>
      </c>
      <c r="B26" s="6" t="n"/>
      <c r="C26" s="6" t="n"/>
      <c r="D26" s="6" t="n"/>
      <c r="E26" s="6" t="n"/>
      <c r="F26" s="11">
        <f>SUMIF($A$20:$A$23,"MTL",$F$20:$F$23)</f>
        <v/>
      </c>
      <c r="G26" s="17" t="inlineStr"/>
    </row>
    <row r="27">
      <c r="A27" s="12" t="inlineStr">
        <is>
          <t>DÉBOURSÉ SEC UNITAIRE (FCFA / Ft)</t>
        </is>
      </c>
      <c r="B27" s="6" t="n"/>
      <c r="C27" s="6" t="n"/>
      <c r="D27" s="6" t="n"/>
      <c r="E27" s="6" t="n"/>
      <c r="F27" s="13">
        <f>SUM(F20:F23)</f>
        <v/>
      </c>
      <c r="G27" s="14" t="inlineStr"/>
    </row>
    <row r="29">
      <c r="A29" s="5" t="inlineStr">
        <is>
          <t>Prix 102 – Déblai mécanique en fouille et évacuation   (unité : m³)</t>
        </is>
      </c>
      <c r="B29" s="6" t="n"/>
      <c r="C29" s="6" t="n"/>
      <c r="D29" s="6" t="n"/>
      <c r="E29" s="6" t="n"/>
      <c r="F29" s="6" t="n"/>
      <c r="G29" s="6" t="n"/>
    </row>
    <row r="30" ht="30" customHeight="1">
      <c r="A30" s="4" t="inlineStr">
        <is>
          <t>Nature</t>
        </is>
      </c>
      <c r="B30" s="4" t="inlineStr">
        <is>
          <t>Désignation</t>
        </is>
      </c>
      <c r="C30" s="4" t="inlineStr">
        <is>
          <t>Unité</t>
        </is>
      </c>
      <c r="D30" s="4" t="inlineStr">
        <is>
          <t>Quantité</t>
        </is>
      </c>
      <c r="E30" s="4" t="inlineStr">
        <is>
          <t>Prix unitaire</t>
        </is>
      </c>
      <c r="F30" s="4" t="inlineStr">
        <is>
          <t>Montant</t>
        </is>
      </c>
      <c r="G30" s="4" t="inlineStr"/>
    </row>
    <row r="31">
      <c r="A31" s="7" t="inlineStr">
        <is>
          <t>MTL</t>
        </is>
      </c>
      <c r="B31" s="8" t="inlineStr">
        <is>
          <t>Pelle hydraulique</t>
        </is>
      </c>
      <c r="C31" s="7" t="inlineStr">
        <is>
          <t>j</t>
        </is>
      </c>
      <c r="D31" s="37">
        <f>1/Hypotheses!$C$72</f>
        <v/>
      </c>
      <c r="E31" s="11">
        <f>Hypotheses!$C$71</f>
        <v/>
      </c>
      <c r="F31" s="11">
        <f>D31*E31</f>
        <v/>
      </c>
      <c r="G31" s="17" t="inlineStr"/>
    </row>
    <row r="32">
      <c r="A32" s="7" t="inlineStr">
        <is>
          <t>MTL</t>
        </is>
      </c>
      <c r="B32" s="8" t="inlineStr">
        <is>
          <t>Camion benne – évacuation (avec foisonnement)</t>
        </is>
      </c>
      <c r="C32" s="7" t="inlineStr">
        <is>
          <t>j</t>
        </is>
      </c>
      <c r="D32" s="37">
        <f>Hypotheses!$C$25/Hypotheses!$C$74</f>
        <v/>
      </c>
      <c r="E32" s="11">
        <f>Hypotheses!$C$73</f>
        <v/>
      </c>
      <c r="F32" s="11">
        <f>D32*E32</f>
        <v/>
      </c>
      <c r="G32" s="17" t="inlineStr"/>
    </row>
    <row r="33">
      <c r="A33" s="7" t="inlineStr">
        <is>
          <t>MO</t>
        </is>
      </c>
      <c r="B33" s="8" t="inlineStr">
        <is>
          <t>Chef d'équipe</t>
        </is>
      </c>
      <c r="C33" s="7" t="inlineStr">
        <is>
          <t>j</t>
        </is>
      </c>
      <c r="D33" s="37">
        <f>1/Hypotheses!$C$72</f>
        <v/>
      </c>
      <c r="E33" s="11">
        <f>Hypotheses!$C$67</f>
        <v/>
      </c>
      <c r="F33" s="11">
        <f>D33*E33</f>
        <v/>
      </c>
      <c r="G33" s="17" t="inlineStr"/>
    </row>
    <row r="34">
      <c r="A34" s="7" t="inlineStr">
        <is>
          <t>MO</t>
        </is>
      </c>
      <c r="B34" s="8" t="inlineStr">
        <is>
          <t>Manœuvres – réglage manuel (2)</t>
        </is>
      </c>
      <c r="C34" s="7" t="inlineStr">
        <is>
          <t>j</t>
        </is>
      </c>
      <c r="D34" s="37">
        <f>2/Hypotheses!$C$72</f>
        <v/>
      </c>
      <c r="E34" s="11">
        <f>Hypotheses!$C$69</f>
        <v/>
      </c>
      <c r="F34" s="11">
        <f>D34*E34</f>
        <v/>
      </c>
      <c r="G34" s="17" t="inlineStr"/>
    </row>
    <row r="35">
      <c r="A35" s="18" t="inlineStr">
        <is>
          <t>Sous-total matériaux</t>
        </is>
      </c>
      <c r="B35" s="6" t="n"/>
      <c r="C35" s="6" t="n"/>
      <c r="D35" s="6" t="n"/>
      <c r="E35" s="6" t="n"/>
      <c r="F35" s="11">
        <f>SUMIF($A$31:$A$34,"MAT",$F$31:$F$34)</f>
        <v/>
      </c>
      <c r="G35" s="17" t="inlineStr"/>
    </row>
    <row r="36">
      <c r="A36" s="18" t="inlineStr">
        <is>
          <t>Sous-total main d'œuvre</t>
        </is>
      </c>
      <c r="B36" s="6" t="n"/>
      <c r="C36" s="6" t="n"/>
      <c r="D36" s="6" t="n"/>
      <c r="E36" s="6" t="n"/>
      <c r="F36" s="11">
        <f>SUMIF($A$31:$A$34,"MO",$F$31:$F$34)</f>
        <v/>
      </c>
      <c r="G36" s="17" t="inlineStr"/>
    </row>
    <row r="37">
      <c r="A37" s="18" t="inlineStr">
        <is>
          <t>Sous-total matériel</t>
        </is>
      </c>
      <c r="B37" s="6" t="n"/>
      <c r="C37" s="6" t="n"/>
      <c r="D37" s="6" t="n"/>
      <c r="E37" s="6" t="n"/>
      <c r="F37" s="11">
        <f>SUMIF($A$31:$A$34,"MTL",$F$31:$F$34)</f>
        <v/>
      </c>
      <c r="G37" s="17" t="inlineStr"/>
    </row>
    <row r="38">
      <c r="A38" s="12" t="inlineStr">
        <is>
          <t>DÉBOURSÉ SEC UNITAIRE (FCFA / m³)</t>
        </is>
      </c>
      <c r="B38" s="6" t="n"/>
      <c r="C38" s="6" t="n"/>
      <c r="D38" s="6" t="n"/>
      <c r="E38" s="6" t="n"/>
      <c r="F38" s="13">
        <f>SUM(F31:F34)</f>
        <v/>
      </c>
      <c r="G38" s="14" t="inlineStr"/>
    </row>
    <row r="40">
      <c r="A40" s="5" t="inlineStr">
        <is>
          <t>Prix 104 – Débroussaillage et nettoyage de l'emprise   (unité : m²)</t>
        </is>
      </c>
      <c r="B40" s="6" t="n"/>
      <c r="C40" s="6" t="n"/>
      <c r="D40" s="6" t="n"/>
      <c r="E40" s="6" t="n"/>
      <c r="F40" s="6" t="n"/>
      <c r="G40" s="6" t="n"/>
    </row>
    <row r="41" ht="30" customHeight="1">
      <c r="A41" s="4" t="inlineStr">
        <is>
          <t>Nature</t>
        </is>
      </c>
      <c r="B41" s="4" t="inlineStr">
        <is>
          <t>Désignation</t>
        </is>
      </c>
      <c r="C41" s="4" t="inlineStr">
        <is>
          <t>Unité</t>
        </is>
      </c>
      <c r="D41" s="4" t="inlineStr">
        <is>
          <t>Quantité</t>
        </is>
      </c>
      <c r="E41" s="4" t="inlineStr">
        <is>
          <t>Prix unitaire</t>
        </is>
      </c>
      <c r="F41" s="4" t="inlineStr">
        <is>
          <t>Montant</t>
        </is>
      </c>
      <c r="G41" s="4" t="inlineStr"/>
    </row>
    <row r="42">
      <c r="A42" s="7" t="inlineStr">
        <is>
          <t>MO</t>
        </is>
      </c>
      <c r="B42" s="8" t="inlineStr">
        <is>
          <t>Manœuvre</t>
        </is>
      </c>
      <c r="C42" s="7" t="inlineStr">
        <is>
          <t>j</t>
        </is>
      </c>
      <c r="D42" s="37">
        <f>1/Hypotheses!$C$85</f>
        <v/>
      </c>
      <c r="E42" s="11">
        <f>Hypotheses!$C$69</f>
        <v/>
      </c>
      <c r="F42" s="11">
        <f>D42*E42</f>
        <v/>
      </c>
      <c r="G42" s="17" t="inlineStr"/>
    </row>
    <row r="43">
      <c r="A43" s="7" t="inlineStr">
        <is>
          <t>MAT</t>
        </is>
      </c>
      <c r="B43" s="8" t="inlineStr">
        <is>
          <t>Petit outillage (machettes, râteaux, brouettes)</t>
        </is>
      </c>
      <c r="C43" s="7" t="inlineStr">
        <is>
          <t>m²</t>
        </is>
      </c>
      <c r="D43" s="37" t="n">
        <v>1</v>
      </c>
      <c r="E43" s="11" t="n">
        <v>30</v>
      </c>
      <c r="F43" s="11">
        <f>D43*E43</f>
        <v/>
      </c>
      <c r="G43" s="17" t="inlineStr"/>
    </row>
    <row r="44">
      <c r="A44" s="18" t="inlineStr">
        <is>
          <t>Sous-total matériaux</t>
        </is>
      </c>
      <c r="B44" s="6" t="n"/>
      <c r="C44" s="6" t="n"/>
      <c r="D44" s="6" t="n"/>
      <c r="E44" s="6" t="n"/>
      <c r="F44" s="11">
        <f>SUMIF($A$42:$A$43,"MAT",$F$42:$F$43)</f>
        <v/>
      </c>
      <c r="G44" s="17" t="inlineStr"/>
    </row>
    <row r="45">
      <c r="A45" s="18" t="inlineStr">
        <is>
          <t>Sous-total main d'œuvre</t>
        </is>
      </c>
      <c r="B45" s="6" t="n"/>
      <c r="C45" s="6" t="n"/>
      <c r="D45" s="6" t="n"/>
      <c r="E45" s="6" t="n"/>
      <c r="F45" s="11">
        <f>SUMIF($A$42:$A$43,"MO",$F$42:$F$43)</f>
        <v/>
      </c>
      <c r="G45" s="17" t="inlineStr"/>
    </row>
    <row r="46">
      <c r="A46" s="18" t="inlineStr">
        <is>
          <t>Sous-total matériel</t>
        </is>
      </c>
      <c r="B46" s="6" t="n"/>
      <c r="C46" s="6" t="n"/>
      <c r="D46" s="6" t="n"/>
      <c r="E46" s="6" t="n"/>
      <c r="F46" s="11">
        <f>SUMIF($A$42:$A$43,"MTL",$F$42:$F$43)</f>
        <v/>
      </c>
      <c r="G46" s="17" t="inlineStr"/>
    </row>
    <row r="47">
      <c r="A47" s="12" t="inlineStr">
        <is>
          <t>DÉBOURSÉ SEC UNITAIRE (FCFA / m²)</t>
        </is>
      </c>
      <c r="B47" s="6" t="n"/>
      <c r="C47" s="6" t="n"/>
      <c r="D47" s="6" t="n"/>
      <c r="E47" s="6" t="n"/>
      <c r="F47" s="13">
        <f>SUM(F42:F43)</f>
        <v/>
      </c>
      <c r="G47" s="14" t="inlineStr"/>
    </row>
    <row r="49">
      <c r="A49" s="5" t="inlineStr">
        <is>
          <t>Prix 105 – Enlèvement et évacuation des ordures / déchets   (unité : m³)</t>
        </is>
      </c>
      <c r="B49" s="6" t="n"/>
      <c r="C49" s="6" t="n"/>
      <c r="D49" s="6" t="n"/>
      <c r="E49" s="6" t="n"/>
      <c r="F49" s="6" t="n"/>
      <c r="G49" s="6" t="n"/>
    </row>
    <row r="50" ht="30" customHeight="1">
      <c r="A50" s="4" t="inlineStr">
        <is>
          <t>Nature</t>
        </is>
      </c>
      <c r="B50" s="4" t="inlineStr">
        <is>
          <t>Désignation</t>
        </is>
      </c>
      <c r="C50" s="4" t="inlineStr">
        <is>
          <t>Unité</t>
        </is>
      </c>
      <c r="D50" s="4" t="inlineStr">
        <is>
          <t>Quantité</t>
        </is>
      </c>
      <c r="E50" s="4" t="inlineStr">
        <is>
          <t>Prix unitaire</t>
        </is>
      </c>
      <c r="F50" s="4" t="inlineStr">
        <is>
          <t>Montant</t>
        </is>
      </c>
      <c r="G50" s="4" t="inlineStr"/>
    </row>
    <row r="51">
      <c r="A51" s="7" t="inlineStr">
        <is>
          <t>MO</t>
        </is>
      </c>
      <c r="B51" s="8" t="inlineStr">
        <is>
          <t>Manœuvres – ramassage et chargement (4)</t>
        </is>
      </c>
      <c r="C51" s="7" t="inlineStr">
        <is>
          <t>j</t>
        </is>
      </c>
      <c r="D51" s="37">
        <f>4/40</f>
        <v/>
      </c>
      <c r="E51" s="11">
        <f>Hypotheses!$C$69</f>
        <v/>
      </c>
      <c r="F51" s="11">
        <f>D51*E51</f>
        <v/>
      </c>
      <c r="G51" s="17" t="inlineStr"/>
    </row>
    <row r="52">
      <c r="A52" s="7" t="inlineStr">
        <is>
          <t>MTL</t>
        </is>
      </c>
      <c r="B52" s="8" t="inlineStr">
        <is>
          <t>Camion benne – évacuation vers décharge</t>
        </is>
      </c>
      <c r="C52" s="7" t="inlineStr">
        <is>
          <t>j</t>
        </is>
      </c>
      <c r="D52" s="37">
        <f>1/Hypotheses!$C$74</f>
        <v/>
      </c>
      <c r="E52" s="11">
        <f>Hypotheses!$C$73</f>
        <v/>
      </c>
      <c r="F52" s="11">
        <f>D52*E52</f>
        <v/>
      </c>
      <c r="G52" s="17" t="inlineStr"/>
    </row>
    <row r="53">
      <c r="A53" s="7" t="inlineStr">
        <is>
          <t>MAT</t>
        </is>
      </c>
      <c r="B53" s="8" t="inlineStr">
        <is>
          <t>EPI renforcés (gants, bottes, masques)</t>
        </is>
      </c>
      <c r="C53" s="7" t="inlineStr">
        <is>
          <t>m³</t>
        </is>
      </c>
      <c r="D53" s="37" t="n">
        <v>1</v>
      </c>
      <c r="E53" s="11" t="n">
        <v>300</v>
      </c>
      <c r="F53" s="11">
        <f>D53*E53</f>
        <v/>
      </c>
      <c r="G53" s="17" t="inlineStr"/>
    </row>
    <row r="54">
      <c r="A54" s="18" t="inlineStr">
        <is>
          <t>Sous-total matériaux</t>
        </is>
      </c>
      <c r="B54" s="6" t="n"/>
      <c r="C54" s="6" t="n"/>
      <c r="D54" s="6" t="n"/>
      <c r="E54" s="6" t="n"/>
      <c r="F54" s="11">
        <f>SUMIF($A$51:$A$53,"MAT",$F$51:$F$53)</f>
        <v/>
      </c>
      <c r="G54" s="17" t="inlineStr"/>
    </row>
    <row r="55">
      <c r="A55" s="18" t="inlineStr">
        <is>
          <t>Sous-total main d'œuvre</t>
        </is>
      </c>
      <c r="B55" s="6" t="n"/>
      <c r="C55" s="6" t="n"/>
      <c r="D55" s="6" t="n"/>
      <c r="E55" s="6" t="n"/>
      <c r="F55" s="11">
        <f>SUMIF($A$51:$A$53,"MO",$F$51:$F$53)</f>
        <v/>
      </c>
      <c r="G55" s="17" t="inlineStr"/>
    </row>
    <row r="56">
      <c r="A56" s="18" t="inlineStr">
        <is>
          <t>Sous-total matériel</t>
        </is>
      </c>
      <c r="B56" s="6" t="n"/>
      <c r="C56" s="6" t="n"/>
      <c r="D56" s="6" t="n"/>
      <c r="E56" s="6" t="n"/>
      <c r="F56" s="11">
        <f>SUMIF($A$51:$A$53,"MTL",$F$51:$F$53)</f>
        <v/>
      </c>
      <c r="G56" s="17" t="inlineStr"/>
    </row>
    <row r="57">
      <c r="A57" s="12" t="inlineStr">
        <is>
          <t>DÉBOURSÉ SEC UNITAIRE (FCFA / m³)</t>
        </is>
      </c>
      <c r="B57" s="6" t="n"/>
      <c r="C57" s="6" t="n"/>
      <c r="D57" s="6" t="n"/>
      <c r="E57" s="6" t="n"/>
      <c r="F57" s="13">
        <f>SUM(F51:F53)</f>
        <v/>
      </c>
      <c r="G57" s="14" t="inlineStr"/>
    </row>
    <row r="59">
      <c r="A59" s="5" t="inlineStr">
        <is>
          <t>Prix 106 – Couche de forme en latérite compactée   (unité : m³)</t>
        </is>
      </c>
      <c r="B59" s="6" t="n"/>
      <c r="C59" s="6" t="n"/>
      <c r="D59" s="6" t="n"/>
      <c r="E59" s="6" t="n"/>
      <c r="F59" s="6" t="n"/>
      <c r="G59" s="6" t="n"/>
    </row>
    <row r="60" ht="30" customHeight="1">
      <c r="A60" s="4" t="inlineStr">
        <is>
          <t>Nature</t>
        </is>
      </c>
      <c r="B60" s="4" t="inlineStr">
        <is>
          <t>Désignation</t>
        </is>
      </c>
      <c r="C60" s="4" t="inlineStr">
        <is>
          <t>Unité</t>
        </is>
      </c>
      <c r="D60" s="4" t="inlineStr">
        <is>
          <t>Quantité</t>
        </is>
      </c>
      <c r="E60" s="4" t="inlineStr">
        <is>
          <t>Prix unitaire</t>
        </is>
      </c>
      <c r="F60" s="4" t="inlineStr">
        <is>
          <t>Montant</t>
        </is>
      </c>
      <c r="G60" s="4" t="inlineStr"/>
    </row>
    <row r="61">
      <c r="A61" s="7" t="inlineStr">
        <is>
          <t>MAT</t>
        </is>
      </c>
      <c r="B61" s="8" t="inlineStr">
        <is>
          <t>Latérite d'apport (avec foisonnement)</t>
        </is>
      </c>
      <c r="C61" s="7" t="inlineStr">
        <is>
          <t>m³</t>
        </is>
      </c>
      <c r="D61" s="37">
        <f>Hypotheses!$C$25</f>
        <v/>
      </c>
      <c r="E61" s="11">
        <f>Hypotheses!$C$60</f>
        <v/>
      </c>
      <c r="F61" s="11">
        <f>D61*E61</f>
        <v/>
      </c>
      <c r="G61" s="17" t="inlineStr"/>
    </row>
    <row r="62">
      <c r="A62" s="7" t="inlineStr">
        <is>
          <t>MTL</t>
        </is>
      </c>
      <c r="B62" s="8" t="inlineStr">
        <is>
          <t>Compacteur</t>
        </is>
      </c>
      <c r="C62" s="7" t="inlineStr">
        <is>
          <t>j</t>
        </is>
      </c>
      <c r="D62" s="37">
        <f>1/Hypotheses!$C$86</f>
        <v/>
      </c>
      <c r="E62" s="11">
        <f>Hypotheses!$C$75</f>
        <v/>
      </c>
      <c r="F62" s="11">
        <f>D62*E62</f>
        <v/>
      </c>
      <c r="G62" s="17" t="inlineStr"/>
    </row>
    <row r="63">
      <c r="A63" s="7" t="inlineStr">
        <is>
          <t>MAT</t>
        </is>
      </c>
      <c r="B63" s="8" t="inlineStr">
        <is>
          <t>Eau d'arrosage</t>
        </is>
      </c>
      <c r="C63" s="7" t="inlineStr">
        <is>
          <t>m³</t>
        </is>
      </c>
      <c r="D63" s="37" t="n">
        <v>0.1</v>
      </c>
      <c r="E63" s="11">
        <f>Hypotheses!$C$51</f>
        <v/>
      </c>
      <c r="F63" s="11">
        <f>D63*E63</f>
        <v/>
      </c>
      <c r="G63" s="17" t="inlineStr"/>
    </row>
    <row r="64">
      <c r="A64" s="7" t="inlineStr">
        <is>
          <t>MO</t>
        </is>
      </c>
      <c r="B64" s="8" t="inlineStr">
        <is>
          <t>Manœuvres – régalage (3)</t>
        </is>
      </c>
      <c r="C64" s="7" t="inlineStr">
        <is>
          <t>j</t>
        </is>
      </c>
      <c r="D64" s="37">
        <f>3/Hypotheses!$C$86</f>
        <v/>
      </c>
      <c r="E64" s="11">
        <f>Hypotheses!$C$69</f>
        <v/>
      </c>
      <c r="F64" s="11">
        <f>D64*E64</f>
        <v/>
      </c>
      <c r="G64" s="17" t="inlineStr"/>
    </row>
    <row r="65">
      <c r="A65" s="18" t="inlineStr">
        <is>
          <t>Sous-total matériaux</t>
        </is>
      </c>
      <c r="B65" s="6" t="n"/>
      <c r="C65" s="6" t="n"/>
      <c r="D65" s="6" t="n"/>
      <c r="E65" s="6" t="n"/>
      <c r="F65" s="11">
        <f>SUMIF($A$61:$A$64,"MAT",$F$61:$F$64)</f>
        <v/>
      </c>
      <c r="G65" s="17" t="inlineStr"/>
    </row>
    <row r="66">
      <c r="A66" s="18" t="inlineStr">
        <is>
          <t>Sous-total main d'œuvre</t>
        </is>
      </c>
      <c r="B66" s="6" t="n"/>
      <c r="C66" s="6" t="n"/>
      <c r="D66" s="6" t="n"/>
      <c r="E66" s="6" t="n"/>
      <c r="F66" s="11">
        <f>SUMIF($A$61:$A$64,"MO",$F$61:$F$64)</f>
        <v/>
      </c>
      <c r="G66" s="17" t="inlineStr"/>
    </row>
    <row r="67">
      <c r="A67" s="18" t="inlineStr">
        <is>
          <t>Sous-total matériel</t>
        </is>
      </c>
      <c r="B67" s="6" t="n"/>
      <c r="C67" s="6" t="n"/>
      <c r="D67" s="6" t="n"/>
      <c r="E67" s="6" t="n"/>
      <c r="F67" s="11">
        <f>SUMIF($A$61:$A$64,"MTL",$F$61:$F$64)</f>
        <v/>
      </c>
      <c r="G67" s="17" t="inlineStr"/>
    </row>
    <row r="68">
      <c r="A68" s="12" t="inlineStr">
        <is>
          <t>DÉBOURSÉ SEC UNITAIRE (FCFA / m³)</t>
        </is>
      </c>
      <c r="B68" s="6" t="n"/>
      <c r="C68" s="6" t="n"/>
      <c r="D68" s="6" t="n"/>
      <c r="E68" s="6" t="n"/>
      <c r="F68" s="13">
        <f>SUM(F61:F64)</f>
        <v/>
      </c>
      <c r="G68" s="14" t="inlineStr"/>
    </row>
    <row r="70">
      <c r="A70" s="5" t="inlineStr">
        <is>
          <t>Prix 107 – Remblai latéral en latérite compactée derrière les voiles   (unité : m³)</t>
        </is>
      </c>
      <c r="B70" s="6" t="n"/>
      <c r="C70" s="6" t="n"/>
      <c r="D70" s="6" t="n"/>
      <c r="E70" s="6" t="n"/>
      <c r="F70" s="6" t="n"/>
      <c r="G70" s="6" t="n"/>
    </row>
    <row r="71" ht="30" customHeight="1">
      <c r="A71" s="4" t="inlineStr">
        <is>
          <t>Nature</t>
        </is>
      </c>
      <c r="B71" s="4" t="inlineStr">
        <is>
          <t>Désignation</t>
        </is>
      </c>
      <c r="C71" s="4" t="inlineStr">
        <is>
          <t>Unité</t>
        </is>
      </c>
      <c r="D71" s="4" t="inlineStr">
        <is>
          <t>Quantité</t>
        </is>
      </c>
      <c r="E71" s="4" t="inlineStr">
        <is>
          <t>Prix unitaire</t>
        </is>
      </c>
      <c r="F71" s="4" t="inlineStr">
        <is>
          <t>Montant</t>
        </is>
      </c>
      <c r="G71" s="4" t="inlineStr"/>
    </row>
    <row r="72">
      <c r="A72" s="7" t="inlineStr">
        <is>
          <t>MAT</t>
        </is>
      </c>
      <c r="B72" s="8" t="inlineStr">
        <is>
          <t>Latérite d'apport (avec foisonnement)</t>
        </is>
      </c>
      <c r="C72" s="7" t="inlineStr">
        <is>
          <t>m³</t>
        </is>
      </c>
      <c r="D72" s="37">
        <f>Hypotheses!$C$25</f>
        <v/>
      </c>
      <c r="E72" s="11">
        <f>Hypotheses!$C$60</f>
        <v/>
      </c>
      <c r="F72" s="11">
        <f>D72*E72</f>
        <v/>
      </c>
      <c r="G72" s="17" t="inlineStr"/>
    </row>
    <row r="73">
      <c r="A73" s="7" t="inlineStr">
        <is>
          <t>MTL</t>
        </is>
      </c>
      <c r="B73" s="8" t="inlineStr">
        <is>
          <t>Compacteur (plaque vibrante, couches de 20 cm)</t>
        </is>
      </c>
      <c r="C73" s="7" t="inlineStr">
        <is>
          <t>j</t>
        </is>
      </c>
      <c r="D73" s="37">
        <f>1/Hypotheses!$C$86</f>
        <v/>
      </c>
      <c r="E73" s="11">
        <f>Hypotheses!$C$75</f>
        <v/>
      </c>
      <c r="F73" s="11">
        <f>D73*E73</f>
        <v/>
      </c>
      <c r="G73" s="17" t="inlineStr"/>
    </row>
    <row r="74">
      <c r="A74" s="7" t="inlineStr">
        <is>
          <t>MAT</t>
        </is>
      </c>
      <c r="B74" s="8" t="inlineStr">
        <is>
          <t>Eau d'arrosage</t>
        </is>
      </c>
      <c r="C74" s="7" t="inlineStr">
        <is>
          <t>m³</t>
        </is>
      </c>
      <c r="D74" s="37" t="n">
        <v>0.1</v>
      </c>
      <c r="E74" s="11">
        <f>Hypotheses!$C$51</f>
        <v/>
      </c>
      <c r="F74" s="11">
        <f>D74*E74</f>
        <v/>
      </c>
      <c r="G74" s="17" t="inlineStr"/>
    </row>
    <row r="75">
      <c r="A75" s="7" t="inlineStr">
        <is>
          <t>MO</t>
        </is>
      </c>
      <c r="B75" s="8" t="inlineStr">
        <is>
          <t>Manœuvres – régalage (3)</t>
        </is>
      </c>
      <c r="C75" s="7" t="inlineStr">
        <is>
          <t>j</t>
        </is>
      </c>
      <c r="D75" s="37">
        <f>3/Hypotheses!$C$86</f>
        <v/>
      </c>
      <c r="E75" s="11">
        <f>Hypotheses!$C$69</f>
        <v/>
      </c>
      <c r="F75" s="11">
        <f>D75*E75</f>
        <v/>
      </c>
      <c r="G75" s="17" t="inlineStr"/>
    </row>
    <row r="76">
      <c r="A76" s="18" t="inlineStr">
        <is>
          <t>Sous-total matériaux</t>
        </is>
      </c>
      <c r="B76" s="6" t="n"/>
      <c r="C76" s="6" t="n"/>
      <c r="D76" s="6" t="n"/>
      <c r="E76" s="6" t="n"/>
      <c r="F76" s="11">
        <f>SUMIF($A$72:$A$75,"MAT",$F$72:$F$75)</f>
        <v/>
      </c>
      <c r="G76" s="17" t="inlineStr"/>
    </row>
    <row r="77">
      <c r="A77" s="18" t="inlineStr">
        <is>
          <t>Sous-total main d'œuvre</t>
        </is>
      </c>
      <c r="B77" s="6" t="n"/>
      <c r="C77" s="6" t="n"/>
      <c r="D77" s="6" t="n"/>
      <c r="E77" s="6" t="n"/>
      <c r="F77" s="11">
        <f>SUMIF($A$72:$A$75,"MO",$F$72:$F$75)</f>
        <v/>
      </c>
      <c r="G77" s="17" t="inlineStr"/>
    </row>
    <row r="78">
      <c r="A78" s="18" t="inlineStr">
        <is>
          <t>Sous-total matériel</t>
        </is>
      </c>
      <c r="B78" s="6" t="n"/>
      <c r="C78" s="6" t="n"/>
      <c r="D78" s="6" t="n"/>
      <c r="E78" s="6" t="n"/>
      <c r="F78" s="11">
        <f>SUMIF($A$72:$A$75,"MTL",$F$72:$F$75)</f>
        <v/>
      </c>
      <c r="G78" s="17" t="inlineStr"/>
    </row>
    <row r="79">
      <c r="A79" s="12" t="inlineStr">
        <is>
          <t>DÉBOURSÉ SEC UNITAIRE (FCFA / m³)</t>
        </is>
      </c>
      <c r="B79" s="6" t="n"/>
      <c r="C79" s="6" t="n"/>
      <c r="D79" s="6" t="n"/>
      <c r="E79" s="6" t="n"/>
      <c r="F79" s="13">
        <f>SUM(F72:F75)</f>
        <v/>
      </c>
      <c r="G79" s="14" t="inlineStr"/>
    </row>
    <row r="81">
      <c r="A81" s="5" t="inlineStr">
        <is>
          <t>Prix 103 – Compactage du fond de fouille à 95 % OPM   (unité : m²)</t>
        </is>
      </c>
      <c r="B81" s="6" t="n"/>
      <c r="C81" s="6" t="n"/>
      <c r="D81" s="6" t="n"/>
      <c r="E81" s="6" t="n"/>
      <c r="F81" s="6" t="n"/>
      <c r="G81" s="6" t="n"/>
    </row>
    <row r="82" ht="30" customHeight="1">
      <c r="A82" s="4" t="inlineStr">
        <is>
          <t>Nature</t>
        </is>
      </c>
      <c r="B82" s="4" t="inlineStr">
        <is>
          <t>Désignation</t>
        </is>
      </c>
      <c r="C82" s="4" t="inlineStr">
        <is>
          <t>Unité</t>
        </is>
      </c>
      <c r="D82" s="4" t="inlineStr">
        <is>
          <t>Quantité</t>
        </is>
      </c>
      <c r="E82" s="4" t="inlineStr">
        <is>
          <t>Prix unitaire</t>
        </is>
      </c>
      <c r="F82" s="4" t="inlineStr">
        <is>
          <t>Montant</t>
        </is>
      </c>
      <c r="G82" s="4" t="inlineStr"/>
    </row>
    <row r="83">
      <c r="A83" s="7" t="inlineStr">
        <is>
          <t>MTL</t>
        </is>
      </c>
      <c r="B83" s="8" t="inlineStr">
        <is>
          <t>Compacteur</t>
        </is>
      </c>
      <c r="C83" s="7" t="inlineStr">
        <is>
          <t>j</t>
        </is>
      </c>
      <c r="D83" s="37">
        <f>1/Hypotheses!$C$76</f>
        <v/>
      </c>
      <c r="E83" s="11">
        <f>Hypotheses!$C$75</f>
        <v/>
      </c>
      <c r="F83" s="11">
        <f>D83*E83</f>
        <v/>
      </c>
      <c r="G83" s="17" t="inlineStr"/>
    </row>
    <row r="84">
      <c r="A84" s="7" t="inlineStr">
        <is>
          <t>MAT</t>
        </is>
      </c>
      <c r="B84" s="8" t="inlineStr">
        <is>
          <t>Eau d'arrosage (teneur en eau OPM)</t>
        </is>
      </c>
      <c r="C84" s="7" t="inlineStr">
        <is>
          <t>m³</t>
        </is>
      </c>
      <c r="D84" s="37" t="n">
        <v>0.02</v>
      </c>
      <c r="E84" s="11">
        <f>Hypotheses!$C$51</f>
        <v/>
      </c>
      <c r="F84" s="11">
        <f>D84*E84</f>
        <v/>
      </c>
      <c r="G84" s="17" t="inlineStr"/>
    </row>
    <row r="85">
      <c r="A85" s="7" t="inlineStr">
        <is>
          <t>MO</t>
        </is>
      </c>
      <c r="B85" s="8" t="inlineStr">
        <is>
          <t>Manœuvres (2)</t>
        </is>
      </c>
      <c r="C85" s="7" t="inlineStr">
        <is>
          <t>j</t>
        </is>
      </c>
      <c r="D85" s="37">
        <f>2/Hypotheses!$C$76</f>
        <v/>
      </c>
      <c r="E85" s="11">
        <f>Hypotheses!$C$69</f>
        <v/>
      </c>
      <c r="F85" s="11">
        <f>D85*E85</f>
        <v/>
      </c>
      <c r="G85" s="17" t="inlineStr"/>
    </row>
    <row r="86">
      <c r="A86" s="18" t="inlineStr">
        <is>
          <t>Sous-total matériaux</t>
        </is>
      </c>
      <c r="B86" s="6" t="n"/>
      <c r="C86" s="6" t="n"/>
      <c r="D86" s="6" t="n"/>
      <c r="E86" s="6" t="n"/>
      <c r="F86" s="11">
        <f>SUMIF($A$83:$A$85,"MAT",$F$83:$F$85)</f>
        <v/>
      </c>
      <c r="G86" s="17" t="inlineStr"/>
    </row>
    <row r="87">
      <c r="A87" s="18" t="inlineStr">
        <is>
          <t>Sous-total main d'œuvre</t>
        </is>
      </c>
      <c r="B87" s="6" t="n"/>
      <c r="C87" s="6" t="n"/>
      <c r="D87" s="6" t="n"/>
      <c r="E87" s="6" t="n"/>
      <c r="F87" s="11">
        <f>SUMIF($A$83:$A$85,"MO",$F$83:$F$85)</f>
        <v/>
      </c>
      <c r="G87" s="17" t="inlineStr"/>
    </row>
    <row r="88">
      <c r="A88" s="18" t="inlineStr">
        <is>
          <t>Sous-total matériel</t>
        </is>
      </c>
      <c r="B88" s="6" t="n"/>
      <c r="C88" s="6" t="n"/>
      <c r="D88" s="6" t="n"/>
      <c r="E88" s="6" t="n"/>
      <c r="F88" s="11">
        <f>SUMIF($A$83:$A$85,"MTL",$F$83:$F$85)</f>
        <v/>
      </c>
      <c r="G88" s="17" t="inlineStr"/>
    </row>
    <row r="89">
      <c r="A89" s="12" t="inlineStr">
        <is>
          <t>DÉBOURSÉ SEC UNITAIRE (FCFA / m²)</t>
        </is>
      </c>
      <c r="B89" s="6" t="n"/>
      <c r="C89" s="6" t="n"/>
      <c r="D89" s="6" t="n"/>
      <c r="E89" s="6" t="n"/>
      <c r="F89" s="13">
        <f>SUM(F83:F85)</f>
        <v/>
      </c>
      <c r="G89" s="14" t="inlineStr"/>
    </row>
    <row r="91">
      <c r="A91" s="5" t="inlineStr">
        <is>
          <t>Prix 201 – Béton de propreté dosé à 150 kg/m³   (unité : m³)</t>
        </is>
      </c>
      <c r="B91" s="6" t="n"/>
      <c r="C91" s="6" t="n"/>
      <c r="D91" s="6" t="n"/>
      <c r="E91" s="6" t="n"/>
      <c r="F91" s="6" t="n"/>
      <c r="G91" s="6" t="n"/>
    </row>
    <row r="92" ht="30" customHeight="1">
      <c r="A92" s="4" t="inlineStr">
        <is>
          <t>Nature</t>
        </is>
      </c>
      <c r="B92" s="4" t="inlineStr">
        <is>
          <t>Désignation</t>
        </is>
      </c>
      <c r="C92" s="4" t="inlineStr">
        <is>
          <t>Unité</t>
        </is>
      </c>
      <c r="D92" s="4" t="inlineStr">
        <is>
          <t>Quantité</t>
        </is>
      </c>
      <c r="E92" s="4" t="inlineStr">
        <is>
          <t>Prix unitaire</t>
        </is>
      </c>
      <c r="F92" s="4" t="inlineStr">
        <is>
          <t>Montant</t>
        </is>
      </c>
      <c r="G92" s="4" t="inlineStr"/>
    </row>
    <row r="93">
      <c r="A93" s="7" t="inlineStr">
        <is>
          <t>MAT</t>
        </is>
      </c>
      <c r="B93" s="8" t="inlineStr">
        <is>
          <t>Ciment CPJ 42.5 (150 kg/m³)</t>
        </is>
      </c>
      <c r="C93" s="7" t="inlineStr">
        <is>
          <t>sac</t>
        </is>
      </c>
      <c r="D93" s="37">
        <f>150/50*(1+Hypotheses!$C$65)</f>
        <v/>
      </c>
      <c r="E93" s="11">
        <f>Hypotheses!$C$48</f>
        <v/>
      </c>
      <c r="F93" s="11">
        <f>D93*E93</f>
        <v/>
      </c>
      <c r="G93" s="17" t="inlineStr"/>
    </row>
    <row r="94">
      <c r="A94" s="7" t="inlineStr">
        <is>
          <t>MAT</t>
        </is>
      </c>
      <c r="B94" s="8" t="inlineStr">
        <is>
          <t>Sable</t>
        </is>
      </c>
      <c r="C94" s="7" t="inlineStr">
        <is>
          <t>m³</t>
        </is>
      </c>
      <c r="D94" s="37">
        <f>0.45*(1+Hypotheses!$C$65)</f>
        <v/>
      </c>
      <c r="E94" s="11">
        <f>Hypotheses!$C$49</f>
        <v/>
      </c>
      <c r="F94" s="11">
        <f>D94*E94</f>
        <v/>
      </c>
      <c r="G94" s="17" t="inlineStr"/>
    </row>
    <row r="95">
      <c r="A95" s="7" t="inlineStr">
        <is>
          <t>MAT</t>
        </is>
      </c>
      <c r="B95" s="8" t="inlineStr">
        <is>
          <t>Gravier concassé</t>
        </is>
      </c>
      <c r="C95" s="7" t="inlineStr">
        <is>
          <t>m³</t>
        </is>
      </c>
      <c r="D95" s="37">
        <f>0.85*(1+Hypotheses!$C$65)</f>
        <v/>
      </c>
      <c r="E95" s="11">
        <f>Hypotheses!$C$50</f>
        <v/>
      </c>
      <c r="F95" s="11">
        <f>D95*E95</f>
        <v/>
      </c>
      <c r="G95" s="17" t="inlineStr"/>
    </row>
    <row r="96">
      <c r="A96" s="7" t="inlineStr">
        <is>
          <t>MAT</t>
        </is>
      </c>
      <c r="B96" s="8" t="inlineStr">
        <is>
          <t>Eau de gâchage</t>
        </is>
      </c>
      <c r="C96" s="7" t="inlineStr">
        <is>
          <t>m³</t>
        </is>
      </c>
      <c r="D96" s="37" t="n">
        <v>0.18</v>
      </c>
      <c r="E96" s="11">
        <f>Hypotheses!$C$51</f>
        <v/>
      </c>
      <c r="F96" s="11">
        <f>D96*E96</f>
        <v/>
      </c>
      <c r="G96" s="17" t="inlineStr"/>
    </row>
    <row r="97">
      <c r="A97" s="7" t="inlineStr">
        <is>
          <t>MAT</t>
        </is>
      </c>
      <c r="B97" s="8" t="inlineStr">
        <is>
          <t>Cure du béton (arrosage / produit de cure)</t>
        </is>
      </c>
      <c r="C97" s="7" t="inlineStr">
        <is>
          <t>m³</t>
        </is>
      </c>
      <c r="D97" s="37" t="n">
        <v>1</v>
      </c>
      <c r="E97" s="11">
        <f>Hypotheses!$C$63</f>
        <v/>
      </c>
      <c r="F97" s="11">
        <f>D97*E97</f>
        <v/>
      </c>
      <c r="G97" s="17" t="inlineStr"/>
    </row>
    <row r="98">
      <c r="A98" s="7" t="inlineStr">
        <is>
          <t>MO</t>
        </is>
      </c>
      <c r="B98" s="8" t="inlineStr">
        <is>
          <t>Chef d'équipe</t>
        </is>
      </c>
      <c r="C98" s="7" t="inlineStr">
        <is>
          <t>j</t>
        </is>
      </c>
      <c r="D98" s="37">
        <f>1/Hypotheses!$C$80</f>
        <v/>
      </c>
      <c r="E98" s="11">
        <f>Hypotheses!$C$67</f>
        <v/>
      </c>
      <c r="F98" s="11">
        <f>D98*E98</f>
        <v/>
      </c>
      <c r="G98" s="17" t="inlineStr"/>
    </row>
    <row r="99">
      <c r="A99" s="7" t="inlineStr">
        <is>
          <t>MO</t>
        </is>
      </c>
      <c r="B99" s="8" t="inlineStr">
        <is>
          <t>Maçons (2)</t>
        </is>
      </c>
      <c r="C99" s="7" t="inlineStr">
        <is>
          <t>j</t>
        </is>
      </c>
      <c r="D99" s="37">
        <f>2/Hypotheses!$C$80</f>
        <v/>
      </c>
      <c r="E99" s="11">
        <f>Hypotheses!$C$68</f>
        <v/>
      </c>
      <c r="F99" s="11">
        <f>D99*E99</f>
        <v/>
      </c>
      <c r="G99" s="17" t="inlineStr"/>
    </row>
    <row r="100">
      <c r="A100" s="7" t="inlineStr">
        <is>
          <t>MO</t>
        </is>
      </c>
      <c r="B100" s="8" t="inlineStr">
        <is>
          <t>Manœuvres (8)</t>
        </is>
      </c>
      <c r="C100" s="7" t="inlineStr">
        <is>
          <t>j</t>
        </is>
      </c>
      <c r="D100" s="37">
        <f>8/Hypotheses!$C$80</f>
        <v/>
      </c>
      <c r="E100" s="11">
        <f>Hypotheses!$C$69</f>
        <v/>
      </c>
      <c r="F100" s="11">
        <f>D100*E100</f>
        <v/>
      </c>
      <c r="G100" s="17" t="inlineStr"/>
    </row>
    <row r="101">
      <c r="A101" s="7" t="inlineStr">
        <is>
          <t>MTL</t>
        </is>
      </c>
      <c r="B101" s="8" t="inlineStr">
        <is>
          <t>Bétonnière + vibreur</t>
        </is>
      </c>
      <c r="C101" s="7" t="inlineStr">
        <is>
          <t>j</t>
        </is>
      </c>
      <c r="D101" s="37">
        <f>1/Hypotheses!$C$80</f>
        <v/>
      </c>
      <c r="E101" s="11">
        <f>Hypotheses!$C$77</f>
        <v/>
      </c>
      <c r="F101" s="11">
        <f>D101*E101</f>
        <v/>
      </c>
      <c r="G101" s="17" t="inlineStr"/>
    </row>
    <row r="102">
      <c r="A102" s="18" t="inlineStr">
        <is>
          <t>Sous-total matériaux</t>
        </is>
      </c>
      <c r="B102" s="6" t="n"/>
      <c r="C102" s="6" t="n"/>
      <c r="D102" s="6" t="n"/>
      <c r="E102" s="6" t="n"/>
      <c r="F102" s="11">
        <f>SUMIF($A$93:$A$101,"MAT",$F$93:$F$101)</f>
        <v/>
      </c>
      <c r="G102" s="17" t="inlineStr"/>
    </row>
    <row r="103">
      <c r="A103" s="18" t="inlineStr">
        <is>
          <t>Sous-total main d'œuvre</t>
        </is>
      </c>
      <c r="B103" s="6" t="n"/>
      <c r="C103" s="6" t="n"/>
      <c r="D103" s="6" t="n"/>
      <c r="E103" s="6" t="n"/>
      <c r="F103" s="11">
        <f>SUMIF($A$93:$A$101,"MO",$F$93:$F$101)</f>
        <v/>
      </c>
      <c r="G103" s="17" t="inlineStr"/>
    </row>
    <row r="104">
      <c r="A104" s="18" t="inlineStr">
        <is>
          <t>Sous-total matériel</t>
        </is>
      </c>
      <c r="B104" s="6" t="n"/>
      <c r="C104" s="6" t="n"/>
      <c r="D104" s="6" t="n"/>
      <c r="E104" s="6" t="n"/>
      <c r="F104" s="11">
        <f>SUMIF($A$93:$A$101,"MTL",$F$93:$F$101)</f>
        <v/>
      </c>
      <c r="G104" s="17" t="inlineStr"/>
    </row>
    <row r="105">
      <c r="A105" s="12" t="inlineStr">
        <is>
          <t>DÉBOURSÉ SEC UNITAIRE (FCFA / m³)</t>
        </is>
      </c>
      <c r="B105" s="6" t="n"/>
      <c r="C105" s="6" t="n"/>
      <c r="D105" s="6" t="n"/>
      <c r="E105" s="6" t="n"/>
      <c r="F105" s="13">
        <f>SUM(F93:F101)</f>
        <v/>
      </c>
      <c r="G105" s="14" t="inlineStr"/>
    </row>
    <row r="107">
      <c r="A107" s="5" t="inlineStr">
        <is>
          <t>Prix 202 – Béton radier dosé à 350 kg/m³ (hors acier et coffrage)   (unité : m³)</t>
        </is>
      </c>
      <c r="B107" s="6" t="n"/>
      <c r="C107" s="6" t="n"/>
      <c r="D107" s="6" t="n"/>
      <c r="E107" s="6" t="n"/>
      <c r="F107" s="6" t="n"/>
      <c r="G107" s="6" t="n"/>
    </row>
    <row r="108" ht="30" customHeight="1">
      <c r="A108" s="4" t="inlineStr">
        <is>
          <t>Nature</t>
        </is>
      </c>
      <c r="B108" s="4" t="inlineStr">
        <is>
          <t>Désignation</t>
        </is>
      </c>
      <c r="C108" s="4" t="inlineStr">
        <is>
          <t>Unité</t>
        </is>
      </c>
      <c r="D108" s="4" t="inlineStr">
        <is>
          <t>Quantité</t>
        </is>
      </c>
      <c r="E108" s="4" t="inlineStr">
        <is>
          <t>Prix unitaire</t>
        </is>
      </c>
      <c r="F108" s="4" t="inlineStr">
        <is>
          <t>Montant</t>
        </is>
      </c>
      <c r="G108" s="4" t="inlineStr"/>
    </row>
    <row r="109">
      <c r="A109" s="7" t="inlineStr">
        <is>
          <t>MAT</t>
        </is>
      </c>
      <c r="B109" s="8" t="inlineStr">
        <is>
          <t>Ciment CPJ 42.5 (350 kg/m³)</t>
        </is>
      </c>
      <c r="C109" s="7" t="inlineStr">
        <is>
          <t>sac</t>
        </is>
      </c>
      <c r="D109" s="37">
        <f>350/50*(1+Hypotheses!$C$65)</f>
        <v/>
      </c>
      <c r="E109" s="11">
        <f>Hypotheses!$C$48</f>
        <v/>
      </c>
      <c r="F109" s="11">
        <f>D109*E109</f>
        <v/>
      </c>
      <c r="G109" s="17" t="inlineStr"/>
    </row>
    <row r="110">
      <c r="A110" s="7" t="inlineStr">
        <is>
          <t>MAT</t>
        </is>
      </c>
      <c r="B110" s="8" t="inlineStr">
        <is>
          <t>Sable</t>
        </is>
      </c>
      <c r="C110" s="7" t="inlineStr">
        <is>
          <t>m³</t>
        </is>
      </c>
      <c r="D110" s="37">
        <f>0.4*(1+Hypotheses!$C$65)</f>
        <v/>
      </c>
      <c r="E110" s="11">
        <f>Hypotheses!$C$49</f>
        <v/>
      </c>
      <c r="F110" s="11">
        <f>D110*E110</f>
        <v/>
      </c>
      <c r="G110" s="17" t="inlineStr"/>
    </row>
    <row r="111">
      <c r="A111" s="7" t="inlineStr">
        <is>
          <t>MAT</t>
        </is>
      </c>
      <c r="B111" s="8" t="inlineStr">
        <is>
          <t>Gravier concassé</t>
        </is>
      </c>
      <c r="C111" s="7" t="inlineStr">
        <is>
          <t>m³</t>
        </is>
      </c>
      <c r="D111" s="37">
        <f>0.8*(1+Hypotheses!$C$65)</f>
        <v/>
      </c>
      <c r="E111" s="11">
        <f>Hypotheses!$C$50</f>
        <v/>
      </c>
      <c r="F111" s="11">
        <f>D111*E111</f>
        <v/>
      </c>
      <c r="G111" s="17" t="inlineStr"/>
    </row>
    <row r="112">
      <c r="A112" s="7" t="inlineStr">
        <is>
          <t>MAT</t>
        </is>
      </c>
      <c r="B112" s="8" t="inlineStr">
        <is>
          <t>Eau de gâchage</t>
        </is>
      </c>
      <c r="C112" s="7" t="inlineStr">
        <is>
          <t>m³</t>
        </is>
      </c>
      <c r="D112" s="37" t="n">
        <v>0.18</v>
      </c>
      <c r="E112" s="11">
        <f>Hypotheses!$C$51</f>
        <v/>
      </c>
      <c r="F112" s="11">
        <f>D112*E112</f>
        <v/>
      </c>
      <c r="G112" s="17" t="inlineStr"/>
    </row>
    <row r="113">
      <c r="A113" s="7" t="inlineStr">
        <is>
          <t>MAT</t>
        </is>
      </c>
      <c r="B113" s="8" t="inlineStr">
        <is>
          <t>Cure du béton (arrosage / produit de cure)</t>
        </is>
      </c>
      <c r="C113" s="7" t="inlineStr">
        <is>
          <t>m³</t>
        </is>
      </c>
      <c r="D113" s="37" t="n">
        <v>1</v>
      </c>
      <c r="E113" s="11">
        <f>Hypotheses!$C$63</f>
        <v/>
      </c>
      <c r="F113" s="11">
        <f>D113*E113</f>
        <v/>
      </c>
      <c r="G113" s="17" t="inlineStr"/>
    </row>
    <row r="114">
      <c r="A114" s="7" t="inlineStr">
        <is>
          <t>MO</t>
        </is>
      </c>
      <c r="B114" s="8" t="inlineStr">
        <is>
          <t>Chef d'équipe</t>
        </is>
      </c>
      <c r="C114" s="7" t="inlineStr">
        <is>
          <t>j</t>
        </is>
      </c>
      <c r="D114" s="37">
        <f>1/Hypotheses!$C$78</f>
        <v/>
      </c>
      <c r="E114" s="11">
        <f>Hypotheses!$C$67</f>
        <v/>
      </c>
      <c r="F114" s="11">
        <f>D114*E114</f>
        <v/>
      </c>
      <c r="G114" s="17" t="inlineStr"/>
    </row>
    <row r="115">
      <c r="A115" s="7" t="inlineStr">
        <is>
          <t>MO</t>
        </is>
      </c>
      <c r="B115" s="8" t="inlineStr">
        <is>
          <t>Maçons (2)</t>
        </is>
      </c>
      <c r="C115" s="7" t="inlineStr">
        <is>
          <t>j</t>
        </is>
      </c>
      <c r="D115" s="37">
        <f>2/Hypotheses!$C$78</f>
        <v/>
      </c>
      <c r="E115" s="11">
        <f>Hypotheses!$C$68</f>
        <v/>
      </c>
      <c r="F115" s="11">
        <f>D115*E115</f>
        <v/>
      </c>
      <c r="G115" s="17" t="inlineStr"/>
    </row>
    <row r="116">
      <c r="A116" s="7" t="inlineStr">
        <is>
          <t>MO</t>
        </is>
      </c>
      <c r="B116" s="8" t="inlineStr">
        <is>
          <t>Manœuvres (8)</t>
        </is>
      </c>
      <c r="C116" s="7" t="inlineStr">
        <is>
          <t>j</t>
        </is>
      </c>
      <c r="D116" s="37">
        <f>8/Hypotheses!$C$78</f>
        <v/>
      </c>
      <c r="E116" s="11">
        <f>Hypotheses!$C$69</f>
        <v/>
      </c>
      <c r="F116" s="11">
        <f>D116*E116</f>
        <v/>
      </c>
      <c r="G116" s="17" t="inlineStr"/>
    </row>
    <row r="117">
      <c r="A117" s="7" t="inlineStr">
        <is>
          <t>MTL</t>
        </is>
      </c>
      <c r="B117" s="8" t="inlineStr">
        <is>
          <t>Bétonnière + vibreur</t>
        </is>
      </c>
      <c r="C117" s="7" t="inlineStr">
        <is>
          <t>j</t>
        </is>
      </c>
      <c r="D117" s="37">
        <f>1/Hypotheses!$C$78</f>
        <v/>
      </c>
      <c r="E117" s="11">
        <f>Hypotheses!$C$77</f>
        <v/>
      </c>
      <c r="F117" s="11">
        <f>D117*E117</f>
        <v/>
      </c>
      <c r="G117" s="17" t="inlineStr"/>
    </row>
    <row r="118">
      <c r="A118" s="18" t="inlineStr">
        <is>
          <t>Sous-total matériaux</t>
        </is>
      </c>
      <c r="B118" s="6" t="n"/>
      <c r="C118" s="6" t="n"/>
      <c r="D118" s="6" t="n"/>
      <c r="E118" s="6" t="n"/>
      <c r="F118" s="11">
        <f>SUMIF($A$109:$A$117,"MAT",$F$109:$F$117)</f>
        <v/>
      </c>
      <c r="G118" s="17" t="inlineStr"/>
    </row>
    <row r="119">
      <c r="A119" s="18" t="inlineStr">
        <is>
          <t>Sous-total main d'œuvre</t>
        </is>
      </c>
      <c r="B119" s="6" t="n"/>
      <c r="C119" s="6" t="n"/>
      <c r="D119" s="6" t="n"/>
      <c r="E119" s="6" t="n"/>
      <c r="F119" s="11">
        <f>SUMIF($A$109:$A$117,"MO",$F$109:$F$117)</f>
        <v/>
      </c>
      <c r="G119" s="17" t="inlineStr"/>
    </row>
    <row r="120">
      <c r="A120" s="18" t="inlineStr">
        <is>
          <t>Sous-total matériel</t>
        </is>
      </c>
      <c r="B120" s="6" t="n"/>
      <c r="C120" s="6" t="n"/>
      <c r="D120" s="6" t="n"/>
      <c r="E120" s="6" t="n"/>
      <c r="F120" s="11">
        <f>SUMIF($A$109:$A$117,"MTL",$F$109:$F$117)</f>
        <v/>
      </c>
      <c r="G120" s="17" t="inlineStr"/>
    </row>
    <row r="121">
      <c r="A121" s="12" t="inlineStr">
        <is>
          <t>DÉBOURSÉ SEC UNITAIRE (FCFA / m³)</t>
        </is>
      </c>
      <c r="B121" s="6" t="n"/>
      <c r="C121" s="6" t="n"/>
      <c r="D121" s="6" t="n"/>
      <c r="E121" s="6" t="n"/>
      <c r="F121" s="13">
        <f>SUM(F109:F117)</f>
        <v/>
      </c>
      <c r="G121" s="14" t="inlineStr"/>
    </row>
    <row r="123">
      <c r="A123" s="5" t="inlineStr">
        <is>
          <t>Prix 203 – Béton voiles dosé à 350 kg/m³ (hors acier et coffrage)   (unité : m³)</t>
        </is>
      </c>
      <c r="B123" s="6" t="n"/>
      <c r="C123" s="6" t="n"/>
      <c r="D123" s="6" t="n"/>
      <c r="E123" s="6" t="n"/>
      <c r="F123" s="6" t="n"/>
      <c r="G123" s="6" t="n"/>
    </row>
    <row r="124" ht="30" customHeight="1">
      <c r="A124" s="4" t="inlineStr">
        <is>
          <t>Nature</t>
        </is>
      </c>
      <c r="B124" s="4" t="inlineStr">
        <is>
          <t>Désignation</t>
        </is>
      </c>
      <c r="C124" s="4" t="inlineStr">
        <is>
          <t>Unité</t>
        </is>
      </c>
      <c r="D124" s="4" t="inlineStr">
        <is>
          <t>Quantité</t>
        </is>
      </c>
      <c r="E124" s="4" t="inlineStr">
        <is>
          <t>Prix unitaire</t>
        </is>
      </c>
      <c r="F124" s="4" t="inlineStr">
        <is>
          <t>Montant</t>
        </is>
      </c>
      <c r="G124" s="4" t="inlineStr"/>
    </row>
    <row r="125">
      <c r="A125" s="7" t="inlineStr">
        <is>
          <t>MAT</t>
        </is>
      </c>
      <c r="B125" s="8" t="inlineStr">
        <is>
          <t>Ciment CPJ 42.5 (350 kg/m³)</t>
        </is>
      </c>
      <c r="C125" s="7" t="inlineStr">
        <is>
          <t>sac</t>
        </is>
      </c>
      <c r="D125" s="37">
        <f>350/50*(1+Hypotheses!$C$65)</f>
        <v/>
      </c>
      <c r="E125" s="11">
        <f>Hypotheses!$C$48</f>
        <v/>
      </c>
      <c r="F125" s="11">
        <f>D125*E125</f>
        <v/>
      </c>
      <c r="G125" s="17" t="inlineStr"/>
    </row>
    <row r="126">
      <c r="A126" s="7" t="inlineStr">
        <is>
          <t>MAT</t>
        </is>
      </c>
      <c r="B126" s="8" t="inlineStr">
        <is>
          <t>Sable</t>
        </is>
      </c>
      <c r="C126" s="7" t="inlineStr">
        <is>
          <t>m³</t>
        </is>
      </c>
      <c r="D126" s="37">
        <f>0.4*(1+Hypotheses!$C$65)</f>
        <v/>
      </c>
      <c r="E126" s="11">
        <f>Hypotheses!$C$49</f>
        <v/>
      </c>
      <c r="F126" s="11">
        <f>D126*E126</f>
        <v/>
      </c>
      <c r="G126" s="17" t="inlineStr"/>
    </row>
    <row r="127">
      <c r="A127" s="7" t="inlineStr">
        <is>
          <t>MAT</t>
        </is>
      </c>
      <c r="B127" s="8" t="inlineStr">
        <is>
          <t>Gravier concassé</t>
        </is>
      </c>
      <c r="C127" s="7" t="inlineStr">
        <is>
          <t>m³</t>
        </is>
      </c>
      <c r="D127" s="37">
        <f>0.8*(1+Hypotheses!$C$65)</f>
        <v/>
      </c>
      <c r="E127" s="11">
        <f>Hypotheses!$C$50</f>
        <v/>
      </c>
      <c r="F127" s="11">
        <f>D127*E127</f>
        <v/>
      </c>
      <c r="G127" s="17" t="inlineStr"/>
    </row>
    <row r="128">
      <c r="A128" s="7" t="inlineStr">
        <is>
          <t>MAT</t>
        </is>
      </c>
      <c r="B128" s="8" t="inlineStr">
        <is>
          <t>Eau de gâchage</t>
        </is>
      </c>
      <c r="C128" s="7" t="inlineStr">
        <is>
          <t>m³</t>
        </is>
      </c>
      <c r="D128" s="37" t="n">
        <v>0.18</v>
      </c>
      <c r="E128" s="11">
        <f>Hypotheses!$C$51</f>
        <v/>
      </c>
      <c r="F128" s="11">
        <f>D128*E128</f>
        <v/>
      </c>
      <c r="G128" s="17" t="inlineStr"/>
    </row>
    <row r="129">
      <c r="A129" s="7" t="inlineStr">
        <is>
          <t>MAT</t>
        </is>
      </c>
      <c r="B129" s="8" t="inlineStr">
        <is>
          <t>Cure du béton (arrosage / produit de cure)</t>
        </is>
      </c>
      <c r="C129" s="7" t="inlineStr">
        <is>
          <t>m³</t>
        </is>
      </c>
      <c r="D129" s="37" t="n">
        <v>1</v>
      </c>
      <c r="E129" s="11">
        <f>Hypotheses!$C$63</f>
        <v/>
      </c>
      <c r="F129" s="11">
        <f>D129*E129</f>
        <v/>
      </c>
      <c r="G129" s="17" t="inlineStr"/>
    </row>
    <row r="130">
      <c r="A130" s="7" t="inlineStr">
        <is>
          <t>MO</t>
        </is>
      </c>
      <c r="B130" s="8" t="inlineStr">
        <is>
          <t>Chef d'équipe</t>
        </is>
      </c>
      <c r="C130" s="7" t="inlineStr">
        <is>
          <t>j</t>
        </is>
      </c>
      <c r="D130" s="37">
        <f>1/Hypotheses!$C$79</f>
        <v/>
      </c>
      <c r="E130" s="11">
        <f>Hypotheses!$C$67</f>
        <v/>
      </c>
      <c r="F130" s="11">
        <f>D130*E130</f>
        <v/>
      </c>
      <c r="G130" s="17" t="inlineStr"/>
    </row>
    <row r="131">
      <c r="A131" s="7" t="inlineStr">
        <is>
          <t>MO</t>
        </is>
      </c>
      <c r="B131" s="8" t="inlineStr">
        <is>
          <t>Maçons (2)</t>
        </is>
      </c>
      <c r="C131" s="7" t="inlineStr">
        <is>
          <t>j</t>
        </is>
      </c>
      <c r="D131" s="37">
        <f>2/Hypotheses!$C$79</f>
        <v/>
      </c>
      <c r="E131" s="11">
        <f>Hypotheses!$C$68</f>
        <v/>
      </c>
      <c r="F131" s="11">
        <f>D131*E131</f>
        <v/>
      </c>
      <c r="G131" s="17" t="inlineStr"/>
    </row>
    <row r="132">
      <c r="A132" s="7" t="inlineStr">
        <is>
          <t>MO</t>
        </is>
      </c>
      <c r="B132" s="8" t="inlineStr">
        <is>
          <t>Manœuvres (8)</t>
        </is>
      </c>
      <c r="C132" s="7" t="inlineStr">
        <is>
          <t>j</t>
        </is>
      </c>
      <c r="D132" s="37">
        <f>8/Hypotheses!$C$79</f>
        <v/>
      </c>
      <c r="E132" s="11">
        <f>Hypotheses!$C$69</f>
        <v/>
      </c>
      <c r="F132" s="11">
        <f>D132*E132</f>
        <v/>
      </c>
      <c r="G132" s="17" t="inlineStr"/>
    </row>
    <row r="133">
      <c r="A133" s="7" t="inlineStr">
        <is>
          <t>MTL</t>
        </is>
      </c>
      <c r="B133" s="8" t="inlineStr">
        <is>
          <t>Bétonnière + vibreur</t>
        </is>
      </c>
      <c r="C133" s="7" t="inlineStr">
        <is>
          <t>j</t>
        </is>
      </c>
      <c r="D133" s="37">
        <f>1/Hypotheses!$C$79</f>
        <v/>
      </c>
      <c r="E133" s="11">
        <f>Hypotheses!$C$77</f>
        <v/>
      </c>
      <c r="F133" s="11">
        <f>D133*E133</f>
        <v/>
      </c>
      <c r="G133" s="17" t="inlineStr"/>
    </row>
    <row r="134">
      <c r="A134" s="18" t="inlineStr">
        <is>
          <t>Sous-total matériaux</t>
        </is>
      </c>
      <c r="B134" s="6" t="n"/>
      <c r="C134" s="6" t="n"/>
      <c r="D134" s="6" t="n"/>
      <c r="E134" s="6" t="n"/>
      <c r="F134" s="11">
        <f>SUMIF($A$125:$A$133,"MAT",$F$125:$F$133)</f>
        <v/>
      </c>
      <c r="G134" s="17" t="inlineStr"/>
    </row>
    <row r="135">
      <c r="A135" s="18" t="inlineStr">
        <is>
          <t>Sous-total main d'œuvre</t>
        </is>
      </c>
      <c r="B135" s="6" t="n"/>
      <c r="C135" s="6" t="n"/>
      <c r="D135" s="6" t="n"/>
      <c r="E135" s="6" t="n"/>
      <c r="F135" s="11">
        <f>SUMIF($A$125:$A$133,"MO",$F$125:$F$133)</f>
        <v/>
      </c>
      <c r="G135" s="17" t="inlineStr"/>
    </row>
    <row r="136">
      <c r="A136" s="18" t="inlineStr">
        <is>
          <t>Sous-total matériel</t>
        </is>
      </c>
      <c r="B136" s="6" t="n"/>
      <c r="C136" s="6" t="n"/>
      <c r="D136" s="6" t="n"/>
      <c r="E136" s="6" t="n"/>
      <c r="F136" s="11">
        <f>SUMIF($A$125:$A$133,"MTL",$F$125:$F$133)</f>
        <v/>
      </c>
      <c r="G136" s="17" t="inlineStr"/>
    </row>
    <row r="137">
      <c r="A137" s="12" t="inlineStr">
        <is>
          <t>DÉBOURSÉ SEC UNITAIRE (FCFA / m³)</t>
        </is>
      </c>
      <c r="B137" s="6" t="n"/>
      <c r="C137" s="6" t="n"/>
      <c r="D137" s="6" t="n"/>
      <c r="E137" s="6" t="n"/>
      <c r="F137" s="13">
        <f>SUM(F125:F133)</f>
        <v/>
      </c>
      <c r="G137" s="14" t="inlineStr"/>
    </row>
    <row r="139">
      <c r="A139" s="5" t="inlineStr">
        <is>
          <t>Prix 301 – Coffrage des rives du radier   (unité : m²)</t>
        </is>
      </c>
      <c r="B139" s="6" t="n"/>
      <c r="C139" s="6" t="n"/>
      <c r="D139" s="6" t="n"/>
      <c r="E139" s="6" t="n"/>
      <c r="F139" s="6" t="n"/>
      <c r="G139" s="6" t="n"/>
    </row>
    <row r="140" ht="30" customHeight="1">
      <c r="A140" s="4" t="inlineStr">
        <is>
          <t>Nature</t>
        </is>
      </c>
      <c r="B140" s="4" t="inlineStr">
        <is>
          <t>Désignation</t>
        </is>
      </c>
      <c r="C140" s="4" t="inlineStr">
        <is>
          <t>Unité</t>
        </is>
      </c>
      <c r="D140" s="4" t="inlineStr">
        <is>
          <t>Quantité</t>
        </is>
      </c>
      <c r="E140" s="4" t="inlineStr">
        <is>
          <t>Prix unitaire</t>
        </is>
      </c>
      <c r="F140" s="4" t="inlineStr">
        <is>
          <t>Montant</t>
        </is>
      </c>
      <c r="G140" s="4" t="inlineStr"/>
    </row>
    <row r="141">
      <c r="A141" s="7" t="inlineStr">
        <is>
          <t>MAT</t>
        </is>
      </c>
      <c r="B141" s="8" t="inlineStr">
        <is>
          <t>Coffrage bois amorti</t>
        </is>
      </c>
      <c r="C141" s="7" t="inlineStr">
        <is>
          <t>m²</t>
        </is>
      </c>
      <c r="D141" s="37" t="n">
        <v>1</v>
      </c>
      <c r="E141" s="11">
        <f>Hypotheses!$C$57</f>
        <v/>
      </c>
      <c r="F141" s="11">
        <f>D141*E141</f>
        <v/>
      </c>
      <c r="G141" s="17" t="inlineStr"/>
    </row>
    <row r="142">
      <c r="A142" s="7" t="inlineStr">
        <is>
          <t>MAT</t>
        </is>
      </c>
      <c r="B142" s="8" t="inlineStr">
        <is>
          <t>Accessoires</t>
        </is>
      </c>
      <c r="C142" s="7" t="inlineStr">
        <is>
          <t>m²</t>
        </is>
      </c>
      <c r="D142" s="37" t="n">
        <v>1</v>
      </c>
      <c r="E142" s="11">
        <f>Hypotheses!$C$58</f>
        <v/>
      </c>
      <c r="F142" s="11">
        <f>D142*E142</f>
        <v/>
      </c>
      <c r="G142" s="17" t="inlineStr"/>
    </row>
    <row r="143">
      <c r="A143" s="7" t="inlineStr">
        <is>
          <t>MO</t>
        </is>
      </c>
      <c r="B143" s="8" t="inlineStr">
        <is>
          <t>Coffreur</t>
        </is>
      </c>
      <c r="C143" s="7" t="inlineStr">
        <is>
          <t>j</t>
        </is>
      </c>
      <c r="D143" s="37">
        <f>1/Hypotheses!$C$82</f>
        <v/>
      </c>
      <c r="E143" s="11">
        <f>Hypotheses!$C$68</f>
        <v/>
      </c>
      <c r="F143" s="11">
        <f>D143*E143</f>
        <v/>
      </c>
      <c r="G143" s="17" t="inlineStr"/>
    </row>
    <row r="144">
      <c r="A144" s="7" t="inlineStr">
        <is>
          <t>MO</t>
        </is>
      </c>
      <c r="B144" s="8" t="inlineStr">
        <is>
          <t>Aide coffreur</t>
        </is>
      </c>
      <c r="C144" s="7" t="inlineStr">
        <is>
          <t>j</t>
        </is>
      </c>
      <c r="D144" s="37">
        <f>1/Hypotheses!$C$82</f>
        <v/>
      </c>
      <c r="E144" s="11">
        <f>Hypotheses!$C$69</f>
        <v/>
      </c>
      <c r="F144" s="11">
        <f>D144*E144</f>
        <v/>
      </c>
      <c r="G144" s="17" t="inlineStr"/>
    </row>
    <row r="145">
      <c r="A145" s="18" t="inlineStr">
        <is>
          <t>Sous-total matériaux</t>
        </is>
      </c>
      <c r="B145" s="6" t="n"/>
      <c r="C145" s="6" t="n"/>
      <c r="D145" s="6" t="n"/>
      <c r="E145" s="6" t="n"/>
      <c r="F145" s="11">
        <f>SUMIF($A$141:$A$144,"MAT",$F$141:$F$144)</f>
        <v/>
      </c>
      <c r="G145" s="17" t="inlineStr"/>
    </row>
    <row r="146">
      <c r="A146" s="18" t="inlineStr">
        <is>
          <t>Sous-total main d'œuvre</t>
        </is>
      </c>
      <c r="B146" s="6" t="n"/>
      <c r="C146" s="6" t="n"/>
      <c r="D146" s="6" t="n"/>
      <c r="E146" s="6" t="n"/>
      <c r="F146" s="11">
        <f>SUMIF($A$141:$A$144,"MO",$F$141:$F$144)</f>
        <v/>
      </c>
      <c r="G146" s="17" t="inlineStr"/>
    </row>
    <row r="147">
      <c r="A147" s="18" t="inlineStr">
        <is>
          <t>Sous-total matériel</t>
        </is>
      </c>
      <c r="B147" s="6" t="n"/>
      <c r="C147" s="6" t="n"/>
      <c r="D147" s="6" t="n"/>
      <c r="E147" s="6" t="n"/>
      <c r="F147" s="11">
        <f>SUMIF($A$141:$A$144,"MTL",$F$141:$F$144)</f>
        <v/>
      </c>
      <c r="G147" s="17" t="inlineStr"/>
    </row>
    <row r="148">
      <c r="A148" s="12" t="inlineStr">
        <is>
          <t>DÉBOURSÉ SEC UNITAIRE (FCFA / m²)</t>
        </is>
      </c>
      <c r="B148" s="6" t="n"/>
      <c r="C148" s="6" t="n"/>
      <c r="D148" s="6" t="n"/>
      <c r="E148" s="6" t="n"/>
      <c r="F148" s="13">
        <f>SUM(F141:F144)</f>
        <v/>
      </c>
      <c r="G148" s="14" t="inlineStr"/>
    </row>
    <row r="150">
      <c r="A150" s="5" t="inlineStr">
        <is>
          <t>Prix 302 – Coffrage des voiles (2 faces)   (unité : m²)</t>
        </is>
      </c>
      <c r="B150" s="6" t="n"/>
      <c r="C150" s="6" t="n"/>
      <c r="D150" s="6" t="n"/>
      <c r="E150" s="6" t="n"/>
      <c r="F150" s="6" t="n"/>
      <c r="G150" s="6" t="n"/>
    </row>
    <row r="151" ht="30" customHeight="1">
      <c r="A151" s="4" t="inlineStr">
        <is>
          <t>Nature</t>
        </is>
      </c>
      <c r="B151" s="4" t="inlineStr">
        <is>
          <t>Désignation</t>
        </is>
      </c>
      <c r="C151" s="4" t="inlineStr">
        <is>
          <t>Unité</t>
        </is>
      </c>
      <c r="D151" s="4" t="inlineStr">
        <is>
          <t>Quantité</t>
        </is>
      </c>
      <c r="E151" s="4" t="inlineStr">
        <is>
          <t>Prix unitaire</t>
        </is>
      </c>
      <c r="F151" s="4" t="inlineStr">
        <is>
          <t>Montant</t>
        </is>
      </c>
      <c r="G151" s="4" t="inlineStr"/>
    </row>
    <row r="152">
      <c r="A152" s="7" t="inlineStr">
        <is>
          <t>MAT</t>
        </is>
      </c>
      <c r="B152" s="8" t="inlineStr">
        <is>
          <t>Coffrage contreplaqué amorti</t>
        </is>
      </c>
      <c r="C152" s="7" t="inlineStr">
        <is>
          <t>m²</t>
        </is>
      </c>
      <c r="D152" s="37" t="n">
        <v>1</v>
      </c>
      <c r="E152" s="11">
        <f>Hypotheses!$C$57</f>
        <v/>
      </c>
      <c r="F152" s="11">
        <f>D152*E152</f>
        <v/>
      </c>
      <c r="G152" s="17" t="inlineStr"/>
    </row>
    <row r="153">
      <c r="A153" s="7" t="inlineStr">
        <is>
          <t>MAT</t>
        </is>
      </c>
      <c r="B153" s="8" t="inlineStr">
        <is>
          <t>Accessoires (tiges, cônes, huile, pointes)</t>
        </is>
      </c>
      <c r="C153" s="7" t="inlineStr">
        <is>
          <t>m²</t>
        </is>
      </c>
      <c r="D153" s="37" t="n">
        <v>1</v>
      </c>
      <c r="E153" s="11">
        <f>Hypotheses!$C$58</f>
        <v/>
      </c>
      <c r="F153" s="11">
        <f>D153*E153</f>
        <v/>
      </c>
      <c r="G153" s="17" t="inlineStr"/>
    </row>
    <row r="154">
      <c r="A154" s="7" t="inlineStr">
        <is>
          <t>MTL</t>
        </is>
      </c>
      <c r="B154" s="8" t="inlineStr">
        <is>
          <t>Étaiement / échafaudage</t>
        </is>
      </c>
      <c r="C154" s="7" t="inlineStr">
        <is>
          <t>m²</t>
        </is>
      </c>
      <c r="D154" s="37" t="n">
        <v>1</v>
      </c>
      <c r="E154" s="11">
        <f>Hypotheses!$C$59</f>
        <v/>
      </c>
      <c r="F154" s="11">
        <f>D154*E154</f>
        <v/>
      </c>
      <c r="G154" s="17" t="inlineStr"/>
    </row>
    <row r="155">
      <c r="A155" s="7" t="inlineStr">
        <is>
          <t>MO</t>
        </is>
      </c>
      <c r="B155" s="8" t="inlineStr">
        <is>
          <t>Coffreur</t>
        </is>
      </c>
      <c r="C155" s="7" t="inlineStr">
        <is>
          <t>j</t>
        </is>
      </c>
      <c r="D155" s="37">
        <f>1/Hypotheses!$C$81</f>
        <v/>
      </c>
      <c r="E155" s="11">
        <f>Hypotheses!$C$68</f>
        <v/>
      </c>
      <c r="F155" s="11">
        <f>D155*E155</f>
        <v/>
      </c>
      <c r="G155" s="17" t="inlineStr"/>
    </row>
    <row r="156">
      <c r="A156" s="7" t="inlineStr">
        <is>
          <t>MO</t>
        </is>
      </c>
      <c r="B156" s="8" t="inlineStr">
        <is>
          <t>Aide coffreur</t>
        </is>
      </c>
      <c r="C156" s="7" t="inlineStr">
        <is>
          <t>j</t>
        </is>
      </c>
      <c r="D156" s="37">
        <f>1/Hypotheses!$C$81</f>
        <v/>
      </c>
      <c r="E156" s="11">
        <f>Hypotheses!$C$69</f>
        <v/>
      </c>
      <c r="F156" s="11">
        <f>D156*E156</f>
        <v/>
      </c>
      <c r="G156" s="17" t="inlineStr"/>
    </row>
    <row r="157">
      <c r="A157" s="18" t="inlineStr">
        <is>
          <t>Sous-total matériaux</t>
        </is>
      </c>
      <c r="B157" s="6" t="n"/>
      <c r="C157" s="6" t="n"/>
      <c r="D157" s="6" t="n"/>
      <c r="E157" s="6" t="n"/>
      <c r="F157" s="11">
        <f>SUMIF($A$152:$A$156,"MAT",$F$152:$F$156)</f>
        <v/>
      </c>
      <c r="G157" s="17" t="inlineStr"/>
    </row>
    <row r="158">
      <c r="A158" s="18" t="inlineStr">
        <is>
          <t>Sous-total main d'œuvre</t>
        </is>
      </c>
      <c r="B158" s="6" t="n"/>
      <c r="C158" s="6" t="n"/>
      <c r="D158" s="6" t="n"/>
      <c r="E158" s="6" t="n"/>
      <c r="F158" s="11">
        <f>SUMIF($A$152:$A$156,"MO",$F$152:$F$156)</f>
        <v/>
      </c>
      <c r="G158" s="17" t="inlineStr"/>
    </row>
    <row r="159">
      <c r="A159" s="18" t="inlineStr">
        <is>
          <t>Sous-total matériel</t>
        </is>
      </c>
      <c r="B159" s="6" t="n"/>
      <c r="C159" s="6" t="n"/>
      <c r="D159" s="6" t="n"/>
      <c r="E159" s="6" t="n"/>
      <c r="F159" s="11">
        <f>SUMIF($A$152:$A$156,"MTL",$F$152:$F$156)</f>
        <v/>
      </c>
      <c r="G159" s="17" t="inlineStr"/>
    </row>
    <row r="160">
      <c r="A160" s="12" t="inlineStr">
        <is>
          <t>DÉBOURSÉ SEC UNITAIRE (FCFA / m²)</t>
        </is>
      </c>
      <c r="B160" s="6" t="n"/>
      <c r="C160" s="6" t="n"/>
      <c r="D160" s="6" t="n"/>
      <c r="E160" s="6" t="n"/>
      <c r="F160" s="13">
        <f>SUM(F152:F156)</f>
        <v/>
      </c>
      <c r="G160" s="14" t="inlineStr"/>
    </row>
    <row r="162">
      <c r="A162" s="5" t="inlineStr">
        <is>
          <t>Prix 401 – Acier HA8 FE500 façonné et posé   (unité : kg)</t>
        </is>
      </c>
      <c r="B162" s="6" t="n"/>
      <c r="C162" s="6" t="n"/>
      <c r="D162" s="6" t="n"/>
      <c r="E162" s="6" t="n"/>
      <c r="F162" s="6" t="n"/>
      <c r="G162" s="6" t="n"/>
    </row>
    <row r="163" ht="30" customHeight="1">
      <c r="A163" s="4" t="inlineStr">
        <is>
          <t>Nature</t>
        </is>
      </c>
      <c r="B163" s="4" t="inlineStr">
        <is>
          <t>Désignation</t>
        </is>
      </c>
      <c r="C163" s="4" t="inlineStr">
        <is>
          <t>Unité</t>
        </is>
      </c>
      <c r="D163" s="4" t="inlineStr">
        <is>
          <t>Quantité</t>
        </is>
      </c>
      <c r="E163" s="4" t="inlineStr">
        <is>
          <t>Prix unitaire</t>
        </is>
      </c>
      <c r="F163" s="4" t="inlineStr">
        <is>
          <t>Montant</t>
        </is>
      </c>
      <c r="G163" s="4" t="inlineStr"/>
    </row>
    <row r="164">
      <c r="A164" s="7" t="inlineStr">
        <is>
          <t>MAT</t>
        </is>
      </c>
      <c r="B164" s="8" t="inlineStr">
        <is>
          <t>Acier HA8 FE500 (avec chutes)</t>
        </is>
      </c>
      <c r="C164" s="7" t="inlineStr">
        <is>
          <t>kg</t>
        </is>
      </c>
      <c r="D164" s="37">
        <f>1+Hypotheses!$C$45</f>
        <v/>
      </c>
      <c r="E164" s="11">
        <f>Hypotheses!$C$52</f>
        <v/>
      </c>
      <c r="F164" s="11">
        <f>D164*E164</f>
        <v/>
      </c>
      <c r="G164" s="17" t="inlineStr"/>
    </row>
    <row r="165">
      <c r="A165" s="7" t="inlineStr">
        <is>
          <t>MAT</t>
        </is>
      </c>
      <c r="B165" s="8" t="inlineStr">
        <is>
          <t>Fil recuit</t>
        </is>
      </c>
      <c r="C165" s="7" t="inlineStr">
        <is>
          <t>kg</t>
        </is>
      </c>
      <c r="D165" s="37">
        <f>Hypotheses!$C$56</f>
        <v/>
      </c>
      <c r="E165" s="11">
        <f>Hypotheses!$C$55</f>
        <v/>
      </c>
      <c r="F165" s="11">
        <f>D165*E165</f>
        <v/>
      </c>
      <c r="G165" s="17" t="inlineStr"/>
    </row>
    <row r="166">
      <c r="A166" s="7" t="inlineStr">
        <is>
          <t>MO</t>
        </is>
      </c>
      <c r="B166" s="8" t="inlineStr">
        <is>
          <t>Ferrailleur</t>
        </is>
      </c>
      <c r="C166" s="7" t="inlineStr">
        <is>
          <t>j</t>
        </is>
      </c>
      <c r="D166" s="37">
        <f>1/Hypotheses!$C$83</f>
        <v/>
      </c>
      <c r="E166" s="11">
        <f>Hypotheses!$C$68</f>
        <v/>
      </c>
      <c r="F166" s="11">
        <f>D166*E166</f>
        <v/>
      </c>
      <c r="G166" s="17" t="inlineStr"/>
    </row>
    <row r="167">
      <c r="A167" s="7" t="inlineStr">
        <is>
          <t>MO</t>
        </is>
      </c>
      <c r="B167" s="8" t="inlineStr">
        <is>
          <t>Aide ferrailleur</t>
        </is>
      </c>
      <c r="C167" s="7" t="inlineStr">
        <is>
          <t>j</t>
        </is>
      </c>
      <c r="D167" s="37">
        <f>1/Hypotheses!$C$83</f>
        <v/>
      </c>
      <c r="E167" s="11">
        <f>Hypotheses!$C$69</f>
        <v/>
      </c>
      <c r="F167" s="11">
        <f>D167*E167</f>
        <v/>
      </c>
      <c r="G167" s="17" t="inlineStr"/>
    </row>
    <row r="168">
      <c r="A168" s="18" t="inlineStr">
        <is>
          <t>Sous-total matériaux</t>
        </is>
      </c>
      <c r="B168" s="6" t="n"/>
      <c r="C168" s="6" t="n"/>
      <c r="D168" s="6" t="n"/>
      <c r="E168" s="6" t="n"/>
      <c r="F168" s="11">
        <f>SUMIF($A$164:$A$167,"MAT",$F$164:$F$167)</f>
        <v/>
      </c>
      <c r="G168" s="17" t="inlineStr"/>
    </row>
    <row r="169">
      <c r="A169" s="18" t="inlineStr">
        <is>
          <t>Sous-total main d'œuvre</t>
        </is>
      </c>
      <c r="B169" s="6" t="n"/>
      <c r="C169" s="6" t="n"/>
      <c r="D169" s="6" t="n"/>
      <c r="E169" s="6" t="n"/>
      <c r="F169" s="11">
        <f>SUMIF($A$164:$A$167,"MO",$F$164:$F$167)</f>
        <v/>
      </c>
      <c r="G169" s="17" t="inlineStr"/>
    </row>
    <row r="170">
      <c r="A170" s="18" t="inlineStr">
        <is>
          <t>Sous-total matériel</t>
        </is>
      </c>
      <c r="B170" s="6" t="n"/>
      <c r="C170" s="6" t="n"/>
      <c r="D170" s="6" t="n"/>
      <c r="E170" s="6" t="n"/>
      <c r="F170" s="11">
        <f>SUMIF($A$164:$A$167,"MTL",$F$164:$F$167)</f>
        <v/>
      </c>
      <c r="G170" s="17" t="inlineStr"/>
    </row>
    <row r="171">
      <c r="A171" s="12" t="inlineStr">
        <is>
          <t>DÉBOURSÉ SEC UNITAIRE (FCFA / kg)</t>
        </is>
      </c>
      <c r="B171" s="6" t="n"/>
      <c r="C171" s="6" t="n"/>
      <c r="D171" s="6" t="n"/>
      <c r="E171" s="6" t="n"/>
      <c r="F171" s="13">
        <f>SUM(F164:F167)</f>
        <v/>
      </c>
      <c r="G171" s="14" t="inlineStr"/>
    </row>
    <row r="173">
      <c r="A173" s="5" t="inlineStr">
        <is>
          <t>Prix 402 – Acier HA10 FE500 façonné et posé   (unité : kg)</t>
        </is>
      </c>
      <c r="B173" s="6" t="n"/>
      <c r="C173" s="6" t="n"/>
      <c r="D173" s="6" t="n"/>
      <c r="E173" s="6" t="n"/>
      <c r="F173" s="6" t="n"/>
      <c r="G173" s="6" t="n"/>
    </row>
    <row r="174" ht="30" customHeight="1">
      <c r="A174" s="4" t="inlineStr">
        <is>
          <t>Nature</t>
        </is>
      </c>
      <c r="B174" s="4" t="inlineStr">
        <is>
          <t>Désignation</t>
        </is>
      </c>
      <c r="C174" s="4" t="inlineStr">
        <is>
          <t>Unité</t>
        </is>
      </c>
      <c r="D174" s="4" t="inlineStr">
        <is>
          <t>Quantité</t>
        </is>
      </c>
      <c r="E174" s="4" t="inlineStr">
        <is>
          <t>Prix unitaire</t>
        </is>
      </c>
      <c r="F174" s="4" t="inlineStr">
        <is>
          <t>Montant</t>
        </is>
      </c>
      <c r="G174" s="4" t="inlineStr"/>
    </row>
    <row r="175">
      <c r="A175" s="7" t="inlineStr">
        <is>
          <t>MAT</t>
        </is>
      </c>
      <c r="B175" s="8" t="inlineStr">
        <is>
          <t>Acier HA10 FE500 (avec chutes)</t>
        </is>
      </c>
      <c r="C175" s="7" t="inlineStr">
        <is>
          <t>kg</t>
        </is>
      </c>
      <c r="D175" s="37">
        <f>1+Hypotheses!$C$45</f>
        <v/>
      </c>
      <c r="E175" s="11">
        <f>Hypotheses!$C$53</f>
        <v/>
      </c>
      <c r="F175" s="11">
        <f>D175*E175</f>
        <v/>
      </c>
      <c r="G175" s="17" t="inlineStr"/>
    </row>
    <row r="176">
      <c r="A176" s="7" t="inlineStr">
        <is>
          <t>MAT</t>
        </is>
      </c>
      <c r="B176" s="8" t="inlineStr">
        <is>
          <t>Fil recuit</t>
        </is>
      </c>
      <c r="C176" s="7" t="inlineStr">
        <is>
          <t>kg</t>
        </is>
      </c>
      <c r="D176" s="37">
        <f>Hypotheses!$C$56</f>
        <v/>
      </c>
      <c r="E176" s="11">
        <f>Hypotheses!$C$55</f>
        <v/>
      </c>
      <c r="F176" s="11">
        <f>D176*E176</f>
        <v/>
      </c>
      <c r="G176" s="17" t="inlineStr"/>
    </row>
    <row r="177">
      <c r="A177" s="7" t="inlineStr">
        <is>
          <t>MO</t>
        </is>
      </c>
      <c r="B177" s="8" t="inlineStr">
        <is>
          <t>Ferrailleur</t>
        </is>
      </c>
      <c r="C177" s="7" t="inlineStr">
        <is>
          <t>j</t>
        </is>
      </c>
      <c r="D177" s="37">
        <f>1/Hypotheses!$C$83</f>
        <v/>
      </c>
      <c r="E177" s="11">
        <f>Hypotheses!$C$68</f>
        <v/>
      </c>
      <c r="F177" s="11">
        <f>D177*E177</f>
        <v/>
      </c>
      <c r="G177" s="17" t="inlineStr"/>
    </row>
    <row r="178">
      <c r="A178" s="7" t="inlineStr">
        <is>
          <t>MO</t>
        </is>
      </c>
      <c r="B178" s="8" t="inlineStr">
        <is>
          <t>Aide ferrailleur</t>
        </is>
      </c>
      <c r="C178" s="7" t="inlineStr">
        <is>
          <t>j</t>
        </is>
      </c>
      <c r="D178" s="37">
        <f>1/Hypotheses!$C$83</f>
        <v/>
      </c>
      <c r="E178" s="11">
        <f>Hypotheses!$C$69</f>
        <v/>
      </c>
      <c r="F178" s="11">
        <f>D178*E178</f>
        <v/>
      </c>
      <c r="G178" s="17" t="inlineStr"/>
    </row>
    <row r="179">
      <c r="A179" s="18" t="inlineStr">
        <is>
          <t>Sous-total matériaux</t>
        </is>
      </c>
      <c r="B179" s="6" t="n"/>
      <c r="C179" s="6" t="n"/>
      <c r="D179" s="6" t="n"/>
      <c r="E179" s="6" t="n"/>
      <c r="F179" s="11">
        <f>SUMIF($A$175:$A$178,"MAT",$F$175:$F$178)</f>
        <v/>
      </c>
      <c r="G179" s="17" t="inlineStr"/>
    </row>
    <row r="180">
      <c r="A180" s="18" t="inlineStr">
        <is>
          <t>Sous-total main d'œuvre</t>
        </is>
      </c>
      <c r="B180" s="6" t="n"/>
      <c r="C180" s="6" t="n"/>
      <c r="D180" s="6" t="n"/>
      <c r="E180" s="6" t="n"/>
      <c r="F180" s="11">
        <f>SUMIF($A$175:$A$178,"MO",$F$175:$F$178)</f>
        <v/>
      </c>
      <c r="G180" s="17" t="inlineStr"/>
    </row>
    <row r="181">
      <c r="A181" s="18" t="inlineStr">
        <is>
          <t>Sous-total matériel</t>
        </is>
      </c>
      <c r="B181" s="6" t="n"/>
      <c r="C181" s="6" t="n"/>
      <c r="D181" s="6" t="n"/>
      <c r="E181" s="6" t="n"/>
      <c r="F181" s="11">
        <f>SUMIF($A$175:$A$178,"MTL",$F$175:$F$178)</f>
        <v/>
      </c>
      <c r="G181" s="17" t="inlineStr"/>
    </row>
    <row r="182">
      <c r="A182" s="12" t="inlineStr">
        <is>
          <t>DÉBOURSÉ SEC UNITAIRE (FCFA / kg)</t>
        </is>
      </c>
      <c r="B182" s="6" t="n"/>
      <c r="C182" s="6" t="n"/>
      <c r="D182" s="6" t="n"/>
      <c r="E182" s="6" t="n"/>
      <c r="F182" s="13">
        <f>SUM(F175:F178)</f>
        <v/>
      </c>
      <c r="G182" s="14" t="inlineStr"/>
    </row>
    <row r="184">
      <c r="A184" s="5" t="inlineStr">
        <is>
          <t>Prix 403 – Acier HA12 FE500 façonné et posé   (unité : kg)</t>
        </is>
      </c>
      <c r="B184" s="6" t="n"/>
      <c r="C184" s="6" t="n"/>
      <c r="D184" s="6" t="n"/>
      <c r="E184" s="6" t="n"/>
      <c r="F184" s="6" t="n"/>
      <c r="G184" s="6" t="n"/>
    </row>
    <row r="185" ht="30" customHeight="1">
      <c r="A185" s="4" t="inlineStr">
        <is>
          <t>Nature</t>
        </is>
      </c>
      <c r="B185" s="4" t="inlineStr">
        <is>
          <t>Désignation</t>
        </is>
      </c>
      <c r="C185" s="4" t="inlineStr">
        <is>
          <t>Unité</t>
        </is>
      </c>
      <c r="D185" s="4" t="inlineStr">
        <is>
          <t>Quantité</t>
        </is>
      </c>
      <c r="E185" s="4" t="inlineStr">
        <is>
          <t>Prix unitaire</t>
        </is>
      </c>
      <c r="F185" s="4" t="inlineStr">
        <is>
          <t>Montant</t>
        </is>
      </c>
      <c r="G185" s="4" t="inlineStr"/>
    </row>
    <row r="186">
      <c r="A186" s="7" t="inlineStr">
        <is>
          <t>MAT</t>
        </is>
      </c>
      <c r="B186" s="8" t="inlineStr">
        <is>
          <t>Acier HA12 FE500 (avec chutes)</t>
        </is>
      </c>
      <c r="C186" s="7" t="inlineStr">
        <is>
          <t>kg</t>
        </is>
      </c>
      <c r="D186" s="37">
        <f>1+Hypotheses!$C$45</f>
        <v/>
      </c>
      <c r="E186" s="11">
        <f>Hypotheses!$C$54</f>
        <v/>
      </c>
      <c r="F186" s="11">
        <f>D186*E186</f>
        <v/>
      </c>
      <c r="G186" s="17" t="inlineStr"/>
    </row>
    <row r="187">
      <c r="A187" s="7" t="inlineStr">
        <is>
          <t>MAT</t>
        </is>
      </c>
      <c r="B187" s="8" t="inlineStr">
        <is>
          <t>Fil recuit</t>
        </is>
      </c>
      <c r="C187" s="7" t="inlineStr">
        <is>
          <t>kg</t>
        </is>
      </c>
      <c r="D187" s="37">
        <f>Hypotheses!$C$56</f>
        <v/>
      </c>
      <c r="E187" s="11">
        <f>Hypotheses!$C$55</f>
        <v/>
      </c>
      <c r="F187" s="11">
        <f>D187*E187</f>
        <v/>
      </c>
      <c r="G187" s="17" t="inlineStr"/>
    </row>
    <row r="188">
      <c r="A188" s="7" t="inlineStr">
        <is>
          <t>MO</t>
        </is>
      </c>
      <c r="B188" s="8" t="inlineStr">
        <is>
          <t>Ferrailleur</t>
        </is>
      </c>
      <c r="C188" s="7" t="inlineStr">
        <is>
          <t>j</t>
        </is>
      </c>
      <c r="D188" s="37">
        <f>1/Hypotheses!$C$83</f>
        <v/>
      </c>
      <c r="E188" s="11">
        <f>Hypotheses!$C$68</f>
        <v/>
      </c>
      <c r="F188" s="11">
        <f>D188*E188</f>
        <v/>
      </c>
      <c r="G188" s="17" t="inlineStr"/>
    </row>
    <row r="189">
      <c r="A189" s="7" t="inlineStr">
        <is>
          <t>MO</t>
        </is>
      </c>
      <c r="B189" s="8" t="inlineStr">
        <is>
          <t>Aide ferrailleur</t>
        </is>
      </c>
      <c r="C189" s="7" t="inlineStr">
        <is>
          <t>j</t>
        </is>
      </c>
      <c r="D189" s="37">
        <f>1/Hypotheses!$C$83</f>
        <v/>
      </c>
      <c r="E189" s="11">
        <f>Hypotheses!$C$69</f>
        <v/>
      </c>
      <c r="F189" s="11">
        <f>D189*E189</f>
        <v/>
      </c>
      <c r="G189" s="17" t="inlineStr"/>
    </row>
    <row r="190">
      <c r="A190" s="18" t="inlineStr">
        <is>
          <t>Sous-total matériaux</t>
        </is>
      </c>
      <c r="B190" s="6" t="n"/>
      <c r="C190" s="6" t="n"/>
      <c r="D190" s="6" t="n"/>
      <c r="E190" s="6" t="n"/>
      <c r="F190" s="11">
        <f>SUMIF($A$186:$A$189,"MAT",$F$186:$F$189)</f>
        <v/>
      </c>
      <c r="G190" s="17" t="inlineStr"/>
    </row>
    <row r="191">
      <c r="A191" s="18" t="inlineStr">
        <is>
          <t>Sous-total main d'œuvre</t>
        </is>
      </c>
      <c r="B191" s="6" t="n"/>
      <c r="C191" s="6" t="n"/>
      <c r="D191" s="6" t="n"/>
      <c r="E191" s="6" t="n"/>
      <c r="F191" s="11">
        <f>SUMIF($A$186:$A$189,"MO",$F$186:$F$189)</f>
        <v/>
      </c>
      <c r="G191" s="17" t="inlineStr"/>
    </row>
    <row r="192">
      <c r="A192" s="18" t="inlineStr">
        <is>
          <t>Sous-total matériel</t>
        </is>
      </c>
      <c r="B192" s="6" t="n"/>
      <c r="C192" s="6" t="n"/>
      <c r="D192" s="6" t="n"/>
      <c r="E192" s="6" t="n"/>
      <c r="F192" s="11">
        <f>SUMIF($A$186:$A$189,"MTL",$F$186:$F$189)</f>
        <v/>
      </c>
      <c r="G192" s="17" t="inlineStr"/>
    </row>
    <row r="193">
      <c r="A193" s="12" t="inlineStr">
        <is>
          <t>DÉBOURSÉ SEC UNITAIRE (FCFA / kg)</t>
        </is>
      </c>
      <c r="B193" s="6" t="n"/>
      <c r="C193" s="6" t="n"/>
      <c r="D193" s="6" t="n"/>
      <c r="E193" s="6" t="n"/>
      <c r="F193" s="13">
        <f>SUM(F186:F189)</f>
        <v/>
      </c>
      <c r="G193" s="14" t="inlineStr"/>
    </row>
    <row r="195">
      <c r="A195" s="5" t="inlineStr">
        <is>
          <t>Prix 502 – Déviation provisoire des eaux et épuisement   (unité : Ft)</t>
        </is>
      </c>
      <c r="B195" s="6" t="n"/>
      <c r="C195" s="6" t="n"/>
      <c r="D195" s="6" t="n"/>
      <c r="E195" s="6" t="n"/>
      <c r="F195" s="6" t="n"/>
      <c r="G195" s="6" t="n"/>
    </row>
    <row r="196" ht="30" customHeight="1">
      <c r="A196" s="4" t="inlineStr">
        <is>
          <t>Nature</t>
        </is>
      </c>
      <c r="B196" s="4" t="inlineStr">
        <is>
          <t>Désignation</t>
        </is>
      </c>
      <c r="C196" s="4" t="inlineStr">
        <is>
          <t>Unité</t>
        </is>
      </c>
      <c r="D196" s="4" t="inlineStr">
        <is>
          <t>Quantité</t>
        </is>
      </c>
      <c r="E196" s="4" t="inlineStr">
        <is>
          <t>Prix unitaire</t>
        </is>
      </c>
      <c r="F196" s="4" t="inlineStr">
        <is>
          <t>Montant</t>
        </is>
      </c>
      <c r="G196" s="4" t="inlineStr"/>
    </row>
    <row r="197">
      <c r="A197" s="7" t="inlineStr">
        <is>
          <t>MTL</t>
        </is>
      </c>
      <c r="B197" s="8" t="inlineStr">
        <is>
          <t>Motopompe + carburant</t>
        </is>
      </c>
      <c r="C197" s="7" t="inlineStr">
        <is>
          <t>j</t>
        </is>
      </c>
      <c r="D197" s="37">
        <f>Hypotheses!$C$24</f>
        <v/>
      </c>
      <c r="E197" s="11">
        <f>Hypotheses!$C$62</f>
        <v/>
      </c>
      <c r="F197" s="11">
        <f>D197*E197</f>
        <v/>
      </c>
      <c r="G197" s="17" t="inlineStr"/>
    </row>
    <row r="198">
      <c r="A198" s="7" t="inlineStr">
        <is>
          <t>MAT</t>
        </is>
      </c>
      <c r="B198" s="8" t="inlineStr">
        <is>
          <t>Sacs de sable / batardeaux, tuyaux</t>
        </is>
      </c>
      <c r="C198" s="7" t="inlineStr">
        <is>
          <t>Ft</t>
        </is>
      </c>
      <c r="D198" s="37" t="n">
        <v>1</v>
      </c>
      <c r="E198" s="11" t="n">
        <v>350000</v>
      </c>
      <c r="F198" s="11">
        <f>D198*E198</f>
        <v/>
      </c>
      <c r="G198" s="17" t="inlineStr"/>
    </row>
    <row r="199">
      <c r="A199" s="7" t="inlineStr">
        <is>
          <t>MO</t>
        </is>
      </c>
      <c r="B199" s="8" t="inlineStr">
        <is>
          <t>Manœuvre de surveillance pompage</t>
        </is>
      </c>
      <c r="C199" s="7" t="inlineStr">
        <is>
          <t>j</t>
        </is>
      </c>
      <c r="D199" s="37">
        <f>Hypotheses!$C$24</f>
        <v/>
      </c>
      <c r="E199" s="11">
        <f>Hypotheses!$C$69</f>
        <v/>
      </c>
      <c r="F199" s="11">
        <f>D199*E199</f>
        <v/>
      </c>
      <c r="G199" s="17" t="inlineStr"/>
    </row>
    <row r="200">
      <c r="A200" s="18" t="inlineStr">
        <is>
          <t>Sous-total matériaux</t>
        </is>
      </c>
      <c r="B200" s="6" t="n"/>
      <c r="C200" s="6" t="n"/>
      <c r="D200" s="6" t="n"/>
      <c r="E200" s="6" t="n"/>
      <c r="F200" s="11">
        <f>SUMIF($A$197:$A$199,"MAT",$F$197:$F$199)</f>
        <v/>
      </c>
      <c r="G200" s="17" t="inlineStr"/>
    </row>
    <row r="201">
      <c r="A201" s="18" t="inlineStr">
        <is>
          <t>Sous-total main d'œuvre</t>
        </is>
      </c>
      <c r="B201" s="6" t="n"/>
      <c r="C201" s="6" t="n"/>
      <c r="D201" s="6" t="n"/>
      <c r="E201" s="6" t="n"/>
      <c r="F201" s="11">
        <f>SUMIF($A$197:$A$199,"MO",$F$197:$F$199)</f>
        <v/>
      </c>
      <c r="G201" s="17" t="inlineStr"/>
    </row>
    <row r="202">
      <c r="A202" s="18" t="inlineStr">
        <is>
          <t>Sous-total matériel</t>
        </is>
      </c>
      <c r="B202" s="6" t="n"/>
      <c r="C202" s="6" t="n"/>
      <c r="D202" s="6" t="n"/>
      <c r="E202" s="6" t="n"/>
      <c r="F202" s="11">
        <f>SUMIF($A$197:$A$199,"MTL",$F$197:$F$199)</f>
        <v/>
      </c>
      <c r="G202" s="17" t="inlineStr"/>
    </row>
    <row r="203">
      <c r="A203" s="12" t="inlineStr">
        <is>
          <t>DÉBOURSÉ SEC UNITAIRE (FCFA / Ft)</t>
        </is>
      </c>
      <c r="B203" s="6" t="n"/>
      <c r="C203" s="6" t="n"/>
      <c r="D203" s="6" t="n"/>
      <c r="E203" s="6" t="n"/>
      <c r="F203" s="13">
        <f>SUM(F197:F199)</f>
        <v/>
      </c>
      <c r="G203" s="14" t="inlineStr"/>
    </row>
    <row r="205">
      <c r="A205" s="5" t="inlineStr">
        <is>
          <t>Prix 503 – Barbacane PVC Ø75 avec filtre   (unité : u)</t>
        </is>
      </c>
      <c r="B205" s="6" t="n"/>
      <c r="C205" s="6" t="n"/>
      <c r="D205" s="6" t="n"/>
      <c r="E205" s="6" t="n"/>
      <c r="F205" s="6" t="n"/>
      <c r="G205" s="6" t="n"/>
    </row>
    <row r="206" ht="30" customHeight="1">
      <c r="A206" s="4" t="inlineStr">
        <is>
          <t>Nature</t>
        </is>
      </c>
      <c r="B206" s="4" t="inlineStr">
        <is>
          <t>Désignation</t>
        </is>
      </c>
      <c r="C206" s="4" t="inlineStr">
        <is>
          <t>Unité</t>
        </is>
      </c>
      <c r="D206" s="4" t="inlineStr">
        <is>
          <t>Quantité</t>
        </is>
      </c>
      <c r="E206" s="4" t="inlineStr">
        <is>
          <t>Prix unitaire</t>
        </is>
      </c>
      <c r="F206" s="4" t="inlineStr">
        <is>
          <t>Montant</t>
        </is>
      </c>
      <c r="G206" s="4" t="inlineStr"/>
    </row>
    <row r="207">
      <c r="A207" s="7" t="inlineStr">
        <is>
          <t>MAT</t>
        </is>
      </c>
      <c r="B207" s="8" t="inlineStr">
        <is>
          <t>Tube PVC Ø75 + gravier filtrant + géotextile</t>
        </is>
      </c>
      <c r="C207" s="7" t="inlineStr">
        <is>
          <t>u</t>
        </is>
      </c>
      <c r="D207" s="37" t="n">
        <v>1</v>
      </c>
      <c r="E207" s="11">
        <f>Hypotheses!$C$61</f>
        <v/>
      </c>
      <c r="F207" s="11">
        <f>D207*E207</f>
        <v/>
      </c>
      <c r="G207" s="17" t="inlineStr"/>
    </row>
    <row r="208">
      <c r="A208" s="7" t="inlineStr">
        <is>
          <t>MO</t>
        </is>
      </c>
      <c r="B208" s="8" t="inlineStr">
        <is>
          <t>Maçon</t>
        </is>
      </c>
      <c r="C208" s="7" t="inlineStr">
        <is>
          <t>j</t>
        </is>
      </c>
      <c r="D208" s="37">
        <f>1/40</f>
        <v/>
      </c>
      <c r="E208" s="11">
        <f>Hypotheses!$C$68</f>
        <v/>
      </c>
      <c r="F208" s="11">
        <f>D208*E208</f>
        <v/>
      </c>
      <c r="G208" s="17" t="inlineStr"/>
    </row>
    <row r="209">
      <c r="A209" s="18" t="inlineStr">
        <is>
          <t>Sous-total matériaux</t>
        </is>
      </c>
      <c r="B209" s="6" t="n"/>
      <c r="C209" s="6" t="n"/>
      <c r="D209" s="6" t="n"/>
      <c r="E209" s="6" t="n"/>
      <c r="F209" s="11">
        <f>SUMIF($A$207:$A$208,"MAT",$F$207:$F$208)</f>
        <v/>
      </c>
      <c r="G209" s="17" t="inlineStr"/>
    </row>
    <row r="210">
      <c r="A210" s="18" t="inlineStr">
        <is>
          <t>Sous-total main d'œuvre</t>
        </is>
      </c>
      <c r="B210" s="6" t="n"/>
      <c r="C210" s="6" t="n"/>
      <c r="D210" s="6" t="n"/>
      <c r="E210" s="6" t="n"/>
      <c r="F210" s="11">
        <f>SUMIF($A$207:$A$208,"MO",$F$207:$F$208)</f>
        <v/>
      </c>
      <c r="G210" s="17" t="inlineStr"/>
    </row>
    <row r="211">
      <c r="A211" s="18" t="inlineStr">
        <is>
          <t>Sous-total matériel</t>
        </is>
      </c>
      <c r="B211" s="6" t="n"/>
      <c r="C211" s="6" t="n"/>
      <c r="D211" s="6" t="n"/>
      <c r="E211" s="6" t="n"/>
      <c r="F211" s="11">
        <f>SUMIF($A$207:$A$208,"MTL",$F$207:$F$208)</f>
        <v/>
      </c>
      <c r="G211" s="17" t="inlineStr"/>
    </row>
    <row r="212">
      <c r="A212" s="12" t="inlineStr">
        <is>
          <t>DÉBOURSÉ SEC UNITAIRE (FCFA / u)</t>
        </is>
      </c>
      <c r="B212" s="6" t="n"/>
      <c r="C212" s="6" t="n"/>
      <c r="D212" s="6" t="n"/>
      <c r="E212" s="6" t="n"/>
      <c r="F212" s="13">
        <f>SUM(F207:F208)</f>
        <v/>
      </c>
      <c r="G212" s="14" t="inlineStr"/>
    </row>
    <row r="214">
      <c r="A214" s="5" t="inlineStr">
        <is>
          <t>Prix 504 – Raccordement à un ouvrage existant   (unité : u)</t>
        </is>
      </c>
      <c r="B214" s="6" t="n"/>
      <c r="C214" s="6" t="n"/>
      <c r="D214" s="6" t="n"/>
      <c r="E214" s="6" t="n"/>
      <c r="F214" s="6" t="n"/>
      <c r="G214" s="6" t="n"/>
    </row>
    <row r="215" ht="30" customHeight="1">
      <c r="A215" s="4" t="inlineStr">
        <is>
          <t>Nature</t>
        </is>
      </c>
      <c r="B215" s="4" t="inlineStr">
        <is>
          <t>Désignation</t>
        </is>
      </c>
      <c r="C215" s="4" t="inlineStr">
        <is>
          <t>Unité</t>
        </is>
      </c>
      <c r="D215" s="4" t="inlineStr">
        <is>
          <t>Quantité</t>
        </is>
      </c>
      <c r="E215" s="4" t="inlineStr">
        <is>
          <t>Prix unitaire</t>
        </is>
      </c>
      <c r="F215" s="4" t="inlineStr">
        <is>
          <t>Montant</t>
        </is>
      </c>
      <c r="G215" s="4" t="inlineStr"/>
    </row>
    <row r="216">
      <c r="A216" s="7" t="inlineStr">
        <is>
          <t>MAT</t>
        </is>
      </c>
      <c r="B216" s="8" t="inlineStr">
        <is>
          <t>Béton, aciers et coffrage de raccordement (≈ 1,5 m³)</t>
        </is>
      </c>
      <c r="C216" s="7" t="inlineStr">
        <is>
          <t>Ft</t>
        </is>
      </c>
      <c r="D216" s="37" t="n">
        <v>1</v>
      </c>
      <c r="E216" s="11" t="n">
        <v>250000</v>
      </c>
      <c r="F216" s="11">
        <f>D216*E216</f>
        <v/>
      </c>
      <c r="G216" s="17" t="inlineStr"/>
    </row>
    <row r="217">
      <c r="A217" s="7" t="inlineStr">
        <is>
          <t>MO</t>
        </is>
      </c>
      <c r="B217" s="8" t="inlineStr">
        <is>
          <t>Équipe maçonnerie (1 maçon + 2 manœuvres)</t>
        </is>
      </c>
      <c r="C217" s="7" t="inlineStr">
        <is>
          <t>j</t>
        </is>
      </c>
      <c r="D217" s="37" t="n">
        <v>3</v>
      </c>
      <c r="E217" s="11">
        <f>Hypotheses!$C$68+2*Hypotheses!$C$69</f>
        <v/>
      </c>
      <c r="F217" s="11">
        <f>D217*E217</f>
        <v/>
      </c>
      <c r="G217" s="17" t="inlineStr"/>
    </row>
    <row r="218">
      <c r="A218" s="7" t="inlineStr">
        <is>
          <t>MAT</t>
        </is>
      </c>
      <c r="B218" s="8" t="inlineStr">
        <is>
          <t>Démolition / repiquage de l'existant</t>
        </is>
      </c>
      <c r="C218" s="7" t="inlineStr">
        <is>
          <t>Ft</t>
        </is>
      </c>
      <c r="D218" s="37" t="n">
        <v>1</v>
      </c>
      <c r="E218" s="11" t="n">
        <v>50000</v>
      </c>
      <c r="F218" s="11">
        <f>D218*E218</f>
        <v/>
      </c>
      <c r="G218" s="17" t="inlineStr"/>
    </row>
    <row r="219">
      <c r="A219" s="18" t="inlineStr">
        <is>
          <t>Sous-total matériaux</t>
        </is>
      </c>
      <c r="B219" s="6" t="n"/>
      <c r="C219" s="6" t="n"/>
      <c r="D219" s="6" t="n"/>
      <c r="E219" s="6" t="n"/>
      <c r="F219" s="11">
        <f>SUMIF($A$216:$A$218,"MAT",$F$216:$F$218)</f>
        <v/>
      </c>
      <c r="G219" s="17" t="inlineStr"/>
    </row>
    <row r="220">
      <c r="A220" s="18" t="inlineStr">
        <is>
          <t>Sous-total main d'œuvre</t>
        </is>
      </c>
      <c r="B220" s="6" t="n"/>
      <c r="C220" s="6" t="n"/>
      <c r="D220" s="6" t="n"/>
      <c r="E220" s="6" t="n"/>
      <c r="F220" s="11">
        <f>SUMIF($A$216:$A$218,"MO",$F$216:$F$218)</f>
        <v/>
      </c>
      <c r="G220" s="17" t="inlineStr"/>
    </row>
    <row r="221">
      <c r="A221" s="18" t="inlineStr">
        <is>
          <t>Sous-total matériel</t>
        </is>
      </c>
      <c r="B221" s="6" t="n"/>
      <c r="C221" s="6" t="n"/>
      <c r="D221" s="6" t="n"/>
      <c r="E221" s="6" t="n"/>
      <c r="F221" s="11">
        <f>SUMIF($A$216:$A$218,"MTL",$F$216:$F$218)</f>
        <v/>
      </c>
      <c r="G221" s="17" t="inlineStr"/>
    </row>
    <row r="222">
      <c r="A222" s="12" t="inlineStr">
        <is>
          <t>DÉBOURSÉ SEC UNITAIRE (FCFA / u)</t>
        </is>
      </c>
      <c r="B222" s="6" t="n"/>
      <c r="C222" s="6" t="n"/>
      <c r="D222" s="6" t="n"/>
      <c r="E222" s="6" t="n"/>
      <c r="F222" s="13">
        <f>SUM(F216:F218)</f>
        <v/>
      </c>
      <c r="G222" s="14" t="inlineStr"/>
    </row>
    <row r="224">
      <c r="A224" s="5" t="inlineStr">
        <is>
          <t>Prix 501 – Joint de dilatation (polystyrène 2 cm + mastic)   (unité : ml)</t>
        </is>
      </c>
      <c r="B224" s="6" t="n"/>
      <c r="C224" s="6" t="n"/>
      <c r="D224" s="6" t="n"/>
      <c r="E224" s="6" t="n"/>
      <c r="F224" s="6" t="n"/>
      <c r="G224" s="6" t="n"/>
    </row>
    <row r="225" ht="30" customHeight="1">
      <c r="A225" s="4" t="inlineStr">
        <is>
          <t>Nature</t>
        </is>
      </c>
      <c r="B225" s="4" t="inlineStr">
        <is>
          <t>Désignation</t>
        </is>
      </c>
      <c r="C225" s="4" t="inlineStr">
        <is>
          <t>Unité</t>
        </is>
      </c>
      <c r="D225" s="4" t="inlineStr">
        <is>
          <t>Quantité</t>
        </is>
      </c>
      <c r="E225" s="4" t="inlineStr">
        <is>
          <t>Prix unitaire</t>
        </is>
      </c>
      <c r="F225" s="4" t="inlineStr">
        <is>
          <t>Montant</t>
        </is>
      </c>
      <c r="G225" s="4" t="inlineStr"/>
    </row>
    <row r="226">
      <c r="A226" s="7" t="inlineStr">
        <is>
          <t>MAT</t>
        </is>
      </c>
      <c r="B226" s="8" t="inlineStr">
        <is>
          <t>Polystyrène + mastic polyuréthane</t>
        </is>
      </c>
      <c r="C226" s="7" t="inlineStr">
        <is>
          <t>ml</t>
        </is>
      </c>
      <c r="D226" s="37" t="n">
        <v>1</v>
      </c>
      <c r="E226" s="11">
        <f>Hypotheses!$C$64</f>
        <v/>
      </c>
      <c r="F226" s="11">
        <f>D226*E226</f>
        <v/>
      </c>
      <c r="G226" s="17" t="inlineStr"/>
    </row>
    <row r="227">
      <c r="A227" s="7" t="inlineStr">
        <is>
          <t>MO</t>
        </is>
      </c>
      <c r="B227" s="8" t="inlineStr">
        <is>
          <t>Ouvrier qualifié</t>
        </is>
      </c>
      <c r="C227" s="7" t="inlineStr">
        <is>
          <t>j</t>
        </is>
      </c>
      <c r="D227" s="37">
        <f>1/Hypotheses!$C$84</f>
        <v/>
      </c>
      <c r="E227" s="11">
        <f>Hypotheses!$C$68</f>
        <v/>
      </c>
      <c r="F227" s="11">
        <f>D227*E227</f>
        <v/>
      </c>
      <c r="G227" s="17" t="inlineStr"/>
    </row>
    <row r="228">
      <c r="A228" s="7" t="inlineStr">
        <is>
          <t>MO</t>
        </is>
      </c>
      <c r="B228" s="8" t="inlineStr">
        <is>
          <t>Manœuvre</t>
        </is>
      </c>
      <c r="C228" s="7" t="inlineStr">
        <is>
          <t>j</t>
        </is>
      </c>
      <c r="D228" s="37">
        <f>1/Hypotheses!$C$84</f>
        <v/>
      </c>
      <c r="E228" s="11">
        <f>Hypotheses!$C$69</f>
        <v/>
      </c>
      <c r="F228" s="11">
        <f>D228*E228</f>
        <v/>
      </c>
      <c r="G228" s="17" t="inlineStr"/>
    </row>
    <row r="229">
      <c r="A229" s="18" t="inlineStr">
        <is>
          <t>Sous-total matériaux</t>
        </is>
      </c>
      <c r="B229" s="6" t="n"/>
      <c r="C229" s="6" t="n"/>
      <c r="D229" s="6" t="n"/>
      <c r="E229" s="6" t="n"/>
      <c r="F229" s="11">
        <f>SUMIF($A$226:$A$228,"MAT",$F$226:$F$228)</f>
        <v/>
      </c>
      <c r="G229" s="17" t="inlineStr"/>
    </row>
    <row r="230">
      <c r="A230" s="18" t="inlineStr">
        <is>
          <t>Sous-total main d'œuvre</t>
        </is>
      </c>
      <c r="B230" s="6" t="n"/>
      <c r="C230" s="6" t="n"/>
      <c r="D230" s="6" t="n"/>
      <c r="E230" s="6" t="n"/>
      <c r="F230" s="11">
        <f>SUMIF($A$226:$A$228,"MO",$F$226:$F$228)</f>
        <v/>
      </c>
      <c r="G230" s="17" t="inlineStr"/>
    </row>
    <row r="231">
      <c r="A231" s="18" t="inlineStr">
        <is>
          <t>Sous-total matériel</t>
        </is>
      </c>
      <c r="B231" s="6" t="n"/>
      <c r="C231" s="6" t="n"/>
      <c r="D231" s="6" t="n"/>
      <c r="E231" s="6" t="n"/>
      <c r="F231" s="11">
        <f>SUMIF($A$226:$A$228,"MTL",$F$226:$F$228)</f>
        <v/>
      </c>
      <c r="G231" s="17" t="inlineStr"/>
    </row>
    <row r="232">
      <c r="A232" s="12" t="inlineStr">
        <is>
          <t>DÉBOURSÉ SEC UNITAIRE (FCFA / ml)</t>
        </is>
      </c>
      <c r="B232" s="6" t="n"/>
      <c r="C232" s="6" t="n"/>
      <c r="D232" s="6" t="n"/>
      <c r="E232" s="6" t="n"/>
      <c r="F232" s="13">
        <f>SUM(F226:F228)</f>
        <v/>
      </c>
      <c r="G232" s="14" t="inlineStr"/>
    </row>
  </sheetData>
  <mergeCells count="104">
    <mergeCell ref="A232:E232"/>
    <mergeCell ref="A182:E182"/>
    <mergeCell ref="A45:E45"/>
    <mergeCell ref="A103:E103"/>
    <mergeCell ref="A168:E168"/>
    <mergeCell ref="A79:E79"/>
    <mergeCell ref="A87:E87"/>
    <mergeCell ref="A65:E65"/>
    <mergeCell ref="A193:E193"/>
    <mergeCell ref="A137:E137"/>
    <mergeCell ref="A37:E37"/>
    <mergeCell ref="A46:E46"/>
    <mergeCell ref="A59:G59"/>
    <mergeCell ref="A89:E89"/>
    <mergeCell ref="A136:E136"/>
    <mergeCell ref="A192:E192"/>
    <mergeCell ref="A105:E105"/>
    <mergeCell ref="A26:E26"/>
    <mergeCell ref="A57:E57"/>
    <mergeCell ref="A210:E210"/>
    <mergeCell ref="A179:E179"/>
    <mergeCell ref="A203:E203"/>
    <mergeCell ref="A181:E181"/>
    <mergeCell ref="A171:E171"/>
    <mergeCell ref="A139:G139"/>
    <mergeCell ref="A220:E220"/>
    <mergeCell ref="A229:E229"/>
    <mergeCell ref="A77:E77"/>
    <mergeCell ref="A148:E148"/>
    <mergeCell ref="A157:E157"/>
    <mergeCell ref="A91:G91"/>
    <mergeCell ref="A184:G184"/>
    <mergeCell ref="A222:E222"/>
    <mergeCell ref="A36:E36"/>
    <mergeCell ref="A119:E119"/>
    <mergeCell ref="A78:E78"/>
    <mergeCell ref="A173:G173"/>
    <mergeCell ref="A118:E118"/>
    <mergeCell ref="A49:G49"/>
    <mergeCell ref="A120:E120"/>
    <mergeCell ref="A55:E55"/>
    <mergeCell ref="A1:G1"/>
    <mergeCell ref="A104:E104"/>
    <mergeCell ref="A205:G205"/>
    <mergeCell ref="A14:E14"/>
    <mergeCell ref="A159:E159"/>
    <mergeCell ref="A219:E219"/>
    <mergeCell ref="A200:E200"/>
    <mergeCell ref="A38:E38"/>
    <mergeCell ref="A209:E209"/>
    <mergeCell ref="A147:E147"/>
    <mergeCell ref="A3:G3"/>
    <mergeCell ref="A170:E170"/>
    <mergeCell ref="A202:E202"/>
    <mergeCell ref="A211:E211"/>
    <mergeCell ref="A67:E67"/>
    <mergeCell ref="A24:E24"/>
    <mergeCell ref="A201:E201"/>
    <mergeCell ref="A4:G4"/>
    <mergeCell ref="A146:E146"/>
    <mergeCell ref="A40:G40"/>
    <mergeCell ref="A16:E16"/>
    <mergeCell ref="A221:E221"/>
    <mergeCell ref="A25:E25"/>
    <mergeCell ref="A66:E66"/>
    <mergeCell ref="A158:E158"/>
    <mergeCell ref="A123:G123"/>
    <mergeCell ref="A86:E86"/>
    <mergeCell ref="A6:G6"/>
    <mergeCell ref="A47:E47"/>
    <mergeCell ref="A160:E160"/>
    <mergeCell ref="A135:E135"/>
    <mergeCell ref="A18:G18"/>
    <mergeCell ref="A134:E134"/>
    <mergeCell ref="A121:E121"/>
    <mergeCell ref="A2:G2"/>
    <mergeCell ref="A13:E13"/>
    <mergeCell ref="A44:E44"/>
    <mergeCell ref="A150:G150"/>
    <mergeCell ref="A15:E15"/>
    <mergeCell ref="A191:E191"/>
    <mergeCell ref="A169:E169"/>
    <mergeCell ref="A224:G224"/>
    <mergeCell ref="A29:G29"/>
    <mergeCell ref="A81:G81"/>
    <mergeCell ref="A88:E88"/>
    <mergeCell ref="A54:E54"/>
    <mergeCell ref="A212:E212"/>
    <mergeCell ref="A56:E56"/>
    <mergeCell ref="A27:E27"/>
    <mergeCell ref="A107:G107"/>
    <mergeCell ref="A145:E145"/>
    <mergeCell ref="A70:G70"/>
    <mergeCell ref="A162:G162"/>
    <mergeCell ref="A76:E76"/>
    <mergeCell ref="A231:E231"/>
    <mergeCell ref="A35:E35"/>
    <mergeCell ref="A180:E180"/>
    <mergeCell ref="A214:G214"/>
    <mergeCell ref="A68:E68"/>
    <mergeCell ref="A190:E190"/>
    <mergeCell ref="A102:E102"/>
    <mergeCell ref="A230:E230"/>
    <mergeCell ref="A195:G195"/>
  </mergeCells>
  <pageMargins left="0.75" right="0.75" top="1" bottom="1" header="0.5" footer="0.5"/>
  <pageSetup orientation="landscape" fitToHeight="0" fitToWidth="1"/>
  <headerFooter>
    <oddHeader>&amp;RMoulo Jean Claude – Chantier de Bouaflé</oddHeader>
    <oddFooter>&amp;CPage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Moulo Jean Claude</dc:creator>
  <dcterms:created xsi:type="dcterms:W3CDTF">2026-10-01T21:32:14Z</dcterms:created>
  <dcterms:modified xsi:type="dcterms:W3CDTF">2026-10-01T21:32:14Z</dcterms:modified>
</cp:coreProperties>
</file>