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7.xml" ContentType="application/vnd.openxmlformats-officedocument.spreadsheetml.comments+xml"/>
  <Override PartName="/xl/comments7.xml" ContentType="application/vnd.openxmlformats-officedocument.spreadsheetml.comments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0.xml" ContentType="application/vnd.openxmlformats-officedocument.spreadsheetml.comments+xml"/>
  <Override PartName="/xl/comments18.xml" ContentType="application/vnd.openxmlformats-officedocument.spreadsheetml.comments+xml"/>
  <Override PartName="/xl/theme/theme1.xml" ContentType="application/vnd.openxmlformats-officedocument.theme+xml"/>
  <Override PartName="/xl/comments19.xml" ContentType="application/vnd.openxmlformats-officedocument.spreadsheetml.comment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comments21.xml" ContentType="application/vnd.openxmlformats-officedocument.spreadsheetml.comment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0.vml" ContentType="application/vnd.openxmlformats-officedocument.vmlDrawing"/>
  <Override PartName="/xl/drawings/vmlDrawing4.vml" ContentType="application/vnd.openxmlformats-officedocument.vmlDrawing"/>
  <Override PartName="/xl/drawings/drawing23.xml" ContentType="application/vnd.openxmlformats-officedocument.drawing+xml"/>
  <Override PartName="/xl/drawings/drawing19.xml" ContentType="application/vnd.openxmlformats-officedocument.drawing+xml"/>
  <Override PartName="/xl/drawings/vmlDrawing9.vml" ContentType="application/vnd.openxmlformats-officedocument.vmlDrawing"/>
  <Override PartName="/xl/drawings/drawing16.xml" ContentType="application/vnd.openxmlformats-officedocument.drawing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drawings/drawing17.xml" ContentType="application/vnd.openxmlformats-officedocument.drawing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8.xml" ContentType="application/vnd.openxmlformats-officedocument.drawing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drawings/drawing6.xml" ContentType="application/vnd.openxmlformats-officedocument.drawing+xml"/>
  <Override PartName="/xl/drawings/drawing24.xml" ContentType="application/vnd.openxmlformats-officedocument.drawing+xml"/>
  <Override PartName="/xl/drawings/vmlDrawing5.vml" ContentType="application/vnd.openxmlformats-officedocument.vmlDrawing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vmlDrawing3.vml" ContentType="application/vnd.openxmlformats-officedocument.vmlDrawing"/>
  <Override PartName="/xl/drawings/drawing22.xml" ContentType="application/vnd.openxmlformats-officedocument.drawing+xml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vmlDrawing2.vml" ContentType="application/vnd.openxmlformats-officedocument.vmlDrawing"/>
  <Override PartName="/xl/drawings/drawing21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vmlDrawing1.vml" ContentType="application/vnd.openxmlformats-officedocument.vmlDrawing"/>
  <Override PartName="/xl/drawings/drawing11.xml" ContentType="application/vnd.openxmlformats-officedocument.drawing+xml"/>
  <Override PartName="/xl/comments13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Paramètres" sheetId="2" state="visible" r:id="rId4"/>
    <sheet name="02_Tableau_de_bord" sheetId="3" state="visible" r:id="rId5"/>
    <sheet name="01_Planning" sheetId="4" state="visible" r:id="rId6"/>
    <sheet name="03_Budget" sheetId="5" state="visible" r:id="rId7"/>
    <sheet name="04_Situations" sheetId="6" state="visible" r:id="rId8"/>
    <sheet name="05_Factures" sheetId="7" state="visible" r:id="rId9"/>
    <sheet name="06_Pointage" sheetId="8" state="visible" r:id="rId10"/>
    <sheet name="07_Affectation" sheetId="9" state="visible" r:id="rId11"/>
    <sheet name="08_Commandes" sheetId="10" state="visible" r:id="rId12"/>
    <sheet name="09_Stock" sheetId="11" state="visible" r:id="rId13"/>
    <sheet name="09b_Livraisons" sheetId="12" state="visible" r:id="rId14"/>
    <sheet name="10_Journal" sheetId="13" state="visible" r:id="rId15"/>
    <sheet name="11_Incidents" sheetId="14" state="visible" r:id="rId16"/>
    <sheet name="12_Controle_qualite" sheetId="15" state="visible" r:id="rId17"/>
    <sheet name="13_Route" sheetId="16" state="visible" r:id="rId18"/>
    <sheet name="14_Points_critiques" sheetId="17" state="visible" r:id="rId19"/>
    <sheet name="15_Dalots" sheetId="18" state="visible" r:id="rId20"/>
    <sheet name="16_Batiment_TCE" sheetId="19" state="visible" r:id="rId21"/>
    <sheet name="17_Cloture" sheetId="20" state="visible" r:id="rId22"/>
    <sheet name="18_Charpente_metal" sheetId="21" state="visible" r:id="rId23"/>
    <sheet name="19_Engins" sheetId="22" state="visible" r:id="rId24"/>
    <sheet name="19b_Engins_journal" sheetId="23" state="visible" r:id="rId25"/>
    <sheet name="Plan_controle" sheetId="24" state="visible" r:id="rId26"/>
    <sheet name="Personnel" sheetId="25" state="visible" r:id="rId27"/>
    <sheet name="Checklist_lancement" sheetId="26" state="visible" r:id="rId28"/>
    <sheet name="Lexique" sheetId="27" state="visible" r:id="rId29"/>
  </sheets>
  <definedNames>
    <definedName function="false" hidden="true" localSheetId="3" name="_xlnm._FilterDatabase" vbProcedure="false">01_Planning!$A$7:$K$67</definedName>
    <definedName function="false" hidden="true" localSheetId="4" name="_xlnm._FilterDatabase" vbProcedure="false">03_Budget!$A$6:$K$21</definedName>
    <definedName function="false" hidden="true" localSheetId="5" name="_xlnm._FilterDatabase" vbProcedure="false">04_Situations!$A$7:$M$67</definedName>
    <definedName function="false" hidden="true" localSheetId="6" name="_xlnm._FilterDatabase" vbProcedure="false">05_Factures!$A$6:$R$156</definedName>
    <definedName function="false" hidden="true" localSheetId="7" name="_xlnm._FilterDatabase" vbProcedure="false">06_Pointage!$A$6:$L$2006</definedName>
    <definedName function="false" hidden="true" localSheetId="8" name="_xlnm._FilterDatabase" vbProcedure="false">07_Affectation!$A$6:$K$406</definedName>
    <definedName function="false" hidden="true" localSheetId="9" name="_xlnm._FilterDatabase" vbProcedure="false">08_Commandes!$A$6:$P$156</definedName>
    <definedName function="false" hidden="true" localSheetId="10" name="_xlnm._FilterDatabase" vbProcedure="false">09_Stock!$A$6:$L$86</definedName>
    <definedName function="false" hidden="true" localSheetId="11" name="_xlnm._FilterDatabase" vbProcedure="false">09b_Livraisons!$A$6:$L$806</definedName>
    <definedName function="false" hidden="true" localSheetId="12" name="_xlnm._FilterDatabase" vbProcedure="false">10_Journal!$A$6:$L$306</definedName>
    <definedName function="false" hidden="true" localSheetId="13" name="_xlnm._FilterDatabase" vbProcedure="false">11_Incidents!$A$6:$O$106</definedName>
    <definedName function="false" hidden="true" localSheetId="14" name="_xlnm._FilterDatabase" vbProcedure="false">12_Controle_qualite!$A$6:$S$506</definedName>
    <definedName function="false" hidden="true" localSheetId="15" name="_xlnm._FilterDatabase" vbProcedure="false">13_Route!$A$7:$V$87</definedName>
    <definedName function="false" hidden="true" localSheetId="16" name="_xlnm._FilterDatabase" vbProcedure="false">14_Points_critiques!$A$7:$V$67</definedName>
    <definedName function="false" hidden="true" localSheetId="17" name="_xlnm._FilterDatabase" vbProcedure="false">15_Dalots!$A$7:$T$37</definedName>
    <definedName function="false" hidden="true" localSheetId="18" name="_xlnm._FilterDatabase" vbProcedure="false">16_Batiment_TCE!$A$7:$L$47</definedName>
    <definedName function="false" hidden="true" localSheetId="19" name="_xlnm._FilterDatabase" vbProcedure="false">17_Cloture!$A$7:$O$37</definedName>
    <definedName function="false" hidden="true" localSheetId="20" name="_xlnm._FilterDatabase" vbProcedure="false">18_Charpente_metal!$A$7:$Q$47</definedName>
    <definedName function="false" hidden="true" localSheetId="21" name="_xlnm._FilterDatabase" vbProcedure="false">19_Engins!$A$6:$Q$56</definedName>
    <definedName function="false" hidden="true" localSheetId="22" name="_xlnm._FilterDatabase" vbProcedure="false">19b_Engins_journal!$A$6:$Q$1506</definedName>
    <definedName function="false" hidden="true" localSheetId="25" name="_xlnm._FilterDatabase" vbProcedure="false">Checklist_lancement!$A$6:$F$46</definedName>
    <definedName function="false" hidden="true" localSheetId="24" name="_xlnm._FilterDatabase" vbProcedure="false">Personnel!$A$6:$J$66</definedName>
    <definedName function="false" hidden="true" localSheetId="23" name="_xlnm._FilterDatabase" vbProcedure="false">Plan_controle!$A$6:$G$86</definedName>
    <definedName function="false" hidden="false" name="AF_Date" vbProcedure="false">07_Affectation!$A$7:$A$406</definedName>
    <definedName function="false" hidden="false" name="AF_Equipe" vbProcedure="false">07_Affectation!$B$7:$B$406</definedName>
    <definedName function="false" hidden="false" name="AF_Present" vbProcedure="false">07_Affectation!$H$7:$H$406</definedName>
    <definedName function="false" hidden="false" name="AF_Prevu" vbProcedure="false">07_Affectation!$G$7:$G$406</definedName>
    <definedName function="false" hidden="false" name="AF_Rang" vbProcedure="false">07_Affectation!$K$7:$K$406</definedName>
    <definedName function="false" hidden="false" name="AF_Tache" vbProcedure="false">07_Affectation!$D$7:$D$406</definedName>
    <definedName function="false" hidden="false" name="AF_Zone" vbProcedure="false">07_Affectation!$F$7:$F$406</definedName>
    <definedName function="false" hidden="false" name="BC_Code" vbProcedure="false">08_Commandes!$E$7:$E$156</definedName>
    <definedName function="false" hidden="false" name="BC_Design" vbProcedure="false">08_Commandes!$F$7:$F$156</definedName>
    <definedName function="false" hidden="false" name="BC_Fourn" vbProcedure="false">08_Commandes!$C$7:$C$156</definedName>
    <definedName function="false" hidden="false" name="BC_HT" vbProcedure="false">08_Commandes!$J$7:$J$156</definedName>
    <definedName function="false" hidden="false" name="BC_Lot" vbProcedure="false">08_Commandes!$D$7:$D$156</definedName>
    <definedName function="false" hidden="false" name="BC_Num" vbProcedure="false">08_Commandes!$A$7:$A$156</definedName>
    <definedName function="false" hidden="false" name="BC_Prevue" vbProcedure="false">08_Commandes!$K$7:$K$156</definedName>
    <definedName function="false" hidden="false" name="BC_Rang" vbProcedure="false">08_Commandes!$P$7:$P$156</definedName>
    <definedName function="false" hidden="false" name="BC_Reste" vbProcedure="false">08_Commandes!$M$7:$M$156</definedName>
    <definedName function="false" hidden="false" name="BC_Statut" vbProcedure="false">08_Commandes!$N$7:$N$156</definedName>
    <definedName function="false" hidden="false" name="BT_Av" vbProcedure="false">16_Batiment_TCE!$G$8:$G$47</definedName>
    <definedName function="false" hidden="false" name="BT_CE" vbProcedure="false">16_Batiment_TCE!$A$8:$A$47</definedName>
    <definedName function="false" hidden="false" name="BT_Glob" vbProcedure="false">16_Batiment_TCE!$C$5</definedName>
    <definedName function="false" hidden="false" name="BT_Pond" vbProcedure="false">16_Batiment_TCE!$C$8:$C$47</definedName>
    <definedName function="false" hidden="false" name="BT_Stat" vbProcedure="false">16_Batiment_TCE!$H$8:$H$47</definedName>
    <definedName function="false" hidden="false" name="BU_Alerte" vbProcedure="false">03_Budget!$K$7:$K$21</definedName>
    <definedName function="false" hidden="false" name="BU_Autres" vbProcedure="false">03_Budget!$F$7:$F$21</definedName>
    <definedName function="false" hidden="false" name="BU_Avanc" vbProcedure="false">03_Budget!$J$7:$J$21</definedName>
    <definedName function="false" hidden="false" name="BU_Budget" vbProcedure="false">03_Budget!$B$7:$B$21</definedName>
    <definedName function="false" hidden="false" name="BU_Conso" vbProcedure="false">03_Budget!$I$7:$I$21</definedName>
    <definedName function="false" hidden="false" name="BU_Depense" vbProcedure="false">03_Budget!$G$7:$G$21</definedName>
    <definedName function="false" hidden="false" name="BU_Engage" vbProcedure="false">03_Budget!$C$7:$C$21</definedName>
    <definedName function="false" hidden="false" name="BU_Factures" vbProcedure="false">03_Budget!$D$7:$D$21</definedName>
    <definedName function="false" hidden="false" name="BU_Lot" vbProcedure="false">03_Budget!$A$7:$A$21</definedName>
    <definedName function="false" hidden="false" name="BU_MO" vbProcedure="false">03_Budget!$E$7:$E$21</definedName>
    <definedName function="false" hidden="false" name="BU_Reste" vbProcedure="false">03_Budget!$H$7:$H$21</definedName>
    <definedName function="false" hidden="false" name="CL_Av" vbProcedure="false">17_Cloture!$L$8:$L$37</definedName>
    <definedName function="false" hidden="false" name="CL_Glob" vbProcedure="false">17_Cloture!$C$5</definedName>
    <definedName function="false" hidden="false" name="CL_Ml" vbProcedure="false">17_Cloture!$N$8:$N$37</definedName>
    <definedName function="false" hidden="false" name="CL_Pond" vbProcedure="false">17_Cloture!$B$8:$B$37</definedName>
    <definedName function="false" hidden="false" name="CL_Stat" vbProcedure="false">17_Cloture!$M$8:$M$37</definedName>
    <definedName function="false" hidden="false" name="CL_Tr" vbProcedure="false">17_Cloture!$A$8:$A$37</definedName>
    <definedName function="false" hidden="false" name="CM_Av" vbProcedure="false">18_Charpente_metal!$N$8:$N$47</definedName>
    <definedName function="false" hidden="false" name="CM_Glob" vbProcedure="false">18_Charpente_metal!$C$5</definedName>
    <definedName function="false" hidden="false" name="CM_Kg" vbProcedure="false">18_Charpente_metal!$P$8:$P$47</definedName>
    <definedName function="false" hidden="false" name="CM_Pond" vbProcedure="false">18_Charpente_metal!$F$8:$F$47</definedName>
    <definedName function="false" hidden="false" name="CM_Rep" vbProcedure="false">18_Charpente_metal!$A$8:$A$47</definedName>
    <definedName function="false" hidden="false" name="CM_Stat" vbProcedure="false">18_Charpente_metal!$O$8:$O$47</definedName>
    <definedName function="false" hidden="false" name="CQ_Comp" vbProcedure="false">12_Controle_qualite!$C$7:$C$506</definedName>
    <definedName function="false" hidden="false" name="CQ_Etat" vbProcedure="false">12_Controle_qualite!$R$7:$R$506</definedName>
    <definedName function="false" hidden="false" name="CQ_Interv" vbProcedure="false">12_Controle_qualite!$G$7:$G$506</definedName>
    <definedName function="false" hidden="false" name="CQ_Num" vbProcedure="false">12_Controle_qualite!$A$7:$A$506</definedName>
    <definedName function="false" hidden="false" name="CQ_Res" vbProcedure="false">12_Controle_qualite!$N$7:$N$506</definedName>
    <definedName function="false" hidden="false" name="CQ_Type" vbProcedure="false">12_Controle_qualite!$F$7:$F$506</definedName>
    <definedName function="false" hidden="false" name="DA_Av" vbProcedure="false">15_Dalots!$O$8:$O$37</definedName>
    <definedName function="false" hidden="false" name="DA_Glob" vbProcedure="false">15_Dalots!$C$5</definedName>
    <definedName function="false" hidden="false" name="DA_Num" vbProcedure="false">15_Dalots!$A$8:$A$37</definedName>
    <definedName function="false" hidden="false" name="DA_Pond" vbProcedure="false">15_Dalots!$G$8:$G$37</definedName>
    <definedName function="false" hidden="false" name="DA_Stat" vbProcedure="false">15_Dalots!$P$8:$P$37</definedName>
    <definedName function="false" hidden="false" name="EJ_Code" vbProcedure="false">19b_Engins_journal!$B$7:$B$1506</definedName>
    <definedName function="false" hidden="false" name="EJ_Date" vbProcedure="false">19b_Engins_journal!$A$7:$A$1506</definedName>
    <definedName function="false" hidden="false" name="EJ_Gas" vbProcedure="false">19b_Engins_journal!$K$7:$K$1506</definedName>
    <definedName function="false" hidden="false" name="EJ_HI" vbProcedure="false">19b_Engins_journal!$J$7:$J$1506</definedName>
    <definedName function="false" hidden="false" name="EJ_HM" vbProcedure="false">19b_Engins_journal!$H$7:$H$1506</definedName>
    <definedName function="false" hidden="false" name="EJ_HP" vbProcedure="false">19b_Engins_journal!$I$7:$I$1506</definedName>
    <definedName function="false" hidden="false" name="EN_Alerte" vbProcedure="false">19_Engins!$Q$7:$Q$56</definedName>
    <definedName function="false" hidden="false" name="EN_Code" vbProcedure="false">19_Engins!$A$7:$A$56</definedName>
    <definedName function="false" hidden="false" name="EN_Cout" vbProcedure="false">19_Engins!$P$7:$P$56</definedName>
    <definedName function="false" hidden="false" name="EN_Des" vbProcedure="false">19_Engins!$B$7:$B$56</definedName>
    <definedName function="false" hidden="false" name="EN_Dispo" vbProcedure="false">19_Engins!$O$7:$O$56</definedName>
    <definedName function="false" hidden="false" name="EN_Etat" vbProcedure="false">19_Engins!$H$7:$H$56</definedName>
    <definedName function="false" hidden="false" name="EN_HM" vbProcedure="false">19_Engins!$I$7:$I$56</definedName>
    <definedName function="false" hidden="false" name="EN_HP" vbProcedure="false">19_Engins!$J$7:$J$56</definedName>
    <definedName function="false" hidden="false" name="FA_Echeance" vbProcedure="false">05_Factures!$L$7:$L$156</definedName>
    <definedName function="false" hidden="false" name="FA_Fourn" vbProcedure="false">05_Factures!$C$7:$C$156</definedName>
    <definedName function="false" hidden="false" name="FA_HT" vbProcedure="false">05_Factures!$G$7:$G$156</definedName>
    <definedName function="false" hidden="false" name="FA_Lot" vbProcedure="false">05_Factures!$D$7:$D$156</definedName>
    <definedName function="false" hidden="false" name="FA_Num" vbProcedure="false">05_Factures!$A$7:$A$156</definedName>
    <definedName function="false" hidden="false" name="FA_Rang" vbProcedure="false">05_Factures!$R$7:$R$156</definedName>
    <definedName function="false" hidden="false" name="FA_Reste" vbProcedure="false">05_Factures!$O$7:$O$156</definedName>
    <definedName function="false" hidden="false" name="FA_Statut" vbProcedure="false">05_Factures!$P$7:$P$156</definedName>
    <definedName function="false" hidden="false" name="FA_TTC" vbProcedure="false">05_Factures!$J$7:$J$156</definedName>
    <definedName function="false" hidden="false" name="IN_Grav" vbProcedure="false">11_Incidents!$D$7:$D$106</definedName>
    <definedName function="false" hidden="false" name="IN_Num" vbProcedure="false">11_Incidents!$A$7:$A$106</definedName>
    <definedName function="false" hidden="false" name="IN_Statut" vbProcedure="false">11_Incidents!$L$7:$L$106</definedName>
    <definedName function="false" hidden="false" name="JO_Date" vbProcedure="false">10_Journal!$A$7:$A$306</definedName>
    <definedName function="false" hidden="false" name="JO_Incident" vbProcedure="false">10_Journal!$H$7:$H$306</definedName>
    <definedName function="false" hidden="false" name="KPI_AvFin" vbProcedure="false">02_Tableau_de_bord!$O$8</definedName>
    <definedName function="false" hidden="false" name="KPI_AvPrev" vbProcedure="false">02_Tableau_de_bord!$O$7</definedName>
    <definedName function="false" hidden="false" name="KPI_AvReal" vbProcedure="false">02_Tableau_de_bord!$O$6</definedName>
    <definedName function="false" hidden="false" name="KPI_Budget" vbProcedure="false">02_Tableau_de_bord!$O$9</definedName>
    <definedName function="false" hidden="false" name="KPI_Conso" vbProcedure="false">02_Tableau_de_bord!$O$12</definedName>
    <definedName function="false" hidden="false" name="KPI_Delai" vbProcedure="false">02_Tableau_de_bord!$O$14</definedName>
    <definedName function="false" hidden="false" name="KPI_Depense" vbProcedure="false">02_Tableau_de_bord!$O$10</definedName>
    <definedName function="false" hidden="false" name="KPI_Effectif" vbProcedure="false">02_Tableau_de_bord!$O$13</definedName>
    <definedName function="false" hidden="false" name="KPI_Reste" vbProcedure="false">02_Tableau_de_bord!$O$11</definedName>
    <definedName function="false" hidden="false" name="KPI_Retard" vbProcedure="false">02_Tableau_de_bord!$O$15</definedName>
    <definedName function="false" hidden="false" name="L_Compos" vbProcedure="false">Paramètres!$H$7:$H$31</definedName>
    <definedName function="false" hidden="false" name="L_Diam" vbProcedure="false">Paramètres!$M$7:$M$31</definedName>
    <definedName function="false" hidden="false" name="L_Equipes" vbProcedure="false">Paramètres!$F$7:$F$31</definedName>
    <definedName function="false" hidden="false" name="L_EtatEng" vbProcedure="false">Paramètres!$O$7:$O$31</definedName>
    <definedName function="false" hidden="false" name="L_Fourn" vbProcedure="false">Paramètres!$G$7:$G$31</definedName>
    <definedName function="false" hidden="false" name="L_Gravite" vbProcedure="false">Paramètres!$T$7:$T$31</definedName>
    <definedName function="false" hidden="false" name="L_Interv" vbProcedure="false">Paramètres!$K$7:$K$31</definedName>
    <definedName function="false" hidden="false" name="L_Lots" vbProcedure="false">Paramètres!$E$7:$E$31</definedName>
    <definedName function="false" hidden="false" name="L_Meteo" vbProcedure="false">Paramètres!$R$7:$R$31</definedName>
    <definedName function="false" hidden="false" name="L_Mission" vbProcedure="false">Paramètres!$I$7:$I$31</definedName>
    <definedName function="false" hidden="false" name="L_OuiNon" vbProcedure="false">Paramètres!$X$7:$X$31</definedName>
    <definedName function="false" hidden="false" name="L_Presence" vbProcedure="false">Paramètres!$V$7:$V$31</definedName>
    <definedName function="false" hidden="false" name="L_Propriete" vbProcedure="false">Paramètres!$P$7:$P$31</definedName>
    <definedName function="false" hidden="false" name="L_StatInc" vbProcedure="false">Paramètres!$U$7:$U$31</definedName>
    <definedName function="false" hidden="false" name="L_Traitement" vbProcedure="false">Paramètres!$N$7:$N$31</definedName>
    <definedName function="false" hidden="false" name="L_TypeCtrl" vbProcedure="false">Paramètres!$J$7:$J$31</definedName>
    <definedName function="false" hidden="false" name="L_TypeInc" vbProcedure="false">Paramètres!$S$7:$S$31</definedName>
    <definedName function="false" hidden="false" name="L_TypeMvt" vbProcedure="false">Paramètres!$W$7:$W$31</definedName>
    <definedName function="false" hidden="false" name="L_Unites" vbProcedure="false">Paramètres!$Q$7:$Q$31</definedName>
    <definedName function="false" hidden="false" name="L_Verdict" vbProcedure="false">Paramètres!$L$7:$L$31</definedName>
    <definedName function="false" hidden="false" name="MV_BC" vbProcedure="false">09b_Livraisons!$G$7:$G$806</definedName>
    <definedName function="false" hidden="false" name="MV_Code" vbProcedure="false">09b_Livraisons!$C$7:$C$806</definedName>
    <definedName function="false" hidden="false" name="MV_Date" vbProcedure="false">09b_Livraisons!$A$7:$A$806</definedName>
    <definedName function="false" hidden="false" name="MV_Qte" vbProcedure="false">09b_Livraisons!$F$7:$F$806</definedName>
    <definedName function="false" hidden="false" name="MV_Type" vbProcedure="false">09b_Livraisons!$B$7:$B$806</definedName>
    <definedName function="false" hidden="false" name="PCT_Oper" vbProcedure="false">Plan_controle!$B$7:$B$86</definedName>
    <definedName function="false" hidden="false" name="PC_Av" vbProcedure="false">14_Points_critiques!$S$8:$S$67</definedName>
    <definedName function="false" hidden="false" name="PC_Diam" vbProcedure="false">14_Points_critiques!$F$8:$F$67</definedName>
    <definedName function="false" hidden="false" name="PC_Glob" vbProcedure="false">14_Points_critiques!$C$5</definedName>
    <definedName function="false" hidden="false" name="PC_MlPose" vbProcedure="false">14_Points_critiques!$J$8:$J$67</definedName>
    <definedName function="false" hidden="false" name="PC_MlPrev" vbProcedure="false">14_Points_critiques!$I$8:$I$67</definedName>
    <definedName function="false" hidden="false" name="PC_Num" vbProcedure="false">14_Points_critiques!$A$8:$A$67</definedName>
    <definedName function="false" hidden="false" name="PC_Pond" vbProcedure="false">14_Points_critiques!$L$8:$L$67</definedName>
    <definedName function="false" hidden="false" name="PC_Stat" vbProcedure="false">14_Points_critiques!$T$8:$T$67</definedName>
    <definedName function="false" hidden="false" name="PE_Equipe" vbProcedure="false">Personnel!$D$7:$D$66</definedName>
    <definedName function="false" hidden="false" name="PE_Fonction" vbProcedure="false">Personnel!$C$7:$C$66</definedName>
    <definedName function="false" hidden="false" name="PE_Mat" vbProcedure="false">Personnel!$A$7:$A$66</definedName>
    <definedName function="false" hidden="false" name="PE_Nom" vbProcedure="false">Personnel!$B$7:$B$66</definedName>
    <definedName function="false" hidden="false" name="PE_Taux" vbProcedure="false">Personnel!$E$7:$E$66</definedName>
    <definedName function="false" hidden="false" name="PL_Debut" vbProcedure="false">01_Planning!$E$8:$E$67</definedName>
    <definedName function="false" hidden="false" name="PL_Duree" vbProcedure="false">01_Planning!$F$8:$F$67</definedName>
    <definedName function="false" hidden="false" name="PL_Fin" vbProcedure="false">01_Planning!$G$8:$G$67</definedName>
    <definedName function="false" hidden="false" name="PL_Lot" vbProcedure="false">01_Planning!$B$8:$B$67</definedName>
    <definedName function="false" hidden="false" name="PL_Prevu" vbProcedure="false">01_Planning!$I$8:$I$67</definedName>
    <definedName function="false" hidden="false" name="PL_Real" vbProcedure="false">01_Planning!$H$8:$H$67</definedName>
    <definedName function="false" hidden="false" name="PL_Resp" vbProcedure="false">01_Planning!$D$8:$D$67</definedName>
    <definedName function="false" hidden="false" name="PL_Statut" vbProcedure="false">01_Planning!$K$8:$K$67</definedName>
    <definedName function="false" hidden="false" name="PL_Tache" vbProcedure="false">01_Planning!$C$8:$C$67</definedName>
    <definedName function="false" hidden="false" name="PT_Cout" vbProcedure="false">06_Pointage!$K$7:$K$2006</definedName>
    <definedName function="false" hidden="false" name="PT_Date" vbProcedure="false">06_Pointage!$A$7:$A$2006</definedName>
    <definedName function="false" hidden="false" name="PT_Equipe" vbProcedure="false">06_Pointage!$E$7:$E$2006</definedName>
    <definedName function="false" hidden="false" name="PT_Heures" vbProcedure="false">06_Pointage!$I$7:$I$2006</definedName>
    <definedName function="false" hidden="false" name="PT_Lot" vbProcedure="false">06_Pointage!$F$7:$F$2006</definedName>
    <definedName function="false" hidden="false" name="PT_Mat" vbProcedure="false">06_Pointage!$B$7:$B$2006</definedName>
    <definedName function="false" hidden="false" name="PT_Pres" vbProcedure="false">06_Pointage!$H$7:$H$2006</definedName>
    <definedName function="false" hidden="false" name="P_Avance" vbProcedure="false">Paramètres!$C$22</definedName>
    <definedName function="false" hidden="false" name="P_CBR" vbProcedure="false">Paramètres!$C$26</definedName>
    <definedName function="false" hidden="false" name="P_Chantier" vbProcedure="false">Paramètres!$C$7</definedName>
    <definedName function="false" hidden="false" name="P_Compacite" vbProcedure="false">Paramètres!$C$25</definedName>
    <definedName function="false" hidden="false" name="P_Conducteur" vbProcedure="false">Paramètres!$C$12</definedName>
    <definedName function="false" hidden="false" name="P_DateRef" vbProcedure="false">Paramètres!$C$18</definedName>
    <definedName function="false" hidden="false" name="P_Debut" vbProcedure="false">Paramètres!$C$15</definedName>
    <definedName function="false" hidden="false" name="P_Delai" vbProcedure="false">Paramètres!$C$16</definedName>
    <definedName function="false" hidden="false" name="P_DispoMin" vbProcedure="false">Paramètres!$C$29</definedName>
    <definedName function="false" hidden="false" name="P_Entreprise" vbProcedure="false">Paramètres!$C$11</definedName>
    <definedName function="false" hidden="false" name="P_Fc28" vbProcedure="false">Paramètres!$C$30</definedName>
    <definedName function="false" hidden="false" name="P_Fin" vbProcedure="false">Paramètres!$C$17</definedName>
    <definedName function="false" hidden="false" name="P_Heures" vbProcedure="false">Paramètres!$C$23</definedName>
    <definedName function="false" hidden="false" name="P_Lieu" vbProcedure="false">Paramètres!$C$13</definedName>
    <definedName function="false" hidden="false" name="P_Marche" vbProcedure="false">Paramètres!$C$19</definedName>
    <definedName function="false" hidden="false" name="P_Marche_No" vbProcedure="false">Paramètres!$C$14</definedName>
    <definedName function="false" hidden="false" name="P_Mission" vbProcedure="false">Paramètres!$C$8</definedName>
    <definedName function="false" hidden="false" name="P_MOA" vbProcedure="false">Paramètres!$C$9</definedName>
    <definedName function="false" hidden="false" name="P_MOE" vbProcedure="false">Paramètres!$C$10</definedName>
    <definedName function="false" hidden="false" name="P_RG" vbProcedure="false">Paramètres!$C$21</definedName>
    <definedName function="false" hidden="false" name="P_Tol" vbProcedure="false">Paramètres!$C$24</definedName>
    <definedName function="false" hidden="false" name="P_TolConso" vbProcedure="false">Paramètres!$C$28</definedName>
    <definedName function="false" hidden="false" name="P_TolEp" vbProcedure="false">Paramètres!$C$27</definedName>
    <definedName function="false" hidden="false" name="P_TVA" vbProcedure="false">Paramètres!$C$20</definedName>
    <definedName function="false" hidden="false" name="RT_Av" vbProcedure="false">13_Route!$O$8:$O$87</definedName>
    <definedName function="false" hidden="false" name="RT_Conf" vbProcedure="false">13_Route!$U$8:$U$87</definedName>
    <definedName function="false" hidden="false" name="RT_Glob" vbProcedure="false">13_Route!$C$5</definedName>
    <definedName function="false" hidden="false" name="RT_Km" vbProcedure="false">13_Route!$Q$8:$Q$87</definedName>
    <definedName function="false" hidden="false" name="RT_Long" vbProcedure="false">13_Route!$D$8:$D$87</definedName>
    <definedName function="false" hidden="false" name="RT_Pond" vbProcedure="false">13_Route!$D$8:$D$87</definedName>
    <definedName function="false" hidden="false" name="RT_Stat" vbProcedure="false">13_Route!$P$8:$P$87</definedName>
    <definedName function="false" hidden="false" name="RT_Tr" vbProcedure="false">13_Route!$A$8:$A$87</definedName>
    <definedName function="false" hidden="false" name="RT_VolMO" vbProcedure="false">13_Route!$H$8:$H$87</definedName>
    <definedName function="false" hidden="false" name="RT_VolPrev" vbProcedure="false">13_Route!$G$8:$G$87</definedName>
    <definedName function="false" hidden="false" name="SIT_Cumul" vbProcedure="false">04_Situations!$M$8:$M$67</definedName>
    <definedName function="false" hidden="false" name="SIT_Marche" vbProcedure="false">04_Situations!$G$8:$G$67</definedName>
    <definedName function="false" hidden="false" name="SIT_NetTTC" vbProcedure="false">04_Situations!$G$77</definedName>
    <definedName function="false" hidden="false" name="SIT_Prec" vbProcedure="false">04_Situations!$L$8:$L$67</definedName>
    <definedName function="false" hidden="false" name="SIT_TotCumul" vbProcedure="false">04_Situations!$M$68</definedName>
    <definedName function="false" hidden="false" name="SIT_TotMarche" vbProcedure="false">04_Situations!$G$68</definedName>
    <definedName function="false" hidden="false" name="SIT_TotPrec" vbProcedure="false">04_Situations!$L$68</definedName>
    <definedName function="false" hidden="false" name="ST_Code" vbProcedure="false">09_Stock!$A$7:$A$86</definedName>
    <definedName function="false" hidden="false" name="ST_Design" vbProcedure="false">09_Stock!$B$7:$B$86</definedName>
    <definedName function="false" hidden="false" name="ST_Rang" vbProcedure="false">09_Stock!$L$7:$L$86</definedName>
    <definedName function="false" hidden="false" name="ST_Seuil" vbProcedure="false">09_Stock!$H$7:$H$86</definedName>
    <definedName function="false" hidden="false" name="ST_Statut" vbProcedure="false">09_Stock!$I$7:$I$86</definedName>
    <definedName function="false" hidden="false" name="ST_Stock" vbProcedure="false">09_Stock!$G$7:$G$86</definedName>
    <definedName function="false" hidden="false" name="ST_Unite" vbProcedure="false">09_Stock!$C$7:$C$86</definedName>
    <definedName function="false" hidden="false" name="ST_Valeur" vbProcedure="false">09_Stock!$K$7:$K$86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Entreprise – réalisation, Mission de contrôle – surveillance, ou Réalisation &amp; contrôle (liste).</t>
        </r>
      </text>
    </comment>
    <comment ref="C18" authorId="0">
      <text>
        <r>
          <rPr>
            <sz val="10"/>
            <rFont val="Arial"/>
            <family val="2"/>
          </rPr>
          <t xml:space="preserve">Par défaut = date du jour (AUJOURDHUI). Saisissez une date fixe pour analyser le chantier à une date passée.</t>
        </r>
      </text>
    </comment>
    <comment ref="C20" authorId="0">
      <text>
        <r>
          <rPr>
            <sz val="10"/>
            <rFont val="Arial"/>
            <family val="2"/>
          </rPr>
          <t xml:space="preserve">TVA Côte d'Ivoire : 18 % (taux normal).</t>
        </r>
      </text>
    </comment>
    <comment ref="C21" authorId="0">
      <text>
        <r>
          <rPr>
            <sz val="10"/>
            <rFont val="Arial"/>
            <family val="2"/>
          </rPr>
          <t xml:space="preserve">Usuel : 5 % jusqu'à la réception définitive.</t>
        </r>
      </text>
    </comment>
    <comment ref="C22" authorId="0">
      <text>
        <r>
          <rPr>
            <sz val="10"/>
            <rFont val="Arial"/>
            <family val="2"/>
          </rPr>
          <t xml:space="preserve">Pourcentage retenu sur chaque situation pour rembourser l'avance. Mettre 0 s'il n'y a pas d'avance.</t>
        </r>
      </text>
    </comment>
    <comment ref="C24" authorId="0">
      <text>
        <r>
          <rPr>
            <sz val="10"/>
            <rFont val="Arial"/>
            <family val="2"/>
          </rPr>
          <t xml:space="preserve">Écart toléré entre avancement prévu et réel (ou entre % consommé et % avancé) avant alerte.</t>
        </r>
      </text>
    </comment>
    <comment ref="C25" authorId="0">
      <text>
        <r>
          <rPr>
            <sz val="10"/>
            <rFont val="Arial"/>
            <family val="2"/>
          </rPr>
          <t xml:space="preserve">Critère usuel CCTP routes en terre / remblais : ≥ 95 % de l'Optimum Proctor Modifié. À adapter au CCTP.</t>
        </r>
      </text>
    </comment>
    <comment ref="C26" authorId="0">
      <text>
        <r>
          <rPr>
            <sz val="10"/>
            <rFont val="Arial"/>
            <family val="2"/>
          </rPr>
          <t xml:space="preserve">CBR à 95 % OPM après 4 jours d'imbibition. Valeur usuelle ≥ 30 ; à adapter au CCTP du marché.</t>
        </r>
      </text>
    </comment>
    <comment ref="C27" authorId="0">
      <text>
        <r>
          <rPr>
            <sz val="10"/>
            <rFont val="Arial"/>
            <family val="2"/>
          </rPr>
          <t xml:space="preserve">Épaisseur mesurée admise ≥ épaisseur prévue − tolérance.</t>
        </r>
      </text>
    </comment>
    <comment ref="C28" authorId="0">
      <text>
        <r>
          <rPr>
            <sz val="10"/>
            <rFont val="Arial"/>
            <family val="2"/>
          </rPr>
          <t xml:space="preserve">Alerte si la consommation réelle (l/h) dépasse la consommation théorique de plus de ce pourcentage.</t>
        </r>
      </text>
    </comment>
    <comment ref="C29" authorId="0">
      <text>
        <r>
          <rPr>
            <sz val="10"/>
            <rFont val="Arial"/>
            <family val="2"/>
          </rPr>
          <t xml:space="preserve">Disponibilité = heures de marche / (heures de marche + heures de panne).</t>
        </r>
      </text>
    </comment>
    <comment ref="C30" authorId="0">
      <text>
        <r>
          <rPr>
            <sz val="10"/>
            <rFont val="Arial"/>
            <family val="2"/>
          </rPr>
          <t xml:space="preserve">Classe de résistance des notes de calcul BA (EC2 : C25/30 ; BAEL : fc28 = 25 MPa).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7" authorId="0">
      <text>
        <r>
          <rPr>
            <sz val="10"/>
            <rFont val="Arial"/>
            <family val="2"/>
          </rPr>
          <t xml:space="preserve">Avancement physique constaté sur le terrain (0 % à 100 %).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6" authorId="0">
      <text>
        <r>
          <rPr>
            <sz val="10"/>
            <rFont val="Arial"/>
            <family val="2"/>
          </rPr>
          <t xml:space="preserve">18 % par défaut. Mettre 0 % pour un fournisseur non assujetti.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6" authorId="0">
      <text>
        <r>
          <rPr>
            <sz val="10"/>
            <rFont val="Arial"/>
            <family val="2"/>
          </rPr>
          <t xml:space="preserve">Si « Oui », établir une fiche dans l'onglet 11_Incidents.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6" authorId="0">
      <text>
        <r>
          <rPr>
            <sz val="10"/>
            <rFont val="Arial"/>
            <family val="2"/>
          </rPr>
          <t xml:space="preserve">La somme des poids doit faire 100 %.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6" authorId="0">
      <text>
        <r>
          <rPr>
            <sz val="10"/>
            <rFont val="Arial"/>
            <family val="2"/>
          </rPr>
          <t xml:space="preserve">La somme des poids doit faire 100 %.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6" authorId="0">
      <text>
        <r>
          <rPr>
            <sz val="10"/>
            <rFont val="Arial"/>
            <family val="2"/>
          </rPr>
          <t xml:space="preserve">La somme des poids doit faire 100 %.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6" authorId="0">
      <text>
        <r>
          <rPr>
            <sz val="10"/>
            <rFont val="Arial"/>
            <family val="2"/>
          </rPr>
          <t xml:space="preserve">La somme des poids doit faire 100 %.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6" authorId="0">
      <text>
        <r>
          <rPr>
            <sz val="10"/>
            <rFont val="Arial"/>
            <family val="2"/>
          </rPr>
          <t xml:space="preserve">La somme des poids doit faire 100 %.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6" authorId="0">
      <text>
        <r>
          <rPr>
            <sz val="10"/>
            <rFont val="Arial"/>
            <family val="2"/>
          </rPr>
          <t xml:space="preserve">La somme des poids doit faire 100 %.</t>
        </r>
      </text>
    </comment>
  </commentList>
</comments>
</file>

<file path=xl/sharedStrings.xml><?xml version="1.0" encoding="utf-8"?>
<sst xmlns="http://schemas.openxmlformats.org/spreadsheetml/2006/main" count="2599" uniqueCount="1362">
  <si>
    <t xml:space="preserve">METRIX AVANCÉ CHANTIER BTP</t>
  </si>
  <si>
    <t xml:space="preserve">Réalisation &amp; contrôle : route en terre · points critiques &amp; buses · dalots · bâtiment TCE · clôture · charpente métallique</t>
  </si>
  <si>
    <t xml:space="preserve">Auteur : Moulo Jean Claude – Technicien génie civil BTP, Abidjan (Côte d'Ivoire)</t>
  </si>
  <si>
    <t xml:space="preserve">Chantier :</t>
  </si>
  <si>
    <t xml:space="preserve">Date de référence :</t>
  </si>
  <si>
    <t xml:space="preserve">SOMMAIRE (cliquez pour ouvrir)</t>
  </si>
  <si>
    <t xml:space="preserve">Onglet</t>
  </si>
  <si>
    <t xml:space="preserve">Contenu</t>
  </si>
  <si>
    <t xml:space="preserve">Fréquence de mise à jour</t>
  </si>
  <si>
    <t xml:space="preserve">Paramètres</t>
  </si>
  <si>
    <t xml:space="preserve">Données du chantier, taux (TVA 18 %, retenue 5 %…), listes déroulantes</t>
  </si>
  <si>
    <t xml:space="preserve">À remplir en 1er</t>
  </si>
  <si>
    <t xml:space="preserve">02_Tableau_de_bord</t>
  </si>
  <si>
    <t xml:space="preserve">Les 10 questions du pilotage, avancement par composante, synthèse par lot, alertes, graphiques</t>
  </si>
  <si>
    <t xml:space="preserve">Lecture seule</t>
  </si>
  <si>
    <t xml:space="preserve">01_Planning</t>
  </si>
  <si>
    <t xml:space="preserve">Planning Gantt sur 40 semaines, % prévu / réalisé, tâches en retard</t>
  </si>
  <si>
    <t xml:space="preserve">Hebdomadaire</t>
  </si>
  <si>
    <t xml:space="preserve">03_Budget</t>
  </si>
  <si>
    <t xml:space="preserve">Budget par lot : engagé, factures, main-d'œuvre, reste, surconsommation</t>
  </si>
  <si>
    <t xml:space="preserve">Budget au départ</t>
  </si>
  <si>
    <t xml:space="preserve">04_Situations</t>
  </si>
  <si>
    <t xml:space="preserve">Situations de travaux mensuelles : DQE, attachements, décompte TTC</t>
  </si>
  <si>
    <t xml:space="preserve">Mensuelle</t>
  </si>
  <si>
    <t xml:space="preserve">05_Factures</t>
  </si>
  <si>
    <t xml:space="preserve">Factures fournisseurs, échéances, paiements, retards</t>
  </si>
  <si>
    <t xml:space="preserve">À chaque facture</t>
  </si>
  <si>
    <t xml:space="preserve">06_Pointage</t>
  </si>
  <si>
    <t xml:space="preserve">Pointage journalier des ouvriers, coût de main-d'œuvre par lot</t>
  </si>
  <si>
    <t xml:space="preserve">Quotidienne</t>
  </si>
  <si>
    <t xml:space="preserve">07_Affectation</t>
  </si>
  <si>
    <t xml:space="preserve">Affectation des équipes : qui travaille, où, sur quelle tâche</t>
  </si>
  <si>
    <t xml:space="preserve">08_Commandes</t>
  </si>
  <si>
    <t xml:space="preserve">Bons de commande, quantités livrées, reste à livrer, retards</t>
  </si>
  <si>
    <t xml:space="preserve">À chaque commande</t>
  </si>
  <si>
    <t xml:space="preserve">09_Stock</t>
  </si>
  <si>
    <t xml:space="preserve">État du stock, seuils d'alerte, valeur du stock</t>
  </si>
  <si>
    <t xml:space="preserve">Catalogue au départ</t>
  </si>
  <si>
    <t xml:space="preserve">09b_Livraisons</t>
  </si>
  <si>
    <t xml:space="preserve">Entrées (livraisons) et sorties de matériaux</t>
  </si>
  <si>
    <t xml:space="preserve">À chaque mouvement</t>
  </si>
  <si>
    <t xml:space="preserve">10_Journal</t>
  </si>
  <si>
    <t xml:space="preserve">Journal de chantier : météo, effectif, travaux, visites, HSE</t>
  </si>
  <si>
    <t xml:space="preserve">11_Incidents</t>
  </si>
  <si>
    <t xml:space="preserve">Fiches incidents / alertes avec actions correctives</t>
  </si>
  <si>
    <t xml:space="preserve">Dès qu'un incident survient</t>
  </si>
  <si>
    <t xml:space="preserve">12_Controle_qualite</t>
  </si>
  <si>
    <t xml:space="preserve">Registre des contrôles, essais et points d'arrêt (entreprise et mission de contrôle)</t>
  </si>
  <si>
    <t xml:space="preserve">À chaque contrôle</t>
  </si>
  <si>
    <t xml:space="preserve">13_Route</t>
  </si>
  <si>
    <t xml:space="preserve">Route en terre : reprofilage lourd, rechargement, compactage par tronçon (PK)</t>
  </si>
  <si>
    <t xml:space="preserve">14_Points_critiques</t>
  </si>
  <si>
    <t xml:space="preserve">Points critiques : purges, remblais, buses Ø800 / Ø1000, têtes de buses</t>
  </si>
  <si>
    <t xml:space="preserve">15_Dalots</t>
  </si>
  <si>
    <t xml:space="preserve">Dalots : phases (radier, piédroits, dalle, murs), béton fc7 / fc28</t>
  </si>
  <si>
    <t xml:space="preserve">16_Batiment_TCE</t>
  </si>
  <si>
    <t xml:space="preserve">Bâtiment tous corps d'état : montants, dates, % réalisé, réserves</t>
  </si>
  <si>
    <t xml:space="preserve">17_Cloture</t>
  </si>
  <si>
    <t xml:space="preserve">Clôture : avancement par tronçon et ml achevés</t>
  </si>
  <si>
    <t xml:space="preserve">18_Charpente_metal</t>
  </si>
  <si>
    <t xml:space="preserve">Charpente métallique : avancement par repère, pondéré au poids (kg)</t>
  </si>
  <si>
    <t xml:space="preserve">Plan_controle</t>
  </si>
  <si>
    <t xml:space="preserve">Référentiel des points d'arrêt, contrôles et essais par composante</t>
  </si>
  <si>
    <t xml:space="preserve">Au démarrage</t>
  </si>
  <si>
    <t xml:space="preserve">19_Engins</t>
  </si>
  <si>
    <t xml:space="preserve">Parc matériel : heures, pannes, disponibilité, gasoil, coût, alertes</t>
  </si>
  <si>
    <t xml:space="preserve">Lecture (calculé)</t>
  </si>
  <si>
    <t xml:space="preserve">19b_Engins_journal</t>
  </si>
  <si>
    <t xml:space="preserve">Rapport journalier engins : compteurs, pannes, intempéries, gasoil, production</t>
  </si>
  <si>
    <t xml:space="preserve">Personnel</t>
  </si>
  <si>
    <t xml:space="preserve">Fichier du personnel, taux journaliers, cumul jours et montants dus</t>
  </si>
  <si>
    <t xml:space="preserve">Au recrutement</t>
  </si>
  <si>
    <t xml:space="preserve">Checklist_lancement</t>
  </si>
  <si>
    <t xml:space="preserve">Check-list de lancement de chantier (administratif, technique, HSE)</t>
  </si>
  <si>
    <t xml:space="preserve">Démarrage</t>
  </si>
  <si>
    <t xml:space="preserve">Lexique</t>
  </si>
  <si>
    <t xml:space="preserve">Lexique des termes BTP utilisés</t>
  </si>
  <si>
    <t xml:space="preserve">—</t>
  </si>
  <si>
    <t xml:space="preserve">LÉGENDE DES CELLULES</t>
  </si>
  <si>
    <t xml:space="preserve">Exemple</t>
  </si>
  <si>
    <t xml:space="preserve">Cellule de SAISIE (fond crème, texte bleu) : à remplir par vous</t>
  </si>
  <si>
    <t xml:space="preserve">Cellule CALCULÉE (fond gris, texte noir) : formule, ne pas écraser</t>
  </si>
  <si>
    <t xml:space="preserve">En-tête de tableau / statut favorable (OK, Terminé, Livrée, Réglée)</t>
  </si>
  <si>
    <t xml:space="preserve">Statut à surveiller (En cours, Partielle, À commander, ATTENTION)</t>
  </si>
  <si>
    <t xml:space="preserve">Statut critique (En retard, Rupture, Dépassement, ALERTE)</t>
  </si>
  <si>
    <t xml:space="preserve">MODE D'EMPLOI EN 6 ÉTAPES</t>
  </si>
  <si>
    <t xml:space="preserve">1. Paramètres : saisir le chantier, la date de démarrage, le délai, les taux ; compléter les listes (lots, équipes, fournisseurs).</t>
  </si>
  <si>
    <t xml:space="preserve">2. Personnel et 09_Stock : créer la liste des ouvriers (matricule, taux) et le catalogue des matériaux (code, seuil).</t>
  </si>
  <si>
    <t xml:space="preserve">3. 01_Planning, 03_Budget, 04_Situations : saisir les tâches, le budget par lot et le DQE du marché.</t>
  </si>
  <si>
    <t xml:space="preserve">4. Chaque jour : 06_Pointage, 07_Affectation, 09b_Livraisons, 10_Journal, 19b_Engins_journal, suivis 13 à 18 et registre 12_Controle_qualite.</t>
  </si>
  <si>
    <t xml:space="preserve">5. À chaque achat : 08_Commandes puis 05_Factures ; chaque semaine : mettre à jour le % réalisé du planning.</t>
  </si>
  <si>
    <t xml:space="preserve">6. Consulter 02_Tableau_de_bord : les signaux ALERTE / ATTENTION indiquent où agir en priorité.</t>
  </si>
  <si>
    <t xml:space="preserve">Les lignes pré-remplies sont un EXEMPLE (route en terre de 20 km + ouvrages + bâtiment) : effacez uniquement les cellules de saisie pour démarrer. Onglets 13 à 18 inutiles pour un chantier ? Masquez-les (clic droit &gt; Masquer).</t>
  </si>
  <si>
    <t xml:space="preserve">Mission de contrôle : utilisez surtout 01, 04, 10, 11, 12, 13 à 18 et Plan_controle ; choisissez votre rôle dans Paramètres.</t>
  </si>
  <si>
    <t xml:space="preserve">Phases sans objet dans les suivis 13 à 18 : saisir « n/a » (la phase est alors exclue du calcul d'avancement).</t>
  </si>
  <si>
    <t xml:space="preserve">Date de référence = date du jour par défaut ; elle peut être forcée dans Paramètres pour analyser une date passée.</t>
  </si>
  <si>
    <t xml:space="preserve">Compatible Excel 2010+ et LibreOffice ; importable dans Google Sheets (les mises en forme conditionnelles restent actives).</t>
  </si>
  <si>
    <t xml:space="preserve">CONTEXTE TECHNIQUE (Côte d'Ivoire)</t>
  </si>
  <si>
    <t xml:space="preserve">• Structures BA : dimensionnement et vérifications selon EC2 (NF EN 1992-1-1) et BAEL 91 révisé 99.</t>
  </si>
  <si>
    <t xml:space="preserve">• Sols latéritiques : remblais compactés par couches de 20 cm à 95 % OPM, contrôle CBR ; purge des poches argileuses.</t>
  </si>
  <si>
    <t xml:space="preserve">• Climat tropical chaud et humide : cure humide du béton ≥ 7 jours, bétonnage aux heures fraîches, enrobage adapté.</t>
  </si>
  <si>
    <t xml:space="preserve">• Saisons des pluies (avril–juillet, octobre–novembre) : tracer les intempéries au journal pour justifier les prolongations.</t>
  </si>
  <si>
    <t xml:space="preserve">• Routes en terre : rechargement latéritique CBR ≥ 30 à 95 % OPM, bombement 4 %, fossés et exutoires avant la saison des pluies.</t>
  </si>
  <si>
    <t xml:space="preserve">• Buses Ø800 / Ø1000 : lit de pose réglé, pente 1 à 3 %, remblai latéral symétrique, couverture ≥ 0,60 m avant passage d'engins.</t>
  </si>
  <si>
    <t xml:space="preserve">• Charpente métallique : calcul et contrôles selon EC3 (NF EN 1993) / NF EN 1090 ; protection anticorrosion renforcée (climat humide).</t>
  </si>
  <si>
    <t xml:space="preserve">PARAMÈTRES DU CHANTIER &amp; LISTES DE RÉFÉRENCE</t>
  </si>
  <si>
    <t xml:space="preserve">Renseignez ici les données générales du chantier. Les listes (colonnes E à AA) alimentent les menus déroulants de tous les onglets : ajoutez vos éléments en bas de chaque liste.</t>
  </si>
  <si>
    <t xml:space="preserve">DONNÉES GÉNÉRALES</t>
  </si>
  <si>
    <t xml:space="preserve">Lots</t>
  </si>
  <si>
    <t xml:space="preserve">Équipes</t>
  </si>
  <si>
    <t xml:space="preserve">Fournisseurs</t>
  </si>
  <si>
    <t xml:space="preserve">Composantes</t>
  </si>
  <si>
    <t xml:space="preserve">Mission / rôle</t>
  </si>
  <si>
    <t xml:space="preserve">Type de contrôle</t>
  </si>
  <si>
    <t xml:space="preserve">Intervenant</t>
  </si>
  <si>
    <t xml:space="preserve">Appréciation</t>
  </si>
  <si>
    <t xml:space="preserve">Diamètre buses</t>
  </si>
  <si>
    <t xml:space="preserve">Traitement point critique</t>
  </si>
  <si>
    <t xml:space="preserve">État engin</t>
  </si>
  <si>
    <t xml:space="preserve">Propriété engin</t>
  </si>
  <si>
    <t xml:space="preserve">Unités</t>
  </si>
  <si>
    <t xml:space="preserve">Météo</t>
  </si>
  <si>
    <t xml:space="preserve">Types d'incident</t>
  </si>
  <si>
    <t xml:space="preserve">Gravité</t>
  </si>
  <si>
    <t xml:space="preserve">Statut incident</t>
  </si>
  <si>
    <t xml:space="preserve">Présence</t>
  </si>
  <si>
    <t xml:space="preserve">Type mouvement</t>
  </si>
  <si>
    <t xml:space="preserve">Oui / Non</t>
  </si>
  <si>
    <t xml:space="preserve">Intitulé du chantier</t>
  </si>
  <si>
    <t xml:space="preserve">Route en terre A–B (20 km), ouvrages, bâtiment TCE, clôture, hangar (exemple)</t>
  </si>
  <si>
    <t xml:space="preserve">L00 Installation &amp; repli</t>
  </si>
  <si>
    <t xml:space="preserve">Équipe Route – terrassement</t>
  </si>
  <si>
    <t xml:space="preserve">Dépôt ciment</t>
  </si>
  <si>
    <t xml:space="preserve">Installation</t>
  </si>
  <si>
    <t xml:space="preserve">Entreprise – réalisation</t>
  </si>
  <si>
    <t xml:space="preserve">Point d'arrêt (PA)</t>
  </si>
  <si>
    <t xml:space="preserve">Entreprise (autocontrôle)</t>
  </si>
  <si>
    <t xml:space="preserve">Conforme</t>
  </si>
  <si>
    <t xml:space="preserve">Ø800</t>
  </si>
  <si>
    <t xml:space="preserve">Purge + remblai latéritique</t>
  </si>
  <si>
    <t xml:space="preserve">En service</t>
  </si>
  <si>
    <t xml:space="preserve">Propre</t>
  </si>
  <si>
    <t xml:space="preserve">u</t>
  </si>
  <si>
    <t xml:space="preserve">Ensoleillé</t>
  </si>
  <si>
    <t xml:space="preserve">Sécurité / accident</t>
  </si>
  <si>
    <t xml:space="preserve">Mineure</t>
  </si>
  <si>
    <t xml:space="preserve">Ouvert</t>
  </si>
  <si>
    <t xml:space="preserve">P</t>
  </si>
  <si>
    <t xml:space="preserve">Entrée</t>
  </si>
  <si>
    <t xml:space="preserve">Oui</t>
  </si>
  <si>
    <t xml:space="preserve">Réalisation &amp; contrôle</t>
  </si>
  <si>
    <t xml:space="preserve">R01 Route – reprofilage lourd</t>
  </si>
  <si>
    <t xml:space="preserve">Équipe OH – ouvrages hydrauliques</t>
  </si>
  <si>
    <t xml:space="preserve">Quincaillerie générale</t>
  </si>
  <si>
    <t xml:space="preserve">Route en terre</t>
  </si>
  <si>
    <t xml:space="preserve">Mission de contrôle – surveillance</t>
  </si>
  <si>
    <t xml:space="preserve">Point critique (PC)</t>
  </si>
  <si>
    <t xml:space="preserve">Mission de contrôle</t>
  </si>
  <si>
    <t xml:space="preserve">Non conforme</t>
  </si>
  <si>
    <t xml:space="preserve">Ø1000</t>
  </si>
  <si>
    <t xml:space="preserve">Rechargement localisé</t>
  </si>
  <si>
    <t xml:space="preserve">En panne</t>
  </si>
  <si>
    <t xml:space="preserve">Location</t>
  </si>
  <si>
    <t xml:space="preserve">ens</t>
  </si>
  <si>
    <t xml:space="preserve">Nuageux</t>
  </si>
  <si>
    <t xml:space="preserve">Qualité / non-conformité</t>
  </si>
  <si>
    <t xml:space="preserve">Moyenne</t>
  </si>
  <si>
    <t xml:space="preserve">En cours</t>
  </si>
  <si>
    <t xml:space="preserve">A</t>
  </si>
  <si>
    <t xml:space="preserve">Sortie</t>
  </si>
  <si>
    <t xml:space="preserve">Non</t>
  </si>
  <si>
    <t xml:space="preserve">Maître d'ouvrage</t>
  </si>
  <si>
    <t xml:space="preserve">À renseigner</t>
  </si>
  <si>
    <t xml:space="preserve">R02 Route – points critiques</t>
  </si>
  <si>
    <t xml:space="preserve">Équipe Bâtiment / clôture</t>
  </si>
  <si>
    <t xml:space="preserve">Carrière de granite</t>
  </si>
  <si>
    <t xml:space="preserve">Points critiques</t>
  </si>
  <si>
    <t xml:space="preserve">Autocontrôle</t>
  </si>
  <si>
    <t xml:space="preserve">Laboratoire</t>
  </si>
  <si>
    <t xml:space="preserve">Réserve</t>
  </si>
  <si>
    <t xml:space="preserve">Ø600</t>
  </si>
  <si>
    <t xml:space="preserve">Pose de buses</t>
  </si>
  <si>
    <t xml:space="preserve">En réparation</t>
  </si>
  <si>
    <t xml:space="preserve">Sous-traitant</t>
  </si>
  <si>
    <t xml:space="preserve">ff</t>
  </si>
  <si>
    <t xml:space="preserve">Pluie faible</t>
  </si>
  <si>
    <t xml:space="preserve">Retard</t>
  </si>
  <si>
    <t xml:space="preserve">Majeure</t>
  </si>
  <si>
    <t xml:space="preserve">Clos</t>
  </si>
  <si>
    <t xml:space="preserve">1/2</t>
  </si>
  <si>
    <t xml:space="preserve">Maître d'œuvre / BET</t>
  </si>
  <si>
    <t xml:space="preserve">R03 Ouvrages – buses Ø800/Ø1000</t>
  </si>
  <si>
    <t xml:space="preserve">Équipe Charpente métallique</t>
  </si>
  <si>
    <t xml:space="preserve">Sablière</t>
  </si>
  <si>
    <t xml:space="preserve">Ouvrages hydrauliques – buses</t>
  </si>
  <si>
    <t xml:space="preserve">Essai laboratoire</t>
  </si>
  <si>
    <t xml:space="preserve">Ø1200</t>
  </si>
  <si>
    <t xml:space="preserve">Dalot</t>
  </si>
  <si>
    <t xml:space="preserve">Non mobilisé</t>
  </si>
  <si>
    <t xml:space="preserve">m</t>
  </si>
  <si>
    <t xml:space="preserve">Forte pluie</t>
  </si>
  <si>
    <t xml:space="preserve">Intempérie</t>
  </si>
  <si>
    <t xml:space="preserve">Entreprise titulaire</t>
  </si>
  <si>
    <t xml:space="preserve">R04 Ouvrages – dalots</t>
  </si>
  <si>
    <t xml:space="preserve">Encadrement</t>
  </si>
  <si>
    <t xml:space="preserve">Briqueterie</t>
  </si>
  <si>
    <t xml:space="preserve">Dalots</t>
  </si>
  <si>
    <t xml:space="preserve">Contrôle extérieur</t>
  </si>
  <si>
    <t xml:space="preserve">Enrochement / perré</t>
  </si>
  <si>
    <t xml:space="preserve">Restitué</t>
  </si>
  <si>
    <t xml:space="preserve">ml</t>
  </si>
  <si>
    <t xml:space="preserve">Orage</t>
  </si>
  <si>
    <t xml:space="preserve">Matériel / panne</t>
  </si>
  <si>
    <t xml:space="preserve">Conducteur de travaux</t>
  </si>
  <si>
    <t xml:space="preserve">Moulo Jean Claude</t>
  </si>
  <si>
    <t xml:space="preserve">B01 Bâtiment – gros œuvre</t>
  </si>
  <si>
    <t xml:space="preserve">Labo / contrôle</t>
  </si>
  <si>
    <t xml:space="preserve">Préfabricant buses BA</t>
  </si>
  <si>
    <t xml:space="preserve">Bâtiment TCE</t>
  </si>
  <si>
    <t xml:space="preserve">Réception partielle</t>
  </si>
  <si>
    <t xml:space="preserve">Fossé de crête / divergent</t>
  </si>
  <si>
    <t xml:space="preserve">km</t>
  </si>
  <si>
    <t xml:space="preserve">Harmattan</t>
  </si>
  <si>
    <t xml:space="preserve">Approvisionnement</t>
  </si>
  <si>
    <t xml:space="preserve">Localisation</t>
  </si>
  <si>
    <t xml:space="preserve">Abidjan – Côte d'Ivoire</t>
  </si>
  <si>
    <t xml:space="preserve">B02 Bâtiment – second œuvre TCE</t>
  </si>
  <si>
    <t xml:space="preserve">Station-service (gasoil)</t>
  </si>
  <si>
    <t xml:space="preserve">Clôture</t>
  </si>
  <si>
    <t xml:space="preserve">m²</t>
  </si>
  <si>
    <t xml:space="preserve">Environnement</t>
  </si>
  <si>
    <t xml:space="preserve">N° du marché / contrat</t>
  </si>
  <si>
    <t xml:space="preserve">C01 Clôture</t>
  </si>
  <si>
    <t xml:space="preserve">Location engins</t>
  </si>
  <si>
    <t xml:space="preserve">Charpente métallique</t>
  </si>
  <si>
    <t xml:space="preserve">m³</t>
  </si>
  <si>
    <t xml:space="preserve">Litige / riverains</t>
  </si>
  <si>
    <t xml:space="preserve">Date de démarrage (OS)</t>
  </si>
  <si>
    <t xml:space="preserve">M01 Charpente métallique</t>
  </si>
  <si>
    <t xml:space="preserve">Laboratoire géotechnique</t>
  </si>
  <si>
    <t xml:space="preserve">kg</t>
  </si>
  <si>
    <t xml:space="preserve">Délai contractuel (jours calendaires)</t>
  </si>
  <si>
    <t xml:space="preserve">S01 Contrôle &amp; essais</t>
  </si>
  <si>
    <t xml:space="preserve">Atelier charpente métallique</t>
  </si>
  <si>
    <t xml:space="preserve">t</t>
  </si>
  <si>
    <t xml:space="preserve">Date de fin contractuelle</t>
  </si>
  <si>
    <t xml:space="preserve">sac</t>
  </si>
  <si>
    <t xml:space="preserve">Date de référence (pilotage)</t>
  </si>
  <si>
    <t xml:space="preserve">barre</t>
  </si>
  <si>
    <t xml:space="preserve">Montant du marché HT (FCFA)</t>
  </si>
  <si>
    <t xml:space="preserve">l</t>
  </si>
  <si>
    <t xml:space="preserve">Taux de TVA</t>
  </si>
  <si>
    <t xml:space="preserve">j</t>
  </si>
  <si>
    <t xml:space="preserve">Retenue de garantie</t>
  </si>
  <si>
    <t xml:space="preserve">h</t>
  </si>
  <si>
    <t xml:space="preserve">Remboursement avance de démarrage (% des situations)</t>
  </si>
  <si>
    <t xml:space="preserve">Heures de travail par jour</t>
  </si>
  <si>
    <t xml:space="preserve">Tolérance d'écart avant alerte</t>
  </si>
  <si>
    <t xml:space="preserve">Compacité minimale exigée (% OPM)</t>
  </si>
  <si>
    <t xml:space="preserve">CBR minimal de la latérite (couche de roulement)</t>
  </si>
  <si>
    <t xml:space="preserve">Tolérance sur épaisseur de rechargement (m)</t>
  </si>
  <si>
    <t xml:space="preserve">Tolérance surconsommation gasoil engins</t>
  </si>
  <si>
    <t xml:space="preserve">Taux de disponibilité minimal des engins</t>
  </si>
  <si>
    <t xml:space="preserve">Résistance béton exigée fc28 (MPa)</t>
  </si>
  <si>
    <t xml:space="preserve">Contexte ivoirien : grande saison des pluies ≈ avril–juillet, petite saison ≈ octobre–novembre. Prévoir des marges de délai sur terrassements et bétonnages pendant ces périodes.</t>
  </si>
  <si>
    <t xml:space="preserve">02 · TABLEAU DE BORD – PILOTAGE ET AIDE À LA DÉCISION</t>
  </si>
  <si>
    <t xml:space="preserve">Synthèse automatique de tous les modules à la date de référence. Aucune saisie sur cet onglet. Signal : OK (vert) · ATTENTION (orange) · ALERTE (rouge).</t>
  </si>
  <si>
    <t xml:space="preserve">Fin contractuelle :</t>
  </si>
  <si>
    <t xml:space="preserve">Avancement physique réel</t>
  </si>
  <si>
    <t xml:space="preserve">Avancement physique</t>
  </si>
  <si>
    <t xml:space="preserve">Avancement financier</t>
  </si>
  <si>
    <t xml:space="preserve">Budget consommé</t>
  </si>
  <si>
    <t xml:space="preserve">Total dépensé (FCFA)</t>
  </si>
  <si>
    <t xml:space="preserve">Reste budget (FCFA)</t>
  </si>
  <si>
    <t xml:space="preserve">Présents aujourd'hui</t>
  </si>
  <si>
    <t xml:space="preserve">Avancement physique prévu</t>
  </si>
  <si>
    <t xml:space="preserve">Budget total</t>
  </si>
  <si>
    <t xml:space="preserve">Total dépensé</t>
  </si>
  <si>
    <t xml:space="preserve">LES 11 QUESTIONS DU PILOTAGE DE CHANTIER</t>
  </si>
  <si>
    <t xml:space="preserve">Reste budget</t>
  </si>
  <si>
    <t xml:space="preserve">N°</t>
  </si>
  <si>
    <t xml:space="preserve">Question</t>
  </si>
  <si>
    <t xml:space="preserve">Réponse</t>
  </si>
  <si>
    <t xml:space="preserve">Détail</t>
  </si>
  <si>
    <t xml:space="preserve">Signal</t>
  </si>
  <si>
    <t xml:space="preserve">% budget consommé</t>
  </si>
  <si>
    <t xml:space="preserve">Sommes-nous dans les délais ?</t>
  </si>
  <si>
    <t xml:space="preserve">Effectif présent</t>
  </si>
  <si>
    <t xml:space="preserve">Combien avons-nous déjà dépensé ?</t>
  </si>
  <si>
    <t xml:space="preserve">% délai consommé</t>
  </si>
  <si>
    <t xml:space="preserve">Quel budget reste-t-il ?</t>
  </si>
  <si>
    <t xml:space="preserve">Tâches en retard</t>
  </si>
  <si>
    <t xml:space="preserve">Qui travaille aujourd'hui et sur quelle tâche ?</t>
  </si>
  <si>
    <t xml:space="preserve">Quels matériaux restent disponibles ?</t>
  </si>
  <si>
    <t xml:space="preserve">Quelles commandes sont encore en attente ?</t>
  </si>
  <si>
    <t xml:space="preserve">Quelles factures doivent être réglées ?</t>
  </si>
  <si>
    <t xml:space="preserve">Quel est le niveau réel d'avancement ?</t>
  </si>
  <si>
    <t xml:space="preserve">Quels incidents devons-nous documenter ?</t>
  </si>
  <si>
    <t xml:space="preserve">Les travaux sont-ils conformes (contrôles &amp; essais) ?</t>
  </si>
  <si>
    <t xml:space="preserve">Nos engins sont-ils disponibles et productifs ?</t>
  </si>
  <si>
    <t xml:space="preserve">AVANCEMENT PHYSIQUE PAR COMPOSANTE (onglets 13 à 18 et 12)</t>
  </si>
  <si>
    <t xml:space="preserve">Composante</t>
  </si>
  <si>
    <t xml:space="preserve">Unité</t>
  </si>
  <si>
    <t xml:space="preserve">Prévu</t>
  </si>
  <si>
    <t xml:space="preserve">Réalisé</t>
  </si>
  <si>
    <t xml:space="preserve">Avancement</t>
  </si>
  <si>
    <t xml:space="preserve">Statut</t>
  </si>
  <si>
    <t xml:space="preserve">Route en terre – reprofilage lourd (13)</t>
  </si>
  <si>
    <t xml:space="preserve">Route – rechargement latéritique (13)</t>
  </si>
  <si>
    <t xml:space="preserve">Points critiques traités (14)</t>
  </si>
  <si>
    <t xml:space="preserve">Buses Ø800 posées (14)</t>
  </si>
  <si>
    <t xml:space="preserve">Buses Ø1000 posées (14)</t>
  </si>
  <si>
    <t xml:space="preserve">Dalots achevés (15)</t>
  </si>
  <si>
    <t xml:space="preserve">Bâtiment tous corps d'état (16)</t>
  </si>
  <si>
    <t xml:space="preserve">FCFA</t>
  </si>
  <si>
    <t xml:space="preserve">Clôture (17)</t>
  </si>
  <si>
    <t xml:space="preserve">Charpente métallique (18)</t>
  </si>
  <si>
    <t xml:space="preserve">Contrôles conformes / réalisés (12)</t>
  </si>
  <si>
    <t xml:space="preserve">SYNTHÈSE PAR LOT (budget / dépenses / avancement)</t>
  </si>
  <si>
    <t xml:space="preserve">Lot</t>
  </si>
  <si>
    <t xml:space="preserve">Budget HT</t>
  </si>
  <si>
    <t xml:space="preserve">Dépensé</t>
  </si>
  <si>
    <t xml:space="preserve">Reste</t>
  </si>
  <si>
    <t xml:space="preserve">% consommé</t>
  </si>
  <si>
    <t xml:space="preserve">Avanc. physique</t>
  </si>
  <si>
    <t xml:space="preserve">Alerte</t>
  </si>
  <si>
    <t xml:space="preserve">ÉQUIPES AU TRAVAIL (date de référence)</t>
  </si>
  <si>
    <t xml:space="preserve">ALERTES STOCK (à commander / rupture)</t>
  </si>
  <si>
    <t xml:space="preserve">Équipe</t>
  </si>
  <si>
    <t xml:space="preserve">Tâche</t>
  </si>
  <si>
    <t xml:space="preserve">Présents / prévu</t>
  </si>
  <si>
    <t xml:space="preserve">Article</t>
  </si>
  <si>
    <t xml:space="preserve">Stock</t>
  </si>
  <si>
    <t xml:space="preserve">Seuil</t>
  </si>
  <si>
    <t xml:space="preserve">FACTURES À RÉGLER</t>
  </si>
  <si>
    <t xml:space="preserve">COMMANDES EN ATTENTE DE LIVRAISON</t>
  </si>
  <si>
    <t xml:space="preserve">Fournisseur</t>
  </si>
  <si>
    <t xml:space="preserve">N° facture</t>
  </si>
  <si>
    <t xml:space="preserve">Reste (FCFA)</t>
  </si>
  <si>
    <t xml:space="preserve">Échéance</t>
  </si>
  <si>
    <t xml:space="preserve">N° BC</t>
  </si>
  <si>
    <t xml:space="preserve">Reste à livrer</t>
  </si>
  <si>
    <t xml:space="preserve">Prévue le</t>
  </si>
  <si>
    <t xml:space="preserve">01 · PLANNING GANTT DU CHANTIER</t>
  </si>
  <si>
    <t xml:space="preserve">Saisissez lot, tâche, date de début, durée et % réalisé. Fin, % prévu, écart et statut sont calculés. Barres : vert foncé = réalisé · vert clair = prévu · rouge = tâche en retard · colonne orange = semaine de la date de référence.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</si>
  <si>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</si>
  <si>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</si>
  <si>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</si>
  <si>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</si>
  <si>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</si>
  <si>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</si>
  <si>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</si>
  <si>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</si>
  <si>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</si>
  <si>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</si>
  <si>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</si>
  <si>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</si>
  <si>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</si>
  <si>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</si>
  <si>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</si>
  <si>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</si>
  <si>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</si>
  <si>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</si>
  <si>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</si>
  <si>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</si>
  <si>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</si>
  <si>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</si>
  <si>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</si>
  <si>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</si>
  <si>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</si>
  <si>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</si>
  <si>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</si>
  <si>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</si>
  <si>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</si>
  <si>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</si>
  <si>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</si>
  <si>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</si>
  <si>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</si>
  <si>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</si>
  <si>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</si>
  <si>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</si>
  <si>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</si>
  <si>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</si>
  <si>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</si>
  <si>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</si>
  <si>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Équipe / responsable</t>
  </si>
  <si>
    <t xml:space="preserve">Début</t>
  </si>
  <si>
    <t xml:space="preserve">Durée (j cal.)</t>
  </si>
  <si>
    <t xml:space="preserve">Fin</t>
  </si>
  <si>
    <t xml:space="preserve">% réalisé</t>
  </si>
  <si>
    <t xml:space="preserve">% prévu à date</t>
  </si>
  <si>
    <t xml:space="preserve">Écart réel - prévu</t>
  </si>
  <si>
    <t xml:space="preserve">Installation de chantier, base vie, laboratoire</t>
  </si>
  <si>
    <t xml:space="preserve">Reconnaissance des emprunts de latérite &amp; essais d'identification</t>
  </si>
  <si>
    <t xml:space="preserve">Débroussaillage &amp; décapage PK 0+000 à 20+000</t>
  </si>
  <si>
    <t xml:space="preserve">Scarification &amp; reprofilage lourd PK 0+000 à 20+000</t>
  </si>
  <si>
    <t xml:space="preserve">Rechargement latéritique ép. 0,20 m + compactage 95 % OPM</t>
  </si>
  <si>
    <t xml:space="preserve">Fossés latéraux &amp; exutoires</t>
  </si>
  <si>
    <t xml:space="preserve">Points critiques : purges &amp; remblais latéritiques</t>
  </si>
  <si>
    <t xml:space="preserve">Pose buses Ø1000 (PC2, PC6)</t>
  </si>
  <si>
    <t xml:space="preserve">Pose buses Ø800 (PC3, PC4, PC7)</t>
  </si>
  <si>
    <t xml:space="preserve">Têtes de buses, perrés &amp; enrochements</t>
  </si>
  <si>
    <t xml:space="preserve">Dalot D1 – PK 3+200 – 1×(2,00×1,50)</t>
  </si>
  <si>
    <t xml:space="preserve">Dalot D2 – PK 9+750 – 2×(2,50×2,00)</t>
  </si>
  <si>
    <t xml:space="preserve">Dalot D3 – PK 16+400 – 1×(3,00×2,00)</t>
  </si>
  <si>
    <t xml:space="preserve">Bâtiment : terrassements &amp; fondations</t>
  </si>
  <si>
    <t xml:space="preserve">Bâtiment : élévation maçonnerie &amp; BA</t>
  </si>
  <si>
    <t xml:space="preserve">Bâtiment : dalle / plancher haut</t>
  </si>
  <si>
    <t xml:space="preserve">Bâtiment : charpente-couverture &amp; étanchéité</t>
  </si>
  <si>
    <t xml:space="preserve">Bâtiment : plomberie, électricité, climatisation</t>
  </si>
  <si>
    <t xml:space="preserve">Bâtiment : menuiseries bois, alu &amp; métalliques</t>
  </si>
  <si>
    <t xml:space="preserve">Bâtiment : revêtements, enduits &amp; peinture</t>
  </si>
  <si>
    <t xml:space="preserve">Clôture : fouilles, semelles &amp; soubassement</t>
  </si>
  <si>
    <t xml:space="preserve">Clôture : poteaux BA, élévation &amp; chaînage</t>
  </si>
  <si>
    <t xml:space="preserve">Clôture : enduits, peinture &amp; portail</t>
  </si>
  <si>
    <t xml:space="preserve">Charpente : plans d'exécution &amp; approvisionnement acier</t>
  </si>
  <si>
    <t xml:space="preserve">Charpente : fabrication atelier &amp; anticorrosion</t>
  </si>
  <si>
    <t xml:space="preserve">Charpente : montage hangar &amp; couverture</t>
  </si>
  <si>
    <t xml:space="preserve">Contrôles &amp; essais (laboratoire) en continu</t>
  </si>
  <si>
    <t xml:space="preserve">Repli de chantier &amp; réception provisoire</t>
  </si>
  <si>
    <t xml:space="preserve">03 · SUIVI BUDGÉTAIRE PAR LOT</t>
  </si>
  <si>
    <t xml:space="preserve">Saisissez le budget prévu (déboursé sec) et les autres dépenses non facturées (caisse, petites dépenses). Engagé, factures et main-d'œuvre sont totalisés automatiquement depuis les onglets 05, 06 et 08.</t>
  </si>
  <si>
    <t xml:space="preserve">Budget prévu HT (FCFA)</t>
  </si>
  <si>
    <t xml:space="preserve">Engagé – bons de commande (FCFA)</t>
  </si>
  <si>
    <t xml:space="preserve">Factures fournisseurs HT (FCFA)</t>
  </si>
  <si>
    <t xml:space="preserve">Main-d'œuvre pointée (FCFA)</t>
  </si>
  <si>
    <t xml:space="preserve">Autres dépenses HT (FCFA)</t>
  </si>
  <si>
    <t xml:space="preserve">Avancement physique du lot</t>
  </si>
  <si>
    <t xml:space="preserve">TOTAL</t>
  </si>
  <si>
    <t xml:space="preserve">Note : le budget est suivi en HT (déboursé). « Surconsommation » = % consommé supérieur à l'avancement physique du lot + tolérance (Paramètres).</t>
  </si>
  <si>
    <t xml:space="preserve">04 · SITUATIONS DE TRAVAUX (décompte mensuel)</t>
  </si>
  <si>
    <t xml:space="preserve">Base : DQE / BPU du marché. Chaque mois, reportez le cumul précédent puis saisissez les quantités exécutées dans le mois (attachements contradictoires). Le décompte (retenue de garantie, avance, TVA) est calculé en bas.</t>
  </si>
  <si>
    <t xml:space="preserve">Situation n° :</t>
  </si>
  <si>
    <t xml:space="preserve">Période du :</t>
  </si>
  <si>
    <t xml:space="preserve">au :</t>
  </si>
  <si>
    <t xml:space="preserve">N° prix</t>
  </si>
  <si>
    <t xml:space="preserve">Désignation</t>
  </si>
  <si>
    <t xml:space="preserve">Qté marché</t>
  </si>
  <si>
    <t xml:space="preserve">PU HT (FCFA)</t>
  </si>
  <si>
    <t xml:space="preserve">Montant marché HT</t>
  </si>
  <si>
    <t xml:space="preserve">Qté cumul précédent</t>
  </si>
  <si>
    <t xml:space="preserve">Qté du mois</t>
  </si>
  <si>
    <t xml:space="preserve">Qté cumulée</t>
  </si>
  <si>
    <t xml:space="preserve">% exécuté</t>
  </si>
  <si>
    <t xml:space="preserve">Montant cumul précédent</t>
  </si>
  <si>
    <t xml:space="preserve">Montant cumulé HT</t>
  </si>
  <si>
    <t xml:space="preserve">1.1</t>
  </si>
  <si>
    <t xml:space="preserve">Installation et repli de chantier</t>
  </si>
  <si>
    <t xml:space="preserve">1.2</t>
  </si>
  <si>
    <t xml:space="preserve">Laboratoire de chantier, essais et contrôles</t>
  </si>
  <si>
    <t xml:space="preserve">2.1</t>
  </si>
  <si>
    <t xml:space="preserve">Débroussaillage, dessouchage et décapage</t>
  </si>
  <si>
    <t xml:space="preserve">2.2</t>
  </si>
  <si>
    <t xml:space="preserve">Scarification, reprofilage lourd et compactage de la plateforme</t>
  </si>
  <si>
    <t xml:space="preserve">2.3</t>
  </si>
  <si>
    <t xml:space="preserve">Rechargement en latérite ép. 0,20 m (extraction, transport, mise en œuvre)</t>
  </si>
  <si>
    <t xml:space="preserve">2.4</t>
  </si>
  <si>
    <t xml:space="preserve">Fossés latéraux et exutoires</t>
  </si>
  <si>
    <t xml:space="preserve">3.1</t>
  </si>
  <si>
    <t xml:space="preserve">Purge des matériaux impropres aux points critiques</t>
  </si>
  <si>
    <t xml:space="preserve">3.2</t>
  </si>
  <si>
    <t xml:space="preserve">Remblai latéritique compacté à 95 % OPM</t>
  </si>
  <si>
    <t xml:space="preserve">3.3</t>
  </si>
  <si>
    <t xml:space="preserve">Enrochements et perrés secs</t>
  </si>
  <si>
    <t xml:space="preserve">4.1</t>
  </si>
  <si>
    <t xml:space="preserve">Fourniture et pose de buses BA Ø800</t>
  </si>
  <si>
    <t xml:space="preserve">4.2</t>
  </si>
  <si>
    <t xml:space="preserve">Fourniture et pose de buses BA Ø1000</t>
  </si>
  <si>
    <t xml:space="preserve">4.3</t>
  </si>
  <si>
    <t xml:space="preserve">Têtes de buses en béton armé (murs de tête et en aile)</t>
  </si>
  <si>
    <t xml:space="preserve">5.1</t>
  </si>
  <si>
    <t xml:space="preserve">Béton de propreté dosé à 150 kg/m³ (dalots)</t>
  </si>
  <si>
    <t xml:space="preserve">5.2</t>
  </si>
  <si>
    <t xml:space="preserve">Béton armé dosé à 350 kg/m³ pour dalots</t>
  </si>
  <si>
    <t xml:space="preserve">5.3</t>
  </si>
  <si>
    <t xml:space="preserve">Aciers HA pour dalots</t>
  </si>
  <si>
    <t xml:space="preserve">5.4</t>
  </si>
  <si>
    <t xml:space="preserve">Remblais techniques compactés</t>
  </si>
  <si>
    <t xml:space="preserve">5.5</t>
  </si>
  <si>
    <t xml:space="preserve">Perrés maçonnés</t>
  </si>
  <si>
    <t xml:space="preserve">6.1</t>
  </si>
  <si>
    <t xml:space="preserve">Bâtiment – gros œuvre (terrassements, fondations, élévation, dalle)</t>
  </si>
  <si>
    <t xml:space="preserve">6.2</t>
  </si>
  <si>
    <t xml:space="preserve">Bâtiment – charpente, couverture et étanchéité</t>
  </si>
  <si>
    <t xml:space="preserve">6.3</t>
  </si>
  <si>
    <t xml:space="preserve">Bâtiment – menuiseries bois, aluminium et métalliques</t>
  </si>
  <si>
    <t xml:space="preserve">6.4</t>
  </si>
  <si>
    <t xml:space="preserve">Bâtiment – plomberie sanitaire</t>
  </si>
  <si>
    <t xml:space="preserve">6.5</t>
  </si>
  <si>
    <t xml:space="preserve">Bâtiment – électricité CFO / CFA et climatisation</t>
  </si>
  <si>
    <t xml:space="preserve">6.6</t>
  </si>
  <si>
    <t xml:space="preserve">Bâtiment – revêtements, enduits et peinture</t>
  </si>
  <si>
    <t xml:space="preserve">7.1</t>
  </si>
  <si>
    <t xml:space="preserve">Clôture agglos + poteaux BA, h = 2,50 m</t>
  </si>
  <si>
    <t xml:space="preserve">7.2</t>
  </si>
  <si>
    <t xml:space="preserve">Portail métallique 6 m</t>
  </si>
  <si>
    <t xml:space="preserve">8.1</t>
  </si>
  <si>
    <t xml:space="preserve">Charpente métallique hangar (fourniture, fabrication, montage)</t>
  </si>
  <si>
    <t xml:space="preserve">8.2</t>
  </si>
  <si>
    <t xml:space="preserve">Couverture et bardage bac aluminium</t>
  </si>
  <si>
    <t xml:space="preserve">TOTAUX HT</t>
  </si>
  <si>
    <t xml:space="preserve">DÉCOMPTE DE LA SITUATION</t>
  </si>
  <si>
    <t xml:space="preserve">Cumul à ce jour</t>
  </si>
  <si>
    <t xml:space="preserve">Cumul précédent</t>
  </si>
  <si>
    <t xml:space="preserve">Montant de la situation</t>
  </si>
  <si>
    <t xml:space="preserve">Montant cumulé des travaux HT</t>
  </si>
  <si>
    <t xml:space="preserve">Remboursement de l'avance de démarrage</t>
  </si>
  <si>
    <t xml:space="preserve">Net cumulé HT</t>
  </si>
  <si>
    <t xml:space="preserve">TVA</t>
  </si>
  <si>
    <t xml:space="preserve">NET À PAYER TTC (situation)</t>
  </si>
  <si>
    <t xml:space="preserve">Avancement financier du marché</t>
  </si>
  <si>
    <t xml:space="preserve">Le maître d'ouvrage : ……………………        Le maître d'œuvre : ……………………        Le conducteur de travaux : Moulo Jean Claude</t>
  </si>
  <si>
    <t xml:space="preserve">05 · FACTURES FOURNISSEURS &amp; ÉCHÉANCIER DE PAIEMENT</t>
  </si>
  <si>
    <t xml:space="preserve">Saisissez chaque facture reçue et les paiements effectués. Statut et retards sont calculés par rapport à la date de référence. Les montants HT alimentent le suivi budgétaire (03).</t>
  </si>
  <si>
    <t xml:space="preserve">Date facture</t>
  </si>
  <si>
    <t xml:space="preserve">Lot imputé</t>
  </si>
  <si>
    <t xml:space="preserve">Objet</t>
  </si>
  <si>
    <t xml:space="preserve">N° BC lié</t>
  </si>
  <si>
    <t xml:space="preserve">Montant HT (FCFA)</t>
  </si>
  <si>
    <t xml:space="preserve">Taux TVA</t>
  </si>
  <si>
    <t xml:space="preserve">TVA (FCFA)</t>
  </si>
  <si>
    <t xml:space="preserve">Montant TTC (FCFA)</t>
  </si>
  <si>
    <t xml:space="preserve">Délai paiement (j)</t>
  </si>
  <si>
    <t xml:space="preserve">Montant payé (FCFA)</t>
  </si>
  <si>
    <t xml:space="preserve">Date dernier paiement</t>
  </si>
  <si>
    <t xml:space="preserve">Reste à payer (FCFA)</t>
  </si>
  <si>
    <t xml:space="preserve">Jours de retard</t>
  </si>
  <si>
    <t xml:space="preserve">(rang tableau de bord)</t>
  </si>
  <si>
    <t xml:space="preserve">SS-0805</t>
  </si>
  <si>
    <t xml:space="preserve">Gasoil 20 000 l</t>
  </si>
  <si>
    <t xml:space="preserve">BC-010</t>
  </si>
  <si>
    <t xml:space="preserve">DC-0812</t>
  </si>
  <si>
    <t xml:space="preserve">Ciment CPJ 42.5 – 600 sacs</t>
  </si>
  <si>
    <t xml:space="preserve">BC-001</t>
  </si>
  <si>
    <t xml:space="preserve">QG-0815</t>
  </si>
  <si>
    <t xml:space="preserve">Acier HA12 – 400 barres</t>
  </si>
  <si>
    <t xml:space="preserve">BC-002</t>
  </si>
  <si>
    <t xml:space="preserve">QG-0816</t>
  </si>
  <si>
    <t xml:space="preserve">Acier HA16 – 300 barres</t>
  </si>
  <si>
    <t xml:space="preserve">BC-003</t>
  </si>
  <si>
    <t xml:space="preserve">SB-0825</t>
  </si>
  <si>
    <t xml:space="preserve">Sable – 120 m³</t>
  </si>
  <si>
    <t xml:space="preserve">BC-005</t>
  </si>
  <si>
    <t xml:space="preserve">CG-0826</t>
  </si>
  <si>
    <t xml:space="preserve">Gravier 5/15 – 200 m³</t>
  </si>
  <si>
    <t xml:space="preserve">BC-007</t>
  </si>
  <si>
    <t xml:space="preserve">QG-0826</t>
  </si>
  <si>
    <t xml:space="preserve">Acier HA10 – 250 barres</t>
  </si>
  <si>
    <t xml:space="preserve">BC-004</t>
  </si>
  <si>
    <t xml:space="preserve">LE-0831</t>
  </si>
  <si>
    <t xml:space="preserve">Location niveleuse, compacteur, citernes – août</t>
  </si>
  <si>
    <t xml:space="preserve">BR-0910</t>
  </si>
  <si>
    <t xml:space="preserve">Agglos creux 15 – 6 000 u</t>
  </si>
  <si>
    <t xml:space="preserve">BC-012</t>
  </si>
  <si>
    <t xml:space="preserve">DC-0920</t>
  </si>
  <si>
    <t xml:space="preserve">Ciment CPJ 42.5 – 400 sacs</t>
  </si>
  <si>
    <t xml:space="preserve">BC-006</t>
  </si>
  <si>
    <t xml:space="preserve">SS-0926</t>
  </si>
  <si>
    <t xml:space="preserve">Gasoil 15 000 l</t>
  </si>
  <si>
    <t xml:space="preserve">BC-011</t>
  </si>
  <si>
    <t xml:space="preserve">LE-0930</t>
  </si>
  <si>
    <t xml:space="preserve">Location niveleuse, compacteur, citernes – septembre</t>
  </si>
  <si>
    <t xml:space="preserve">PB-1001</t>
  </si>
  <si>
    <t xml:space="preserve">Buses BA Ø1000 – 36 éléments</t>
  </si>
  <si>
    <t xml:space="preserve">BC-008</t>
  </si>
  <si>
    <t xml:space="preserve">AC-1005</t>
  </si>
  <si>
    <t xml:space="preserve">Acompte 30 % fourniture acier charpente</t>
  </si>
  <si>
    <t xml:space="preserve">LG-1010</t>
  </si>
  <si>
    <t xml:space="preserve">Essais Proctor, CBR, densités, écrasements – septembre</t>
  </si>
  <si>
    <t xml:space="preserve">06 · POINTAGE JOURNALIER DES OUVRIERS</t>
  </si>
  <si>
    <t xml:space="preserve">Une ligne par ouvrier et par jour. Saisissez date, matricule, lot, tâche, présence (P / A / 1/2) et heures. Nom, équipe, taux et coût sont repris du fichier Personnel. Le coût alimente le budget par lot.</t>
  </si>
  <si>
    <t xml:space="preserve">Date</t>
  </si>
  <si>
    <t xml:space="preserve">Matricule</t>
  </si>
  <si>
    <t xml:space="preserve">Nom &amp; prénoms</t>
  </si>
  <si>
    <t xml:space="preserve">Fonction</t>
  </si>
  <si>
    <t xml:space="preserve">Présence (P/A/1/2)</t>
  </si>
  <si>
    <t xml:space="preserve">Heures</t>
  </si>
  <si>
    <t xml:space="preserve">Taux journalier (FCFA)</t>
  </si>
  <si>
    <t xml:space="preserve">Coût du jour (FCFA)</t>
  </si>
  <si>
    <t xml:space="preserve">Observations</t>
  </si>
  <si>
    <t xml:space="preserve">M001</t>
  </si>
  <si>
    <t xml:space="preserve">M002</t>
  </si>
  <si>
    <t xml:space="preserve">M003</t>
  </si>
  <si>
    <t xml:space="preserve">M004</t>
  </si>
  <si>
    <t xml:space="preserve">M005</t>
  </si>
  <si>
    <t xml:space="preserve">M006</t>
  </si>
  <si>
    <t xml:space="preserve">M007</t>
  </si>
  <si>
    <t xml:space="preserve">M008</t>
  </si>
  <si>
    <t xml:space="preserve">M009</t>
  </si>
  <si>
    <t xml:space="preserve">M010</t>
  </si>
  <si>
    <t xml:space="preserve">M011</t>
  </si>
  <si>
    <t xml:space="preserve">M012</t>
  </si>
  <si>
    <t xml:space="preserve">M013</t>
  </si>
  <si>
    <t xml:space="preserve">M014</t>
  </si>
  <si>
    <t xml:space="preserve">M015</t>
  </si>
  <si>
    <t xml:space="preserve">M016</t>
  </si>
  <si>
    <t xml:space="preserve">M017</t>
  </si>
  <si>
    <t xml:space="preserve">M018</t>
  </si>
  <si>
    <t xml:space="preserve">07 · AFFECTATION DES ÉQUIPES (qui travaille, où, sur quelle tâche)</t>
  </si>
  <si>
    <t xml:space="preserve">Planifiez chaque jour l'affectation des équipes. L'effectif présent est compté automatiquement depuis le pointage (06). Le tableau de bord affiche les équipes de la date de référence.</t>
  </si>
  <si>
    <t xml:space="preserve">Chef d'équipe</t>
  </si>
  <si>
    <t xml:space="preserve">Tâche affectée</t>
  </si>
  <si>
    <t xml:space="preserve">Zone / axe / niveau</t>
  </si>
  <si>
    <t xml:space="preserve">Effectif prévu</t>
  </si>
  <si>
    <t xml:space="preserve">Effectif présent (pointage)</t>
  </si>
  <si>
    <t xml:space="preserve">Écart</t>
  </si>
  <si>
    <t xml:space="preserve">Consignes / observations</t>
  </si>
  <si>
    <t xml:space="preserve">GNAHORÉ Didier</t>
  </si>
  <si>
    <t xml:space="preserve">Tronçon T08 – PK 7+000 à 8+000</t>
  </si>
  <si>
    <t xml:space="preserve">KOUAMÉ Serge</t>
  </si>
  <si>
    <t xml:space="preserve">Dalot D2 – PK 9+750 (piédroits)</t>
  </si>
  <si>
    <t xml:space="preserve">DIABATÉ Moussa</t>
  </si>
  <si>
    <t xml:space="preserve">Bâtiment – façade nord</t>
  </si>
  <si>
    <t xml:space="preserve">ADOU Franck</t>
  </si>
  <si>
    <t xml:space="preserve">Atelier – fermes F1</t>
  </si>
  <si>
    <t xml:space="preserve">KOFFI Yao</t>
  </si>
  <si>
    <t xml:space="preserve">Tout le chantier + topographie T09</t>
  </si>
  <si>
    <t xml:space="preserve">KOUASSI Arsène</t>
  </si>
  <si>
    <t xml:space="preserve">T08 – densités en place</t>
  </si>
  <si>
    <t xml:space="preserve">08 · BONS DE COMMANDE (BC) &amp; SUIVI DES LIVRAISONS</t>
  </si>
  <si>
    <t xml:space="preserve">Une ligne par article commandé. Les quantités livrées sont reprises des entrées de stock (09b) portant le même N° BC et le même code article. Les montants HT forment l'« engagé » du budget.</t>
  </si>
  <si>
    <t xml:space="preserve">Date commande</t>
  </si>
  <si>
    <t xml:space="preserve">Code article</t>
  </si>
  <si>
    <t xml:space="preserve">Qté commandée</t>
  </si>
  <si>
    <t xml:space="preserve">Livraison prévue</t>
  </si>
  <si>
    <t xml:space="preserve">Qté livrée</t>
  </si>
  <si>
    <t xml:space="preserve">CIM42</t>
  </si>
  <si>
    <t xml:space="preserve">HA12</t>
  </si>
  <si>
    <t xml:space="preserve">HA16</t>
  </si>
  <si>
    <t xml:space="preserve">HA10</t>
  </si>
  <si>
    <t xml:space="preserve">SAB</t>
  </si>
  <si>
    <t xml:space="preserve">GRA</t>
  </si>
  <si>
    <t xml:space="preserve">BUS1000</t>
  </si>
  <si>
    <t xml:space="preserve">BC-009</t>
  </si>
  <si>
    <t xml:space="preserve">BUS800</t>
  </si>
  <si>
    <t xml:space="preserve">GASOIL</t>
  </si>
  <si>
    <t xml:space="preserve">AGG15</t>
  </si>
  <si>
    <t xml:space="preserve">BC-013</t>
  </si>
  <si>
    <t xml:space="preserve">HA8</t>
  </si>
  <si>
    <t xml:space="preserve">09 · STOCK DES MATÉRIAUX (état en temps réel)</t>
  </si>
  <si>
    <t xml:space="preserve">Catalogue des articles. Entrées et sorties sont totalisées depuis l'onglet 09b_Livraisons. Fixez un seuil d'alerte réaliste (délai d'approvisionnement × consommation journalière).</t>
  </si>
  <si>
    <t xml:space="preserve">Code</t>
  </si>
  <si>
    <t xml:space="preserve">Stock initial</t>
  </si>
  <si>
    <t xml:space="preserve">Entrées</t>
  </si>
  <si>
    <t xml:space="preserve">Sorties</t>
  </si>
  <si>
    <t xml:space="preserve">Stock disponible</t>
  </si>
  <si>
    <t xml:space="preserve">Seuil d'alerte</t>
  </si>
  <si>
    <t xml:space="preserve">PU moyen HT (FCFA)</t>
  </si>
  <si>
    <t xml:space="preserve">Valeur du stock (FCFA)</t>
  </si>
  <si>
    <t xml:space="preserve">Ciment CPJ 42.5 (sac 50 kg)</t>
  </si>
  <si>
    <t xml:space="preserve">Acier HA8 (barre 12 m)</t>
  </si>
  <si>
    <t xml:space="preserve">Acier HA10 (barre 12 m)</t>
  </si>
  <si>
    <t xml:space="preserve">Acier HA12 (barre 12 m)</t>
  </si>
  <si>
    <t xml:space="preserve">Acier HA16 (barre 12 m)</t>
  </si>
  <si>
    <t xml:space="preserve">Sable</t>
  </si>
  <si>
    <t xml:space="preserve">Gravier concassé 5/15</t>
  </si>
  <si>
    <t xml:space="preserve">Buse BA Ø800 (élément 1 m)</t>
  </si>
  <si>
    <t xml:space="preserve">Buse BA Ø1000 (élément 1 m)</t>
  </si>
  <si>
    <t xml:space="preserve">Gasoil engins</t>
  </si>
  <si>
    <t xml:space="preserve">Agglos creux de 15</t>
  </si>
  <si>
    <t xml:space="preserve">PLA</t>
  </si>
  <si>
    <t xml:space="preserve">Planche de coffrage</t>
  </si>
  <si>
    <t xml:space="preserve">FIL</t>
  </si>
  <si>
    <t xml:space="preserve">Fil à ligaturer recuit</t>
  </si>
  <si>
    <t xml:space="preserve">09b · MOUVEMENTS DE STOCK (livraisons reçues &amp; sorties chantier)</t>
  </si>
  <si>
    <t xml:space="preserve">Entrée = livraison fournisseur (indiquez le N° BC et le N° de bon de livraison). Sortie = consommation sur chantier (indiquez le lot destinataire).</t>
  </si>
  <si>
    <t xml:space="preserve">Type</t>
  </si>
  <si>
    <t xml:space="preserve">Quantité</t>
  </si>
  <si>
    <t xml:space="preserve">N° BC (entrée)</t>
  </si>
  <si>
    <t xml:space="preserve">N° BL / bon de sortie</t>
  </si>
  <si>
    <t xml:space="preserve">Lot destinataire (sortie)</t>
  </si>
  <si>
    <t xml:space="preserve">Réceptionné / remis par</t>
  </si>
  <si>
    <t xml:space="preserve">Observations (état, conformité)</t>
  </si>
  <si>
    <t xml:space="preserve">BL-S801</t>
  </si>
  <si>
    <t xml:space="preserve">BL-C112</t>
  </si>
  <si>
    <t xml:space="preserve">BL-Q214</t>
  </si>
  <si>
    <t xml:space="preserve">BL-Q224</t>
  </si>
  <si>
    <t xml:space="preserve">BL-S025</t>
  </si>
  <si>
    <t xml:space="preserve">BL-G026</t>
  </si>
  <si>
    <t xml:space="preserve">BS-GO-08</t>
  </si>
  <si>
    <t xml:space="preserve">BS-001</t>
  </si>
  <si>
    <t xml:space="preserve">BL-B908</t>
  </si>
  <si>
    <t xml:space="preserve">BS-002</t>
  </si>
  <si>
    <t xml:space="preserve">BL-C419</t>
  </si>
  <si>
    <t xml:space="preserve">BL-S926</t>
  </si>
  <si>
    <t xml:space="preserve">BS-GO-09</t>
  </si>
  <si>
    <t xml:space="preserve">BL-P101</t>
  </si>
  <si>
    <t xml:space="preserve">BS-003</t>
  </si>
  <si>
    <t xml:space="preserve">BS-004</t>
  </si>
  <si>
    <t xml:space="preserve">BL-P105</t>
  </si>
  <si>
    <t xml:space="preserve">BS-005</t>
  </si>
  <si>
    <t xml:space="preserve">BS-006</t>
  </si>
  <si>
    <t xml:space="preserve">BS-007</t>
  </si>
  <si>
    <t xml:space="preserve">10 · JOURNAL DE CHANTIER</t>
  </si>
  <si>
    <t xml:space="preserve">Une ligne par jour. Effectif et livraisons sont calculés depuis le pointage et les mouvements de stock. Notez systématiquement les intempéries (pluies) : elles justifient les demandes de prolongation de délai.</t>
  </si>
  <si>
    <t xml:space="preserve">T° max (°C)</t>
  </si>
  <si>
    <t xml:space="preserve">Travaux réalisés</t>
  </si>
  <si>
    <t xml:space="preserve">Livraisons reçues (nb)</t>
  </si>
  <si>
    <t xml:space="preserve">Visites / réunions</t>
  </si>
  <si>
    <t xml:space="preserve">Incident ?</t>
  </si>
  <si>
    <t xml:space="preserve">Observations HSE</t>
  </si>
  <si>
    <t xml:space="preserve">Heures perdues (intempéries)</t>
  </si>
  <si>
    <t xml:space="preserve">Rédacteur</t>
  </si>
  <si>
    <t xml:space="preserve">Visa</t>
  </si>
  <si>
    <t xml:space="preserve">Rechargement T07 (PK 6+000–7+000) 1 000 m³ ; coffrage piédroits D2 ; élévation bâtiment</t>
  </si>
  <si>
    <t xml:space="preserve">RAS – port EPI vérifié</t>
  </si>
  <si>
    <t xml:space="preserve">Arrêt rechargement 4 h ; ferraillage piédroits D2 ; fabrication fermes atelier</t>
  </si>
  <si>
    <t xml:space="preserve">Évacuation eaux pluviales ; latérite T08 détrempée</t>
  </si>
  <si>
    <t xml:space="preserve">Compactage T08 ; essais densité en place (93,5 % OPM : non conforme)</t>
  </si>
  <si>
    <t xml:space="preserve">Visite MDC – contrôle compactage T08</t>
  </si>
  <si>
    <t xml:space="preserve">Signalisation de la zone de travaux</t>
  </si>
  <si>
    <t xml:space="preserve">Reprise T08 (scarification, aération) ; débroussaillage T19 ; poteaux clôture tronçon A</t>
  </si>
  <si>
    <t xml:space="preserve">Arrosage piste (poussière riverains)</t>
  </si>
  <si>
    <t xml:space="preserve">Recompactage T08 ; ferraillage piédroits D2 (PA en attente) ; élévation bâtiment</t>
  </si>
  <si>
    <t xml:space="preserve">Panne compacteur – zone balisée</t>
  </si>
  <si>
    <t xml:space="preserve">11 · FICHES INCIDENTS / ALERTES</t>
  </si>
  <si>
    <t xml:space="preserve">Documentez tout incident (sécurité, qualité, retard, intempérie, approvisionnement…) avec sa cause, l'action corrective, le responsable et l'échéance. Une échéance dépassée non close passe en rouge.</t>
  </si>
  <si>
    <t xml:space="preserve">Description</t>
  </si>
  <si>
    <t xml:space="preserve">Cause identifiée</t>
  </si>
  <si>
    <t xml:space="preserve">Mesure immédiate</t>
  </si>
  <si>
    <t xml:space="preserve">Action corrective / préventive</t>
  </si>
  <si>
    <t xml:space="preserve">Responsable</t>
  </si>
  <si>
    <t xml:space="preserve">Coût estimé (FCFA)</t>
  </si>
  <si>
    <t xml:space="preserve">Jours ouvert</t>
  </si>
  <si>
    <t xml:space="preserve">INC-01</t>
  </si>
  <si>
    <t xml:space="preserve">Forte pluie : arrêt rechargement 4 h, latérite T08 détrempée</t>
  </si>
  <si>
    <t xml:space="preserve">Petite saison des pluies</t>
  </si>
  <si>
    <t xml:space="preserve">Arrêt des engins, drainage provisoire</t>
  </si>
  <si>
    <t xml:space="preserve">Journal des intempéries pour demande de prolongation</t>
  </si>
  <si>
    <t xml:space="preserve">INC-02</t>
  </si>
  <si>
    <t xml:space="preserve">Compacité 93,5 % OPM sur T08 (&lt; 95 %)</t>
  </si>
  <si>
    <t xml:space="preserve">Teneur en eau trop élevée après la pluie</t>
  </si>
  <si>
    <t xml:space="preserve">Point d'arrêt : pas de couche suivante</t>
  </si>
  <si>
    <t xml:space="preserve">Scarifier, aérer, recompacter, nouvel essai de densité</t>
  </si>
  <si>
    <t xml:space="preserve">INC-03</t>
  </si>
  <si>
    <t xml:space="preserve">Buses Ø800 BC-009 : 12 livrées sur 48, pose PC4 bloquée</t>
  </si>
  <si>
    <t xml:space="preserve">Retard de production du préfabricant</t>
  </si>
  <si>
    <t xml:space="preserve">Relance écrite du fournisseur</t>
  </si>
  <si>
    <t xml:space="preserve">Pénalités / recherche d'un second préfabricant</t>
  </si>
  <si>
    <t xml:space="preserve">INC-04</t>
  </si>
  <si>
    <t xml:space="preserve">Panne compacteur V5 (flexible hydraulique)</t>
  </si>
  <si>
    <t xml:space="preserve">Usure – entretien préventif non fait</t>
  </si>
  <si>
    <t xml:space="preserve">Location d'un compacteur de remplacement</t>
  </si>
  <si>
    <t xml:space="preserve">Planning d'entretien des engins</t>
  </si>
  <si>
    <t xml:space="preserve">12 · REGISTRE DES CONTRÔLES, ESSAIS &amp; POINTS D'ARRÊT (réalisation et contrôle)</t>
  </si>
  <si>
    <t xml:space="preserve">Une ligne par contrôle. Résultat automatique si une valeur mesurée est saisie (comparée aux bornes mini / maxi), sinon appréciation visuelle. Une non-conformité reste « ouverte » tant que la date de levée n'est pas saisie.</t>
  </si>
  <si>
    <t xml:space="preserve">Ouvrage / PK / localisation</t>
  </si>
  <si>
    <t xml:space="preserve">Opération contrôlée</t>
  </si>
  <si>
    <t xml:space="preserve">Critère d'acceptation</t>
  </si>
  <si>
    <t xml:space="preserve">Valeur mini</t>
  </si>
  <si>
    <t xml:space="preserve">Valeur maxi</t>
  </si>
  <si>
    <t xml:space="preserve">Valeur mesurée</t>
  </si>
  <si>
    <t xml:space="preserve">Appréciation visuelle</t>
  </si>
  <si>
    <t xml:space="preserve">Résultat</t>
  </si>
  <si>
    <t xml:space="preserve">Décision / action corrective</t>
  </si>
  <si>
    <t xml:space="preserve">Date de levée</t>
  </si>
  <si>
    <t xml:space="preserve">État</t>
  </si>
  <si>
    <t xml:space="preserve">Réf. PV / rapport</t>
  </si>
  <si>
    <t xml:space="preserve">CQ-001</t>
  </si>
  <si>
    <t xml:space="preserve">Emprunt E1 – PK 5+500</t>
  </si>
  <si>
    <t xml:space="preserve">Emprunt de latérite</t>
  </si>
  <si>
    <t xml:space="preserve">CBR à 95 % OPM ≥ 30</t>
  </si>
  <si>
    <t xml:space="preserve">CBR</t>
  </si>
  <si>
    <t xml:space="preserve">Emprunt agréé</t>
  </si>
  <si>
    <t xml:space="preserve">Rapport LG-0814</t>
  </si>
  <si>
    <t xml:space="preserve">CQ-002</t>
  </si>
  <si>
    <t xml:space="preserve">Dalot D1 – PK 3+200</t>
  </si>
  <si>
    <t xml:space="preserve">Ferraillage (radier, piédroits, dalle)</t>
  </si>
  <si>
    <t xml:space="preserve">Conforme aux plans BA, enrobage ≥ 3 cm</t>
  </si>
  <si>
    <t xml:space="preserve">PA levé – coulage autorisé</t>
  </si>
  <si>
    <t xml:space="preserve">PV PA-012</t>
  </si>
  <si>
    <t xml:space="preserve">CQ-003</t>
  </si>
  <si>
    <t xml:space="preserve">Dalot D1 – radier</t>
  </si>
  <si>
    <t xml:space="preserve">Béton frais</t>
  </si>
  <si>
    <t xml:space="preserve">Affaissement 6 à 10 cm</t>
  </si>
  <si>
    <t xml:space="preserve">cm</t>
  </si>
  <si>
    <t xml:space="preserve">CQ-004</t>
  </si>
  <si>
    <t xml:space="preserve">Béton durci</t>
  </si>
  <si>
    <t xml:space="preserve">fc28 ≥ 25 MPa</t>
  </si>
  <si>
    <t xml:space="preserve">MPa</t>
  </si>
  <si>
    <t xml:space="preserve">Rapport LG-1001</t>
  </si>
  <si>
    <t xml:space="preserve">CQ-005</t>
  </si>
  <si>
    <t xml:space="preserve">T05 – PK 4+000 à 5+000</t>
  </si>
  <si>
    <t xml:space="preserve">Arrosage &amp; compactage</t>
  </si>
  <si>
    <t xml:space="preserve">Densité ≥ 95 % OPM</t>
  </si>
  <si>
    <t xml:space="preserve">% OPM</t>
  </si>
  <si>
    <t xml:space="preserve">Rapport LG-0928</t>
  </si>
  <si>
    <t xml:space="preserve">CQ-006</t>
  </si>
  <si>
    <t xml:space="preserve">T07 – PK 6+000 à 7+000</t>
  </si>
  <si>
    <t xml:space="preserve">Rechargement latéritique</t>
  </si>
  <si>
    <t xml:space="preserve">Épaisseur ≥ 0,18 m</t>
  </si>
  <si>
    <t xml:space="preserve">CQ-007</t>
  </si>
  <si>
    <t xml:space="preserve">T08 – PK 7+000 à 8+000</t>
  </si>
  <si>
    <t xml:space="preserve">Reprise : scarification, aération, recompactage</t>
  </si>
  <si>
    <t xml:space="preserve">Fiche NC-003</t>
  </si>
  <si>
    <t xml:space="preserve">CQ-008</t>
  </si>
  <si>
    <t xml:space="preserve">PC3 – PK 6+100 – buses Ø800</t>
  </si>
  <si>
    <t xml:space="preserve">Pose &amp; jointoiement</t>
  </si>
  <si>
    <t xml:space="preserve">Pente 1 à 3 %</t>
  </si>
  <si>
    <t xml:space="preserve">%</t>
  </si>
  <si>
    <t xml:space="preserve">CQ-009</t>
  </si>
  <si>
    <t xml:space="preserve">PC2 – PK 4+800 – buses Ø1000</t>
  </si>
  <si>
    <t xml:space="preserve">Remblai sur buses</t>
  </si>
  <si>
    <t xml:space="preserve">Couverture ≥ 0,60 m</t>
  </si>
  <si>
    <t xml:space="preserve">Rechargement complémentaire 10 cm</t>
  </si>
  <si>
    <t xml:space="preserve">Fiche NC-002</t>
  </si>
  <si>
    <t xml:space="preserve">CQ-010</t>
  </si>
  <si>
    <t xml:space="preserve">Bâtiment – semelles axes A à D</t>
  </si>
  <si>
    <t xml:space="preserve">Fondations</t>
  </si>
  <si>
    <t xml:space="preserve">Ferraillage conforme aux plans</t>
  </si>
  <si>
    <t xml:space="preserve">PA levé</t>
  </si>
  <si>
    <t xml:space="preserve">PV PA-018</t>
  </si>
  <si>
    <t xml:space="preserve">CQ-011</t>
  </si>
  <si>
    <t xml:space="preserve">Lot profilés HEA 200</t>
  </si>
  <si>
    <t xml:space="preserve">Certificats matière S275</t>
  </si>
  <si>
    <t xml:space="preserve">Fournir les certificats manquants (2 barres)</t>
  </si>
  <si>
    <t xml:space="preserve">CQ-012</t>
  </si>
  <si>
    <t xml:space="preserve">Clôture – tronçon A</t>
  </si>
  <si>
    <t xml:space="preserve">Poteaux BA</t>
  </si>
  <si>
    <t xml:space="preserve">Écart d'aplomb ≤ 1 cm</t>
  </si>
  <si>
    <t xml:space="preserve">CQ-013</t>
  </si>
  <si>
    <t xml:space="preserve">Dalot D2 – PK 9+750 – piédroits</t>
  </si>
  <si>
    <t xml:space="preserve">Visite MDC demandée le 16/10</t>
  </si>
  <si>
    <t xml:space="preserve">13 · ROUTE EN TERRE – REPROFILAGE LOURD &amp; RECHARGEMENT (suivi par tronçon)</t>
  </si>
  <si>
    <t xml:space="preserve">Un tronçon par ligne (PK en mètres, affichés 0+000). Saisissez le % de chaque phase (n/a si sans objet) et les résultats de contrôle. Conformité : compacité ≥ seuil, CBR ≥ seuil, épaisseur ≥ prévue − tolérance (Paramètres).</t>
  </si>
  <si>
    <t xml:space="preserve">AVANCEMENT GLOBAL :</t>
  </si>
  <si>
    <t xml:space="preserve">(pondéré par : Longueur (km))</t>
  </si>
  <si>
    <t xml:space="preserve">Poids des phases →</t>
  </si>
  <si>
    <t xml:space="preserve">Tronçon</t>
  </si>
  <si>
    <t xml:space="preserve">PK début</t>
  </si>
  <si>
    <t xml:space="preserve">PK fin</t>
  </si>
  <si>
    <t xml:space="preserve">Longueur (km)</t>
  </si>
  <si>
    <t xml:space="preserve">Largeur rechargée (m)</t>
  </si>
  <si>
    <t xml:space="preserve">Ép. rechargement prévue (m)</t>
  </si>
  <si>
    <t xml:space="preserve">Volume latérite prévu (m³)</t>
  </si>
  <si>
    <t xml:space="preserve">Volume mis en œuvre (m³)</t>
  </si>
  <si>
    <t xml:space="preserve">Débroussaillage &amp; décapage</t>
  </si>
  <si>
    <t xml:space="preserve">Scarification</t>
  </si>
  <si>
    <t xml:space="preserve">Reprofilage lourd (mise en forme)</t>
  </si>
  <si>
    <t xml:space="preserve">Fossés &amp; exutoires</t>
  </si>
  <si>
    <t xml:space="preserve">Avancement pondéré</t>
  </si>
  <si>
    <t xml:space="preserve">km réalisés (équivalent)</t>
  </si>
  <si>
    <t xml:space="preserve">Compacité mesurée (% OPM)</t>
  </si>
  <si>
    <t xml:space="preserve">CBR mesuré</t>
  </si>
  <si>
    <t xml:space="preserve">Épaisseur mesurée (m)</t>
  </si>
  <si>
    <t xml:space="preserve">Conformité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</si>
  <si>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</si>
  <si>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</si>
  <si>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</si>
  <si>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</si>
  <si>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</si>
  <si>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</si>
  <si>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</si>
  <si>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</si>
  <si>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</si>
  <si>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</si>
  <si>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</si>
  <si>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</si>
  <si>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</si>
  <si>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</si>
  <si>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</si>
  <si>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</si>
  <si>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</si>
  <si>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</si>
  <si>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</si>
  <si>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</si>
  <si>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14 · POINTS CRITIQUES &amp; OUVRAGES BUSES (Ø800 / Ø1000)</t>
  </si>
  <si>
    <t xml:space="preserve">Un point critique par ligne. Pour un traitement sans buses, saisir « n/a » dans les phases buses. ml de buses prévus = nb de lignes × longueur par ligne ; saisissez les ml réellement posés. Pondération : montant estimé.</t>
  </si>
  <si>
    <t xml:space="preserve">(pondéré par : Montant estimé (FCFA))</t>
  </si>
  <si>
    <t xml:space="preserve">Buses Ø800 posées (ml) :</t>
  </si>
  <si>
    <t xml:space="preserve">Buses Ø1000 posées (ml) :</t>
  </si>
  <si>
    <t xml:space="preserve">N° PC</t>
  </si>
  <si>
    <t xml:space="preserve">PK</t>
  </si>
  <si>
    <t xml:space="preserve">Nature du désordre</t>
  </si>
  <si>
    <t xml:space="preserve">Traitement retenu</t>
  </si>
  <si>
    <t xml:space="preserve">Longueur traitée (m)</t>
  </si>
  <si>
    <t xml:space="preserve">Ø buses</t>
  </si>
  <si>
    <t xml:space="preserve">Nb lignes</t>
  </si>
  <si>
    <t xml:space="preserve">Long. par ligne (ml)</t>
  </si>
  <si>
    <t xml:space="preserve">ml buses prévus</t>
  </si>
  <si>
    <t xml:space="preserve">ml buses posés</t>
  </si>
  <si>
    <t xml:space="preserve">Têtes de buses (u)</t>
  </si>
  <si>
    <t xml:space="preserve">Montant estimé (FCFA)</t>
  </si>
  <si>
    <t xml:space="preserve">Purge &amp; terrassement</t>
  </si>
  <si>
    <t xml:space="preserve">Remblai latéritique compacté</t>
  </si>
  <si>
    <t xml:space="preserve">Fouille &amp; lit de pose</t>
  </si>
  <si>
    <t xml:space="preserve">Pose &amp; jointoiement buses</t>
  </si>
  <si>
    <t xml:space="preserve">Têtes / perrés / enrochements</t>
  </si>
  <si>
    <t xml:space="preserve">Contrôle MDC</t>
  </si>
  <si>
    <t xml:space="preserve">PC1</t>
  </si>
  <si>
    <t xml:space="preserve">Bourbier (zone hydromorphe)</t>
  </si>
  <si>
    <t xml:space="preserve">n/a</t>
  </si>
  <si>
    <t xml:space="preserve">PC2</t>
  </si>
  <si>
    <t xml:space="preserve">Traversée de bas-fond</t>
  </si>
  <si>
    <t xml:space="preserve">PC3</t>
  </si>
  <si>
    <t xml:space="preserve">Ravinement transversal</t>
  </si>
  <si>
    <t xml:space="preserve">PC4</t>
  </si>
  <si>
    <t xml:space="preserve">Passage d'eau (radier submersible)</t>
  </si>
  <si>
    <t xml:space="preserve">En attente</t>
  </si>
  <si>
    <t xml:space="preserve">PC5</t>
  </si>
  <si>
    <t xml:space="preserve">Zone inondable</t>
  </si>
  <si>
    <t xml:space="preserve">PC6</t>
  </si>
  <si>
    <t xml:space="preserve">Traversée de cours d'eau temporaire</t>
  </si>
  <si>
    <t xml:space="preserve">PC7</t>
  </si>
  <si>
    <t xml:space="preserve">PC8</t>
  </si>
  <si>
    <t xml:space="preserve">Bourbier</t>
  </si>
  <si>
    <t xml:space="preserve">15 · SUIVI DES DALOTS (ouvrages hydrauliques en béton armé)</t>
  </si>
  <si>
    <t xml:space="preserve">Un dalot par ligne. Ferraillages et coffrages = points d'arrêt à lever par la mission de contrôle avant coulage (onglet 12). Béton : conformité si fc28 moyen ≥ fc28 exigé (Paramètres, EC2 / BAEL).</t>
  </si>
  <si>
    <t xml:space="preserve">(pondéré par : Montant (FCFA))</t>
  </si>
  <si>
    <t xml:space="preserve">Ouvrage</t>
  </si>
  <si>
    <t xml:space="preserve">Section (nb × l × h)</t>
  </si>
  <si>
    <t xml:space="preserve">Longueur (m)</t>
  </si>
  <si>
    <t xml:space="preserve">Béton prévu (m³)</t>
  </si>
  <si>
    <t xml:space="preserve">Acier prévu (kg)</t>
  </si>
  <si>
    <t xml:space="preserve">Montant (FCFA)</t>
  </si>
  <si>
    <t xml:space="preserve">Implantation &amp; fouilles</t>
  </si>
  <si>
    <t xml:space="preserve">Béton de propreté</t>
  </si>
  <si>
    <t xml:space="preserve">Radier (ferraillage + coulage)</t>
  </si>
  <si>
    <t xml:space="preserve">Piédroits</t>
  </si>
  <si>
    <t xml:space="preserve">Dalle / tablier</t>
  </si>
  <si>
    <t xml:space="preserve">Murs de tête &amp; en aile</t>
  </si>
  <si>
    <t xml:space="preserve">Remblais techniques &amp; perrés</t>
  </si>
  <si>
    <t xml:space="preserve">fc 7 j moyen (MPa)</t>
  </si>
  <si>
    <t xml:space="preserve">fc 28 j moyen (MPa)</t>
  </si>
  <si>
    <t xml:space="preserve">Conformité béton</t>
  </si>
  <si>
    <t xml:space="preserve">D1</t>
  </si>
  <si>
    <t xml:space="preserve">1×(2,00×1,50)</t>
  </si>
  <si>
    <t xml:space="preserve">D2</t>
  </si>
  <si>
    <t xml:space="preserve">2×(2,50×2,00)</t>
  </si>
  <si>
    <t xml:space="preserve">D3</t>
  </si>
  <si>
    <t xml:space="preserve">1×(3,00×2,00)</t>
  </si>
  <si>
    <t xml:space="preserve">16 · BÂTIMENT TOUS CORPS D'ÉTAT (TCE)</t>
  </si>
  <si>
    <t xml:space="preserve">Un corps d'état par ligne avec son montant (pondération), ses dates et son % réalisé. Les réserves relevées aux réceptions par corps d'état se suivent dans la colonne « Réserves ».</t>
  </si>
  <si>
    <t xml:space="preserve">(pondéré par : Montant HT (FCFA))</t>
  </si>
  <si>
    <t xml:space="preserve">Corps d'état</t>
  </si>
  <si>
    <t xml:space="preserve">Entreprise / sous-traitant</t>
  </si>
  <si>
    <t xml:space="preserve">Montant réalisé (FCFA)</t>
  </si>
  <si>
    <t xml:space="preserve">Retard ?</t>
  </si>
  <si>
    <t xml:space="preserve">Réserves (nb)</t>
  </si>
  <si>
    <t xml:space="preserve">Terrassements &amp; fouilles</t>
  </si>
  <si>
    <t xml:space="preserve">Entreprise</t>
  </si>
  <si>
    <t xml:space="preserve">Fondations (semelles, longrines, soubassement)</t>
  </si>
  <si>
    <t xml:space="preserve">Élévation maçonnerie &amp; BA (poteaux, poutres)</t>
  </si>
  <si>
    <t xml:space="preserve">Dalle / plancher haut</t>
  </si>
  <si>
    <t xml:space="preserve">Charpente &amp; couverture</t>
  </si>
  <si>
    <t xml:space="preserve">Étanchéité</t>
  </si>
  <si>
    <t xml:space="preserve">Menuiserie bois</t>
  </si>
  <si>
    <t xml:space="preserve">Menuiserie aluminium &amp; vitrerie</t>
  </si>
  <si>
    <t xml:space="preserve">Menuiserie métallique (portes, grilles)</t>
  </si>
  <si>
    <t xml:space="preserve">Plomberie sanitaire</t>
  </si>
  <si>
    <t xml:space="preserve">Électricité CFO / CFA</t>
  </si>
  <si>
    <t xml:space="preserve">Climatisation / ventilation</t>
  </si>
  <si>
    <t xml:space="preserve">Carrelage &amp; faïence</t>
  </si>
  <si>
    <t xml:space="preserve">Faux plafonds</t>
  </si>
  <si>
    <t xml:space="preserve">Enduits</t>
  </si>
  <si>
    <t xml:space="preserve">Peinture</t>
  </si>
  <si>
    <t xml:space="preserve">17 · CONSTRUCTION DE LA CLÔTURE (suivi par tronçon)</t>
  </si>
  <si>
    <t xml:space="preserve">Un tronçon par ligne (longueur en ml = pondération). Saisissez le % de chaque phase ; « n/a » si sans objet.</t>
  </si>
  <si>
    <t xml:space="preserve">(pondéré par : Longueur (ml))</t>
  </si>
  <si>
    <t xml:space="preserve">Tronçon / élément</t>
  </si>
  <si>
    <t xml:space="preserve">Longueur (ml)</t>
  </si>
  <si>
    <t xml:space="preserve">Hauteur (m)</t>
  </si>
  <si>
    <t xml:space="preserve">Constitution</t>
  </si>
  <si>
    <t xml:space="preserve">Semelle filante</t>
  </si>
  <si>
    <t xml:space="preserve">Soubassement</t>
  </si>
  <si>
    <t xml:space="preserve">Élévation maçonnerie</t>
  </si>
  <si>
    <t xml:space="preserve">Chaînage haut</t>
  </si>
  <si>
    <t xml:space="preserve">Enduits &amp; peinture</t>
  </si>
  <si>
    <t xml:space="preserve">ml achevés (équivalent)</t>
  </si>
  <si>
    <t xml:space="preserve">A – Façade principale</t>
  </si>
  <si>
    <t xml:space="preserve">Agglos 15 + poteaux BA / 3 m</t>
  </si>
  <si>
    <t xml:space="preserve">B – Côté est</t>
  </si>
  <si>
    <t xml:space="preserve">C – Côté arrière</t>
  </si>
  <si>
    <t xml:space="preserve">D – Côté ouest</t>
  </si>
  <si>
    <t xml:space="preserve">Portail 2 vantaux + piliers BA</t>
  </si>
  <si>
    <t xml:space="preserve">18 · CHARPENTE MÉTALLIQUE (hangar) – suivi par repère</t>
  </si>
  <si>
    <t xml:space="preserve">Un repère (famille d'éléments) par ligne. Pondération = poids total (kg). Contrôles : certificats matière, soudures, peinture, ancrages, verticalité, serrage (onglet 12, référentiel EC3 / CCTP).</t>
  </si>
  <si>
    <t xml:space="preserve">(pondéré par : Poids total (kg))</t>
  </si>
  <si>
    <t xml:space="preserve">Repère</t>
  </si>
  <si>
    <t xml:space="preserve">Profilé / nuance</t>
  </si>
  <si>
    <t xml:space="preserve">Poids unitaire (kg)</t>
  </si>
  <si>
    <t xml:space="preserve">Poids total (kg)</t>
  </si>
  <si>
    <t xml:space="preserve">Approvisionnement acier</t>
  </si>
  <si>
    <t xml:space="preserve">Fabrication atelier</t>
  </si>
  <si>
    <t xml:space="preserve">Anticorrosion / peinture</t>
  </si>
  <si>
    <t xml:space="preserve">Transport</t>
  </si>
  <si>
    <t xml:space="preserve">Levage &amp; montage</t>
  </si>
  <si>
    <t xml:space="preserve">Boulonnage / serrage contrôlé</t>
  </si>
  <si>
    <t xml:space="preserve">Réception</t>
  </si>
  <si>
    <t xml:space="preserve">kg réalisés (équivalent)</t>
  </si>
  <si>
    <t xml:space="preserve">P1</t>
  </si>
  <si>
    <t xml:space="preserve">Poteaux</t>
  </si>
  <si>
    <t xml:space="preserve">HEA 200 – S275</t>
  </si>
  <si>
    <t xml:space="preserve">F1</t>
  </si>
  <si>
    <t xml:space="preserve">Fermes treillis 20 m</t>
  </si>
  <si>
    <t xml:space="preserve">Cornières L – S275</t>
  </si>
  <si>
    <t xml:space="preserve">PA</t>
  </si>
  <si>
    <t xml:space="preserve">Pannes</t>
  </si>
  <si>
    <t xml:space="preserve">IPE 120 – S235</t>
  </si>
  <si>
    <t xml:space="preserve">LS</t>
  </si>
  <si>
    <t xml:space="preserve">Lisses de bardage</t>
  </si>
  <si>
    <t xml:space="preserve">UPN 100 – S235</t>
  </si>
  <si>
    <t xml:space="preserve">CV</t>
  </si>
  <si>
    <t xml:space="preserve">Contreventements (palées, poutres au vent)</t>
  </si>
  <si>
    <t xml:space="preserve">Cornières / tirants</t>
  </si>
  <si>
    <t xml:space="preserve">AN</t>
  </si>
  <si>
    <t xml:space="preserve">Platines, tiges d'ancrage &amp; goussets</t>
  </si>
  <si>
    <t xml:space="preserve">Tôles S275 / tiges</t>
  </si>
  <si>
    <t xml:space="preserve">19 · PARC MATÉRIEL &amp; ENGINS (disponibilité, gasoil, coûts)</t>
  </si>
  <si>
    <t xml:space="preserve">Un engin par ligne. Heures, pannes et gasoil sont totalisés depuis 19b_Engins_journal. Le coût estimé (heures × coût horaire) sert à l'analyse : les locations réellement facturées sont suivies dans 05_Factures.</t>
  </si>
  <si>
    <t xml:space="preserve">Code engin</t>
  </si>
  <si>
    <t xml:space="preserve">Propriété</t>
  </si>
  <si>
    <t xml:space="preserve">Loueur</t>
  </si>
  <si>
    <t xml:space="preserve">Coût horaire (FCFA/h)</t>
  </si>
  <si>
    <t xml:space="preserve">Conso théorique (l/h)</t>
  </si>
  <si>
    <t xml:space="preserve">État actuel</t>
  </si>
  <si>
    <t xml:space="preserve">Heures de marche</t>
  </si>
  <si>
    <t xml:space="preserve">Heures de panne</t>
  </si>
  <si>
    <t xml:space="preserve">Heures arrêt intempérie</t>
  </si>
  <si>
    <t xml:space="preserve">Gasoil consommé (l)</t>
  </si>
  <si>
    <t xml:space="preserve">Conso réelle (l/h)</t>
  </si>
  <si>
    <t xml:space="preserve">Écart conso</t>
  </si>
  <si>
    <t xml:space="preserve">Taux de disponibilité</t>
  </si>
  <si>
    <t xml:space="preserve">NIV-01</t>
  </si>
  <si>
    <t xml:space="preserve">Niveleuse 140 (reprofilage)</t>
  </si>
  <si>
    <t xml:space="preserve">Niveleuse</t>
  </si>
  <si>
    <t xml:space="preserve">CMP-01</t>
  </si>
  <si>
    <t xml:space="preserve">Compacteur vibrant V5 – 12 t</t>
  </si>
  <si>
    <t xml:space="preserve">Compacteur</t>
  </si>
  <si>
    <t xml:space="preserve">CMP-02</t>
  </si>
  <si>
    <t xml:space="preserve">Compacteur vibrant de remplacement</t>
  </si>
  <si>
    <t xml:space="preserve">CHG-01</t>
  </si>
  <si>
    <t xml:space="preserve">Chargeuse sur pneus (emprunt)</t>
  </si>
  <si>
    <t xml:space="preserve">Chargeuse</t>
  </si>
  <si>
    <t xml:space="preserve">CAM-01</t>
  </si>
  <si>
    <t xml:space="preserve">Camion benne 20 m³</t>
  </si>
  <si>
    <t xml:space="preserve">Camion benne</t>
  </si>
  <si>
    <t xml:space="preserve">CAM-02</t>
  </si>
  <si>
    <t xml:space="preserve">CIT-01</t>
  </si>
  <si>
    <t xml:space="preserve">Camion citerne à eau 10 000 l</t>
  </si>
  <si>
    <t xml:space="preserve">Citerne</t>
  </si>
  <si>
    <t xml:space="preserve">BET-01</t>
  </si>
  <si>
    <t xml:space="preserve">Bétonnière 350 l (ouvrages)</t>
  </si>
  <si>
    <t xml:space="preserve">Bétonnière</t>
  </si>
  <si>
    <t xml:space="preserve">GRU-01</t>
  </si>
  <si>
    <t xml:space="preserve">Camion-grue (montage charpente)</t>
  </si>
  <si>
    <t xml:space="preserve">Grue</t>
  </si>
  <si>
    <t xml:space="preserve">19b · RAPPORT JOURNALIER DES ENGINS</t>
  </si>
  <si>
    <t xml:space="preserve">Une ligne par engin et par jour : relevé des compteurs horaires, heures de panne et d'arrêt (pluie), gasoil servi, conducteur et production. Le rendement (production / heure) permet de comparer engins et équipes.</t>
  </si>
  <si>
    <t xml:space="preserve">Tronçon / PK / ouvrage</t>
  </si>
  <si>
    <t xml:space="preserve">Compteur début (h)</t>
  </si>
  <si>
    <t xml:space="preserve">Compteur fin (h)</t>
  </si>
  <si>
    <t xml:space="preserve">Gasoil servi (l)</t>
  </si>
  <si>
    <t xml:space="preserve">Conso (l/h)</t>
  </si>
  <si>
    <t xml:space="preserve">Conducteur (matricule)</t>
  </si>
  <si>
    <t xml:space="preserve">Production</t>
  </si>
  <si>
    <t xml:space="preserve">Unité production</t>
  </si>
  <si>
    <t xml:space="preserve">Rendement (/h)</t>
  </si>
  <si>
    <t xml:space="preserve">Observations (pannes, entretien)</t>
  </si>
  <si>
    <t xml:space="preserve">m de plateforme</t>
  </si>
  <si>
    <t xml:space="preserve">m compactés</t>
  </si>
  <si>
    <t xml:space="preserve">m³ chargés</t>
  </si>
  <si>
    <t xml:space="preserve">m³ transportés</t>
  </si>
  <si>
    <t xml:space="preserve">m³ d'eau</t>
  </si>
  <si>
    <t xml:space="preserve">Arrêt pluie</t>
  </si>
  <si>
    <t xml:space="preserve">Panne flexible hydraulique (INC-04)</t>
  </si>
  <si>
    <t xml:space="preserve">Remplacement de CMP-01 à partir de 11 h</t>
  </si>
  <si>
    <t xml:space="preserve">PLAN DE CONTRÔLE – référentiel des points d'arrêt, contrôles et essais</t>
  </si>
  <si>
    <t xml:space="preserve">Référentiel type à adapter au CCTP du marché et au PAQ. PA = point d'arrêt (levée écrite obligatoire avant de poursuivre) · PC = point critique (contrôle avec information préalable) · AC = autocontrôle de l'entreprise.</t>
  </si>
  <si>
    <t xml:space="preserve">Phase / opération</t>
  </si>
  <si>
    <t xml:space="preserve">Contrôle / essai</t>
  </si>
  <si>
    <t xml:space="preserve">Fréquence</t>
  </si>
  <si>
    <t xml:space="preserve">Référence</t>
  </si>
  <si>
    <t xml:space="preserve">Identification : granulométrie, limites d'Atterberg, Proctor modifié, CBR</t>
  </si>
  <si>
    <t xml:space="preserve">CBR à 95 % OPM ≥ 30 ; IP ≤ 25 ; Dmax ≤ 50 mm (selon CCTP)</t>
  </si>
  <si>
    <t xml:space="preserve">1 série / 2 000 m³ et à chaque changement de faciès</t>
  </si>
  <si>
    <t xml:space="preserve">CCTP / guide AGEROUTE</t>
  </si>
  <si>
    <t xml:space="preserve">Scarification &amp; reprofilage</t>
  </si>
  <si>
    <t xml:space="preserve">Profil en travers (bombement)</t>
  </si>
  <si>
    <t xml:space="preserve">Pente transversale 4 % ± 1 %</t>
  </si>
  <si>
    <t xml:space="preserve">Tous les 50 m</t>
  </si>
  <si>
    <t xml:space="preserve">AC</t>
  </si>
  <si>
    <t xml:space="preserve">CCTP</t>
  </si>
  <si>
    <t xml:space="preserve">Épaisseur mise en œuvre</t>
  </si>
  <si>
    <t xml:space="preserve">≥ épaisseur prévue − 2 cm</t>
  </si>
  <si>
    <t xml:space="preserve">Tous les 100 m</t>
  </si>
  <si>
    <t xml:space="preserve">Teneur en eau de mise en œuvre</t>
  </si>
  <si>
    <t xml:space="preserve">w = wOPM ± 2 %</t>
  </si>
  <si>
    <t xml:space="preserve">Chaque planche</t>
  </si>
  <si>
    <t xml:space="preserve">Densité en place (gammadensimètre ou densitomètre à sable)</t>
  </si>
  <si>
    <t xml:space="preserve">≥ 95 % OPM</t>
  </si>
  <si>
    <t xml:space="preserve">1 mesure / 250 m de couche</t>
  </si>
  <si>
    <t xml:space="preserve">Pente longitudinale et débouché</t>
  </si>
  <si>
    <t xml:space="preserve">Pente ≥ 0,5 % ; exutoire dégagé</t>
  </si>
  <si>
    <t xml:space="preserve">Chaque tronçon</t>
  </si>
  <si>
    <t xml:space="preserve">Réception de tronçon</t>
  </si>
  <si>
    <t xml:space="preserve">Uni / flaches, profil, assainissement</t>
  </si>
  <si>
    <t xml:space="preserve">Pas de flache &gt; 2 cm sous règle de 3 m</t>
  </si>
  <si>
    <t xml:space="preserve">Chaque km</t>
  </si>
  <si>
    <t xml:space="preserve">PC</t>
  </si>
  <si>
    <t xml:space="preserve">Purge</t>
  </si>
  <si>
    <t xml:space="preserve">Fond de purge</t>
  </si>
  <si>
    <t xml:space="preserve">Matériaux impropres évacués, fond sain et portant</t>
  </si>
  <si>
    <t xml:space="preserve">Chaque point</t>
  </si>
  <si>
    <t xml:space="preserve">Remblai latéritique</t>
  </si>
  <si>
    <t xml:space="preserve">Compactage par couches</t>
  </si>
  <si>
    <t xml:space="preserve">Couches ≤ 20 cm ; ≥ 95 % OPM</t>
  </si>
  <si>
    <t xml:space="preserve">Chaque couche</t>
  </si>
  <si>
    <t xml:space="preserve">Réception des buses</t>
  </si>
  <si>
    <t xml:space="preserve">État, classe, dimensions</t>
  </si>
  <si>
    <t xml:space="preserve">Sans fissure ni épaufrure ; classe conforme à la commande</t>
  </si>
  <si>
    <t xml:space="preserve">Chaque livraison</t>
  </si>
  <si>
    <t xml:space="preserve">CCTP / fiche fabricant</t>
  </si>
  <si>
    <t xml:space="preserve">Cote fil d'eau, pente, lit de pose</t>
  </si>
  <si>
    <t xml:space="preserve">Pente 1 à 3 % ; lit de pose conforme au plan</t>
  </si>
  <si>
    <t xml:space="preserve">Chaque ligne</t>
  </si>
  <si>
    <t xml:space="preserve">Plans d'exécution</t>
  </si>
  <si>
    <t xml:space="preserve">Alignement, emboîtement, joints</t>
  </si>
  <si>
    <t xml:space="preserve">Joints au mortier pleins ; alignement ± 2 cm</t>
  </si>
  <si>
    <t xml:space="preserve">Compactage latéral symétrique et couverture</t>
  </si>
  <si>
    <t xml:space="preserve">Couverture ≥ 0,60 m (ou selon plan) avant passage d'engins lourds</t>
  </si>
  <si>
    <t xml:space="preserve">Têtes de buses</t>
  </si>
  <si>
    <t xml:space="preserve">Ferraillage, coffrage, béton</t>
  </si>
  <si>
    <t xml:space="preserve">Conforme aux plans BA ; enrobage ≥ 3 cm</t>
  </si>
  <si>
    <t xml:space="preserve">Chaque tête</t>
  </si>
  <si>
    <t xml:space="preserve">EC2 / BAEL</t>
  </si>
  <si>
    <t xml:space="preserve">Implantation</t>
  </si>
  <si>
    <t xml:space="preserve">Axe, biais, cotes fil d'eau</t>
  </si>
  <si>
    <t xml:space="preserve">± 2 cm en plan ; ± 1 cm en altimétrie</t>
  </si>
  <si>
    <t xml:space="preserve">Chaque ouvrage</t>
  </si>
  <si>
    <t xml:space="preserve">Fond de fouille</t>
  </si>
  <si>
    <t xml:space="preserve">Nature et portance du sol</t>
  </si>
  <si>
    <t xml:space="preserve">Sol sain conforme aux hypothèses de la note de calcul</t>
  </si>
  <si>
    <t xml:space="preserve">Note de calcul</t>
  </si>
  <si>
    <t xml:space="preserve">Diamètres, espacements, recouvrements, enrobages</t>
  </si>
  <si>
    <t xml:space="preserve">Conforme aux plans BA ; enrobage ≥ 3 cm (milieu humide)</t>
  </si>
  <si>
    <t xml:space="preserve">Avant chaque coulage</t>
  </si>
  <si>
    <t xml:space="preserve">Coffrage</t>
  </si>
  <si>
    <t xml:space="preserve">Stabilité, étanchéité, cotes</t>
  </si>
  <si>
    <t xml:space="preserve">± 1 cm</t>
  </si>
  <si>
    <t xml:space="preserve">Affaissement au cône d'Abrams</t>
  </si>
  <si>
    <t xml:space="preserve">6 à 10 cm (selon formulation)</t>
  </si>
  <si>
    <t xml:space="preserve">Chaque gâchée / toupie</t>
  </si>
  <si>
    <t xml:space="preserve">NF EN 12350-2</t>
  </si>
  <si>
    <t xml:space="preserve">Écrasement d'éprouvettes 16×32</t>
  </si>
  <si>
    <t xml:space="preserve">fc28 ≥ fc28 exigé (25 MPa)</t>
  </si>
  <si>
    <t xml:space="preserve">3 éprouvettes à 7 j et 28 j par coulage</t>
  </si>
  <si>
    <t xml:space="preserve">Cure du béton</t>
  </si>
  <si>
    <t xml:space="preserve">Cure humide, protection solaire</t>
  </si>
  <si>
    <t xml:space="preserve">≥ 7 jours</t>
  </si>
  <si>
    <t xml:space="preserve">Chaque coulage</t>
  </si>
  <si>
    <t xml:space="preserve">EC2</t>
  </si>
  <si>
    <t xml:space="preserve">Remblais techniques</t>
  </si>
  <si>
    <t xml:space="preserve">Compactage symétrique par couches</t>
  </si>
  <si>
    <t xml:space="preserve">Fond de fouille et ferraillage des semelles</t>
  </si>
  <si>
    <t xml:space="preserve">Conforme aux plans</t>
  </si>
  <si>
    <t xml:space="preserve">Chaque semelle</t>
  </si>
  <si>
    <t xml:space="preserve">Béton</t>
  </si>
  <si>
    <t xml:space="preserve">Affaissement et éprouvettes</t>
  </si>
  <si>
    <t xml:space="preserve">Idem dalots</t>
  </si>
  <si>
    <t xml:space="preserve">Maçonnerie</t>
  </si>
  <si>
    <t xml:space="preserve">Aplomb, alignement, joints</t>
  </si>
  <si>
    <t xml:space="preserve">Aplomb ≤ 1 cm / 2,5 m</t>
  </si>
  <si>
    <t xml:space="preserve">Chaque niveau</t>
  </si>
  <si>
    <t xml:space="preserve">DTU 20.1</t>
  </si>
  <si>
    <t xml:space="preserve">Essai de mise en eau</t>
  </si>
  <si>
    <t xml:space="preserve">48 h sans fuite</t>
  </si>
  <si>
    <t xml:space="preserve">Chaque terrasse</t>
  </si>
  <si>
    <t xml:space="preserve">DTU 43.1</t>
  </si>
  <si>
    <t xml:space="preserve">Plomberie</t>
  </si>
  <si>
    <t xml:space="preserve">Essai de pression des réseaux</t>
  </si>
  <si>
    <t xml:space="preserve">Sans chute de pression (valeur et durée selon CCTP)</t>
  </si>
  <si>
    <t xml:space="preserve">Avant fermeture des saignées</t>
  </si>
  <si>
    <t xml:space="preserve">Électricité</t>
  </si>
  <si>
    <t xml:space="preserve">Continuité de terre, isolement</t>
  </si>
  <si>
    <t xml:space="preserve">Résistance de terre et isolement selon CCTP / NF C 15-100</t>
  </si>
  <si>
    <t xml:space="preserve">Avant mise sous tension</t>
  </si>
  <si>
    <t xml:space="preserve">NF C 15-100</t>
  </si>
  <si>
    <t xml:space="preserve">Réception TCE</t>
  </si>
  <si>
    <t xml:space="preserve">Visite de réception par corps d'état</t>
  </si>
  <si>
    <t xml:space="preserve">Levée de toutes les réserves</t>
  </si>
  <si>
    <t xml:space="preserve">Fin de chaque lot</t>
  </si>
  <si>
    <t xml:space="preserve">Marché</t>
  </si>
  <si>
    <t xml:space="preserve">Fondation</t>
  </si>
  <si>
    <t xml:space="preserve">Fouille et semelle filante</t>
  </si>
  <si>
    <t xml:space="preserve">Profondeur et largeur conformes aux plans</t>
  </si>
  <si>
    <t xml:space="preserve">Plans</t>
  </si>
  <si>
    <t xml:space="preserve">Aplomb, entraxe</t>
  </si>
  <si>
    <t xml:space="preserve">± 1 cm ; entraxe conforme</t>
  </si>
  <si>
    <t xml:space="preserve">Élévation</t>
  </si>
  <si>
    <t xml:space="preserve">Alignement, hauteur</t>
  </si>
  <si>
    <t xml:space="preserve">± 2 cm</t>
  </si>
  <si>
    <t xml:space="preserve">Certificats matière (nuance S235 / S275)</t>
  </si>
  <si>
    <t xml:space="preserve">Conformes à la commande</t>
  </si>
  <si>
    <t xml:space="preserve">Chaque lot de profilés</t>
  </si>
  <si>
    <t xml:space="preserve">EC3 / NF EN 10025</t>
  </si>
  <si>
    <t xml:space="preserve">Fabrication</t>
  </si>
  <si>
    <t xml:space="preserve">Soudures (visuel, ressuage si demandé)</t>
  </si>
  <si>
    <t xml:space="preserve">Sans défaut ; cordons conformes aux plans d'atelier</t>
  </si>
  <si>
    <t xml:space="preserve">Chaque élément</t>
  </si>
  <si>
    <t xml:space="preserve">EC3 / NF EN 1090</t>
  </si>
  <si>
    <t xml:space="preserve">Anticorrosion</t>
  </si>
  <si>
    <t xml:space="preserve">Épaisseur de peinture</t>
  </si>
  <si>
    <t xml:space="preserve">≥ épaisseur prescrite (nombre de couches)</t>
  </si>
  <si>
    <t xml:space="preserve">Ancrages</t>
  </si>
  <si>
    <t xml:space="preserve">Position des tiges et platines</t>
  </si>
  <si>
    <t xml:space="preserve">± 5 mm ; calage conforme</t>
  </si>
  <si>
    <t xml:space="preserve">Avant montage</t>
  </si>
  <si>
    <t xml:space="preserve">Montage</t>
  </si>
  <si>
    <t xml:space="preserve">Verticalité des poteaux, alignement</t>
  </si>
  <si>
    <t xml:space="preserve">≤ H/300 (selon CCTP)</t>
  </si>
  <si>
    <t xml:space="preserve">Chaque file</t>
  </si>
  <si>
    <t xml:space="preserve">Boulonnage</t>
  </si>
  <si>
    <t xml:space="preserve">Serrage contrôlé</t>
  </si>
  <si>
    <t xml:space="preserve">Couple conforme aux plans</t>
  </si>
  <si>
    <t xml:space="preserve">100 % des assemblages</t>
  </si>
  <si>
    <t xml:space="preserve">EC3</t>
  </si>
  <si>
    <t xml:space="preserve">FICHIER DU PERSONNEL (base du pointage et des affectations)</t>
  </si>
  <si>
    <t xml:space="preserve">Un ouvrier par ligne. Le matricule est la clé utilisée dans le pointage. Taux journalier en FCFA (à adapter aux barèmes en vigueur et aux conventions de l'entreprise).</t>
  </si>
  <si>
    <t xml:space="preserve">Téléphone</t>
  </si>
  <si>
    <t xml:space="preserve">N° CNPS</t>
  </si>
  <si>
    <t xml:space="preserve">Jours travaillés</t>
  </si>
  <si>
    <t xml:space="preserve">Montant cumulé dû (FCFA)</t>
  </si>
  <si>
    <t xml:space="preserve">Chef de chantier</t>
  </si>
  <si>
    <t xml:space="preserve">TOURÉ Bakary</t>
  </si>
  <si>
    <t xml:space="preserve">Topographe</t>
  </si>
  <si>
    <t xml:space="preserve">Laborantin</t>
  </si>
  <si>
    <t xml:space="preserve">Conducteur niveleuse</t>
  </si>
  <si>
    <t xml:space="preserve">SANOGO Lamine</t>
  </si>
  <si>
    <t xml:space="preserve">Conducteur compacteur</t>
  </si>
  <si>
    <t xml:space="preserve">DIALLO Ousmane</t>
  </si>
  <si>
    <t xml:space="preserve">Chauffeur camion benne</t>
  </si>
  <si>
    <t xml:space="preserve">ZADI Martial</t>
  </si>
  <si>
    <t xml:space="preserve">Manœuvre</t>
  </si>
  <si>
    <t xml:space="preserve">Chef d'équipe OH</t>
  </si>
  <si>
    <t xml:space="preserve">BAMBA Seydou</t>
  </si>
  <si>
    <t xml:space="preserve">Ferrailleur</t>
  </si>
  <si>
    <t xml:space="preserve">YAO Kouadio</t>
  </si>
  <si>
    <t xml:space="preserve">Coffreur</t>
  </si>
  <si>
    <t xml:space="preserve">KONÉ Adama</t>
  </si>
  <si>
    <t xml:space="preserve">Maçon</t>
  </si>
  <si>
    <t xml:space="preserve">SORO Nanga</t>
  </si>
  <si>
    <t xml:space="preserve">Chef d'équipe bâtiment</t>
  </si>
  <si>
    <t xml:space="preserve">TRAORÉ Ibrahim</t>
  </si>
  <si>
    <t xml:space="preserve">N'GUESSAN Paul</t>
  </si>
  <si>
    <t xml:space="preserve">OUATTARA Lassina</t>
  </si>
  <si>
    <t xml:space="preserve">Soudeur-monteur</t>
  </si>
  <si>
    <t xml:space="preserve">AKA Jérôme</t>
  </si>
  <si>
    <t xml:space="preserve">Aide-monteur</t>
  </si>
  <si>
    <t xml:space="preserve">CHECK-LIST DE LANCEMENT DE CHANTIER</t>
  </si>
  <si>
    <t xml:space="preserve">À compléter avant et pendant la première semaine. Statut : Fait / En cours / À faire.</t>
  </si>
  <si>
    <t xml:space="preserve">Domaine</t>
  </si>
  <si>
    <t xml:space="preserve">Point de contrôle</t>
  </si>
  <si>
    <t xml:space="preserve">Administratif</t>
  </si>
  <si>
    <t xml:space="preserve">Ordre de service de démarrage reçu et daté</t>
  </si>
  <si>
    <t xml:space="preserve">À faire</t>
  </si>
  <si>
    <t xml:space="preserve">Permis de construire obtenu et affiché, panneau de chantier posé</t>
  </si>
  <si>
    <t xml:space="preserve">Assurances (TRC, RC décennale) en cours de validité</t>
  </si>
  <si>
    <t xml:space="preserve">Déclaration du personnel à la CNPS</t>
  </si>
  <si>
    <t xml:space="preserve">Technique</t>
  </si>
  <si>
    <t xml:space="preserve">Plans d'exécution BA validés (notes de calcul EC2 / BAEL)</t>
  </si>
  <si>
    <t xml:space="preserve">Étude géotechnique / reconnaissance du sol (latérite : Proctor, CBR)</t>
  </si>
  <si>
    <t xml:space="preserve">Implantation contradictoire par géomètre, PV signé</t>
  </si>
  <si>
    <t xml:space="preserve">Formulation béton validée (350 kg/m³, E/C ≤ 0,55), essais d'écrasement prévus</t>
  </si>
  <si>
    <t xml:space="preserve">Contrôle réception aciers (certificats, stockage hors sol, à l'abri)</t>
  </si>
  <si>
    <t xml:space="preserve">Dispositif de cure du béton (bâches, arrosage) adapté à la chaleur</t>
  </si>
  <si>
    <t xml:space="preserve">Organisation</t>
  </si>
  <si>
    <t xml:space="preserve">Plan d'installation de chantier (base vie, magasin, aires de stockage)</t>
  </si>
  <si>
    <t xml:space="preserve">Branchements provisoires eau (SODECI) et électricité (CIE)</t>
  </si>
  <si>
    <t xml:space="preserve">Clôture, gardiennage et contrôle des accès</t>
  </si>
  <si>
    <t xml:space="preserve">Planning (01) validé par le maître d'œuvre</t>
  </si>
  <si>
    <t xml:space="preserve">Budget par lot (03) validé</t>
  </si>
  <si>
    <t xml:space="preserve">Liste des fournisseurs, prix et délais d'approvisionnement</t>
  </si>
  <si>
    <t xml:space="preserve">Évacuation provisoire des eaux pluviales (saison des pluies)</t>
  </si>
  <si>
    <t xml:space="preserve">HSE</t>
  </si>
  <si>
    <t xml:space="preserve">PPSPS / plan HSE validé, affichage des consignes</t>
  </si>
  <si>
    <t xml:space="preserve">EPI distribués (casques, chaussures, gants, gilets) et fiche de remise signée</t>
  </si>
  <si>
    <t xml:space="preserve">Trousse de secours, point d'eau potable, zone d'ombre de repos</t>
  </si>
  <si>
    <t xml:space="preserve">Plan de circulation et signalisation du chantier</t>
  </si>
  <si>
    <t xml:space="preserve">Qualité</t>
  </si>
  <si>
    <t xml:space="preserve">PAQ établi : points d'arrêt (fond de fouille, ferraillage avant coulage)</t>
  </si>
  <si>
    <t xml:space="preserve">Journal de chantier (10) ouvert, réunion de lancement tenue, PV diffusé</t>
  </si>
  <si>
    <t xml:space="preserve">Route</t>
  </si>
  <si>
    <t xml:space="preserve">Emprunts de latérite identifiés, autorisés (propriétaires / administration) et essayés (Proctor, CBR)</t>
  </si>
  <si>
    <t xml:space="preserve">Piquetage de l'axe, profils en travers et repères PK posés (topographie)</t>
  </si>
  <si>
    <t xml:space="preserve">Inventaire contradictoire des points critiques et des ouvrages existants (PV)</t>
  </si>
  <si>
    <t xml:space="preserve">Engins mobilisés et vérifiés : niveleuse, compacteur, chargeuse, camions, citerne à eau</t>
  </si>
  <si>
    <t xml:space="preserve">Signalisation temporaire et déviations (sécurité usagers et riverains)</t>
  </si>
  <si>
    <t xml:space="preserve">Ouvrages</t>
  </si>
  <si>
    <t xml:space="preserve">Plans d'exécution dalots et têtes de buses validés (BA : EC2 / BAEL)</t>
  </si>
  <si>
    <t xml:space="preserve">Préfabricant de buses Ø800 / Ø1000 retenu, classe des buses et délais confirmés</t>
  </si>
  <si>
    <t xml:space="preserve">Charpente</t>
  </si>
  <si>
    <t xml:space="preserve">Plans d'atelier et notes de calcul charpente métallique validés (EC3)</t>
  </si>
  <si>
    <t xml:space="preserve">Contrôle</t>
  </si>
  <si>
    <t xml:space="preserve">Plan de contrôle (onglet Plan_controle) validé par la mission de contrôle</t>
  </si>
  <si>
    <t xml:space="preserve">Liste des points d'arrêt et circuit de levée (entreprise / MDC) diffusés</t>
  </si>
  <si>
    <t xml:space="preserve">LEXIQUE BTP</t>
  </si>
  <si>
    <t xml:space="preserve">Termes utilisés dans le classeur et sur chantier (contexte Côte d'Ivoire).</t>
  </si>
  <si>
    <t xml:space="preserve">Terme</t>
  </si>
  <si>
    <t xml:space="preserve">Définition</t>
  </si>
  <si>
    <t xml:space="preserve">Attachement</t>
  </si>
  <si>
    <t xml:space="preserve">Relevé contradictoire des quantités exécutées, base de la situation de travaux.</t>
  </si>
  <si>
    <t xml:space="preserve">Avance de démarrage</t>
  </si>
  <si>
    <t xml:space="preserve">Somme versée à l'entreprise au démarrage, remboursée par retenue sur les situations.</t>
  </si>
  <si>
    <t xml:space="preserve">Montant cumulé des situations / montant du marché.</t>
  </si>
  <si>
    <t xml:space="preserve">Part réellement exécutée des travaux, ici pondérée par la durée des tâches du planning.</t>
  </si>
  <si>
    <t xml:space="preserve">BC</t>
  </si>
  <si>
    <t xml:space="preserve">Bon de commande : engagement d'achat auprès d'un fournisseur.</t>
  </si>
  <si>
    <t xml:space="preserve">BL</t>
  </si>
  <si>
    <t xml:space="preserve">Bon de livraison : document remis à la réception des matériaux.</t>
  </si>
  <si>
    <t xml:space="preserve">BPU / DQE</t>
  </si>
  <si>
    <t xml:space="preserve">Bordereau des prix unitaires / Devis quantitatif et estimatif du marché.</t>
  </si>
  <si>
    <t xml:space="preserve">Indice portant Californien : capacité portante d'un sol (latérite de remblai ou de couche de forme).</t>
  </si>
  <si>
    <t xml:space="preserve">Chaînage</t>
  </si>
  <si>
    <t xml:space="preserve">Élément en BA ceinturant la maçonnerie (horizontal ou vertical).</t>
  </si>
  <si>
    <t xml:space="preserve">Chemin critique</t>
  </si>
  <si>
    <t xml:space="preserve">Suite de tâches dont tout retard décale la fin du chantier.</t>
  </si>
  <si>
    <t xml:space="preserve">Maintien humide du béton les premiers jours (≥ 7 j sous climat chaud) pour éviter la fissuration.</t>
  </si>
  <si>
    <t xml:space="preserve">Déboursé sec</t>
  </si>
  <si>
    <t xml:space="preserve">Coût direct (matériaux, main-d'œuvre, matériel) hors frais généraux et marge.</t>
  </si>
  <si>
    <t xml:space="preserve">Eurocode 2 (NF EN 1992-1-1) et BAEL 91 révisé 99 : règles de calcul du béton armé.</t>
  </si>
  <si>
    <t xml:space="preserve">ELU / ELS</t>
  </si>
  <si>
    <t xml:space="preserve">États limites ultimes (résistance) / de service (déformations, fissuration).</t>
  </si>
  <si>
    <t xml:space="preserve">Hérisson</t>
  </si>
  <si>
    <t xml:space="preserve">Couche de pierres sèches sous dallage, coupure capillaire.</t>
  </si>
  <si>
    <t xml:space="preserve">Latérite</t>
  </si>
  <si>
    <t xml:space="preserve">Sol rouge tropical riche en fer et alumine, très utilisé en remblai et couche de forme.</t>
  </si>
  <si>
    <t xml:space="preserve">Longrine</t>
  </si>
  <si>
    <t xml:space="preserve">Poutre en BA reliant les semelles et portant les murs de soubassement.</t>
  </si>
  <si>
    <t xml:space="preserve">OPM</t>
  </si>
  <si>
    <t xml:space="preserve">Optimum Proctor Modifié : densité de référence pour le compactage (ex. 95 % OPM).</t>
  </si>
  <si>
    <t xml:space="preserve">OS</t>
  </si>
  <si>
    <t xml:space="preserve">Ordre de service : instruction écrite du maître d'œuvre (démarrage, arrêt, reprise).</t>
  </si>
  <si>
    <t xml:space="preserve">PAQ</t>
  </si>
  <si>
    <t xml:space="preserve">Plan d'assurance qualité de l'entreprise pour le chantier.</t>
  </si>
  <si>
    <t xml:space="preserve">Point d'arrêt</t>
  </si>
  <si>
    <t xml:space="preserve">Contrôle obligatoire avant de poursuivre (ex. réception ferraillage avant coulage).</t>
  </si>
  <si>
    <t xml:space="preserve">Pourcentage (souvent 5 %) retenu sur les paiements jusqu'à la levée des réserves.</t>
  </si>
  <si>
    <t xml:space="preserve">Situation de travaux</t>
  </si>
  <si>
    <t xml:space="preserve">Décompte périodique des travaux exécutés, servant à la facturation au client.</t>
  </si>
  <si>
    <t xml:space="preserve">Buse</t>
  </si>
  <si>
    <t xml:space="preserve">Conduite préfabriquée en béton armé (ici Ø800 et Ø1000) assurant le passage des eaux sous la chaussée.</t>
  </si>
  <si>
    <t xml:space="preserve">Ouvrage hydraulique cadre en béton armé (radier, piédroits, dalle) de section rectangulaire.</t>
  </si>
  <si>
    <t xml:space="preserve">Emprunt</t>
  </si>
  <si>
    <t xml:space="preserve">Gisement de matériaux (latérite) exploité pour les remblais et le rechargement.</t>
  </si>
  <si>
    <t xml:space="preserve">Eurocode 3 (NF EN 1993) : calcul des structures en acier (charpente métallique).</t>
  </si>
  <si>
    <t xml:space="preserve">MDC</t>
  </si>
  <si>
    <t xml:space="preserve">Mission de contrôle : surveille et valide l'exécution pour le compte du maître d'ouvrage.</t>
  </si>
  <si>
    <t xml:space="preserve">Mur de tête / en aile</t>
  </si>
  <si>
    <t xml:space="preserve">Murs en BA aux extrémités d'une buse ou d'un dalot, protégeant le remblai de l'érosion.</t>
  </si>
  <si>
    <t xml:space="preserve">Perré</t>
  </si>
  <si>
    <t xml:space="preserve">Revêtement de talus ou de lit (moellons maçonnés ou secs) contre l'érosion.</t>
  </si>
  <si>
    <t xml:space="preserve">Point critique (route)</t>
  </si>
  <si>
    <t xml:space="preserve">Section dégradée de route en terre (bourbier, ravinement, zone inondable) à traiter spécifiquement.</t>
  </si>
  <si>
    <t xml:space="preserve">Enlèvement des matériaux impropres (argile, vase) remplacés par un matériau sain compacté.</t>
  </si>
  <si>
    <t xml:space="preserve">Rechargement</t>
  </si>
  <si>
    <t xml:space="preserve">Apport d'une couche de latérite (ex. 0,20 m) compactée pour reconstituer la couche de roulement.</t>
  </si>
  <si>
    <t xml:space="preserve">Reprofilage lourd</t>
  </si>
  <si>
    <t xml:space="preserve">Scarification et remise en forme de la plateforme à la niveleuse avec apport, arrosage et compactage.</t>
  </si>
  <si>
    <t xml:space="preserve">Heures de marche / (heures de marche + heures de panne) d'un engin.</t>
  </si>
  <si>
    <t xml:space="preserve">TCE</t>
  </si>
  <si>
    <t xml:space="preserve">Tous corps d'état : ensemble des métiers d'un bâtiment (gros œuvre, menuiserie, plomberie, électricité…).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</si>
</sst>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dd/mm/yyyy"/>
    <numFmt numFmtId="166" formatCode="#,##0;[RED]\-#,##0;\-"/>
    <numFmt numFmtId="167" formatCode="0%;[RED]\-0%;\-"/>
    <numFmt numFmtId="168" formatCode="0.00;[RED]\-0.00;\-"/>
    <numFmt numFmtId="169" formatCode="0.0&quot; pers.&quot;"/>
    <numFmt numFmtId="170" formatCode="0.0&quot; présents&quot;"/>
    <numFmt numFmtId="171" formatCode="0&quot; BC&quot;"/>
    <numFmt numFmtId="172" formatCode="0&quot; ouvert(s)&quot;"/>
    <numFmt numFmtId="173" formatCode="#,##0.0;[RED]\-#,##0.0;\-"/>
    <numFmt numFmtId="174" formatCode="@"/>
    <numFmt numFmtId="175" formatCode="#,##0"/>
    <numFmt numFmtId="176" formatCode="0%"/>
    <numFmt numFmtId="177" formatCode="dd/mm"/>
    <numFmt numFmtId="178" formatCode="0\+0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1"/>
      <color rgb="FF1565C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616161"/>
      <name val="Arial"/>
      <family val="0"/>
      <charset val="1"/>
    </font>
    <font>
      <b val="true"/>
      <sz val="10"/>
      <color rgb="FF1F3FBF"/>
      <name val="Arial"/>
      <family val="0"/>
      <charset val="1"/>
    </font>
    <font>
      <b val="true"/>
      <i val="true"/>
      <sz val="10"/>
      <color rgb="FF61616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616161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sz val="10"/>
      <color rgb="FF1F3FBF"/>
      <name val="Arial"/>
      <family val="0"/>
      <charset val="1"/>
    </font>
    <font>
      <sz val="10"/>
      <name val="Arial"/>
      <family val="2"/>
    </font>
    <font>
      <b val="true"/>
      <sz val="11"/>
      <color rgb="FFEF6C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B5E20"/>
      <name val="Arial"/>
      <family val="0"/>
      <charset val="1"/>
    </font>
    <font>
      <sz val="8"/>
      <color rgb="FF61616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EF6C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C6282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5F5F5"/>
      </patternFill>
    </fill>
    <fill>
      <patternFill patternType="solid">
        <fgColor rgb="FFFFFDE7"/>
        <bgColor rgb="FFFFFFFF"/>
      </patternFill>
    </fill>
    <fill>
      <patternFill patternType="solid">
        <fgColor rgb="FFF5F5F5"/>
        <bgColor rgb="FFE8F5E9"/>
      </patternFill>
    </fill>
    <fill>
      <patternFill patternType="solid">
        <fgColor rgb="FFEF6C00"/>
        <bgColor rgb="FFFF9900"/>
      </patternFill>
    </fill>
    <fill>
      <patternFill patternType="solid">
        <fgColor rgb="FFC6282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31" fillId="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ont>
        <name val="Arial"/>
        <charset val="1"/>
        <family val="0"/>
        <b val="1"/>
        <color rgb="FFC62828"/>
        <sz val="18"/>
      </font>
    </dxf>
    <dxf>
      <font>
        <name val="Arial"/>
        <charset val="1"/>
        <family val="0"/>
        <b val="1"/>
        <color rgb="FFFFFFFF"/>
      </font>
      <fill>
        <patternFill>
          <bgColor rgb="FF2E7D32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F6C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62828"/>
        </patternFill>
      </fill>
    </dxf>
    <dxf>
      <font>
        <name val="Arial"/>
        <charset val="1"/>
        <family val="0"/>
        <b val="1"/>
        <color rgb="FFC62828"/>
        <sz val="11"/>
      </font>
    </dxf>
    <dxf>
      <font>
        <name val="Arial"/>
        <charset val="1"/>
        <family val="0"/>
        <b val="1"/>
        <color rgb="FFFFFFFF"/>
      </font>
      <fill>
        <patternFill>
          <bgColor rgb="FF9E9E9E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1F3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9E9E9E"/>
          <bgColor rgb="FF000000"/>
        </patternFill>
      </fill>
    </dxf>
    <dxf>
      <fill>
        <patternFill patternType="solid">
          <fgColor rgb="FFEF6C00"/>
          <bgColor rgb="FF000000"/>
        </patternFill>
      </fill>
    </dxf>
    <dxf>
      <fill>
        <patternFill>
          <bgColor rgb="FF1B5E20"/>
        </patternFill>
      </fill>
    </dxf>
    <dxf>
      <fill>
        <patternFill>
          <bgColor rgb="FFEF9A9A"/>
        </patternFill>
      </fill>
    </dxf>
    <dxf>
      <fill>
        <patternFill>
          <bgColor rgb="FFA5D6A7"/>
        </patternFill>
      </fill>
    </dxf>
    <dxf>
      <fill>
        <patternFill>
          <bgColor rgb="FFFFCC80"/>
        </patternFill>
      </fill>
    </dxf>
    <dxf>
      <font>
        <name val="Arial"/>
        <charset val="1"/>
        <family val="0"/>
        <b val="1"/>
        <color rgb="FFC62828"/>
      </font>
    </dxf>
    <dxf>
      <fill>
        <patternFill patternType="solid">
          <fgColor rgb="FF1B5E20"/>
          <bgColor rgb="FF000000"/>
        </patternFill>
      </fill>
    </dxf>
    <dxf>
      <font>
        <name val="Arial"/>
        <charset val="1"/>
        <family val="0"/>
        <b val="1"/>
        <color rgb="FF1B5E20"/>
      </font>
    </dxf>
    <dxf>
      <fill>
        <patternFill patternType="solid">
          <fgColor rgb="FF81C784"/>
          <bgColor rgb="FF000000"/>
        </patternFill>
      </fill>
    </dxf>
    <dxf>
      <fill>
        <patternFill patternType="solid">
          <fgColor rgb="FFC0E3C2"/>
          <bgColor rgb="FF000000"/>
        </patternFill>
      </fill>
    </dxf>
    <dxf>
      <fill>
        <patternFill patternType="solid">
          <fgColor rgb="FF9BD39D"/>
          <bgColor rgb="FF000000"/>
        </patternFill>
      </fill>
    </dxf>
    <dxf>
      <fill>
        <patternFill patternType="solid">
          <fgColor rgb="FFB4DEB6"/>
          <bgColor rgb="FF000000"/>
        </patternFill>
      </fill>
    </dxf>
    <dxf>
      <fill>
        <patternFill patternType="solid">
          <fgColor rgb="FFDAEFDB"/>
          <bgColor rgb="FF000000"/>
        </patternFill>
      </fill>
    </dxf>
    <dxf>
      <font>
        <name val="Arial"/>
        <charset val="1"/>
        <family val="0"/>
        <color rgb="FF9E9E9E"/>
      </font>
      <fill>
        <patternFill>
          <bgColor rgb="FFE0E0E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6F4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BFBFBF"/>
      <rgbColor rgb="FF878787"/>
      <rgbColor rgb="FF9999FF"/>
      <rgbColor rgb="FF993366"/>
      <rgbColor rgb="FFFFFDE7"/>
      <rgbColor rgb="FFE8F5E9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0E0E0"/>
      <rgbColor rgb="FFFFFF99"/>
      <rgbColor rgb="FFA5D6A7"/>
      <rgbColor rgb="FFEF9A9A"/>
      <rgbColor rgb="FFCC99FF"/>
      <rgbColor rgb="FFFFCC80"/>
      <rgbColor rgb="FF3366FF"/>
      <rgbColor rgb="FF33CCCC"/>
      <rgbColor rgb="FF99CC00"/>
      <rgbColor rgb="FFFFCC00"/>
      <rgbColor rgb="FFFF9900"/>
      <rgbColor rgb="FFEF6C00"/>
      <rgbColor rgb="FF616161"/>
      <rgbColor rgb="FF9E9E9E"/>
      <rgbColor rgb="FF003366"/>
      <rgbColor rgb="FF2E7D32"/>
      <rgbColor rgb="FF003300"/>
      <rgbColor rgb="FF333300"/>
      <rgbColor rgb="FFC62828"/>
      <rgbColor rgb="FF993366"/>
      <rgbColor rgb="FF1F3FB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prévu vs dépensé par lot (FCFA)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02_Tableau_de_bord!E39</c:f>
              <c:strCache>
                <c:ptCount val="1"/>
                <c:pt idx="0">
                  <c:v>Budget HT</c:v>
                </c:pt>
              </c:strCache>
            </c:strRef>
          </c:tx>
          <c:spPr>
            <a:solidFill>
              <a:srgbClr val="a5d6a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02_Tableau_de_bord!$B$40:$B$49</c:f>
              <c:strCache>
                <c:ptCount val="10"/>
                <c:pt idx="0">
                  <c:v>L00 Installation &amp; repli</c:v>
                </c:pt>
                <c:pt idx="1">
                  <c:v>R01 Route – reprofilage lourd</c:v>
                </c:pt>
                <c:pt idx="2">
                  <c:v>R02 Route – points critiques</c:v>
                </c:pt>
                <c:pt idx="3">
                  <c:v>R03 Ouvrages – buses Ø800/Ø1000</c:v>
                </c:pt>
                <c:pt idx="4">
                  <c:v>R04 Ouvrages – dalots</c:v>
                </c:pt>
                <c:pt idx="5">
                  <c:v>B01 Bâtiment – gros œuvre</c:v>
                </c:pt>
                <c:pt idx="6">
                  <c:v>B02 Bâtiment – second œuvre TCE</c:v>
                </c:pt>
                <c:pt idx="7">
                  <c:v>C01 Clôture</c:v>
                </c:pt>
                <c:pt idx="8">
                  <c:v>M01 Charpente métallique</c:v>
                </c:pt>
                <c:pt idx="9">
                  <c:v>S01 Contrôle &amp; essais</c:v>
                </c:pt>
              </c:strCache>
            </c:strRef>
          </c:cat>
          <c:val>
            <c:numRef>
              <c:f>02_Tableau_de_bord!$E$40:$E$49</c:f>
              <c:numCache>
                <c:formatCode>#,##0;[RED]\-#,##0;\-</c:formatCode>
                <c:ptCount val="10"/>
                <c:pt idx="0">
                  <c:v>22000000</c:v>
                </c:pt>
                <c:pt idx="1">
                  <c:v>190000000</c:v>
                </c:pt>
                <c:pt idx="2">
                  <c:v>55000000</c:v>
                </c:pt>
                <c:pt idx="3">
                  <c:v>30000000</c:v>
                </c:pt>
                <c:pt idx="4">
                  <c:v>85000000</c:v>
                </c:pt>
                <c:pt idx="5">
                  <c:v>55000000</c:v>
                </c:pt>
                <c:pt idx="6">
                  <c:v>42000000</c:v>
                </c:pt>
                <c:pt idx="7">
                  <c:v>17000000</c:v>
                </c:pt>
                <c:pt idx="8">
                  <c:v>34000000</c:v>
                </c:pt>
                <c:pt idx="9">
                  <c:v>8000000</c:v>
                </c:pt>
              </c:numCache>
            </c:numRef>
          </c:val>
        </c:ser>
        <c:ser>
          <c:idx val="1"/>
          <c:order val="1"/>
          <c:tx>
            <c:strRef>
              <c:f>02_Tableau_de_bord!G39</c:f>
              <c:strCache>
                <c:ptCount val="1"/>
                <c:pt idx="0">
                  <c:v>Dépensé</c:v>
                </c:pt>
              </c:strCache>
            </c:strRef>
          </c:tx>
          <c:spPr>
            <a:solidFill>
              <a:srgbClr val="1b5e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02_Tableau_de_bord!$B$40:$B$49</c:f>
              <c:strCache>
                <c:ptCount val="10"/>
                <c:pt idx="0">
                  <c:v>L00 Installation &amp; repli</c:v>
                </c:pt>
                <c:pt idx="1">
                  <c:v>R01 Route – reprofilage lourd</c:v>
                </c:pt>
                <c:pt idx="2">
                  <c:v>R02 Route – points critiques</c:v>
                </c:pt>
                <c:pt idx="3">
                  <c:v>R03 Ouvrages – buses Ø800/Ø1000</c:v>
                </c:pt>
                <c:pt idx="4">
                  <c:v>R04 Ouvrages – dalots</c:v>
                </c:pt>
                <c:pt idx="5">
                  <c:v>B01 Bâtiment – gros œuvre</c:v>
                </c:pt>
                <c:pt idx="6">
                  <c:v>B02 Bâtiment – second œuvre TCE</c:v>
                </c:pt>
                <c:pt idx="7">
                  <c:v>C01 Clôture</c:v>
                </c:pt>
                <c:pt idx="8">
                  <c:v>M01 Charpente métallique</c:v>
                </c:pt>
                <c:pt idx="9">
                  <c:v>S01 Contrôle &amp; essais</c:v>
                </c:pt>
              </c:strCache>
            </c:strRef>
          </c:cat>
          <c:val>
            <c:numRef>
              <c:f>02_Tableau_de_bord!$G$40:$G$49</c:f>
              <c:numCache>
                <c:formatCode>#,##0;[RED]\-#,##0;\-</c:formatCode>
                <c:ptCount val="10"/>
                <c:pt idx="0">
                  <c:v>1570000</c:v>
                </c:pt>
                <c:pt idx="1">
                  <c:v>73588500</c:v>
                </c:pt>
                <c:pt idx="2">
                  <c:v>0</c:v>
                </c:pt>
                <c:pt idx="3">
                  <c:v>4500000</c:v>
                </c:pt>
                <c:pt idx="4">
                  <c:v>16289000</c:v>
                </c:pt>
                <c:pt idx="5">
                  <c:v>3271250</c:v>
                </c:pt>
                <c:pt idx="6">
                  <c:v>0</c:v>
                </c:pt>
                <c:pt idx="7">
                  <c:v>0</c:v>
                </c:pt>
                <c:pt idx="8">
                  <c:v>10018000</c:v>
                </c:pt>
                <c:pt idx="9">
                  <c:v>2374000</c:v>
                </c:pt>
              </c:numCache>
            </c:numRef>
          </c:val>
        </c:ser>
        <c:gapWidth val="150"/>
        <c:overlap val="0"/>
        <c:axId val="55505988"/>
        <c:axId val="76135621"/>
      </c:barChart>
      <c:catAx>
        <c:axId val="555059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35621"/>
        <c:crosses val="autoZero"/>
        <c:auto val="1"/>
        <c:lblAlgn val="ctr"/>
        <c:lblOffset val="100"/>
        <c:noMultiLvlLbl val="0"/>
      </c:catAx>
      <c:valAx>
        <c:axId val="76135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FCFA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059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budget consommé vs avancement physique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02_Tableau_de_bord!K39</c:f>
              <c:strCache>
                <c:ptCount val="1"/>
                <c:pt idx="0">
                  <c:v>% consommé</c:v>
                </c:pt>
              </c:strCache>
            </c:strRef>
          </c:tx>
          <c:spPr>
            <a:solidFill>
              <a:srgbClr val="ef6c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02_Tableau_de_bord!$B$40:$B$49</c:f>
              <c:strCache>
                <c:ptCount val="10"/>
                <c:pt idx="0">
                  <c:v>L00 Installation &amp; repli</c:v>
                </c:pt>
                <c:pt idx="1">
                  <c:v>R01 Route – reprofilage lourd</c:v>
                </c:pt>
                <c:pt idx="2">
                  <c:v>R02 Route – points critiques</c:v>
                </c:pt>
                <c:pt idx="3">
                  <c:v>R03 Ouvrages – buses Ø800/Ø1000</c:v>
                </c:pt>
                <c:pt idx="4">
                  <c:v>R04 Ouvrages – dalots</c:v>
                </c:pt>
                <c:pt idx="5">
                  <c:v>B01 Bâtiment – gros œuvre</c:v>
                </c:pt>
                <c:pt idx="6">
                  <c:v>B02 Bâtiment – second œuvre TCE</c:v>
                </c:pt>
                <c:pt idx="7">
                  <c:v>C01 Clôture</c:v>
                </c:pt>
                <c:pt idx="8">
                  <c:v>M01 Charpente métallique</c:v>
                </c:pt>
                <c:pt idx="9">
                  <c:v>S01 Contrôle &amp; essais</c:v>
                </c:pt>
              </c:strCache>
            </c:strRef>
          </c:cat>
          <c:val>
            <c:numRef>
              <c:f>02_Tableau_de_bord!$K$40:$K$49</c:f>
              <c:numCache>
                <c:formatCode>0%;[RED]\-0%;\-</c:formatCode>
                <c:ptCount val="10"/>
                <c:pt idx="0">
                  <c:v>0.0713636363636364</c:v>
                </c:pt>
                <c:pt idx="1">
                  <c:v>0.387307894736842</c:v>
                </c:pt>
                <c:pt idx="2">
                  <c:v>0</c:v>
                </c:pt>
                <c:pt idx="3">
                  <c:v>0.15</c:v>
                </c:pt>
                <c:pt idx="4">
                  <c:v>0.191635294117647</c:v>
                </c:pt>
                <c:pt idx="5">
                  <c:v>0.0594772727272727</c:v>
                </c:pt>
                <c:pt idx="6">
                  <c:v>0</c:v>
                </c:pt>
                <c:pt idx="7">
                  <c:v>0</c:v>
                </c:pt>
                <c:pt idx="8">
                  <c:v>0.294647058823529</c:v>
                </c:pt>
                <c:pt idx="9">
                  <c:v>0.29675</c:v>
                </c:pt>
              </c:numCache>
            </c:numRef>
          </c:val>
        </c:ser>
        <c:ser>
          <c:idx val="1"/>
          <c:order val="1"/>
          <c:tx>
            <c:strRef>
              <c:f>02_Tableau_de_bord!L39</c:f>
              <c:strCache>
                <c:ptCount val="1"/>
                <c:pt idx="0">
                  <c:v>Avanc. physique</c:v>
                </c:pt>
              </c:strCache>
            </c:strRef>
          </c:tx>
          <c:spPr>
            <a:solidFill>
              <a:srgbClr val="1b5e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02_Tableau_de_bord!$B$40:$B$49</c:f>
              <c:strCache>
                <c:ptCount val="10"/>
                <c:pt idx="0">
                  <c:v>L00 Installation &amp; repli</c:v>
                </c:pt>
                <c:pt idx="1">
                  <c:v>R01 Route – reprofilage lourd</c:v>
                </c:pt>
                <c:pt idx="2">
                  <c:v>R02 Route – points critiques</c:v>
                </c:pt>
                <c:pt idx="3">
                  <c:v>R03 Ouvrages – buses Ø800/Ø1000</c:v>
                </c:pt>
                <c:pt idx="4">
                  <c:v>R04 Ouvrages – dalots</c:v>
                </c:pt>
                <c:pt idx="5">
                  <c:v>B01 Bâtiment – gros œuvre</c:v>
                </c:pt>
                <c:pt idx="6">
                  <c:v>B02 Bâtiment – second œuvre TCE</c:v>
                </c:pt>
                <c:pt idx="7">
                  <c:v>C01 Clôture</c:v>
                </c:pt>
                <c:pt idx="8">
                  <c:v>M01 Charpente métallique</c:v>
                </c:pt>
                <c:pt idx="9">
                  <c:v>S01 Contrôle &amp; essais</c:v>
                </c:pt>
              </c:strCache>
            </c:strRef>
          </c:cat>
          <c:val>
            <c:numRef>
              <c:f>02_Tableau_de_bord!$L$40:$L$49</c:f>
              <c:numCache>
                <c:formatCode>0%;[RED]\-0%;\-</c:formatCode>
                <c:ptCount val="10"/>
                <c:pt idx="0">
                  <c:v>0.5</c:v>
                </c:pt>
                <c:pt idx="1">
                  <c:v>0.401470588235294</c:v>
                </c:pt>
                <c:pt idx="2">
                  <c:v>0.5</c:v>
                </c:pt>
                <c:pt idx="3">
                  <c:v>0.26</c:v>
                </c:pt>
                <c:pt idx="4">
                  <c:v>0.431666666666667</c:v>
                </c:pt>
                <c:pt idx="5">
                  <c:v>0.6</c:v>
                </c:pt>
                <c:pt idx="6">
                  <c:v>0</c:v>
                </c:pt>
                <c:pt idx="7">
                  <c:v>0.3375</c:v>
                </c:pt>
                <c:pt idx="8">
                  <c:v>0.436363636363636</c:v>
                </c:pt>
                <c:pt idx="9">
                  <c:v>0.304545454545455</c:v>
                </c:pt>
              </c:numCache>
            </c:numRef>
          </c:val>
        </c:ser>
        <c:gapWidth val="150"/>
        <c:overlap val="0"/>
        <c:axId val="46204946"/>
        <c:axId val="5841241"/>
      </c:barChart>
      <c:catAx>
        <c:axId val="462049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1241"/>
        <c:crosses val="autoZero"/>
        <c:auto val="1"/>
        <c:lblAlgn val="ctr"/>
        <c:lblOffset val="100"/>
        <c:noMultiLvlLbl val="0"/>
      </c:catAx>
      <c:valAx>
        <c:axId val="5841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049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72</xdr:row>
      <xdr:rowOff>101160</xdr:rowOff>
    </xdr:from>
    <xdr:to>
      <xdr:col>7</xdr:col>
      <xdr:colOff>408600</xdr:colOff>
      <xdr:row>88</xdr:row>
      <xdr:rowOff>112680</xdr:rowOff>
    </xdr:to>
    <xdr:graphicFrame>
      <xdr:nvGraphicFramePr>
        <xdr:cNvPr id="0" name="Chart 1"/>
        <xdr:cNvGraphicFramePr/>
      </xdr:nvGraphicFramePr>
      <xdr:xfrm>
        <a:off x="141120" y="168498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72</xdr:row>
      <xdr:rowOff>101160</xdr:rowOff>
    </xdr:from>
    <xdr:to>
      <xdr:col>12</xdr:col>
      <xdr:colOff>280440</xdr:colOff>
      <xdr:row>88</xdr:row>
      <xdr:rowOff>112680</xdr:rowOff>
    </xdr:to>
    <xdr:graphicFrame>
      <xdr:nvGraphicFramePr>
        <xdr:cNvPr id="1" name="Chart 2"/>
        <xdr:cNvGraphicFramePr/>
      </xdr:nvGraphicFramePr>
      <xdr:xfrm>
        <a:off x="5852160" y="168498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etrix_Avance_Chantier_BTP.xlsx" TargetMode="External"/><Relationship Id="rId2" Type="http://schemas.openxmlformats.org/officeDocument/2006/relationships/hyperlink" Target="Metrix_Avance_Chantier_BTP.xlsx" TargetMode="External"/><Relationship Id="rId3" Type="http://schemas.openxmlformats.org/officeDocument/2006/relationships/hyperlink" Target="Metrix_Avance_Chantier_BTP.xlsx" TargetMode="External"/><Relationship Id="rId4" Type="http://schemas.openxmlformats.org/officeDocument/2006/relationships/hyperlink" Target="Metrix_Avance_Chantier_BTP.xlsx" TargetMode="External"/><Relationship Id="rId5" Type="http://schemas.openxmlformats.org/officeDocument/2006/relationships/hyperlink" Target="Metrix_Avance_Chantier_BTP.xlsx" TargetMode="External"/><Relationship Id="rId6" Type="http://schemas.openxmlformats.org/officeDocument/2006/relationships/hyperlink" Target="Metrix_Avance_Chantier_BTP.xlsx" TargetMode="External"/><Relationship Id="rId7" Type="http://schemas.openxmlformats.org/officeDocument/2006/relationships/hyperlink" Target="Metrix_Avance_Chantier_BTP.xlsx" TargetMode="External"/><Relationship Id="rId8" Type="http://schemas.openxmlformats.org/officeDocument/2006/relationships/hyperlink" Target="Metrix_Avance_Chantier_BTP.xlsx" TargetMode="External"/><Relationship Id="rId9" Type="http://schemas.openxmlformats.org/officeDocument/2006/relationships/hyperlink" Target="Metrix_Avance_Chantier_BTP.xlsx" TargetMode="External"/><Relationship Id="rId10" Type="http://schemas.openxmlformats.org/officeDocument/2006/relationships/hyperlink" Target="Metrix_Avance_Chantier_BTP.xlsx" TargetMode="External"/><Relationship Id="rId11" Type="http://schemas.openxmlformats.org/officeDocument/2006/relationships/hyperlink" Target="Metrix_Avance_Chantier_BTP.xlsx" TargetMode="External"/><Relationship Id="rId12" Type="http://schemas.openxmlformats.org/officeDocument/2006/relationships/hyperlink" Target="Metrix_Avance_Chantier_BTP.xlsx" TargetMode="External"/><Relationship Id="rId13" Type="http://schemas.openxmlformats.org/officeDocument/2006/relationships/hyperlink" Target="Metrix_Avance_Chantier_BTP.xlsx" TargetMode="External"/><Relationship Id="rId14" Type="http://schemas.openxmlformats.org/officeDocument/2006/relationships/hyperlink" Target="Metrix_Avance_Chantier_BTP.xlsx" TargetMode="External"/><Relationship Id="rId15" Type="http://schemas.openxmlformats.org/officeDocument/2006/relationships/hyperlink" Target="Metrix_Avance_Chantier_BTP.xlsx" TargetMode="External"/><Relationship Id="rId16" Type="http://schemas.openxmlformats.org/officeDocument/2006/relationships/hyperlink" Target="Metrix_Avance_Chantier_BTP.xlsx" TargetMode="External"/><Relationship Id="rId17" Type="http://schemas.openxmlformats.org/officeDocument/2006/relationships/hyperlink" Target="Metrix_Avance_Chantier_BTP.xlsx" TargetMode="External"/><Relationship Id="rId18" Type="http://schemas.openxmlformats.org/officeDocument/2006/relationships/hyperlink" Target="Metrix_Avance_Chantier_BTP.xlsx" TargetMode="External"/><Relationship Id="rId19" Type="http://schemas.openxmlformats.org/officeDocument/2006/relationships/hyperlink" Target="Metrix_Avance_Chantier_BTP.xlsx" TargetMode="External"/><Relationship Id="rId20" Type="http://schemas.openxmlformats.org/officeDocument/2006/relationships/hyperlink" Target="Metrix_Avance_Chantier_BTP.xlsx" TargetMode="External"/><Relationship Id="rId21" Type="http://schemas.openxmlformats.org/officeDocument/2006/relationships/hyperlink" Target="Metrix_Avance_Chantier_BTP.xlsx" TargetMode="External"/><Relationship Id="rId22" Type="http://schemas.openxmlformats.org/officeDocument/2006/relationships/hyperlink" Target="Metrix_Avance_Chantier_BTP.xlsx" TargetMode="External"/><Relationship Id="rId23" Type="http://schemas.openxmlformats.org/officeDocument/2006/relationships/hyperlink" Target="Metrix_Avance_Chantier_BTP.xlsx" TargetMode="External"/><Relationship Id="rId24" Type="http://schemas.openxmlformats.org/officeDocument/2006/relationships/hyperlink" Target="Metrix_Avance_Chantier_BTP.xlsx" TargetMode="External"/><Relationship Id="rId25" Type="http://schemas.openxmlformats.org/officeDocument/2006/relationships/hyperlink" Target="Metrix_Avance_Chantier_BTP.xlsx" TargetMode="External"/><Relationship Id="rId26" Type="http://schemas.openxmlformats.org/officeDocument/2006/relationships/hyperlink" Target="Metrix_Avance_Chantier_BTP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5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6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7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8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9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0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true"/>
  </sheetPr>
  <dimension ref="B1:D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22"/>
  </cols>
  <sheetData>
    <row r="1" customFormat="false" ht="39.75" hidden="false" customHeight="true" outlineLevel="0" collapsed="false">
      <c r="B1" s="1" t="s">
        <v>0</v>
      </c>
      <c r="C1" s="1"/>
      <c r="D1" s="1"/>
    </row>
    <row r="2" customFormat="false" ht="21.75" hidden="false" customHeight="true" outlineLevel="0" collapsed="false">
      <c r="B2" s="2" t="s">
        <v>1</v>
      </c>
      <c r="C2" s="2"/>
      <c r="D2" s="2"/>
    </row>
    <row r="3" customFormat="false" ht="18" hidden="false" customHeight="true" outlineLevel="0" collapsed="false">
      <c r="B3" s="3" t="s">
        <v>2</v>
      </c>
      <c r="C3" s="3"/>
      <c r="D3" s="3"/>
    </row>
    <row r="5" customFormat="false" ht="15" hidden="false" customHeight="false" outlineLevel="0" collapsed="false">
      <c r="B5" s="4" t="s">
        <v>3</v>
      </c>
      <c r="C5" s="5" t="str">
        <f aca="false">P_Chantier</f>
        <v>Route en terre A–B (20 km), ouvrages, bâtiment TCE, clôture, hangar (exemple)</v>
      </c>
    </row>
    <row r="6" customFormat="false" ht="15" hidden="false" customHeight="false" outlineLevel="0" collapsed="false">
      <c r="B6" s="4" t="s">
        <v>4</v>
      </c>
      <c r="C6" s="6" t="n">
        <f aca="false">P_DateRef</f>
        <v>46311</v>
      </c>
    </row>
    <row r="8" customFormat="false" ht="15" hidden="false" customHeight="false" outlineLevel="0" collapsed="false">
      <c r="B8" s="7" t="s">
        <v>5</v>
      </c>
    </row>
    <row r="9" customFormat="false" ht="15" hidden="false" customHeight="false" outlineLevel="0" collapsed="false">
      <c r="B9" s="8" t="s">
        <v>6</v>
      </c>
      <c r="C9" s="8" t="s">
        <v>7</v>
      </c>
      <c r="D9" s="8" t="s">
        <v>8</v>
      </c>
    </row>
    <row r="10" customFormat="false" ht="15" hidden="false" customHeight="false" outlineLevel="0" collapsed="false">
      <c r="B10" s="9" t="s">
        <v>9</v>
      </c>
      <c r="C10" s="10" t="s">
        <v>10</v>
      </c>
      <c r="D10" s="11" t="s">
        <v>11</v>
      </c>
    </row>
    <row r="11" customFormat="false" ht="23.85" hidden="false" customHeight="false" outlineLevel="0" collapsed="false">
      <c r="B11" s="9" t="s">
        <v>12</v>
      </c>
      <c r="C11" s="10" t="s">
        <v>13</v>
      </c>
      <c r="D11" s="11" t="s">
        <v>14</v>
      </c>
    </row>
    <row r="12" customFormat="false" ht="15" hidden="false" customHeight="false" outlineLevel="0" collapsed="false">
      <c r="B12" s="9" t="s">
        <v>15</v>
      </c>
      <c r="C12" s="10" t="s">
        <v>16</v>
      </c>
      <c r="D12" s="11" t="s">
        <v>17</v>
      </c>
    </row>
    <row r="13" customFormat="false" ht="15" hidden="false" customHeight="false" outlineLevel="0" collapsed="false">
      <c r="B13" s="9" t="s">
        <v>18</v>
      </c>
      <c r="C13" s="10" t="s">
        <v>19</v>
      </c>
      <c r="D13" s="11" t="s">
        <v>20</v>
      </c>
    </row>
    <row r="14" customFormat="false" ht="15" hidden="false" customHeight="false" outlineLevel="0" collapsed="false">
      <c r="B14" s="9" t="s">
        <v>21</v>
      </c>
      <c r="C14" s="10" t="s">
        <v>22</v>
      </c>
      <c r="D14" s="11" t="s">
        <v>23</v>
      </c>
    </row>
    <row r="15" customFormat="false" ht="15" hidden="false" customHeight="false" outlineLevel="0" collapsed="false">
      <c r="B15" s="9" t="s">
        <v>24</v>
      </c>
      <c r="C15" s="10" t="s">
        <v>25</v>
      </c>
      <c r="D15" s="11" t="s">
        <v>26</v>
      </c>
    </row>
    <row r="16" customFormat="false" ht="15" hidden="false" customHeight="false" outlineLevel="0" collapsed="false">
      <c r="B16" s="9" t="s">
        <v>27</v>
      </c>
      <c r="C16" s="10" t="s">
        <v>28</v>
      </c>
      <c r="D16" s="11" t="s">
        <v>29</v>
      </c>
    </row>
    <row r="17" customFormat="false" ht="15" hidden="false" customHeight="false" outlineLevel="0" collapsed="false">
      <c r="B17" s="9" t="s">
        <v>30</v>
      </c>
      <c r="C17" s="10" t="s">
        <v>31</v>
      </c>
      <c r="D17" s="11" t="s">
        <v>29</v>
      </c>
    </row>
    <row r="18" customFormat="false" ht="15" hidden="false" customHeight="false" outlineLevel="0" collapsed="false">
      <c r="B18" s="9" t="s">
        <v>32</v>
      </c>
      <c r="C18" s="10" t="s">
        <v>33</v>
      </c>
      <c r="D18" s="11" t="s">
        <v>34</v>
      </c>
    </row>
    <row r="19" customFormat="false" ht="15" hidden="false" customHeight="false" outlineLevel="0" collapsed="false">
      <c r="B19" s="9" t="s">
        <v>35</v>
      </c>
      <c r="C19" s="10" t="s">
        <v>36</v>
      </c>
      <c r="D19" s="11" t="s">
        <v>37</v>
      </c>
    </row>
    <row r="20" customFormat="false" ht="15" hidden="false" customHeight="false" outlineLevel="0" collapsed="false">
      <c r="B20" s="9" t="s">
        <v>38</v>
      </c>
      <c r="C20" s="10" t="s">
        <v>39</v>
      </c>
      <c r="D20" s="11" t="s">
        <v>40</v>
      </c>
    </row>
    <row r="21" customFormat="false" ht="15" hidden="false" customHeight="false" outlineLevel="0" collapsed="false">
      <c r="B21" s="9" t="s">
        <v>41</v>
      </c>
      <c r="C21" s="10" t="s">
        <v>42</v>
      </c>
      <c r="D21" s="11" t="s">
        <v>29</v>
      </c>
    </row>
    <row r="22" customFormat="false" ht="15" hidden="false" customHeight="false" outlineLevel="0" collapsed="false">
      <c r="B22" s="9" t="s">
        <v>43</v>
      </c>
      <c r="C22" s="10" t="s">
        <v>44</v>
      </c>
      <c r="D22" s="11" t="s">
        <v>45</v>
      </c>
    </row>
    <row r="23" customFormat="false" ht="15" hidden="false" customHeight="false" outlineLevel="0" collapsed="false">
      <c r="B23" s="9" t="s">
        <v>46</v>
      </c>
      <c r="C23" s="10" t="s">
        <v>47</v>
      </c>
      <c r="D23" s="11" t="s">
        <v>48</v>
      </c>
    </row>
    <row r="24" customFormat="false" ht="15" hidden="false" customHeight="false" outlineLevel="0" collapsed="false">
      <c r="B24" s="9" t="s">
        <v>49</v>
      </c>
      <c r="C24" s="10" t="s">
        <v>50</v>
      </c>
      <c r="D24" s="11" t="s">
        <v>29</v>
      </c>
    </row>
    <row r="25" customFormat="false" ht="15" hidden="false" customHeight="false" outlineLevel="0" collapsed="false">
      <c r="B25" s="9" t="s">
        <v>51</v>
      </c>
      <c r="C25" s="10" t="s">
        <v>52</v>
      </c>
      <c r="D25" s="11" t="s">
        <v>29</v>
      </c>
    </row>
    <row r="26" customFormat="false" ht="15" hidden="false" customHeight="false" outlineLevel="0" collapsed="false">
      <c r="B26" s="9" t="s">
        <v>53</v>
      </c>
      <c r="C26" s="10" t="s">
        <v>54</v>
      </c>
      <c r="D26" s="11" t="s">
        <v>29</v>
      </c>
    </row>
    <row r="27" customFormat="false" ht="15" hidden="false" customHeight="false" outlineLevel="0" collapsed="false">
      <c r="B27" s="9" t="s">
        <v>55</v>
      </c>
      <c r="C27" s="10" t="s">
        <v>56</v>
      </c>
      <c r="D27" s="11" t="s">
        <v>17</v>
      </c>
    </row>
    <row r="28" customFormat="false" ht="15" hidden="false" customHeight="false" outlineLevel="0" collapsed="false">
      <c r="B28" s="9" t="s">
        <v>57</v>
      </c>
      <c r="C28" s="10" t="s">
        <v>58</v>
      </c>
      <c r="D28" s="11" t="s">
        <v>17</v>
      </c>
    </row>
    <row r="29" customFormat="false" ht="15" hidden="false" customHeight="false" outlineLevel="0" collapsed="false">
      <c r="B29" s="9" t="s">
        <v>59</v>
      </c>
      <c r="C29" s="10" t="s">
        <v>60</v>
      </c>
      <c r="D29" s="11" t="s">
        <v>17</v>
      </c>
    </row>
    <row r="30" customFormat="false" ht="15" hidden="false" customHeight="false" outlineLevel="0" collapsed="false">
      <c r="B30" s="9" t="s">
        <v>61</v>
      </c>
      <c r="C30" s="10" t="s">
        <v>62</v>
      </c>
      <c r="D30" s="11" t="s">
        <v>63</v>
      </c>
    </row>
    <row r="31" customFormat="false" ht="15" hidden="false" customHeight="false" outlineLevel="0" collapsed="false">
      <c r="B31" s="9" t="s">
        <v>64</v>
      </c>
      <c r="C31" s="10" t="s">
        <v>65</v>
      </c>
      <c r="D31" s="11" t="s">
        <v>66</v>
      </c>
    </row>
    <row r="32" customFormat="false" ht="15" hidden="false" customHeight="false" outlineLevel="0" collapsed="false">
      <c r="B32" s="9" t="s">
        <v>67</v>
      </c>
      <c r="C32" s="10" t="s">
        <v>68</v>
      </c>
      <c r="D32" s="11" t="s">
        <v>29</v>
      </c>
    </row>
    <row r="33" customFormat="false" ht="15" hidden="false" customHeight="false" outlineLevel="0" collapsed="false">
      <c r="B33" s="9" t="s">
        <v>69</v>
      </c>
      <c r="C33" s="10" t="s">
        <v>70</v>
      </c>
      <c r="D33" s="11" t="s">
        <v>71</v>
      </c>
    </row>
    <row r="34" customFormat="false" ht="15" hidden="false" customHeight="false" outlineLevel="0" collapsed="false">
      <c r="B34" s="9" t="s">
        <v>72</v>
      </c>
      <c r="C34" s="10" t="s">
        <v>73</v>
      </c>
      <c r="D34" s="11" t="s">
        <v>74</v>
      </c>
    </row>
    <row r="35" customFormat="false" ht="15" hidden="false" customHeight="false" outlineLevel="0" collapsed="false">
      <c r="B35" s="9" t="s">
        <v>75</v>
      </c>
      <c r="C35" s="10" t="s">
        <v>76</v>
      </c>
      <c r="D35" s="11" t="s">
        <v>77</v>
      </c>
    </row>
    <row r="37" customFormat="false" ht="15" hidden="false" customHeight="false" outlineLevel="0" collapsed="false">
      <c r="B37" s="7" t="s">
        <v>78</v>
      </c>
    </row>
    <row r="38" customFormat="false" ht="15" hidden="false" customHeight="false" outlineLevel="0" collapsed="false">
      <c r="B38" s="12" t="s">
        <v>79</v>
      </c>
      <c r="C38" s="13" t="s">
        <v>80</v>
      </c>
    </row>
    <row r="39" customFormat="false" ht="15" hidden="false" customHeight="false" outlineLevel="0" collapsed="false">
      <c r="B39" s="14" t="s">
        <v>79</v>
      </c>
      <c r="C39" s="13" t="s">
        <v>81</v>
      </c>
    </row>
    <row r="40" customFormat="false" ht="15" hidden="false" customHeight="false" outlineLevel="0" collapsed="false">
      <c r="B40" s="8" t="s">
        <v>79</v>
      </c>
      <c r="C40" s="13" t="s">
        <v>82</v>
      </c>
    </row>
    <row r="41" customFormat="false" ht="15" hidden="false" customHeight="false" outlineLevel="0" collapsed="false">
      <c r="B41" s="15" t="s">
        <v>79</v>
      </c>
      <c r="C41" s="13" t="s">
        <v>83</v>
      </c>
    </row>
    <row r="42" customFormat="false" ht="15" hidden="false" customHeight="false" outlineLevel="0" collapsed="false">
      <c r="B42" s="16" t="s">
        <v>79</v>
      </c>
      <c r="C42" s="13" t="s">
        <v>84</v>
      </c>
    </row>
    <row r="44" customFormat="false" ht="15" hidden="false" customHeight="false" outlineLevel="0" collapsed="false">
      <c r="B44" s="7" t="s">
        <v>85</v>
      </c>
    </row>
    <row r="45" customFormat="false" ht="27.75" hidden="false" customHeight="true" outlineLevel="0" collapsed="false">
      <c r="B45" s="17" t="s">
        <v>86</v>
      </c>
      <c r="C45" s="17"/>
      <c r="D45" s="17"/>
    </row>
    <row r="46" customFormat="false" ht="27.75" hidden="false" customHeight="true" outlineLevel="0" collapsed="false">
      <c r="B46" s="17" t="s">
        <v>87</v>
      </c>
      <c r="C46" s="17"/>
      <c r="D46" s="17"/>
    </row>
    <row r="47" customFormat="false" ht="27.75" hidden="false" customHeight="true" outlineLevel="0" collapsed="false">
      <c r="B47" s="17" t="s">
        <v>88</v>
      </c>
      <c r="C47" s="17"/>
      <c r="D47" s="17"/>
    </row>
    <row r="48" customFormat="false" ht="27.75" hidden="false" customHeight="true" outlineLevel="0" collapsed="false">
      <c r="B48" s="17" t="s">
        <v>89</v>
      </c>
      <c r="C48" s="17"/>
      <c r="D48" s="17"/>
    </row>
    <row r="49" customFormat="false" ht="27.75" hidden="false" customHeight="true" outlineLevel="0" collapsed="false">
      <c r="B49" s="17" t="s">
        <v>90</v>
      </c>
      <c r="C49" s="17"/>
      <c r="D49" s="17"/>
    </row>
    <row r="50" customFormat="false" ht="27.75" hidden="false" customHeight="true" outlineLevel="0" collapsed="false">
      <c r="B50" s="17" t="s">
        <v>91</v>
      </c>
      <c r="C50" s="17"/>
      <c r="D50" s="17"/>
    </row>
    <row r="51" customFormat="false" ht="27.75" hidden="false" customHeight="true" outlineLevel="0" collapsed="false">
      <c r="B51" s="18" t="s">
        <v>92</v>
      </c>
      <c r="C51" s="18"/>
      <c r="D51" s="18"/>
    </row>
    <row r="52" customFormat="false" ht="27.75" hidden="false" customHeight="true" outlineLevel="0" collapsed="false">
      <c r="B52" s="18" t="s">
        <v>93</v>
      </c>
      <c r="C52" s="18"/>
      <c r="D52" s="18"/>
    </row>
    <row r="53" customFormat="false" ht="27.75" hidden="false" customHeight="true" outlineLevel="0" collapsed="false">
      <c r="B53" s="18" t="s">
        <v>94</v>
      </c>
      <c r="C53" s="18"/>
      <c r="D53" s="18"/>
    </row>
    <row r="54" customFormat="false" ht="27.75" hidden="false" customHeight="true" outlineLevel="0" collapsed="false">
      <c r="B54" s="18" t="s">
        <v>95</v>
      </c>
      <c r="C54" s="18"/>
      <c r="D54" s="18"/>
    </row>
    <row r="55" customFormat="false" ht="27.75" hidden="false" customHeight="true" outlineLevel="0" collapsed="false">
      <c r="B55" s="18" t="s">
        <v>96</v>
      </c>
      <c r="C55" s="18"/>
      <c r="D55" s="18"/>
    </row>
    <row r="57" customFormat="false" ht="15" hidden="false" customHeight="false" outlineLevel="0" collapsed="false">
      <c r="B57" s="7" t="s">
        <v>97</v>
      </c>
    </row>
    <row r="58" customFormat="false" ht="21.75" hidden="false" customHeight="true" outlineLevel="0" collapsed="false">
      <c r="B58" s="17" t="s">
        <v>98</v>
      </c>
      <c r="C58" s="17"/>
      <c r="D58" s="17"/>
    </row>
    <row r="59" customFormat="false" ht="21.75" hidden="false" customHeight="true" outlineLevel="0" collapsed="false">
      <c r="B59" s="17" t="s">
        <v>99</v>
      </c>
      <c r="C59" s="17"/>
      <c r="D59" s="17"/>
    </row>
    <row r="60" customFormat="false" ht="21.75" hidden="false" customHeight="true" outlineLevel="0" collapsed="false">
      <c r="B60" s="17" t="s">
        <v>100</v>
      </c>
      <c r="C60" s="17"/>
      <c r="D60" s="17"/>
    </row>
    <row r="61" customFormat="false" ht="21.75" hidden="false" customHeight="true" outlineLevel="0" collapsed="false">
      <c r="B61" s="17" t="s">
        <v>101</v>
      </c>
      <c r="C61" s="17"/>
      <c r="D61" s="17"/>
    </row>
    <row r="62" customFormat="false" ht="21.75" hidden="false" customHeight="true" outlineLevel="0" collapsed="false">
      <c r="B62" s="17" t="s">
        <v>102</v>
      </c>
      <c r="C62" s="17"/>
      <c r="D62" s="17"/>
    </row>
    <row r="63" customFormat="false" ht="21.75" hidden="false" customHeight="true" outlineLevel="0" collapsed="false">
      <c r="B63" s="17" t="s">
        <v>103</v>
      </c>
      <c r="C63" s="17"/>
      <c r="D63" s="17"/>
    </row>
    <row r="64" customFormat="false" ht="21.75" hidden="false" customHeight="true" outlineLevel="0" collapsed="false">
      <c r="B64" s="17" t="s">
        <v>104</v>
      </c>
      <c r="C64" s="17"/>
      <c r="D64" s="17"/>
    </row>
  </sheetData>
  <mergeCells count="21">
    <mergeCell ref="B1:D1"/>
    <mergeCell ref="B2:D2"/>
    <mergeCell ref="B3:D3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8:D58"/>
    <mergeCell ref="B59:D59"/>
    <mergeCell ref="B60:D60"/>
    <mergeCell ref="B61:D61"/>
    <mergeCell ref="B62:D62"/>
    <mergeCell ref="B63:D63"/>
    <mergeCell ref="B64:D64"/>
  </mergeCells>
  <hyperlinks>
    <hyperlink ref="B10" r:id="rId1" location="'Paramètres'!A1" display="Paramètres"/>
    <hyperlink ref="B11" r:id="rId2" location="'02_Tableau_de_bord'!A1" display="02_Tableau_de_bord"/>
    <hyperlink ref="B12" r:id="rId3" location="'01_Planning'!A1" display="01_Planning"/>
    <hyperlink ref="B13" r:id="rId4" location="'03_Budget'!A1" display="03_Budget"/>
    <hyperlink ref="B14" r:id="rId5" location="'04_Situations'!A1" display="04_Situations"/>
    <hyperlink ref="B15" r:id="rId6" location="'05_Factures'!A1" display="05_Factures"/>
    <hyperlink ref="B16" r:id="rId7" location="'06_Pointage'!A1" display="06_Pointage"/>
    <hyperlink ref="B17" r:id="rId8" location="'07_Affectation'!A1" display="07_Affectation"/>
    <hyperlink ref="B18" r:id="rId9" location="'08_Commandes'!A1" display="08_Commandes"/>
    <hyperlink ref="B19" r:id="rId10" location="'09_Stock'!A1" display="09_Stock"/>
    <hyperlink ref="B20" r:id="rId11" location="'09b_Livraisons'!A1" display="09b_Livraisons"/>
    <hyperlink ref="B21" r:id="rId12" location="'10_Journal'!A1" display="10_Journal"/>
    <hyperlink ref="B22" r:id="rId13" location="'11_Incidents'!A1" display="11_Incidents"/>
    <hyperlink ref="B23" r:id="rId14" location="'12_Controle_qualite'!A1" display="12_Controle_qualite"/>
    <hyperlink ref="B24" r:id="rId15" location="'13_Route'!A1" display="13_Route"/>
    <hyperlink ref="B25" r:id="rId16" location="'14_Points_critiques'!A1" display="14_Points_critiques"/>
    <hyperlink ref="B26" r:id="rId17" location="'15_Dalots'!A1" display="15_Dalots"/>
    <hyperlink ref="B27" r:id="rId18" location="'16_Batiment_TCE'!A1" display="16_Batiment_TCE"/>
    <hyperlink ref="B28" r:id="rId19" location="'17_Cloture'!A1" display="17_Cloture"/>
    <hyperlink ref="B29" r:id="rId20" location="'18_Charpente_metal'!A1" display="18_Charpente_metal"/>
    <hyperlink ref="B30" r:id="rId21" location="'Plan_controle'!A1" display="Plan_controle"/>
    <hyperlink ref="B31" r:id="rId22" location="'19_Engins'!A1" display="19_Engins"/>
    <hyperlink ref="B32" r:id="rId23" location="'19b_Engins_journal'!A1" display="19b_Engins_journal"/>
    <hyperlink ref="B33" r:id="rId24" location="'Personnel'!A1" display="Personnel"/>
    <hyperlink ref="B34" r:id="rId25" location="'Checklist_lancement'!A1" display="Checklist_lancement"/>
    <hyperlink ref="B35" r:id="rId26" location="'Lexique'!A1" display="Lexique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&amp;LAuteur : Moulo Jean Claude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6C00"/>
    <pageSetUpPr fitToPage="true"/>
  </sheetPr>
  <dimension ref="A1:A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"/>
    <col collapsed="false" customWidth="true" hidden="false" outlineLevel="0" max="14" min="5" style="0" width="30"/>
    <col collapsed="false" customWidth="true" hidden="false" outlineLevel="0" max="24" min="15" style="0" width="16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customFormat="false" ht="19.5" hidden="false" customHeight="true" outlineLevel="0" collapsed="false">
      <c r="A2" s="20" t="s">
        <v>105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30" hidden="false" customHeight="true" outlineLevel="0" collapsed="false">
      <c r="A4" s="21" t="s">
        <v>106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6" customFormat="false" ht="15" hidden="false" customHeight="false" outlineLevel="0" collapsed="false">
      <c r="B6" s="22" t="s">
        <v>107</v>
      </c>
      <c r="E6" s="23" t="s">
        <v>108</v>
      </c>
      <c r="F6" s="23" t="s">
        <v>109</v>
      </c>
      <c r="G6" s="23" t="s">
        <v>110</v>
      </c>
      <c r="H6" s="23" t="s">
        <v>111</v>
      </c>
      <c r="I6" s="23" t="s">
        <v>112</v>
      </c>
      <c r="J6" s="23" t="s">
        <v>113</v>
      </c>
      <c r="K6" s="23" t="s">
        <v>114</v>
      </c>
      <c r="L6" s="23" t="s">
        <v>115</v>
      </c>
      <c r="M6" s="23" t="s">
        <v>116</v>
      </c>
      <c r="N6" s="23" t="s">
        <v>117</v>
      </c>
      <c r="O6" s="23" t="s">
        <v>118</v>
      </c>
      <c r="P6" s="23" t="s">
        <v>119</v>
      </c>
      <c r="Q6" s="23" t="s">
        <v>120</v>
      </c>
      <c r="R6" s="23" t="s">
        <v>121</v>
      </c>
      <c r="S6" s="23" t="s">
        <v>122</v>
      </c>
      <c r="T6" s="23" t="s">
        <v>123</v>
      </c>
      <c r="U6" s="23" t="s">
        <v>124</v>
      </c>
      <c r="V6" s="23" t="s">
        <v>125</v>
      </c>
      <c r="W6" s="23" t="s">
        <v>126</v>
      </c>
      <c r="X6" s="23" t="s">
        <v>127</v>
      </c>
    </row>
    <row r="7" customFormat="false" ht="23.85" hidden="false" customHeight="false" outlineLevel="0" collapsed="false">
      <c r="B7" s="24" t="s">
        <v>128</v>
      </c>
      <c r="C7" s="25" t="s">
        <v>129</v>
      </c>
      <c r="E7" s="26" t="s">
        <v>130</v>
      </c>
      <c r="F7" s="26" t="s">
        <v>131</v>
      </c>
      <c r="G7" s="26" t="s">
        <v>132</v>
      </c>
      <c r="H7" s="26" t="s">
        <v>133</v>
      </c>
      <c r="I7" s="26" t="s">
        <v>134</v>
      </c>
      <c r="J7" s="26" t="s">
        <v>135</v>
      </c>
      <c r="K7" s="26" t="s">
        <v>136</v>
      </c>
      <c r="L7" s="26" t="s">
        <v>137</v>
      </c>
      <c r="M7" s="26" t="s">
        <v>138</v>
      </c>
      <c r="N7" s="26" t="s">
        <v>139</v>
      </c>
      <c r="O7" s="26" t="s">
        <v>140</v>
      </c>
      <c r="P7" s="26" t="s">
        <v>141</v>
      </c>
      <c r="Q7" s="26" t="s">
        <v>142</v>
      </c>
      <c r="R7" s="26" t="s">
        <v>143</v>
      </c>
      <c r="S7" s="26" t="s">
        <v>144</v>
      </c>
      <c r="T7" s="26" t="s">
        <v>145</v>
      </c>
      <c r="U7" s="26" t="s">
        <v>146</v>
      </c>
      <c r="V7" s="26" t="s">
        <v>147</v>
      </c>
      <c r="W7" s="26" t="s">
        <v>148</v>
      </c>
      <c r="X7" s="26" t="s">
        <v>149</v>
      </c>
    </row>
    <row r="8" customFormat="false" ht="15" hidden="false" customHeight="false" outlineLevel="0" collapsed="false">
      <c r="B8" s="24" t="s">
        <v>112</v>
      </c>
      <c r="C8" s="25" t="s">
        <v>150</v>
      </c>
      <c r="E8" s="26" t="s">
        <v>151</v>
      </c>
      <c r="F8" s="26" t="s">
        <v>152</v>
      </c>
      <c r="G8" s="26" t="s">
        <v>153</v>
      </c>
      <c r="H8" s="26" t="s">
        <v>154</v>
      </c>
      <c r="I8" s="26" t="s">
        <v>155</v>
      </c>
      <c r="J8" s="26" t="s">
        <v>156</v>
      </c>
      <c r="K8" s="26" t="s">
        <v>157</v>
      </c>
      <c r="L8" s="26" t="s">
        <v>158</v>
      </c>
      <c r="M8" s="26" t="s">
        <v>159</v>
      </c>
      <c r="N8" s="26" t="s">
        <v>160</v>
      </c>
      <c r="O8" s="26" t="s">
        <v>161</v>
      </c>
      <c r="P8" s="26" t="s">
        <v>162</v>
      </c>
      <c r="Q8" s="26" t="s">
        <v>163</v>
      </c>
      <c r="R8" s="26" t="s">
        <v>164</v>
      </c>
      <c r="S8" s="26" t="s">
        <v>165</v>
      </c>
      <c r="T8" s="26" t="s">
        <v>166</v>
      </c>
      <c r="U8" s="26" t="s">
        <v>167</v>
      </c>
      <c r="V8" s="26" t="s">
        <v>168</v>
      </c>
      <c r="W8" s="26" t="s">
        <v>169</v>
      </c>
      <c r="X8" s="26" t="s">
        <v>170</v>
      </c>
    </row>
    <row r="9" customFormat="false" ht="15" hidden="false" customHeight="false" outlineLevel="0" collapsed="false">
      <c r="B9" s="24" t="s">
        <v>171</v>
      </c>
      <c r="C9" s="25" t="s">
        <v>172</v>
      </c>
      <c r="E9" s="26" t="s">
        <v>173</v>
      </c>
      <c r="F9" s="26" t="s">
        <v>174</v>
      </c>
      <c r="G9" s="26" t="s">
        <v>175</v>
      </c>
      <c r="H9" s="26" t="s">
        <v>176</v>
      </c>
      <c r="I9" s="26" t="s">
        <v>150</v>
      </c>
      <c r="J9" s="26" t="s">
        <v>177</v>
      </c>
      <c r="K9" s="26" t="s">
        <v>178</v>
      </c>
      <c r="L9" s="26" t="s">
        <v>179</v>
      </c>
      <c r="M9" s="26" t="s">
        <v>180</v>
      </c>
      <c r="N9" s="26" t="s">
        <v>181</v>
      </c>
      <c r="O9" s="26" t="s">
        <v>182</v>
      </c>
      <c r="P9" s="26" t="s">
        <v>183</v>
      </c>
      <c r="Q9" s="26" t="s">
        <v>184</v>
      </c>
      <c r="R9" s="26" t="s">
        <v>185</v>
      </c>
      <c r="S9" s="26" t="s">
        <v>186</v>
      </c>
      <c r="T9" s="26" t="s">
        <v>187</v>
      </c>
      <c r="U9" s="26" t="s">
        <v>188</v>
      </c>
      <c r="V9" s="26" t="s">
        <v>189</v>
      </c>
      <c r="W9" s="26"/>
      <c r="X9" s="26"/>
    </row>
    <row r="10" customFormat="false" ht="15" hidden="false" customHeight="false" outlineLevel="0" collapsed="false">
      <c r="B10" s="24" t="s">
        <v>190</v>
      </c>
      <c r="C10" s="25" t="s">
        <v>172</v>
      </c>
      <c r="E10" s="26" t="s">
        <v>191</v>
      </c>
      <c r="F10" s="26" t="s">
        <v>192</v>
      </c>
      <c r="G10" s="26" t="s">
        <v>193</v>
      </c>
      <c r="H10" s="26" t="s">
        <v>194</v>
      </c>
      <c r="I10" s="26"/>
      <c r="J10" s="26" t="s">
        <v>195</v>
      </c>
      <c r="K10" s="26" t="s">
        <v>171</v>
      </c>
      <c r="L10" s="26"/>
      <c r="M10" s="26" t="s">
        <v>196</v>
      </c>
      <c r="N10" s="26" t="s">
        <v>197</v>
      </c>
      <c r="O10" s="26" t="s">
        <v>198</v>
      </c>
      <c r="P10" s="26"/>
      <c r="Q10" s="26" t="s">
        <v>199</v>
      </c>
      <c r="R10" s="26" t="s">
        <v>200</v>
      </c>
      <c r="S10" s="26" t="s">
        <v>201</v>
      </c>
      <c r="T10" s="26"/>
      <c r="U10" s="26"/>
      <c r="V10" s="26"/>
      <c r="W10" s="26"/>
      <c r="X10" s="26"/>
    </row>
    <row r="11" customFormat="false" ht="15" hidden="false" customHeight="false" outlineLevel="0" collapsed="false">
      <c r="B11" s="24" t="s">
        <v>202</v>
      </c>
      <c r="C11" s="25" t="s">
        <v>172</v>
      </c>
      <c r="E11" s="26" t="s">
        <v>203</v>
      </c>
      <c r="F11" s="26" t="s">
        <v>204</v>
      </c>
      <c r="G11" s="26" t="s">
        <v>205</v>
      </c>
      <c r="H11" s="26" t="s">
        <v>206</v>
      </c>
      <c r="I11" s="26"/>
      <c r="J11" s="26" t="s">
        <v>207</v>
      </c>
      <c r="K11" s="26"/>
      <c r="L11" s="26"/>
      <c r="M11" s="26"/>
      <c r="N11" s="26" t="s">
        <v>208</v>
      </c>
      <c r="O11" s="26" t="s">
        <v>209</v>
      </c>
      <c r="P11" s="26"/>
      <c r="Q11" s="26" t="s">
        <v>210</v>
      </c>
      <c r="R11" s="26" t="s">
        <v>211</v>
      </c>
      <c r="S11" s="26" t="s">
        <v>212</v>
      </c>
      <c r="T11" s="26"/>
      <c r="U11" s="26"/>
      <c r="V11" s="26"/>
      <c r="W11" s="26"/>
      <c r="X11" s="26"/>
    </row>
    <row r="12" customFormat="false" ht="15" hidden="false" customHeight="false" outlineLevel="0" collapsed="false">
      <c r="B12" s="24" t="s">
        <v>213</v>
      </c>
      <c r="C12" s="25" t="s">
        <v>214</v>
      </c>
      <c r="E12" s="26" t="s">
        <v>215</v>
      </c>
      <c r="F12" s="26" t="s">
        <v>216</v>
      </c>
      <c r="G12" s="26" t="s">
        <v>217</v>
      </c>
      <c r="H12" s="26" t="s">
        <v>218</v>
      </c>
      <c r="I12" s="26"/>
      <c r="J12" s="26" t="s">
        <v>219</v>
      </c>
      <c r="K12" s="26"/>
      <c r="L12" s="26"/>
      <c r="M12" s="26"/>
      <c r="N12" s="26" t="s">
        <v>220</v>
      </c>
      <c r="O12" s="26"/>
      <c r="P12" s="26"/>
      <c r="Q12" s="26" t="s">
        <v>221</v>
      </c>
      <c r="R12" s="26" t="s">
        <v>222</v>
      </c>
      <c r="S12" s="26" t="s">
        <v>223</v>
      </c>
      <c r="T12" s="26"/>
      <c r="U12" s="26"/>
      <c r="V12" s="26"/>
      <c r="W12" s="26"/>
      <c r="X12" s="26"/>
    </row>
    <row r="13" customFormat="false" ht="15" hidden="false" customHeight="false" outlineLevel="0" collapsed="false">
      <c r="B13" s="24" t="s">
        <v>224</v>
      </c>
      <c r="C13" s="25" t="s">
        <v>225</v>
      </c>
      <c r="E13" s="26" t="s">
        <v>226</v>
      </c>
      <c r="F13" s="26" t="s">
        <v>183</v>
      </c>
      <c r="G13" s="26" t="s">
        <v>227</v>
      </c>
      <c r="H13" s="26" t="s">
        <v>228</v>
      </c>
      <c r="I13" s="26"/>
      <c r="J13" s="26"/>
      <c r="K13" s="26"/>
      <c r="L13" s="26"/>
      <c r="M13" s="26"/>
      <c r="N13" s="26"/>
      <c r="O13" s="26"/>
      <c r="P13" s="26"/>
      <c r="Q13" s="26" t="s">
        <v>229</v>
      </c>
      <c r="R13" s="26"/>
      <c r="S13" s="26" t="s">
        <v>230</v>
      </c>
      <c r="T13" s="26"/>
      <c r="U13" s="26"/>
      <c r="V13" s="26"/>
      <c r="W13" s="26"/>
      <c r="X13" s="26"/>
    </row>
    <row r="14" customFormat="false" ht="15" hidden="false" customHeight="false" outlineLevel="0" collapsed="false">
      <c r="B14" s="24" t="s">
        <v>231</v>
      </c>
      <c r="C14" s="25" t="s">
        <v>172</v>
      </c>
      <c r="E14" s="26" t="s">
        <v>232</v>
      </c>
      <c r="F14" s="26"/>
      <c r="G14" s="26" t="s">
        <v>233</v>
      </c>
      <c r="H14" s="26" t="s">
        <v>234</v>
      </c>
      <c r="I14" s="26"/>
      <c r="J14" s="26"/>
      <c r="K14" s="26"/>
      <c r="L14" s="26"/>
      <c r="M14" s="26"/>
      <c r="N14" s="26"/>
      <c r="O14" s="26"/>
      <c r="P14" s="26"/>
      <c r="Q14" s="26" t="s">
        <v>235</v>
      </c>
      <c r="R14" s="26"/>
      <c r="S14" s="26" t="s">
        <v>236</v>
      </c>
      <c r="T14" s="26"/>
      <c r="U14" s="26"/>
      <c r="V14" s="26"/>
      <c r="W14" s="26"/>
      <c r="X14" s="26"/>
    </row>
    <row r="15" customFormat="false" ht="15" hidden="false" customHeight="false" outlineLevel="0" collapsed="false">
      <c r="B15" s="24" t="s">
        <v>237</v>
      </c>
      <c r="C15" s="27" t="n">
        <v>46237</v>
      </c>
      <c r="E15" s="26" t="s">
        <v>238</v>
      </c>
      <c r="F15" s="26"/>
      <c r="G15" s="26" t="s">
        <v>239</v>
      </c>
      <c r="H15" s="26"/>
      <c r="I15" s="26"/>
      <c r="J15" s="26"/>
      <c r="K15" s="26"/>
      <c r="L15" s="26"/>
      <c r="M15" s="26"/>
      <c r="N15" s="26"/>
      <c r="O15" s="26"/>
      <c r="P15" s="26"/>
      <c r="Q15" s="26" t="s">
        <v>240</v>
      </c>
      <c r="R15" s="26"/>
      <c r="S15" s="26"/>
      <c r="T15" s="26"/>
      <c r="U15" s="26"/>
      <c r="V15" s="26"/>
      <c r="W15" s="26"/>
      <c r="X15" s="26"/>
    </row>
    <row r="16" customFormat="false" ht="15" hidden="false" customHeight="false" outlineLevel="0" collapsed="false">
      <c r="B16" s="24" t="s">
        <v>241</v>
      </c>
      <c r="C16" s="28" t="n">
        <v>270</v>
      </c>
      <c r="E16" s="26" t="s">
        <v>242</v>
      </c>
      <c r="F16" s="26"/>
      <c r="G16" s="26" t="s">
        <v>243</v>
      </c>
      <c r="H16" s="26"/>
      <c r="I16" s="26"/>
      <c r="J16" s="26"/>
      <c r="K16" s="26"/>
      <c r="L16" s="26"/>
      <c r="M16" s="26"/>
      <c r="N16" s="26"/>
      <c r="O16" s="26"/>
      <c r="P16" s="26"/>
      <c r="Q16" s="26" t="s">
        <v>244</v>
      </c>
      <c r="R16" s="26"/>
      <c r="S16" s="26"/>
      <c r="T16" s="26"/>
      <c r="U16" s="26"/>
      <c r="V16" s="26"/>
      <c r="W16" s="26"/>
      <c r="X16" s="26"/>
    </row>
    <row r="17" customFormat="false" ht="15" hidden="false" customHeight="false" outlineLevel="0" collapsed="false">
      <c r="B17" s="24" t="s">
        <v>245</v>
      </c>
      <c r="C17" s="29" t="n">
        <f aca="false">P_Debut+P_Delai-1</f>
        <v>46506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 t="s">
        <v>246</v>
      </c>
      <c r="R17" s="26"/>
      <c r="S17" s="26"/>
      <c r="T17" s="26"/>
      <c r="U17" s="26"/>
      <c r="V17" s="26"/>
      <c r="W17" s="26"/>
      <c r="X17" s="26"/>
    </row>
    <row r="18" customFormat="false" ht="15" hidden="false" customHeight="false" outlineLevel="0" collapsed="false">
      <c r="B18" s="24" t="s">
        <v>247</v>
      </c>
      <c r="C18" s="30" t="n">
        <f aca="true">TODAY()</f>
        <v>46311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 t="s">
        <v>248</v>
      </c>
      <c r="R18" s="26"/>
      <c r="S18" s="26"/>
      <c r="T18" s="26"/>
      <c r="U18" s="26"/>
      <c r="V18" s="26"/>
      <c r="W18" s="26"/>
      <c r="X18" s="26"/>
    </row>
    <row r="19" customFormat="false" ht="15" hidden="false" customHeight="false" outlineLevel="0" collapsed="false">
      <c r="B19" s="24" t="s">
        <v>249</v>
      </c>
      <c r="C19" s="31" t="n">
        <f aca="false">SIT_TotMarche</f>
        <v>630010000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 t="s">
        <v>250</v>
      </c>
      <c r="R19" s="26"/>
      <c r="S19" s="26"/>
      <c r="T19" s="26"/>
      <c r="U19" s="26"/>
      <c r="V19" s="26"/>
      <c r="W19" s="26"/>
      <c r="X19" s="26"/>
    </row>
    <row r="20" customFormat="false" ht="15" hidden="false" customHeight="false" outlineLevel="0" collapsed="false">
      <c r="B20" s="24" t="s">
        <v>251</v>
      </c>
      <c r="C20" s="32" t="n">
        <v>0.18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 t="s">
        <v>252</v>
      </c>
      <c r="R20" s="26"/>
      <c r="S20" s="26"/>
      <c r="T20" s="26"/>
      <c r="U20" s="26"/>
      <c r="V20" s="26"/>
      <c r="W20" s="26"/>
      <c r="X20" s="26"/>
    </row>
    <row r="21" customFormat="false" ht="15" hidden="false" customHeight="false" outlineLevel="0" collapsed="false">
      <c r="B21" s="24" t="s">
        <v>253</v>
      </c>
      <c r="C21" s="32" t="n">
        <v>0.05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 t="s">
        <v>254</v>
      </c>
      <c r="R21" s="26"/>
      <c r="S21" s="26"/>
      <c r="T21" s="26"/>
      <c r="U21" s="26"/>
      <c r="V21" s="26"/>
      <c r="W21" s="26"/>
      <c r="X21" s="26"/>
    </row>
    <row r="22" customFormat="false" ht="23.85" hidden="false" customHeight="false" outlineLevel="0" collapsed="false">
      <c r="B22" s="24" t="s">
        <v>255</v>
      </c>
      <c r="C22" s="32" t="n">
        <v>0.1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 customFormat="false" ht="15" hidden="false" customHeight="false" outlineLevel="0" collapsed="false">
      <c r="B23" s="24" t="s">
        <v>256</v>
      </c>
      <c r="C23" s="28" t="n">
        <v>8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customFormat="false" ht="15" hidden="false" customHeight="false" outlineLevel="0" collapsed="false">
      <c r="B24" s="24" t="s">
        <v>257</v>
      </c>
      <c r="C24" s="32" t="n">
        <v>0.1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 customFormat="false" ht="15" hidden="false" customHeight="false" outlineLevel="0" collapsed="false">
      <c r="B25" s="24" t="s">
        <v>258</v>
      </c>
      <c r="C25" s="32" t="n">
        <v>0.95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 customFormat="false" ht="23.85" hidden="false" customHeight="false" outlineLevel="0" collapsed="false">
      <c r="B26" s="24" t="s">
        <v>259</v>
      </c>
      <c r="C26" s="28" t="n">
        <v>30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 customFormat="false" ht="23.85" hidden="false" customHeight="false" outlineLevel="0" collapsed="false">
      <c r="B27" s="24" t="s">
        <v>260</v>
      </c>
      <c r="C27" s="33" t="n">
        <v>0.02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 customFormat="false" ht="23.85" hidden="false" customHeight="false" outlineLevel="0" collapsed="false">
      <c r="B28" s="24" t="s">
        <v>261</v>
      </c>
      <c r="C28" s="32" t="n">
        <v>0.15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customFormat="false" ht="23.85" hidden="false" customHeight="false" outlineLevel="0" collapsed="false">
      <c r="B29" s="24" t="s">
        <v>262</v>
      </c>
      <c r="C29" s="32" t="n">
        <v>0.85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 customFormat="false" ht="15" hidden="false" customHeight="false" outlineLevel="0" collapsed="false">
      <c r="B30" s="24" t="s">
        <v>263</v>
      </c>
      <c r="C30" s="28" t="n">
        <v>25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 customFormat="false" ht="15" hidden="false" customHeight="false" outlineLevel="0" collapsed="false"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 customFormat="false" ht="39.75" hidden="false" customHeight="true" outlineLevel="0" collapsed="false">
      <c r="B32" s="21" t="s">
        <v>264</v>
      </c>
      <c r="C32" s="21"/>
    </row>
  </sheetData>
  <mergeCells count="5">
    <mergeCell ref="A1:AB1"/>
    <mergeCell ref="A2:AB2"/>
    <mergeCell ref="A3:AB3"/>
    <mergeCell ref="A4:AB4"/>
    <mergeCell ref="B32:C32"/>
  </mergeCells>
  <dataValidations count="1">
    <dataValidation allowBlank="true" errorStyle="stop" operator="between" showDropDown="false" showErrorMessage="false" showInputMessage="false" sqref="C8" type="list">
      <formula1>L_Mission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true"/>
  </sheetPr>
  <dimension ref="A1:O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.5"/>
    <col collapsed="false" customWidth="true" hidden="true" outlineLevel="0" max="15" min="14" style="0" width="13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customFormat="false" ht="19.5" hidden="false" customHeight="true" outlineLevel="0" collapsed="false">
      <c r="A2" s="20" t="s">
        <v>265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30" hidden="false" customHeight="true" outlineLevel="0" collapsed="false">
      <c r="A4" s="21" t="s">
        <v>266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customFormat="false" ht="15" hidden="false" customHeight="false" outlineLevel="0" collapsed="false">
      <c r="B5" s="4" t="s">
        <v>4</v>
      </c>
      <c r="D5" s="34" t="n">
        <f aca="false">P_DateRef</f>
        <v>46311</v>
      </c>
      <c r="E5" s="34"/>
      <c r="G5" s="4" t="s">
        <v>267</v>
      </c>
      <c r="I5" s="35" t="n">
        <f aca="false">P_Fin</f>
        <v>46506</v>
      </c>
      <c r="J5" s="35"/>
    </row>
    <row r="6" customFormat="false" ht="15" hidden="false" customHeight="false" outlineLevel="0" collapsed="false">
      <c r="N6" s="0" t="s">
        <v>268</v>
      </c>
      <c r="O6" s="0" t="n">
        <f aca="false">IFERROR(SUMPRODUCT(PL_Duree,PL_Real)/SUM(PL_Duree),0)</f>
        <v>0.347543859649123</v>
      </c>
    </row>
    <row r="7" customFormat="false" ht="15" hidden="false" customHeight="true" outlineLevel="0" collapsed="false">
      <c r="B7" s="36" t="s">
        <v>269</v>
      </c>
      <c r="C7" s="36"/>
      <c r="D7" s="36" t="s">
        <v>270</v>
      </c>
      <c r="E7" s="36"/>
      <c r="F7" s="36" t="s">
        <v>271</v>
      </c>
      <c r="G7" s="36"/>
      <c r="H7" s="36" t="s">
        <v>272</v>
      </c>
      <c r="I7" s="36"/>
      <c r="J7" s="36" t="s">
        <v>273</v>
      </c>
      <c r="K7" s="36"/>
      <c r="L7" s="36" t="s">
        <v>274</v>
      </c>
      <c r="M7" s="36"/>
      <c r="N7" s="37" t="s">
        <v>275</v>
      </c>
      <c r="O7" s="37" t="n">
        <f aca="false">IFERROR(SUMPRODUCT(PL_Duree,PL_Prevu)/SUM(PL_Duree),0)</f>
        <v>0.380350877192982</v>
      </c>
    </row>
    <row r="8" customFormat="false" ht="33.75" hidden="false" customHeight="true" outlineLevel="0" collapsed="false">
      <c r="B8" s="38" t="n">
        <f aca="false">KPI_AvReal</f>
        <v>0.347543859649123</v>
      </c>
      <c r="C8" s="38"/>
      <c r="D8" s="38" t="n">
        <f aca="false">KPI_AvFin</f>
        <v>0.387216075935303</v>
      </c>
      <c r="E8" s="38"/>
      <c r="F8" s="38" t="n">
        <f aca="false">KPI_Conso</f>
        <v>0.207454925650558</v>
      </c>
      <c r="G8" s="38"/>
      <c r="H8" s="39" t="n">
        <f aca="false">KPI_Depense</f>
        <v>111610750</v>
      </c>
      <c r="I8" s="39"/>
      <c r="J8" s="39" t="n">
        <f aca="false">KPI_Reste</f>
        <v>426389250</v>
      </c>
      <c r="K8" s="39"/>
      <c r="L8" s="40" t="n">
        <f aca="false">KPI_Effectif</f>
        <v>17</v>
      </c>
      <c r="M8" s="40"/>
      <c r="N8" s="37" t="s">
        <v>270</v>
      </c>
      <c r="O8" s="37" t="n">
        <f aca="false">IF(P_Marche=0,0,SIT_TotCumul/P_Marche)</f>
        <v>0.387216075935303</v>
      </c>
    </row>
    <row r="9" customFormat="false" ht="15" hidden="false" customHeight="false" outlineLevel="0" collapsed="false">
      <c r="B9" s="41" t="str">
        <f aca="false">"Prévu : "&amp;ROUND(KPI_AvPrev*100,0)&amp;" %"</f>
        <v>Prévu : 38 %</v>
      </c>
      <c r="C9" s="41"/>
      <c r="D9" s="41" t="str">
        <f aca="false">"Délai consommé : "&amp;ROUND(KPI_Delai*100,0)&amp;" %"</f>
        <v>Délai consommé : 28 %</v>
      </c>
      <c r="E9" s="41"/>
      <c r="F9" s="41" t="str">
        <f aca="false">"Budget : "&amp;FIXED(KPI_Budget,0)</f>
        <v>Budget : 538,000,000</v>
      </c>
      <c r="G9" s="41"/>
      <c r="H9" s="41" t="str">
        <f aca="false">"Engagé BC : "&amp;FIXED(SUM(BU_Engage),0)</f>
        <v>Engagé BC : 56,830,000</v>
      </c>
      <c r="I9" s="41"/>
      <c r="J9" s="41" t="str">
        <f aca="false">COUNTIF(BU_Alerte,"Dépassement")&amp;" lot(s) en dépassement"</f>
        <v>0 lot(s) en dépassement</v>
      </c>
      <c r="K9" s="41"/>
      <c r="L9" s="41" t="str">
        <f aca="false">COUNTIF(AF_Date,P_DateRef)&amp;" équipe(s) affectée(s)"</f>
        <v>6 équipe(s) affectée(s)</v>
      </c>
      <c r="M9" s="41"/>
      <c r="N9" s="37" t="s">
        <v>276</v>
      </c>
      <c r="O9" s="37" t="n">
        <f aca="false">SUM(BU_Budget)</f>
        <v>538000000</v>
      </c>
    </row>
    <row r="10" customFormat="false" ht="15" hidden="false" customHeight="false" outlineLevel="0" collapsed="false">
      <c r="N10" s="0" t="s">
        <v>277</v>
      </c>
      <c r="O10" s="0" t="n">
        <f aca="false">SUM(BU_Depense)</f>
        <v>111610750</v>
      </c>
    </row>
    <row r="11" customFormat="false" ht="15" hidden="false" customHeight="true" outlineLevel="0" collapsed="false">
      <c r="B11" s="42" t="s">
        <v>278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37" t="s">
        <v>279</v>
      </c>
      <c r="O11" s="37" t="n">
        <f aca="false">KPI_Budget-KPI_Depense</f>
        <v>426389250</v>
      </c>
    </row>
    <row r="12" customFormat="false" ht="15" hidden="false" customHeight="true" outlineLevel="0" collapsed="false">
      <c r="B12" s="23" t="s">
        <v>280</v>
      </c>
      <c r="C12" s="23" t="s">
        <v>281</v>
      </c>
      <c r="D12" s="23"/>
      <c r="E12" s="23"/>
      <c r="F12" s="23"/>
      <c r="G12" s="23" t="s">
        <v>282</v>
      </c>
      <c r="H12" s="23"/>
      <c r="I12" s="23" t="s">
        <v>283</v>
      </c>
      <c r="J12" s="23"/>
      <c r="K12" s="23"/>
      <c r="L12" s="23"/>
      <c r="M12" s="23" t="s">
        <v>284</v>
      </c>
      <c r="N12" s="37" t="s">
        <v>285</v>
      </c>
      <c r="O12" s="37" t="n">
        <f aca="false">IF(KPI_Budget=0,0,KPI_Depense/KPI_Budget)</f>
        <v>0.207454925650558</v>
      </c>
    </row>
    <row r="13" customFormat="false" ht="30" hidden="false" customHeight="true" outlineLevel="0" collapsed="false">
      <c r="B13" s="43" t="n">
        <v>1</v>
      </c>
      <c r="C13" s="24" t="s">
        <v>286</v>
      </c>
      <c r="D13" s="24"/>
      <c r="E13" s="24"/>
      <c r="F13" s="24"/>
      <c r="G13" s="44" t="str">
        <f aca="false">IF(OR(KPI_Retard&gt;0,AND(P_DateRef&gt;P_Fin,KPI_AvReal&lt;1)),"NON – retard","OUI")</f>
        <v>NON – retard</v>
      </c>
      <c r="H13" s="44"/>
      <c r="I13" s="11" t="str">
        <f aca="false">"Réel "&amp;ROUND(KPI_AvReal*100,0)&amp;" % / prévu "&amp;ROUND(KPI_AvPrev*100,0)&amp;" % · "&amp;KPI_Retard&amp;" tâche(s) en retard · "&amp;MAX(0,P_Fin-P_DateRef)&amp;" j restants"</f>
        <v>Réel 35 % / prévu 38 % · 3 tâche(s) en retard · 195 j restants</v>
      </c>
      <c r="J13" s="11"/>
      <c r="K13" s="11"/>
      <c r="L13" s="11"/>
      <c r="M13" s="45" t="str">
        <f aca="false">IF(KPI_AvReal&lt;KPI_AvPrev-P_Tol,"ALERTE",IF(KPI_Retard&gt;0,"ATTENTION","OK"))</f>
        <v>ATTENTION</v>
      </c>
      <c r="N13" s="37" t="s">
        <v>287</v>
      </c>
      <c r="O13" s="37" t="n">
        <f aca="false">COUNTIFS(PT_Date,P_DateRef,PT_Pres,"P")+0.5*COUNTIFS(PT_Date,P_DateRef,PT_Pres,"1/2")</f>
        <v>17</v>
      </c>
    </row>
    <row r="14" customFormat="false" ht="30" hidden="false" customHeight="true" outlineLevel="0" collapsed="false">
      <c r="B14" s="43" t="n">
        <v>2</v>
      </c>
      <c r="C14" s="24" t="s">
        <v>288</v>
      </c>
      <c r="D14" s="24"/>
      <c r="E14" s="24"/>
      <c r="F14" s="24"/>
      <c r="G14" s="46" t="n">
        <f aca="false">KPI_Depense</f>
        <v>111610750</v>
      </c>
      <c r="H14" s="46"/>
      <c r="I14" s="11" t="str">
        <f aca="false">"Factures "&amp;FIXED(SUM(BU_Factures),0)&amp;" · Main-d'œuvre "&amp;FIXED(SUM(BU_MO),0)&amp;" · Autres "&amp;FIXED(SUM(BU_Autres),0)&amp;" FCFA"</f>
        <v>Factures 103,310,000 · Main-d'œuvre 300,750 · Autres 8,000,000 FCFA</v>
      </c>
      <c r="J14" s="11"/>
      <c r="K14" s="11"/>
      <c r="L14" s="11"/>
      <c r="M14" s="45" t="str">
        <f aca="false">IF(KPI_Conso&gt;KPI_AvReal+P_Tol,"ALERTE",IF(KPI_Conso&gt;KPI_AvReal,"ATTENTION","OK"))</f>
        <v>OK</v>
      </c>
      <c r="N14" s="37" t="s">
        <v>289</v>
      </c>
      <c r="O14" s="37" t="n">
        <f aca="false">MAX(0,MIN(1,(P_DateRef-P_Debut+1)/P_Delai))</f>
        <v>0.277777777777778</v>
      </c>
    </row>
    <row r="15" customFormat="false" ht="30" hidden="false" customHeight="true" outlineLevel="0" collapsed="false">
      <c r="B15" s="43" t="n">
        <v>3</v>
      </c>
      <c r="C15" s="24" t="s">
        <v>290</v>
      </c>
      <c r="D15" s="24"/>
      <c r="E15" s="24"/>
      <c r="F15" s="24"/>
      <c r="G15" s="46" t="n">
        <f aca="false">KPI_Reste</f>
        <v>426389250</v>
      </c>
      <c r="H15" s="46"/>
      <c r="I15" s="11" t="str">
        <f aca="false">ROUND(KPI_Conso*100,0)&amp;" % consommé · "&amp;COUNTIF(BU_Alerte,"Dépassement")&amp;" lot(s) en dépassement · "&amp;COUNTIF(BU_Alerte,"Surconsommation")&amp;" en surconsommation"</f>
        <v>21 % consommé · 0 lot(s) en dépassement · 0 en surconsommation</v>
      </c>
      <c r="J15" s="11"/>
      <c r="K15" s="11"/>
      <c r="L15" s="11"/>
      <c r="M15" s="45" t="str">
        <f aca="false">IF(KPI_Reste&lt;0,"ALERTE",IF(COUNTIF(BU_Alerte,"Dépassement")+COUNTIF(BU_Alerte,"Surconsommation")&gt;0,"ATTENTION","OK"))</f>
        <v>OK</v>
      </c>
      <c r="N15" s="37" t="s">
        <v>291</v>
      </c>
      <c r="O15" s="37" t="n">
        <f aca="false">COUNTIF(PL_Statut,"En retard")</f>
        <v>3</v>
      </c>
    </row>
    <row r="16" customFormat="false" ht="30" hidden="false" customHeight="true" outlineLevel="0" collapsed="false">
      <c r="B16" s="43" t="n">
        <v>4</v>
      </c>
      <c r="C16" s="24" t="s">
        <v>292</v>
      </c>
      <c r="D16" s="24"/>
      <c r="E16" s="24"/>
      <c r="F16" s="24"/>
      <c r="G16" s="47" t="n">
        <f aca="false">KPI_Effectif</f>
        <v>17</v>
      </c>
      <c r="H16" s="47"/>
      <c r="I16" s="11" t="str">
        <f aca="false">COUNTIF(AF_Date,P_DateRef)&amp;" équipe(s) affectée(s) – détail ci-dessous (onglet 07)"</f>
        <v>6 équipe(s) affectée(s) – détail ci-dessous (onglet 07)</v>
      </c>
      <c r="J16" s="11"/>
      <c r="K16" s="11"/>
      <c r="L16" s="11"/>
      <c r="M16" s="45" t="str">
        <f aca="false">IF(COUNTIF(AF_Date,P_DateRef)=0,"ATTENTION","OK")</f>
        <v>OK</v>
      </c>
    </row>
    <row r="17" customFormat="false" ht="30" hidden="false" customHeight="true" outlineLevel="0" collapsed="false">
      <c r="B17" s="43" t="n">
        <v>5</v>
      </c>
      <c r="C17" s="24" t="s">
        <v>293</v>
      </c>
      <c r="D17" s="24"/>
      <c r="E17" s="24"/>
      <c r="F17" s="24"/>
      <c r="G17" s="46" t="n">
        <f aca="false">SUM(ST_Valeur)</f>
        <v>8214500</v>
      </c>
      <c r="H17" s="46"/>
      <c r="I17" s="11" t="str">
        <f aca="false">COUNTIF(ST_Statut,"OK")&amp;" article(s) OK · "&amp;COUNTIF(ST_Statut,"À commander")&amp;" à commander · "&amp;COUNTIF(ST_Statut,"Rupture")&amp;" en rupture"</f>
        <v>8 article(s) OK · 4 à commander · 1 en rupture</v>
      </c>
      <c r="J17" s="11"/>
      <c r="K17" s="11"/>
      <c r="L17" s="11"/>
      <c r="M17" s="45" t="str">
        <f aca="false">IF(COUNTIF(ST_Statut,"Rupture")&gt;0,"ALERTE",IF(COUNTIF(ST_Statut,"À commander")&gt;0,"ATTENTION","OK"))</f>
        <v>ALERTE</v>
      </c>
    </row>
    <row r="18" customFormat="false" ht="30" hidden="false" customHeight="true" outlineLevel="0" collapsed="false">
      <c r="B18" s="43" t="n">
        <v>6</v>
      </c>
      <c r="C18" s="24" t="s">
        <v>294</v>
      </c>
      <c r="D18" s="24"/>
      <c r="E18" s="24"/>
      <c r="F18" s="24"/>
      <c r="G18" s="48" t="n">
        <f aca="false">COUNTIF(BC_Statut,"En attente")+COUNTIF(BC_Statut,"Partielle")+COUNTIF(BC_Statut,"En retard")</f>
        <v>3</v>
      </c>
      <c r="H18" s="48"/>
      <c r="I18" s="11" t="str">
        <f aca="false">COUNTIF(BC_Statut,"En retard")&amp;" en retard de livraison · "&amp;COUNTIF(BC_Statut,"Partielle")&amp;" partielle(s) · "&amp;COUNTIF(BC_Statut,"En attente")&amp;" en attente"</f>
        <v>2 en retard de livraison · 0 partielle(s) · 1 en attente</v>
      </c>
      <c r="J18" s="11"/>
      <c r="K18" s="11"/>
      <c r="L18" s="11"/>
      <c r="M18" s="45" t="str">
        <f aca="false">IF(COUNTIF(BC_Statut,"En retard")&gt;0,"ALERTE",IF(COUNTIF(BC_Statut,"En attente")+COUNTIF(BC_Statut,"Partielle")+COUNTIF(BC_Statut,"En retard")&gt;0,"ATTENTION","OK"))</f>
        <v>ALERTE</v>
      </c>
    </row>
    <row r="19" customFormat="false" ht="30" hidden="false" customHeight="true" outlineLevel="0" collapsed="false">
      <c r="B19" s="43" t="n">
        <v>7</v>
      </c>
      <c r="C19" s="24" t="s">
        <v>295</v>
      </c>
      <c r="D19" s="24"/>
      <c r="E19" s="24"/>
      <c r="F19" s="24"/>
      <c r="G19" s="46" t="n">
        <f aca="false">SUMIF(FA_Reste,"&gt;0")</f>
        <v>43247600</v>
      </c>
      <c r="H19" s="46"/>
      <c r="I19" s="11" t="str">
        <f aca="false">COUNTIF(FA_Statut,"En retard")&amp;" en retard · "&amp;COUNTIF(FA_Statut,"À payer &lt; 7j")&amp;" à échéance &lt; 7 j · "&amp;COUNTIF(FA_Statut,"À payer")&amp;" autre(s)"</f>
        <v>1 en retard · 2 à échéance &lt; 7 j · 3 autre(s)</v>
      </c>
      <c r="J19" s="11"/>
      <c r="K19" s="11"/>
      <c r="L19" s="11"/>
      <c r="M19" s="45" t="str">
        <f aca="false">IF(COUNTIF(FA_Statut,"En retard")&gt;0,"ALERTE",IF(COUNTIF(FA_Statut,"À payer &lt; 7j")&gt;0,"ATTENTION","OK"))</f>
        <v>ALERTE</v>
      </c>
    </row>
    <row r="20" customFormat="false" ht="30" hidden="false" customHeight="true" outlineLevel="0" collapsed="false">
      <c r="B20" s="43" t="n">
        <v>8</v>
      </c>
      <c r="C20" s="24" t="s">
        <v>296</v>
      </c>
      <c r="D20" s="24"/>
      <c r="E20" s="24"/>
      <c r="F20" s="24"/>
      <c r="G20" s="49" t="n">
        <f aca="false">KPI_AvReal</f>
        <v>0.347543859649123</v>
      </c>
      <c r="H20" s="49"/>
      <c r="I20" s="11" t="str">
        <f aca="false">"Physique "&amp;ROUND(KPI_AvReal*100,0)&amp;" % · financier "&amp;ROUND(KPI_AvFin*100,0)&amp;" % · délai consommé "&amp;ROUND(KPI_Delai*100,0)&amp;" %"</f>
        <v>Physique 35 % · financier 39 % · délai consommé 28 %</v>
      </c>
      <c r="J20" s="11"/>
      <c r="K20" s="11"/>
      <c r="L20" s="11"/>
      <c r="M20" s="45" t="str">
        <f aca="false">IF(KPI_AvReal&lt;KPI_Delai-P_Tol,"ALERTE",IF(KPI_AvReal&lt;KPI_AvPrev,"ATTENTION","OK"))</f>
        <v>ATTENTION</v>
      </c>
    </row>
    <row r="21" customFormat="false" ht="30" hidden="false" customHeight="true" outlineLevel="0" collapsed="false">
      <c r="B21" s="43" t="n">
        <v>9</v>
      </c>
      <c r="C21" s="24" t="s">
        <v>297</v>
      </c>
      <c r="D21" s="24"/>
      <c r="E21" s="24"/>
      <c r="F21" s="24"/>
      <c r="G21" s="50" t="n">
        <f aca="false">COUNTIFS(IN_Num,"&lt;&gt;",IN_Statut,"&lt;&gt;Clos")</f>
        <v>4</v>
      </c>
      <c r="H21" s="50"/>
      <c r="I21" s="11" t="str">
        <f aca="false">COUNTIF(JO_Incident,"Oui")&amp;" signalé(s) au journal · "&amp;COUNTIF(IN_Num,"?*")&amp;" fiche(s) établie(s) · "&amp;COUNTIFS(IN_Grav,"Majeure",IN_Statut,"&lt;&gt;Clos")&amp;" majeure(s) ouverte(s)"</f>
        <v>4 signalé(s) au journal · 4 fiche(s) établie(s) · 2 majeure(s) ouverte(s)</v>
      </c>
      <c r="J21" s="11"/>
      <c r="K21" s="11"/>
      <c r="L21" s="11"/>
      <c r="M21" s="45" t="str">
        <f aca="false">IF(COUNTIFS(IN_Grav,"Majeure",IN_Statut,"&lt;&gt;Clos")&gt;0,"ALERTE",IF(COUNTIF(JO_Incident,"Oui")&gt;COUNTIF(IN_Num,"?*"),"ATTENTION",IF(COUNTIFS(IN_Num,"&lt;&gt;",IN_Statut,"&lt;&gt;Clos")&gt;0,"ATTENTION","OK")))</f>
        <v>ALERTE</v>
      </c>
    </row>
    <row r="22" customFormat="false" ht="30" hidden="false" customHeight="true" outlineLevel="0" collapsed="false">
      <c r="B22" s="43" t="n">
        <v>10</v>
      </c>
      <c r="C22" s="24" t="s">
        <v>298</v>
      </c>
      <c r="D22" s="24"/>
      <c r="E22" s="24"/>
      <c r="F22" s="24"/>
      <c r="G22" s="49" t="n">
        <f aca="false">IFERROR(COUNTIF(CQ_Res,"Conforme")/(COUNTIF(CQ_Res,"Conforme")+COUNTIF(CQ_Res,"Non conforme")),1)</f>
        <v>0.818181818181818</v>
      </c>
      <c r="H22" s="49"/>
      <c r="I22" s="11" t="str">
        <f aca="false">COUNTIF(CQ_Num,"?*")&amp;" contrôle(s) · "&amp;COUNTIF(CQ_Etat,"NC ouverte")&amp;" NC ouverte(s) · "&amp;COUNTIF(CQ_Etat,"Réserve ouverte")&amp;" réserve(s) · "&amp;COUNTIF(CQ_Etat,"À contrôler")&amp;" PA/contrôle(s) en attente · "&amp;COUNTIF(RT_Conf,"Non conforme")&amp;" tronçon(s) route NC"</f>
        <v>13 contrôle(s) · 1 NC ouverte(s) · 1 réserve(s) · 1 PA/contrôle(s) en attente · 1 tronçon(s) route NC</v>
      </c>
      <c r="J22" s="11"/>
      <c r="K22" s="11"/>
      <c r="L22" s="11"/>
      <c r="M22" s="45" t="str">
        <f aca="false">IF(COUNTIF(CQ_Etat,"NC ouverte")&gt;0,"ALERTE",IF(COUNTIF(CQ_Etat,"Réserve ouverte")+COUNTIF(CQ_Etat,"À contrôler")&gt;0,"ATTENTION","OK"))</f>
        <v>ALERTE</v>
      </c>
    </row>
    <row r="23" customFormat="false" ht="30" hidden="false" customHeight="true" outlineLevel="0" collapsed="false">
      <c r="B23" s="43" t="n">
        <v>11</v>
      </c>
      <c r="C23" s="24" t="s">
        <v>299</v>
      </c>
      <c r="D23" s="24"/>
      <c r="E23" s="24"/>
      <c r="F23" s="24"/>
      <c r="G23" s="49" t="n">
        <f aca="false">IFERROR(SUM(EN_HM)/(SUM(EN_HM)+SUM(EN_HP)),1)</f>
        <v>0.972850678733032</v>
      </c>
      <c r="H23" s="49"/>
      <c r="I23" s="11" t="str">
        <f aca="false">COUNTIF(EN_Etat,"En panne")&amp;" engin(s) en panne · "&amp;SUM(EN_HP)&amp;" h de panne · "&amp;COUNTIF(EN_Alerte,"Surconsommation")&amp;" surconsommation(s) gasoil · coût estimé "&amp;FIXED(SUM(EN_Cout),0)&amp;" FCFA"</f>
        <v>1 engin(s) en panne · 6 h de panne · 1 surconsommation(s) gasoil · coût estimé 5,920,000 FCFA</v>
      </c>
      <c r="J23" s="11"/>
      <c r="K23" s="11"/>
      <c r="L23" s="11"/>
      <c r="M23" s="45" t="str">
        <f aca="false">IF(COUNTIF(EN_Etat,"En panne")&gt;0,"ALERTE",IF(COUNTIF(EN_Alerte,"Surconsommation")+COUNTIF(EN_Alerte,"Disponibilité faible")&gt;0,"ATTENTION","OK"))</f>
        <v>ALERTE</v>
      </c>
    </row>
    <row r="25" customFormat="false" ht="15" hidden="false" customHeight="true" outlineLevel="0" collapsed="false">
      <c r="B25" s="42" t="s">
        <v>300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customFormat="false" ht="15" hidden="false" customHeight="true" outlineLevel="0" collapsed="false">
      <c r="B26" s="36" t="s">
        <v>301</v>
      </c>
      <c r="C26" s="36"/>
      <c r="D26" s="36"/>
      <c r="E26" s="36"/>
      <c r="F26" s="36" t="s">
        <v>302</v>
      </c>
      <c r="G26" s="36" t="s">
        <v>303</v>
      </c>
      <c r="H26" s="36"/>
      <c r="I26" s="36" t="s">
        <v>304</v>
      </c>
      <c r="J26" s="36"/>
      <c r="K26" s="36" t="s">
        <v>305</v>
      </c>
      <c r="L26" s="36" t="s">
        <v>306</v>
      </c>
      <c r="M26" s="36"/>
    </row>
    <row r="27" customFormat="false" ht="15" hidden="false" customHeight="true" outlineLevel="0" collapsed="false">
      <c r="B27" s="24" t="s">
        <v>307</v>
      </c>
      <c r="C27" s="24"/>
      <c r="D27" s="24"/>
      <c r="E27" s="24"/>
      <c r="F27" s="51" t="s">
        <v>221</v>
      </c>
      <c r="G27" s="52" t="n">
        <f aca="false">SUM(RT_Long)</f>
        <v>20</v>
      </c>
      <c r="H27" s="52"/>
      <c r="I27" s="52" t="n">
        <f aca="false">SUMPRODUCT(RT_Long,RT_Av)</f>
        <v>8.465</v>
      </c>
      <c r="J27" s="52"/>
      <c r="K27" s="53" t="n">
        <f aca="false">RT_Glob</f>
        <v>0.42325</v>
      </c>
      <c r="L27" s="45" t="str">
        <f aca="false">IF(K27&gt;=1,"Terminé",IF(K27&gt;0,"En cours","Non démarré"))</f>
        <v>En cours</v>
      </c>
      <c r="M27" s="45"/>
    </row>
    <row r="28" customFormat="false" ht="15" hidden="false" customHeight="true" outlineLevel="0" collapsed="false">
      <c r="B28" s="24" t="s">
        <v>308</v>
      </c>
      <c r="C28" s="24"/>
      <c r="D28" s="24"/>
      <c r="E28" s="24"/>
      <c r="F28" s="51" t="s">
        <v>235</v>
      </c>
      <c r="G28" s="54" t="n">
        <f aca="false">SUM(RT_VolPrev)</f>
        <v>20000</v>
      </c>
      <c r="H28" s="54"/>
      <c r="I28" s="54" t="n">
        <f aca="false">SUM(RT_VolMO)</f>
        <v>7800</v>
      </c>
      <c r="J28" s="54"/>
      <c r="K28" s="53" t="n">
        <f aca="false">IF(N(G28)=0,0,I28/G28)</f>
        <v>0.39</v>
      </c>
      <c r="L28" s="45" t="str">
        <f aca="false">IF(K28&gt;=1,"Terminé",IF(K28&gt;0,"En cours","Non démarré"))</f>
        <v>En cours</v>
      </c>
      <c r="M28" s="45"/>
    </row>
    <row r="29" customFormat="false" ht="15" hidden="false" customHeight="true" outlineLevel="0" collapsed="false">
      <c r="B29" s="24" t="s">
        <v>309</v>
      </c>
      <c r="C29" s="24"/>
      <c r="D29" s="24"/>
      <c r="E29" s="24"/>
      <c r="F29" s="51" t="s">
        <v>142</v>
      </c>
      <c r="G29" s="54" t="n">
        <f aca="false">COUNTIF(PC_Num,"?*")</f>
        <v>8</v>
      </c>
      <c r="H29" s="54"/>
      <c r="I29" s="54" t="n">
        <f aca="false">COUNTIF(PC_Stat,"Terminé")</f>
        <v>2</v>
      </c>
      <c r="J29" s="54"/>
      <c r="K29" s="53" t="n">
        <f aca="false">PC_Glob</f>
        <v>0.462228796844182</v>
      </c>
      <c r="L29" s="45" t="str">
        <f aca="false">IF(K29&gt;=1,"Terminé",IF(K29&gt;0,"En cours","Non démarré"))</f>
        <v>En cours</v>
      </c>
      <c r="M29" s="45"/>
    </row>
    <row r="30" customFormat="false" ht="15" hidden="false" customHeight="true" outlineLevel="0" collapsed="false">
      <c r="B30" s="24" t="s">
        <v>310</v>
      </c>
      <c r="C30" s="24"/>
      <c r="D30" s="24"/>
      <c r="E30" s="24"/>
      <c r="F30" s="51" t="s">
        <v>210</v>
      </c>
      <c r="G30" s="55" t="n">
        <f aca="false">SUMIFS(PC_MlPrev,PC_Diam,"Ø800")</f>
        <v>48</v>
      </c>
      <c r="H30" s="55"/>
      <c r="I30" s="55" t="n">
        <f aca="false">SUMIFS(PC_MlPose,PC_Diam,"Ø800")</f>
        <v>12</v>
      </c>
      <c r="J30" s="55"/>
      <c r="K30" s="53" t="n">
        <f aca="false">IF(N(G30)=0,0,I30/G30)</f>
        <v>0.25</v>
      </c>
      <c r="L30" s="45" t="str">
        <f aca="false">IF(K30&gt;=1,"Terminé",IF(K30&gt;0,"En cours","Non démarré"))</f>
        <v>En cours</v>
      </c>
      <c r="M30" s="45"/>
    </row>
    <row r="31" customFormat="false" ht="15" hidden="false" customHeight="true" outlineLevel="0" collapsed="false">
      <c r="B31" s="24" t="s">
        <v>311</v>
      </c>
      <c r="C31" s="24"/>
      <c r="D31" s="24"/>
      <c r="E31" s="24"/>
      <c r="F31" s="51" t="s">
        <v>210</v>
      </c>
      <c r="G31" s="55" t="n">
        <f aca="false">SUMIFS(PC_MlPrev,PC_Diam,"Ø1000")</f>
        <v>60</v>
      </c>
      <c r="H31" s="55"/>
      <c r="I31" s="55" t="n">
        <f aca="false">SUMIFS(PC_MlPose,PC_Diam,"Ø1000")</f>
        <v>24</v>
      </c>
      <c r="J31" s="55"/>
      <c r="K31" s="53" t="n">
        <f aca="false">IF(N(G31)=0,0,I31/G31)</f>
        <v>0.4</v>
      </c>
      <c r="L31" s="45" t="str">
        <f aca="false">IF(K31&gt;=1,"Terminé",IF(K31&gt;0,"En cours","Non démarré"))</f>
        <v>En cours</v>
      </c>
      <c r="M31" s="45"/>
    </row>
    <row r="32" customFormat="false" ht="15" hidden="false" customHeight="true" outlineLevel="0" collapsed="false">
      <c r="B32" s="24" t="s">
        <v>312</v>
      </c>
      <c r="C32" s="24"/>
      <c r="D32" s="24"/>
      <c r="E32" s="24"/>
      <c r="F32" s="51" t="s">
        <v>142</v>
      </c>
      <c r="G32" s="54" t="n">
        <f aca="false">COUNTIF(DA_Num,"?*")</f>
        <v>3</v>
      </c>
      <c r="H32" s="54"/>
      <c r="I32" s="54" t="n">
        <f aca="false">COUNTIF(DA_Stat,"Terminé")</f>
        <v>1</v>
      </c>
      <c r="J32" s="54"/>
      <c r="K32" s="53" t="n">
        <f aca="false">DA_Glob</f>
        <v>0.409108910891089</v>
      </c>
      <c r="L32" s="45" t="str">
        <f aca="false">IF(K32&gt;=1,"Terminé",IF(K32&gt;0,"En cours","Non démarré"))</f>
        <v>En cours</v>
      </c>
      <c r="M32" s="45"/>
    </row>
    <row r="33" customFormat="false" ht="15" hidden="false" customHeight="true" outlineLevel="0" collapsed="false">
      <c r="B33" s="24" t="s">
        <v>313</v>
      </c>
      <c r="C33" s="24"/>
      <c r="D33" s="24"/>
      <c r="E33" s="24"/>
      <c r="F33" s="51" t="s">
        <v>314</v>
      </c>
      <c r="G33" s="54" t="n">
        <f aca="false">SUM(BT_Pond)</f>
        <v>102000000</v>
      </c>
      <c r="H33" s="54"/>
      <c r="I33" s="54" t="n">
        <f aca="false">SUMPRODUCT(BT_Pond,BT_Av)</f>
        <v>31200000</v>
      </c>
      <c r="J33" s="54"/>
      <c r="K33" s="53" t="n">
        <f aca="false">BT_Glob</f>
        <v>0.305882352941177</v>
      </c>
      <c r="L33" s="45" t="str">
        <f aca="false">IF(K33&gt;=1,"Terminé",IF(K33&gt;0,"En cours","Non démarré"))</f>
        <v>En cours</v>
      </c>
      <c r="M33" s="45"/>
    </row>
    <row r="34" customFormat="false" ht="15" hidden="false" customHeight="true" outlineLevel="0" collapsed="false">
      <c r="B34" s="24" t="s">
        <v>315</v>
      </c>
      <c r="C34" s="24"/>
      <c r="D34" s="24"/>
      <c r="E34" s="24"/>
      <c r="F34" s="51" t="s">
        <v>210</v>
      </c>
      <c r="G34" s="55" t="n">
        <f aca="false">SUM(CL_Pond)</f>
        <v>400</v>
      </c>
      <c r="H34" s="55"/>
      <c r="I34" s="55" t="n">
        <f aca="false">SUM(CL_Ml)</f>
        <v>161.05</v>
      </c>
      <c r="J34" s="55"/>
      <c r="K34" s="53" t="n">
        <f aca="false">CL_Glob</f>
        <v>0.402625</v>
      </c>
      <c r="L34" s="45" t="str">
        <f aca="false">IF(K34&gt;=1,"Terminé",IF(K34&gt;0,"En cours","Non démarré"))</f>
        <v>En cours</v>
      </c>
      <c r="M34" s="45"/>
    </row>
    <row r="35" customFormat="false" ht="15" hidden="false" customHeight="true" outlineLevel="0" collapsed="false">
      <c r="B35" s="24" t="s">
        <v>316</v>
      </c>
      <c r="C35" s="24"/>
      <c r="D35" s="24"/>
      <c r="E35" s="24"/>
      <c r="F35" s="51" t="s">
        <v>240</v>
      </c>
      <c r="G35" s="54" t="n">
        <f aca="false">SUM(CM_Pond)</f>
        <v>17774</v>
      </c>
      <c r="H35" s="54"/>
      <c r="I35" s="54" t="n">
        <f aca="false">SUM(CM_Kg)</f>
        <v>4555.95333333333</v>
      </c>
      <c r="J35" s="54"/>
      <c r="K35" s="53" t="n">
        <f aca="false">CM_Glob</f>
        <v>0.256326844454447</v>
      </c>
      <c r="L35" s="45" t="str">
        <f aca="false">IF(K35&gt;=1,"Terminé",IF(K35&gt;0,"En cours","Non démarré"))</f>
        <v>En cours</v>
      </c>
      <c r="M35" s="45"/>
    </row>
    <row r="36" customFormat="false" ht="15" hidden="false" customHeight="true" outlineLevel="0" collapsed="false">
      <c r="B36" s="24" t="s">
        <v>317</v>
      </c>
      <c r="C36" s="24"/>
      <c r="D36" s="24"/>
      <c r="E36" s="24"/>
      <c r="F36" s="51" t="s">
        <v>142</v>
      </c>
      <c r="G36" s="54" t="n">
        <f aca="false">COUNTIF(CQ_Res,"Conforme")+COUNTIF(CQ_Res,"Non conforme")</f>
        <v>11</v>
      </c>
      <c r="H36" s="54"/>
      <c r="I36" s="54" t="n">
        <f aca="false">COUNTIF(CQ_Res,"Conforme")</f>
        <v>9</v>
      </c>
      <c r="J36" s="54"/>
      <c r="K36" s="53" t="n">
        <f aca="false">IF(N(G36)=0,0,I36/G36)</f>
        <v>0.818181818181818</v>
      </c>
      <c r="L36" s="45" t="str">
        <f aca="false">IF(K36&gt;=1,"Terminé",IF(K36&gt;0,"En cours","Non démarré"))</f>
        <v>En cours</v>
      </c>
      <c r="M36" s="45"/>
    </row>
    <row r="38" customFormat="false" ht="15" hidden="false" customHeight="true" outlineLevel="0" collapsed="false">
      <c r="B38" s="42" t="s">
        <v>318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customFormat="false" ht="22.35" hidden="false" customHeight="true" outlineLevel="0" collapsed="false">
      <c r="B39" s="36" t="s">
        <v>319</v>
      </c>
      <c r="C39" s="36"/>
      <c r="D39" s="36"/>
      <c r="E39" s="36" t="s">
        <v>320</v>
      </c>
      <c r="F39" s="36"/>
      <c r="G39" s="36" t="s">
        <v>321</v>
      </c>
      <c r="H39" s="36"/>
      <c r="I39" s="36" t="s">
        <v>322</v>
      </c>
      <c r="J39" s="36"/>
      <c r="K39" s="36" t="s">
        <v>323</v>
      </c>
      <c r="L39" s="36" t="s">
        <v>324</v>
      </c>
      <c r="M39" s="36" t="s">
        <v>325</v>
      </c>
    </row>
    <row r="40" customFormat="false" ht="15" hidden="false" customHeight="false" outlineLevel="0" collapsed="false">
      <c r="B40" s="10" t="str">
        <f aca="false">IF(INDEX(BU_Lot,1)="","",INDEX(BU_Lot,1))</f>
        <v>L00 Installation &amp; repli</v>
      </c>
      <c r="C40" s="10"/>
      <c r="D40" s="10"/>
      <c r="E40" s="54" t="n">
        <f aca="false">IF($B40="","",INDEX(BU_Budget,1))</f>
        <v>22000000</v>
      </c>
      <c r="F40" s="54"/>
      <c r="G40" s="54" t="n">
        <f aca="false">IF($B40="","",INDEX(BU_Depense,1))</f>
        <v>1570000</v>
      </c>
      <c r="H40" s="54"/>
      <c r="I40" s="54" t="n">
        <f aca="false">IF($B40="","",INDEX(BU_Reste,1))</f>
        <v>20430000</v>
      </c>
      <c r="J40" s="54"/>
      <c r="K40" s="56" t="n">
        <f aca="false">IF($B40="","",INDEX(BU_Conso,1))</f>
        <v>0.0713636363636364</v>
      </c>
      <c r="L40" s="56" t="n">
        <f aca="false">IF($B40="","",INDEX(BU_Avanc,1))</f>
        <v>0.5</v>
      </c>
      <c r="M40" s="57" t="str">
        <f aca="false">IF($B40="","",INDEX(BU_Alerte,1))</f>
        <v>OK</v>
      </c>
    </row>
    <row r="41" customFormat="false" ht="15" hidden="false" customHeight="false" outlineLevel="0" collapsed="false">
      <c r="B41" s="10" t="str">
        <f aca="false">IF(INDEX(BU_Lot,2)="","",INDEX(BU_Lot,2))</f>
        <v>R01 Route – reprofilage lourd</v>
      </c>
      <c r="C41" s="10"/>
      <c r="D41" s="10"/>
      <c r="E41" s="54" t="n">
        <f aca="false">IF($B41="","",INDEX(BU_Budget,2))</f>
        <v>190000000</v>
      </c>
      <c r="F41" s="54"/>
      <c r="G41" s="54" t="n">
        <f aca="false">IF($B41="","",INDEX(BU_Depense,2))</f>
        <v>73588500</v>
      </c>
      <c r="H41" s="54"/>
      <c r="I41" s="54" t="n">
        <f aca="false">IF($B41="","",INDEX(BU_Reste,2))</f>
        <v>116411500</v>
      </c>
      <c r="J41" s="54"/>
      <c r="K41" s="56" t="n">
        <f aca="false">IF($B41="","",INDEX(BU_Conso,2))</f>
        <v>0.387307894736842</v>
      </c>
      <c r="L41" s="56" t="n">
        <f aca="false">IF($B41="","",INDEX(BU_Avanc,2))</f>
        <v>0.401470588235294</v>
      </c>
      <c r="M41" s="57" t="str">
        <f aca="false">IF($B41="","",INDEX(BU_Alerte,2))</f>
        <v>OK</v>
      </c>
    </row>
    <row r="42" customFormat="false" ht="15" hidden="false" customHeight="false" outlineLevel="0" collapsed="false">
      <c r="B42" s="10" t="str">
        <f aca="false">IF(INDEX(BU_Lot,3)="","",INDEX(BU_Lot,3))</f>
        <v>R02 Route – points critiques</v>
      </c>
      <c r="C42" s="10"/>
      <c r="D42" s="10"/>
      <c r="E42" s="54" t="n">
        <f aca="false">IF($B42="","",INDEX(BU_Budget,3))</f>
        <v>55000000</v>
      </c>
      <c r="F42" s="54"/>
      <c r="G42" s="54" t="n">
        <f aca="false">IF($B42="","",INDEX(BU_Depense,3))</f>
        <v>0</v>
      </c>
      <c r="H42" s="54"/>
      <c r="I42" s="54" t="n">
        <f aca="false">IF($B42="","",INDEX(BU_Reste,3))</f>
        <v>55000000</v>
      </c>
      <c r="J42" s="54"/>
      <c r="K42" s="56" t="n">
        <f aca="false">IF($B42="","",INDEX(BU_Conso,3))</f>
        <v>0</v>
      </c>
      <c r="L42" s="56" t="n">
        <f aca="false">IF($B42="","",INDEX(BU_Avanc,3))</f>
        <v>0.5</v>
      </c>
      <c r="M42" s="57" t="str">
        <f aca="false">IF($B42="","",INDEX(BU_Alerte,3))</f>
        <v>OK</v>
      </c>
    </row>
    <row r="43" customFormat="false" ht="15" hidden="false" customHeight="false" outlineLevel="0" collapsed="false">
      <c r="B43" s="10" t="str">
        <f aca="false">IF(INDEX(BU_Lot,4)="","",INDEX(BU_Lot,4))</f>
        <v>R03 Ouvrages – buses Ø800/Ø1000</v>
      </c>
      <c r="C43" s="10"/>
      <c r="D43" s="10"/>
      <c r="E43" s="54" t="n">
        <f aca="false">IF($B43="","",INDEX(BU_Budget,4))</f>
        <v>30000000</v>
      </c>
      <c r="F43" s="54"/>
      <c r="G43" s="54" t="n">
        <f aca="false">IF($B43="","",INDEX(BU_Depense,4))</f>
        <v>4500000</v>
      </c>
      <c r="H43" s="54"/>
      <c r="I43" s="54" t="n">
        <f aca="false">IF($B43="","",INDEX(BU_Reste,4))</f>
        <v>25500000</v>
      </c>
      <c r="J43" s="54"/>
      <c r="K43" s="56" t="n">
        <f aca="false">IF($B43="","",INDEX(BU_Conso,4))</f>
        <v>0.15</v>
      </c>
      <c r="L43" s="56" t="n">
        <f aca="false">IF($B43="","",INDEX(BU_Avanc,4))</f>
        <v>0.26</v>
      </c>
      <c r="M43" s="57" t="str">
        <f aca="false">IF($B43="","",INDEX(BU_Alerte,4))</f>
        <v>OK</v>
      </c>
    </row>
    <row r="44" customFormat="false" ht="15" hidden="false" customHeight="false" outlineLevel="0" collapsed="false">
      <c r="B44" s="10" t="str">
        <f aca="false">IF(INDEX(BU_Lot,5)="","",INDEX(BU_Lot,5))</f>
        <v>R04 Ouvrages – dalots</v>
      </c>
      <c r="C44" s="10"/>
      <c r="D44" s="10"/>
      <c r="E44" s="54" t="n">
        <f aca="false">IF($B44="","",INDEX(BU_Budget,5))</f>
        <v>85000000</v>
      </c>
      <c r="F44" s="54"/>
      <c r="G44" s="54" t="n">
        <f aca="false">IF($B44="","",INDEX(BU_Depense,5))</f>
        <v>16289000</v>
      </c>
      <c r="H44" s="54"/>
      <c r="I44" s="54" t="n">
        <f aca="false">IF($B44="","",INDEX(BU_Reste,5))</f>
        <v>68711000</v>
      </c>
      <c r="J44" s="54"/>
      <c r="K44" s="56" t="n">
        <f aca="false">IF($B44="","",INDEX(BU_Conso,5))</f>
        <v>0.191635294117647</v>
      </c>
      <c r="L44" s="56" t="n">
        <f aca="false">IF($B44="","",INDEX(BU_Avanc,5))</f>
        <v>0.431666666666667</v>
      </c>
      <c r="M44" s="57" t="str">
        <f aca="false">IF($B44="","",INDEX(BU_Alerte,5))</f>
        <v>OK</v>
      </c>
    </row>
    <row r="45" customFormat="false" ht="15" hidden="false" customHeight="false" outlineLevel="0" collapsed="false">
      <c r="B45" s="10" t="str">
        <f aca="false">IF(INDEX(BU_Lot,6)="","",INDEX(BU_Lot,6))</f>
        <v>B01 Bâtiment – gros œuvre</v>
      </c>
      <c r="C45" s="10"/>
      <c r="D45" s="10"/>
      <c r="E45" s="54" t="n">
        <f aca="false">IF($B45="","",INDEX(BU_Budget,6))</f>
        <v>55000000</v>
      </c>
      <c r="F45" s="54"/>
      <c r="G45" s="54" t="n">
        <f aca="false">IF($B45="","",INDEX(BU_Depense,6))</f>
        <v>3271250</v>
      </c>
      <c r="H45" s="54"/>
      <c r="I45" s="54" t="n">
        <f aca="false">IF($B45="","",INDEX(BU_Reste,6))</f>
        <v>51728750</v>
      </c>
      <c r="J45" s="54"/>
      <c r="K45" s="56" t="n">
        <f aca="false">IF($B45="","",INDEX(BU_Conso,6))</f>
        <v>0.0594772727272727</v>
      </c>
      <c r="L45" s="56" t="n">
        <f aca="false">IF($B45="","",INDEX(BU_Avanc,6))</f>
        <v>0.6</v>
      </c>
      <c r="M45" s="57" t="str">
        <f aca="false">IF($B45="","",INDEX(BU_Alerte,6))</f>
        <v>OK</v>
      </c>
    </row>
    <row r="46" customFormat="false" ht="15" hidden="false" customHeight="false" outlineLevel="0" collapsed="false">
      <c r="B46" s="10" t="str">
        <f aca="false">IF(INDEX(BU_Lot,7)="","",INDEX(BU_Lot,7))</f>
        <v>B02 Bâtiment – second œuvre TCE</v>
      </c>
      <c r="C46" s="10"/>
      <c r="D46" s="10"/>
      <c r="E46" s="54" t="n">
        <f aca="false">IF($B46="","",INDEX(BU_Budget,7))</f>
        <v>42000000</v>
      </c>
      <c r="F46" s="54"/>
      <c r="G46" s="54" t="n">
        <f aca="false">IF($B46="","",INDEX(BU_Depense,7))</f>
        <v>0</v>
      </c>
      <c r="H46" s="54"/>
      <c r="I46" s="54" t="n">
        <f aca="false">IF($B46="","",INDEX(BU_Reste,7))</f>
        <v>42000000</v>
      </c>
      <c r="J46" s="54"/>
      <c r="K46" s="56" t="n">
        <f aca="false">IF($B46="","",INDEX(BU_Conso,7))</f>
        <v>0</v>
      </c>
      <c r="L46" s="56" t="n">
        <f aca="false">IF($B46="","",INDEX(BU_Avanc,7))</f>
        <v>0</v>
      </c>
      <c r="M46" s="57" t="str">
        <f aca="false">IF($B46="","",INDEX(BU_Alerte,7))</f>
        <v>OK</v>
      </c>
    </row>
    <row r="47" customFormat="false" ht="15" hidden="false" customHeight="false" outlineLevel="0" collapsed="false">
      <c r="B47" s="10" t="str">
        <f aca="false">IF(INDEX(BU_Lot,8)="","",INDEX(BU_Lot,8))</f>
        <v>C01 Clôture</v>
      </c>
      <c r="C47" s="10"/>
      <c r="D47" s="10"/>
      <c r="E47" s="54" t="n">
        <f aca="false">IF($B47="","",INDEX(BU_Budget,8))</f>
        <v>17000000</v>
      </c>
      <c r="F47" s="54"/>
      <c r="G47" s="54" t="n">
        <f aca="false">IF($B47="","",INDEX(BU_Depense,8))</f>
        <v>0</v>
      </c>
      <c r="H47" s="54"/>
      <c r="I47" s="54" t="n">
        <f aca="false">IF($B47="","",INDEX(BU_Reste,8))</f>
        <v>17000000</v>
      </c>
      <c r="J47" s="54"/>
      <c r="K47" s="56" t="n">
        <f aca="false">IF($B47="","",INDEX(BU_Conso,8))</f>
        <v>0</v>
      </c>
      <c r="L47" s="56" t="n">
        <f aca="false">IF($B47="","",INDEX(BU_Avanc,8))</f>
        <v>0.3375</v>
      </c>
      <c r="M47" s="57" t="str">
        <f aca="false">IF($B47="","",INDEX(BU_Alerte,8))</f>
        <v>OK</v>
      </c>
    </row>
    <row r="48" customFormat="false" ht="15" hidden="false" customHeight="false" outlineLevel="0" collapsed="false">
      <c r="B48" s="10" t="str">
        <f aca="false">IF(INDEX(BU_Lot,9)="","",INDEX(BU_Lot,9))</f>
        <v>M01 Charpente métallique</v>
      </c>
      <c r="C48" s="10"/>
      <c r="D48" s="10"/>
      <c r="E48" s="54" t="n">
        <f aca="false">IF($B48="","",INDEX(BU_Budget,9))</f>
        <v>34000000</v>
      </c>
      <c r="F48" s="54"/>
      <c r="G48" s="54" t="n">
        <f aca="false">IF($B48="","",INDEX(BU_Depense,9))</f>
        <v>10018000</v>
      </c>
      <c r="H48" s="54"/>
      <c r="I48" s="54" t="n">
        <f aca="false">IF($B48="","",INDEX(BU_Reste,9))</f>
        <v>23982000</v>
      </c>
      <c r="J48" s="54"/>
      <c r="K48" s="56" t="n">
        <f aca="false">IF($B48="","",INDEX(BU_Conso,9))</f>
        <v>0.294647058823529</v>
      </c>
      <c r="L48" s="56" t="n">
        <f aca="false">IF($B48="","",INDEX(BU_Avanc,9))</f>
        <v>0.436363636363636</v>
      </c>
      <c r="M48" s="57" t="str">
        <f aca="false">IF($B48="","",INDEX(BU_Alerte,9))</f>
        <v>OK</v>
      </c>
    </row>
    <row r="49" customFormat="false" ht="15" hidden="false" customHeight="false" outlineLevel="0" collapsed="false">
      <c r="B49" s="10" t="str">
        <f aca="false">IF(INDEX(BU_Lot,10)="","",INDEX(BU_Lot,10))</f>
        <v>S01 Contrôle &amp; essais</v>
      </c>
      <c r="C49" s="10"/>
      <c r="D49" s="10"/>
      <c r="E49" s="54" t="n">
        <f aca="false">IF($B49="","",INDEX(BU_Budget,10))</f>
        <v>8000000</v>
      </c>
      <c r="F49" s="54"/>
      <c r="G49" s="54" t="n">
        <f aca="false">IF($B49="","",INDEX(BU_Depense,10))</f>
        <v>2374000</v>
      </c>
      <c r="H49" s="54"/>
      <c r="I49" s="54" t="n">
        <f aca="false">IF($B49="","",INDEX(BU_Reste,10))</f>
        <v>5626000</v>
      </c>
      <c r="J49" s="54"/>
      <c r="K49" s="56" t="n">
        <f aca="false">IF($B49="","",INDEX(BU_Conso,10))</f>
        <v>0.29675</v>
      </c>
      <c r="L49" s="56" t="n">
        <f aca="false">IF($B49="","",INDEX(BU_Avanc,10))</f>
        <v>0.304545454545455</v>
      </c>
      <c r="M49" s="57" t="str">
        <f aca="false">IF($B49="","",INDEX(BU_Alerte,10))</f>
        <v>OK</v>
      </c>
    </row>
    <row r="50" customFormat="false" ht="15" hidden="false" customHeight="false" outlineLevel="0" collapsed="false">
      <c r="B50" s="10" t="str">
        <f aca="false">IF(INDEX(BU_Lot,11)="","",INDEX(BU_Lot,11))</f>
        <v/>
      </c>
      <c r="C50" s="10"/>
      <c r="D50" s="10"/>
      <c r="E50" s="54" t="str">
        <f aca="false">IF($B50="","",INDEX(BU_Budget,11))</f>
        <v/>
      </c>
      <c r="F50" s="54"/>
      <c r="G50" s="54" t="str">
        <f aca="false">IF($B50="","",INDEX(BU_Depense,11))</f>
        <v/>
      </c>
      <c r="H50" s="54"/>
      <c r="I50" s="54" t="str">
        <f aca="false">IF($B50="","",INDEX(BU_Reste,11))</f>
        <v/>
      </c>
      <c r="J50" s="54"/>
      <c r="K50" s="56" t="str">
        <f aca="false">IF($B50="","",INDEX(BU_Conso,11))</f>
        <v/>
      </c>
      <c r="L50" s="56" t="str">
        <f aca="false">IF($B50="","",INDEX(BU_Avanc,11))</f>
        <v/>
      </c>
      <c r="M50" s="57" t="str">
        <f aca="false">IF($B50="","",INDEX(BU_Alerte,11))</f>
        <v/>
      </c>
    </row>
    <row r="51" customFormat="false" ht="15" hidden="false" customHeight="false" outlineLevel="0" collapsed="false">
      <c r="B51" s="10" t="str">
        <f aca="false">IF(INDEX(BU_Lot,12)="","",INDEX(BU_Lot,12))</f>
        <v/>
      </c>
      <c r="C51" s="10"/>
      <c r="D51" s="10"/>
      <c r="E51" s="54" t="str">
        <f aca="false">IF($B51="","",INDEX(BU_Budget,12))</f>
        <v/>
      </c>
      <c r="F51" s="54"/>
      <c r="G51" s="54" t="str">
        <f aca="false">IF($B51="","",INDEX(BU_Depense,12))</f>
        <v/>
      </c>
      <c r="H51" s="54"/>
      <c r="I51" s="54" t="str">
        <f aca="false">IF($B51="","",INDEX(BU_Reste,12))</f>
        <v/>
      </c>
      <c r="J51" s="54"/>
      <c r="K51" s="56" t="str">
        <f aca="false">IF($B51="","",INDEX(BU_Conso,12))</f>
        <v/>
      </c>
      <c r="L51" s="56" t="str">
        <f aca="false">IF($B51="","",INDEX(BU_Avanc,12))</f>
        <v/>
      </c>
      <c r="M51" s="57" t="str">
        <f aca="false">IF($B51="","",INDEX(BU_Alerte,12))</f>
        <v/>
      </c>
    </row>
    <row r="53" customFormat="false" ht="15" hidden="false" customHeight="true" outlineLevel="0" collapsed="false">
      <c r="B53" s="58" t="s">
        <v>326</v>
      </c>
      <c r="C53" s="58"/>
      <c r="D53" s="58"/>
      <c r="E53" s="58"/>
      <c r="F53" s="58"/>
      <c r="G53" s="58"/>
      <c r="H53" s="58" t="s">
        <v>327</v>
      </c>
      <c r="I53" s="58"/>
      <c r="J53" s="58"/>
      <c r="K53" s="58"/>
      <c r="L53" s="58"/>
      <c r="M53" s="58"/>
    </row>
    <row r="54" customFormat="false" ht="15" hidden="false" customHeight="true" outlineLevel="0" collapsed="false">
      <c r="B54" s="36" t="s">
        <v>328</v>
      </c>
      <c r="C54" s="36"/>
      <c r="D54" s="36" t="s">
        <v>329</v>
      </c>
      <c r="E54" s="36"/>
      <c r="F54" s="36"/>
      <c r="G54" s="36" t="s">
        <v>330</v>
      </c>
      <c r="H54" s="36" t="s">
        <v>331</v>
      </c>
      <c r="I54" s="36"/>
      <c r="J54" s="36"/>
      <c r="K54" s="36" t="s">
        <v>332</v>
      </c>
      <c r="L54" s="36" t="s">
        <v>333</v>
      </c>
      <c r="M54" s="36" t="s">
        <v>306</v>
      </c>
    </row>
    <row r="55" customFormat="false" ht="22.35" hidden="false" customHeight="false" outlineLevel="0" collapsed="false">
      <c r="B55" s="59" t="str">
        <f aca="false">IFERROR(INDEX(AF_Equipe,MATCH(1,AF_Rang,0)),"")</f>
        <v>Équipe Route – terrassement</v>
      </c>
      <c r="C55" s="59"/>
      <c r="D55" s="59" t="str">
        <f aca="false">IFERROR(INDEX(AF_Tache,MATCH(1,AF_Rang,0)),"")</f>
        <v>Rechargement latéritique ép. 0,20 m + compactage 95 % OPM</v>
      </c>
      <c r="E55" s="59"/>
      <c r="F55" s="59"/>
      <c r="G55" s="60" t="str">
        <f aca="false">IFERROR(INDEX(AF_Present,MATCH(1,AF_Rang,0))&amp;" / "&amp;INDEX(AF_Prevu,MATCH(1,AF_Rang,0)),"")</f>
        <v>3 / 4</v>
      </c>
      <c r="H55" s="59" t="str">
        <f aca="false">IFERROR(INDEX(ST_Design,MATCH(1,ST_Rang,0)),"")</f>
        <v>Ciment CPJ 42.5 (sac 50 kg)</v>
      </c>
      <c r="I55" s="59"/>
      <c r="J55" s="59"/>
      <c r="K55" s="61" t="n">
        <f aca="false">IFERROR(INDEX(ST_Stock,MATCH(1,ST_Rang,0)),"")</f>
        <v>150</v>
      </c>
      <c r="L55" s="61" t="n">
        <f aca="false">IFERROR(INDEX(ST_Seuil,MATCH(1,ST_Rang,0)),"")</f>
        <v>150</v>
      </c>
      <c r="M55" s="59" t="str">
        <f aca="false">IFERROR(INDEX(ST_Statut,MATCH(1,ST_Rang,0)),"")</f>
        <v>À commander</v>
      </c>
    </row>
    <row r="56" customFormat="false" ht="22.35" hidden="false" customHeight="false" outlineLevel="0" collapsed="false">
      <c r="B56" s="59" t="str">
        <f aca="false">IFERROR(INDEX(AF_Equipe,MATCH(2,AF_Rang,0)),"")</f>
        <v>Équipe OH – ouvrages hydrauliques</v>
      </c>
      <c r="C56" s="59"/>
      <c r="D56" s="59" t="str">
        <f aca="false">IFERROR(INDEX(AF_Tache,MATCH(2,AF_Rang,0)),"")</f>
        <v>Dalot D2 – PK 9+750 – 2×(2,50×2,00)</v>
      </c>
      <c r="E56" s="59"/>
      <c r="F56" s="59"/>
      <c r="G56" s="60" t="str">
        <f aca="false">IFERROR(INDEX(AF_Present,MATCH(2,AF_Rang,0))&amp;" / "&amp;INDEX(AF_Prevu,MATCH(2,AF_Rang,0)),"")</f>
        <v>5 / 5</v>
      </c>
      <c r="H56" s="59" t="str">
        <f aca="false">IFERROR(INDEX(ST_Design,MATCH(2,ST_Rang,0)),"")</f>
        <v>Acier HA8 (barre 12 m)</v>
      </c>
      <c r="I56" s="59"/>
      <c r="J56" s="59"/>
      <c r="K56" s="61" t="n">
        <f aca="false">IFERROR(INDEX(ST_Stock,MATCH(2,ST_Rang,0)),"")</f>
        <v>20</v>
      </c>
      <c r="L56" s="61" t="n">
        <f aca="false">IFERROR(INDEX(ST_Seuil,MATCH(2,ST_Rang,0)),"")</f>
        <v>40</v>
      </c>
      <c r="M56" s="59" t="str">
        <f aca="false">IFERROR(INDEX(ST_Statut,MATCH(2,ST_Rang,0)),"")</f>
        <v>À commander</v>
      </c>
    </row>
    <row r="57" customFormat="false" ht="15" hidden="false" customHeight="false" outlineLevel="0" collapsed="false">
      <c r="B57" s="59" t="str">
        <f aca="false">IFERROR(INDEX(AF_Equipe,MATCH(3,AF_Rang,0)),"")</f>
        <v>Équipe Bâtiment / clôture</v>
      </c>
      <c r="C57" s="59"/>
      <c r="D57" s="59" t="str">
        <f aca="false">IFERROR(INDEX(AF_Tache,MATCH(3,AF_Rang,0)),"")</f>
        <v>Bâtiment : élévation maçonnerie &amp; BA</v>
      </c>
      <c r="E57" s="59"/>
      <c r="F57" s="59"/>
      <c r="G57" s="60" t="str">
        <f aca="false">IFERROR(INDEX(AF_Present,MATCH(3,AF_Rang,0))&amp;" / "&amp;INDEX(AF_Prevu,MATCH(3,AF_Rang,0)),"")</f>
        <v>4 / 4</v>
      </c>
      <c r="H57" s="59" t="str">
        <f aca="false">IFERROR(INDEX(ST_Design,MATCH(3,ST_Rang,0)),"")</f>
        <v>Acier HA12 (barre 12 m)</v>
      </c>
      <c r="I57" s="59"/>
      <c r="J57" s="59"/>
      <c r="K57" s="61" t="n">
        <f aca="false">IFERROR(INDEX(ST_Stock,MATCH(3,ST_Rang,0)),"")</f>
        <v>40</v>
      </c>
      <c r="L57" s="61" t="n">
        <f aca="false">IFERROR(INDEX(ST_Seuil,MATCH(3,ST_Rang,0)),"")</f>
        <v>50</v>
      </c>
      <c r="M57" s="59" t="str">
        <f aca="false">IFERROR(INDEX(ST_Statut,MATCH(3,ST_Rang,0)),"")</f>
        <v>À commander</v>
      </c>
    </row>
    <row r="58" customFormat="false" ht="15" hidden="false" customHeight="false" outlineLevel="0" collapsed="false">
      <c r="B58" s="59" t="str">
        <f aca="false">IFERROR(INDEX(AF_Equipe,MATCH(4,AF_Rang,0)),"")</f>
        <v>Équipe Charpente métallique</v>
      </c>
      <c r="C58" s="59"/>
      <c r="D58" s="59" t="str">
        <f aca="false">IFERROR(INDEX(AF_Tache,MATCH(4,AF_Rang,0)),"")</f>
        <v>Charpente : fabrication atelier &amp; anticorrosion</v>
      </c>
      <c r="E58" s="59"/>
      <c r="F58" s="59"/>
      <c r="G58" s="60" t="str">
        <f aca="false">IFERROR(INDEX(AF_Present,MATCH(4,AF_Rang,0))&amp;" / "&amp;INDEX(AF_Prevu,MATCH(4,AF_Rang,0)),"")</f>
        <v>2 / 2</v>
      </c>
      <c r="H58" s="59" t="str">
        <f aca="false">IFERROR(INDEX(ST_Design,MATCH(4,ST_Rang,0)),"")</f>
        <v>Buse BA Ø800 (élément 1 m)</v>
      </c>
      <c r="I58" s="59"/>
      <c r="J58" s="59"/>
      <c r="K58" s="61" t="n">
        <f aca="false">IFERROR(INDEX(ST_Stock,MATCH(4,ST_Rang,0)),"")</f>
        <v>0</v>
      </c>
      <c r="L58" s="61" t="n">
        <f aca="false">IFERROR(INDEX(ST_Seuil,MATCH(4,ST_Rang,0)),"")</f>
        <v>6</v>
      </c>
      <c r="M58" s="59" t="str">
        <f aca="false">IFERROR(INDEX(ST_Statut,MATCH(4,ST_Rang,0)),"")</f>
        <v>Rupture</v>
      </c>
    </row>
    <row r="59" customFormat="false" ht="15" hidden="false" customHeight="false" outlineLevel="0" collapsed="false">
      <c r="B59" s="59" t="str">
        <f aca="false">IFERROR(INDEX(AF_Equipe,MATCH(5,AF_Rang,0)),"")</f>
        <v>Encadrement</v>
      </c>
      <c r="C59" s="59"/>
      <c r="D59" s="59" t="str">
        <f aca="false">IFERROR(INDEX(AF_Tache,MATCH(5,AF_Rang,0)),"")</f>
        <v>Installation de chantier, base vie, laboratoire</v>
      </c>
      <c r="E59" s="59"/>
      <c r="F59" s="59"/>
      <c r="G59" s="60" t="str">
        <f aca="false">IFERROR(INDEX(AF_Present,MATCH(5,AF_Rang,0))&amp;" / "&amp;INDEX(AF_Prevu,MATCH(5,AF_Rang,0)),"")</f>
        <v>2 / 2</v>
      </c>
      <c r="H59" s="59" t="str">
        <f aca="false">IFERROR(INDEX(ST_Design,MATCH(5,ST_Rang,0)),"")</f>
        <v>Gasoil engins</v>
      </c>
      <c r="I59" s="59"/>
      <c r="J59" s="59"/>
      <c r="K59" s="61" t="n">
        <f aca="false">IFERROR(INDEX(ST_Stock,MATCH(5,ST_Rang,0)),"")</f>
        <v>3500</v>
      </c>
      <c r="L59" s="61" t="n">
        <f aca="false">IFERROR(INDEX(ST_Seuil,MATCH(5,ST_Rang,0)),"")</f>
        <v>5000</v>
      </c>
      <c r="M59" s="59" t="str">
        <f aca="false">IFERROR(INDEX(ST_Statut,MATCH(5,ST_Rang,0)),"")</f>
        <v>À commander</v>
      </c>
    </row>
    <row r="60" customFormat="false" ht="15" hidden="false" customHeight="false" outlineLevel="0" collapsed="false">
      <c r="B60" s="59" t="str">
        <f aca="false">IFERROR(INDEX(AF_Equipe,MATCH(6,AF_Rang,0)),"")</f>
        <v>Labo / contrôle</v>
      </c>
      <c r="C60" s="59"/>
      <c r="D60" s="59" t="str">
        <f aca="false">IFERROR(INDEX(AF_Tache,MATCH(6,AF_Rang,0)),"")</f>
        <v>Contrôles &amp; essais (laboratoire) en continu</v>
      </c>
      <c r="E60" s="59"/>
      <c r="F60" s="59"/>
      <c r="G60" s="60" t="str">
        <f aca="false">IFERROR(INDEX(AF_Present,MATCH(6,AF_Rang,0))&amp;" / "&amp;INDEX(AF_Prevu,MATCH(6,AF_Rang,0)),"")</f>
        <v>1 / 1</v>
      </c>
      <c r="H60" s="59" t="str">
        <f aca="false">IFERROR(INDEX(ST_Design,MATCH(6,ST_Rang,0)),"")</f>
        <v/>
      </c>
      <c r="I60" s="59"/>
      <c r="J60" s="59"/>
      <c r="K60" s="61" t="str">
        <f aca="false">IFERROR(INDEX(ST_Stock,MATCH(6,ST_Rang,0)),"")</f>
        <v/>
      </c>
      <c r="L60" s="61" t="str">
        <f aca="false">IFERROR(INDEX(ST_Seuil,MATCH(6,ST_Rang,0)),"")</f>
        <v/>
      </c>
      <c r="M60" s="59" t="str">
        <f aca="false">IFERROR(INDEX(ST_Statut,MATCH(6,ST_Rang,0)),"")</f>
        <v/>
      </c>
    </row>
    <row r="61" customFormat="false" ht="15" hidden="false" customHeight="false" outlineLevel="0" collapsed="false">
      <c r="B61" s="59" t="str">
        <f aca="false">IFERROR(INDEX(AF_Equipe,MATCH(7,AF_Rang,0)),"")</f>
        <v/>
      </c>
      <c r="C61" s="59"/>
      <c r="D61" s="59" t="str">
        <f aca="false">IFERROR(INDEX(AF_Tache,MATCH(7,AF_Rang,0)),"")</f>
        <v/>
      </c>
      <c r="E61" s="59"/>
      <c r="F61" s="59"/>
      <c r="G61" s="60" t="str">
        <f aca="false">IFERROR(INDEX(AF_Present,MATCH(7,AF_Rang,0))&amp;" / "&amp;INDEX(AF_Prevu,MATCH(7,AF_Rang,0)),"")</f>
        <v/>
      </c>
      <c r="H61" s="59" t="str">
        <f aca="false">IFERROR(INDEX(ST_Design,MATCH(7,ST_Rang,0)),"")</f>
        <v/>
      </c>
      <c r="I61" s="59"/>
      <c r="J61" s="59"/>
      <c r="K61" s="61" t="str">
        <f aca="false">IFERROR(INDEX(ST_Stock,MATCH(7,ST_Rang,0)),"")</f>
        <v/>
      </c>
      <c r="L61" s="61" t="str">
        <f aca="false">IFERROR(INDEX(ST_Seuil,MATCH(7,ST_Rang,0)),"")</f>
        <v/>
      </c>
      <c r="M61" s="59" t="str">
        <f aca="false">IFERROR(INDEX(ST_Statut,MATCH(7,ST_Rang,0)),"")</f>
        <v/>
      </c>
    </row>
    <row r="62" customFormat="false" ht="15" hidden="false" customHeight="false" outlineLevel="0" collapsed="false">
      <c r="B62" s="59" t="str">
        <f aca="false">IFERROR(INDEX(AF_Equipe,MATCH(8,AF_Rang,0)),"")</f>
        <v/>
      </c>
      <c r="C62" s="59"/>
      <c r="D62" s="59" t="str">
        <f aca="false">IFERROR(INDEX(AF_Tache,MATCH(8,AF_Rang,0)),"")</f>
        <v/>
      </c>
      <c r="E62" s="59"/>
      <c r="F62" s="59"/>
      <c r="G62" s="60" t="str">
        <f aca="false">IFERROR(INDEX(AF_Present,MATCH(8,AF_Rang,0))&amp;" / "&amp;INDEX(AF_Prevu,MATCH(8,AF_Rang,0)),"")</f>
        <v/>
      </c>
      <c r="H62" s="59" t="str">
        <f aca="false">IFERROR(INDEX(ST_Design,MATCH(8,ST_Rang,0)),"")</f>
        <v/>
      </c>
      <c r="I62" s="59"/>
      <c r="J62" s="59"/>
      <c r="K62" s="61" t="str">
        <f aca="false">IFERROR(INDEX(ST_Stock,MATCH(8,ST_Rang,0)),"")</f>
        <v/>
      </c>
      <c r="L62" s="61" t="str">
        <f aca="false">IFERROR(INDEX(ST_Seuil,MATCH(8,ST_Rang,0)),"")</f>
        <v/>
      </c>
      <c r="M62" s="59" t="str">
        <f aca="false">IFERROR(INDEX(ST_Statut,MATCH(8,ST_Rang,0)),"")</f>
        <v/>
      </c>
    </row>
    <row r="64" customFormat="false" ht="15" hidden="false" customHeight="true" outlineLevel="0" collapsed="false">
      <c r="B64" s="58" t="s">
        <v>334</v>
      </c>
      <c r="C64" s="58"/>
      <c r="D64" s="58"/>
      <c r="E64" s="58"/>
      <c r="F64" s="58"/>
      <c r="G64" s="58"/>
      <c r="H64" s="58" t="s">
        <v>335</v>
      </c>
      <c r="I64" s="58"/>
      <c r="J64" s="58"/>
      <c r="K64" s="58"/>
      <c r="L64" s="58"/>
      <c r="M64" s="58"/>
    </row>
    <row r="65" customFormat="false" ht="15" hidden="false" customHeight="true" outlineLevel="0" collapsed="false">
      <c r="B65" s="36" t="s">
        <v>336</v>
      </c>
      <c r="C65" s="36"/>
      <c r="D65" s="36" t="s">
        <v>337</v>
      </c>
      <c r="E65" s="36" t="s">
        <v>338</v>
      </c>
      <c r="F65" s="36" t="s">
        <v>339</v>
      </c>
      <c r="G65" s="36" t="s">
        <v>306</v>
      </c>
      <c r="H65" s="36" t="s">
        <v>340</v>
      </c>
      <c r="I65" s="36" t="s">
        <v>331</v>
      </c>
      <c r="J65" s="36"/>
      <c r="K65" s="36" t="s">
        <v>341</v>
      </c>
      <c r="L65" s="36" t="s">
        <v>342</v>
      </c>
      <c r="M65" s="36" t="s">
        <v>306</v>
      </c>
    </row>
    <row r="66" customFormat="false" ht="15" hidden="false" customHeight="false" outlineLevel="0" collapsed="false">
      <c r="B66" s="59" t="str">
        <f aca="false">IFERROR(INDEX(FA_Fourn,MATCH(1,FA_Rang,0)),"")</f>
        <v>Carrière de granite</v>
      </c>
      <c r="C66" s="59"/>
      <c r="D66" s="59" t="str">
        <f aca="false">IFERROR(INDEX(FA_Num,MATCH(1,FA_Rang,0)),"")</f>
        <v>CG-0826</v>
      </c>
      <c r="E66" s="62" t="n">
        <f aca="false">IFERROR(INDEX(FA_Reste,MATCH(1,FA_Rang,0)),"")</f>
        <v>3192000</v>
      </c>
      <c r="F66" s="63" t="n">
        <f aca="false">IFERROR(INDEX(FA_Echeance,MATCH(1,FA_Rang,0)),"")</f>
        <v>46290</v>
      </c>
      <c r="G66" s="59" t="str">
        <f aca="false">IFERROR(INDEX(FA_Statut,MATCH(1,FA_Rang,0)),"")</f>
        <v>En retard</v>
      </c>
      <c r="H66" s="59" t="str">
        <f aca="false">IFERROR(INDEX(BC_Num,MATCH(1,BC_Rang,0)),"")</f>
        <v>BC-008</v>
      </c>
      <c r="I66" s="59" t="str">
        <f aca="false">IFERROR(INDEX(BC_Design,MATCH(1,BC_Rang,0)),"")</f>
        <v>Buse BA Ø1000 (élément 1 m)</v>
      </c>
      <c r="J66" s="59"/>
      <c r="K66" s="61" t="n">
        <f aca="false">IFERROR(INDEX(BC_Reste,MATCH(1,BC_Rang,0)),"")</f>
        <v>24</v>
      </c>
      <c r="L66" s="63" t="n">
        <f aca="false">IFERROR(INDEX(BC_Prevue,MATCH(1,BC_Rang,0)),"")</f>
        <v>46295</v>
      </c>
      <c r="M66" s="59" t="str">
        <f aca="false">IFERROR(INDEX(BC_Statut,MATCH(1,BC_Rang,0)),"")</f>
        <v>En retard</v>
      </c>
    </row>
    <row r="67" customFormat="false" ht="15" hidden="false" customHeight="false" outlineLevel="0" collapsed="false">
      <c r="B67" s="59" t="str">
        <f aca="false">IFERROR(INDEX(FA_Fourn,MATCH(2,FA_Rang,0)),"")</f>
        <v>Dépôt ciment</v>
      </c>
      <c r="C67" s="59"/>
      <c r="D67" s="59" t="str">
        <f aca="false">IFERROR(INDEX(FA_Num,MATCH(2,FA_Rang,0)),"")</f>
        <v>DC-0920</v>
      </c>
      <c r="E67" s="62" t="n">
        <f aca="false">IFERROR(INDEX(FA_Reste,MATCH(2,FA_Rang,0)),"")</f>
        <v>2454400</v>
      </c>
      <c r="F67" s="63" t="n">
        <f aca="false">IFERROR(INDEX(FA_Echeance,MATCH(2,FA_Rang,0)),"")</f>
        <v>46315</v>
      </c>
      <c r="G67" s="59" t="str">
        <f aca="false">IFERROR(INDEX(FA_Statut,MATCH(2,FA_Rang,0)),"")</f>
        <v>À payer &lt; 7j</v>
      </c>
      <c r="H67" s="59" t="str">
        <f aca="false">IFERROR(INDEX(BC_Num,MATCH(2,BC_Rang,0)),"")</f>
        <v>BC-009</v>
      </c>
      <c r="I67" s="59" t="str">
        <f aca="false">IFERROR(INDEX(BC_Design,MATCH(2,BC_Rang,0)),"")</f>
        <v>Buse BA Ø800 (élément 1 m)</v>
      </c>
      <c r="J67" s="59"/>
      <c r="K67" s="61" t="n">
        <f aca="false">IFERROR(INDEX(BC_Reste,MATCH(2,BC_Rang,0)),"")</f>
        <v>36</v>
      </c>
      <c r="L67" s="63" t="n">
        <f aca="false">IFERROR(INDEX(BC_Prevue,MATCH(2,BC_Rang,0)),"")</f>
        <v>46305</v>
      </c>
      <c r="M67" s="59" t="str">
        <f aca="false">IFERROR(INDEX(BC_Statut,MATCH(2,BC_Rang,0)),"")</f>
        <v>En retard</v>
      </c>
    </row>
    <row r="68" customFormat="false" ht="15" hidden="false" customHeight="false" outlineLevel="0" collapsed="false">
      <c r="B68" s="59" t="str">
        <f aca="false">IFERROR(INDEX(FA_Fourn,MATCH(3,FA_Rang,0)),"")</f>
        <v>Location engins</v>
      </c>
      <c r="C68" s="59"/>
      <c r="D68" s="59" t="str">
        <f aca="false">IFERROR(INDEX(FA_Num,MATCH(3,FA_Rang,0)),"")</f>
        <v>LE-0930</v>
      </c>
      <c r="E68" s="62" t="n">
        <f aca="false">IFERROR(INDEX(FA_Reste,MATCH(3,FA_Rang,0)),"")</f>
        <v>18320000</v>
      </c>
      <c r="F68" s="63" t="n">
        <f aca="false">IFERROR(INDEX(FA_Echeance,MATCH(3,FA_Rang,0)),"")</f>
        <v>46325</v>
      </c>
      <c r="G68" s="59" t="str">
        <f aca="false">IFERROR(INDEX(FA_Statut,MATCH(3,FA_Rang,0)),"")</f>
        <v>À payer</v>
      </c>
      <c r="H68" s="59" t="str">
        <f aca="false">IFERROR(INDEX(BC_Num,MATCH(3,BC_Rang,0)),"")</f>
        <v>BC-013</v>
      </c>
      <c r="I68" s="59" t="str">
        <f aca="false">IFERROR(INDEX(BC_Design,MATCH(3,BC_Rang,0)),"")</f>
        <v>Acier HA8 (barre 12 m)</v>
      </c>
      <c r="J68" s="59"/>
      <c r="K68" s="61" t="n">
        <f aca="false">IFERROR(INDEX(BC_Reste,MATCH(3,BC_Rang,0)),"")</f>
        <v>300</v>
      </c>
      <c r="L68" s="63" t="n">
        <f aca="false">IFERROR(INDEX(BC_Prevue,MATCH(3,BC_Rang,0)),"")</f>
        <v>46315</v>
      </c>
      <c r="M68" s="59" t="str">
        <f aca="false">IFERROR(INDEX(BC_Statut,MATCH(3,BC_Rang,0)),"")</f>
        <v>En attente</v>
      </c>
    </row>
    <row r="69" customFormat="false" ht="15" hidden="false" customHeight="false" outlineLevel="0" collapsed="false">
      <c r="B69" s="59" t="str">
        <f aca="false">IFERROR(INDEX(FA_Fourn,MATCH(4,FA_Rang,0)),"")</f>
        <v>Préfabricant buses BA</v>
      </c>
      <c r="C69" s="59"/>
      <c r="D69" s="59" t="str">
        <f aca="false">IFERROR(INDEX(FA_Num,MATCH(4,FA_Rang,0)),"")</f>
        <v>PB-1001</v>
      </c>
      <c r="E69" s="62" t="n">
        <f aca="false">IFERROR(INDEX(FA_Reste,MATCH(4,FA_Rang,0)),"")</f>
        <v>5310000</v>
      </c>
      <c r="F69" s="63" t="n">
        <f aca="false">IFERROR(INDEX(FA_Echeance,MATCH(4,FA_Rang,0)),"")</f>
        <v>46326</v>
      </c>
      <c r="G69" s="59" t="str">
        <f aca="false">IFERROR(INDEX(FA_Statut,MATCH(4,FA_Rang,0)),"")</f>
        <v>À payer</v>
      </c>
      <c r="H69" s="59" t="str">
        <f aca="false">IFERROR(INDEX(BC_Num,MATCH(4,BC_Rang,0)),"")</f>
        <v/>
      </c>
      <c r="I69" s="59" t="str">
        <f aca="false">IFERROR(INDEX(BC_Design,MATCH(4,BC_Rang,0)),"")</f>
        <v/>
      </c>
      <c r="J69" s="59"/>
      <c r="K69" s="61" t="str">
        <f aca="false">IFERROR(INDEX(BC_Reste,MATCH(4,BC_Rang,0)),"")</f>
        <v/>
      </c>
      <c r="L69" s="63" t="str">
        <f aca="false">IFERROR(INDEX(BC_Prevue,MATCH(4,BC_Rang,0)),"")</f>
        <v/>
      </c>
      <c r="M69" s="59" t="str">
        <f aca="false">IFERROR(INDEX(BC_Statut,MATCH(4,BC_Rang,0)),"")</f>
        <v/>
      </c>
    </row>
    <row r="70" customFormat="false" ht="15" hidden="false" customHeight="false" outlineLevel="0" collapsed="false">
      <c r="B70" s="59" t="str">
        <f aca="false">IFERROR(INDEX(FA_Fourn,MATCH(5,FA_Rang,0)),"")</f>
        <v>Atelier charpente métallique</v>
      </c>
      <c r="C70" s="59"/>
      <c r="D70" s="59" t="str">
        <f aca="false">IFERROR(INDEX(FA_Num,MATCH(5,FA_Rang,0)),"")</f>
        <v>AC-1005</v>
      </c>
      <c r="E70" s="62" t="n">
        <f aca="false">IFERROR(INDEX(FA_Reste,MATCH(5,FA_Rang,0)),"")</f>
        <v>11788200</v>
      </c>
      <c r="F70" s="63" t="n">
        <f aca="false">IFERROR(INDEX(FA_Echeance,MATCH(5,FA_Rang,0)),"")</f>
        <v>46315</v>
      </c>
      <c r="G70" s="59" t="str">
        <f aca="false">IFERROR(INDEX(FA_Statut,MATCH(5,FA_Rang,0)),"")</f>
        <v>À payer &lt; 7j</v>
      </c>
      <c r="H70" s="59" t="str">
        <f aca="false">IFERROR(INDEX(BC_Num,MATCH(5,BC_Rang,0)),"")</f>
        <v/>
      </c>
      <c r="I70" s="59" t="str">
        <f aca="false">IFERROR(INDEX(BC_Design,MATCH(5,BC_Rang,0)),"")</f>
        <v/>
      </c>
      <c r="J70" s="59"/>
      <c r="K70" s="61" t="str">
        <f aca="false">IFERROR(INDEX(BC_Reste,MATCH(5,BC_Rang,0)),"")</f>
        <v/>
      </c>
      <c r="L70" s="63" t="str">
        <f aca="false">IFERROR(INDEX(BC_Prevue,MATCH(5,BC_Rang,0)),"")</f>
        <v/>
      </c>
      <c r="M70" s="59" t="str">
        <f aca="false">IFERROR(INDEX(BC_Statut,MATCH(5,BC_Rang,0)),"")</f>
        <v/>
      </c>
    </row>
    <row r="71" customFormat="false" ht="15" hidden="false" customHeight="false" outlineLevel="0" collapsed="false">
      <c r="B71" s="59" t="str">
        <f aca="false">IFERROR(INDEX(FA_Fourn,MATCH(6,FA_Rang,0)),"")</f>
        <v>Laboratoire géotechnique</v>
      </c>
      <c r="C71" s="59"/>
      <c r="D71" s="59" t="str">
        <f aca="false">IFERROR(INDEX(FA_Num,MATCH(6,FA_Rang,0)),"")</f>
        <v>LG-1010</v>
      </c>
      <c r="E71" s="62" t="n">
        <f aca="false">IFERROR(INDEX(FA_Reste,MATCH(6,FA_Rang,0)),"")</f>
        <v>2183000</v>
      </c>
      <c r="F71" s="63" t="n">
        <f aca="false">IFERROR(INDEX(FA_Echeance,MATCH(6,FA_Rang,0)),"")</f>
        <v>46335</v>
      </c>
      <c r="G71" s="59" t="str">
        <f aca="false">IFERROR(INDEX(FA_Statut,MATCH(6,FA_Rang,0)),"")</f>
        <v>À payer</v>
      </c>
      <c r="H71" s="59" t="str">
        <f aca="false">IFERROR(INDEX(BC_Num,MATCH(6,BC_Rang,0)),"")</f>
        <v/>
      </c>
      <c r="I71" s="59" t="str">
        <f aca="false">IFERROR(INDEX(BC_Design,MATCH(6,BC_Rang,0)),"")</f>
        <v/>
      </c>
      <c r="J71" s="59"/>
      <c r="K71" s="61" t="str">
        <f aca="false">IFERROR(INDEX(BC_Reste,MATCH(6,BC_Rang,0)),"")</f>
        <v/>
      </c>
      <c r="L71" s="63" t="str">
        <f aca="false">IFERROR(INDEX(BC_Prevue,MATCH(6,BC_Rang,0)),"")</f>
        <v/>
      </c>
      <c r="M71" s="59" t="str">
        <f aca="false">IFERROR(INDEX(BC_Statut,MATCH(6,BC_Rang,0)),"")</f>
        <v/>
      </c>
    </row>
    <row r="72" customFormat="false" ht="15" hidden="false" customHeight="false" outlineLevel="0" collapsed="false">
      <c r="B72" s="59" t="str">
        <f aca="false">IFERROR(INDEX(FA_Fourn,MATCH(7,FA_Rang,0)),"")</f>
        <v/>
      </c>
      <c r="C72" s="59"/>
      <c r="D72" s="59" t="str">
        <f aca="false">IFERROR(INDEX(FA_Num,MATCH(7,FA_Rang,0)),"")</f>
        <v/>
      </c>
      <c r="E72" s="62" t="str">
        <f aca="false">IFERROR(INDEX(FA_Reste,MATCH(7,FA_Rang,0)),"")</f>
        <v/>
      </c>
      <c r="F72" s="63" t="str">
        <f aca="false">IFERROR(INDEX(FA_Echeance,MATCH(7,FA_Rang,0)),"")</f>
        <v/>
      </c>
      <c r="G72" s="59" t="str">
        <f aca="false">IFERROR(INDEX(FA_Statut,MATCH(7,FA_Rang,0)),"")</f>
        <v/>
      </c>
      <c r="H72" s="59" t="str">
        <f aca="false">IFERROR(INDEX(BC_Num,MATCH(7,BC_Rang,0)),"")</f>
        <v/>
      </c>
      <c r="I72" s="59" t="str">
        <f aca="false">IFERROR(INDEX(BC_Design,MATCH(7,BC_Rang,0)),"")</f>
        <v/>
      </c>
      <c r="J72" s="59"/>
      <c r="K72" s="61" t="str">
        <f aca="false">IFERROR(INDEX(BC_Reste,MATCH(7,BC_Rang,0)),"")</f>
        <v/>
      </c>
      <c r="L72" s="63" t="str">
        <f aca="false">IFERROR(INDEX(BC_Prevue,MATCH(7,BC_Rang,0)),"")</f>
        <v/>
      </c>
      <c r="M72" s="59" t="str">
        <f aca="false">IFERROR(INDEX(BC_Statut,MATCH(7,BC_Rang,0)),"")</f>
        <v/>
      </c>
    </row>
    <row r="73" customFormat="false" ht="15" hidden="false" customHeight="false" outlineLevel="0" collapsed="false">
      <c r="B73" s="59" t="str">
        <f aca="false">IFERROR(INDEX(FA_Fourn,MATCH(8,FA_Rang,0)),"")</f>
        <v/>
      </c>
      <c r="C73" s="59"/>
      <c r="D73" s="59" t="str">
        <f aca="false">IFERROR(INDEX(FA_Num,MATCH(8,FA_Rang,0)),"")</f>
        <v/>
      </c>
      <c r="E73" s="62" t="str">
        <f aca="false">IFERROR(INDEX(FA_Reste,MATCH(8,FA_Rang,0)),"")</f>
        <v/>
      </c>
      <c r="F73" s="63" t="str">
        <f aca="false">IFERROR(INDEX(FA_Echeance,MATCH(8,FA_Rang,0)),"")</f>
        <v/>
      </c>
      <c r="G73" s="59" t="str">
        <f aca="false">IFERROR(INDEX(FA_Statut,MATCH(8,FA_Rang,0)),"")</f>
        <v/>
      </c>
      <c r="H73" s="59" t="str">
        <f aca="false">IFERROR(INDEX(BC_Num,MATCH(8,BC_Rang,0)),"")</f>
        <v/>
      </c>
      <c r="I73" s="59" t="str">
        <f aca="false">IFERROR(INDEX(BC_Design,MATCH(8,BC_Rang,0)),"")</f>
        <v/>
      </c>
      <c r="J73" s="59"/>
      <c r="K73" s="61" t="str">
        <f aca="false">IFERROR(INDEX(BC_Reste,MATCH(8,BC_Rang,0)),"")</f>
        <v/>
      </c>
      <c r="L73" s="63" t="str">
        <f aca="false">IFERROR(INDEX(BC_Prevue,MATCH(8,BC_Rang,0)),"")</f>
        <v/>
      </c>
      <c r="M73" s="59" t="str">
        <f aca="false">IFERROR(INDEX(BC_Statut,MATCH(8,BC_Rang,0)),"")</f>
        <v/>
      </c>
    </row>
  </sheetData>
  <mergeCells count="208">
    <mergeCell ref="A1:M1"/>
    <mergeCell ref="A2:M2"/>
    <mergeCell ref="A3:M3"/>
    <mergeCell ref="A4:M4"/>
    <mergeCell ref="D5:E5"/>
    <mergeCell ref="I5:J5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  <mergeCell ref="B9:C9"/>
    <mergeCell ref="D9:E9"/>
    <mergeCell ref="F9:G9"/>
    <mergeCell ref="H9:I9"/>
    <mergeCell ref="J9:K9"/>
    <mergeCell ref="L9:M9"/>
    <mergeCell ref="B11:M11"/>
    <mergeCell ref="C12:F12"/>
    <mergeCell ref="G12:H12"/>
    <mergeCell ref="I12:L12"/>
    <mergeCell ref="C13:F13"/>
    <mergeCell ref="G13:H13"/>
    <mergeCell ref="I13:L13"/>
    <mergeCell ref="C14:F14"/>
    <mergeCell ref="G14:H14"/>
    <mergeCell ref="I14:L14"/>
    <mergeCell ref="C15:F15"/>
    <mergeCell ref="G15:H15"/>
    <mergeCell ref="I15:L15"/>
    <mergeCell ref="C16:F16"/>
    <mergeCell ref="G16:H16"/>
    <mergeCell ref="I16:L16"/>
    <mergeCell ref="C17:F17"/>
    <mergeCell ref="G17:H17"/>
    <mergeCell ref="I17:L17"/>
    <mergeCell ref="C18:F18"/>
    <mergeCell ref="G18:H18"/>
    <mergeCell ref="I18:L18"/>
    <mergeCell ref="C19:F19"/>
    <mergeCell ref="G19:H19"/>
    <mergeCell ref="I19:L19"/>
    <mergeCell ref="C20:F20"/>
    <mergeCell ref="G20:H20"/>
    <mergeCell ref="I20:L20"/>
    <mergeCell ref="C21:F21"/>
    <mergeCell ref="G21:H21"/>
    <mergeCell ref="I21:L21"/>
    <mergeCell ref="C22:F22"/>
    <mergeCell ref="G22:H22"/>
    <mergeCell ref="I22:L22"/>
    <mergeCell ref="C23:F23"/>
    <mergeCell ref="G23:H23"/>
    <mergeCell ref="I23:L23"/>
    <mergeCell ref="B25:M25"/>
    <mergeCell ref="B26:E26"/>
    <mergeCell ref="G26:H26"/>
    <mergeCell ref="I26:J26"/>
    <mergeCell ref="L26:M26"/>
    <mergeCell ref="B27:E27"/>
    <mergeCell ref="G27:H27"/>
    <mergeCell ref="I27:J27"/>
    <mergeCell ref="L27:M27"/>
    <mergeCell ref="B28:E28"/>
    <mergeCell ref="G28:H28"/>
    <mergeCell ref="I28:J28"/>
    <mergeCell ref="L28:M28"/>
    <mergeCell ref="B29:E29"/>
    <mergeCell ref="G29:H29"/>
    <mergeCell ref="I29:J29"/>
    <mergeCell ref="L29:M29"/>
    <mergeCell ref="B30:E30"/>
    <mergeCell ref="G30:H30"/>
    <mergeCell ref="I30:J30"/>
    <mergeCell ref="L30:M30"/>
    <mergeCell ref="B31:E31"/>
    <mergeCell ref="G31:H31"/>
    <mergeCell ref="I31:J31"/>
    <mergeCell ref="L31:M31"/>
    <mergeCell ref="B32:E32"/>
    <mergeCell ref="G32:H32"/>
    <mergeCell ref="I32:J32"/>
    <mergeCell ref="L32:M32"/>
    <mergeCell ref="B33:E33"/>
    <mergeCell ref="G33:H33"/>
    <mergeCell ref="I33:J33"/>
    <mergeCell ref="L33:M33"/>
    <mergeCell ref="B34:E34"/>
    <mergeCell ref="G34:H34"/>
    <mergeCell ref="I34:J34"/>
    <mergeCell ref="L34:M34"/>
    <mergeCell ref="B35:E35"/>
    <mergeCell ref="G35:H35"/>
    <mergeCell ref="I35:J35"/>
    <mergeCell ref="L35:M35"/>
    <mergeCell ref="B36:E36"/>
    <mergeCell ref="G36:H36"/>
    <mergeCell ref="I36:J36"/>
    <mergeCell ref="L36:M36"/>
    <mergeCell ref="B38:M38"/>
    <mergeCell ref="B39:D39"/>
    <mergeCell ref="E39:F39"/>
    <mergeCell ref="G39:H39"/>
    <mergeCell ref="I39:J39"/>
    <mergeCell ref="B40:D40"/>
    <mergeCell ref="E40:F40"/>
    <mergeCell ref="G40:H40"/>
    <mergeCell ref="I40:J40"/>
    <mergeCell ref="B41:D41"/>
    <mergeCell ref="E41:F41"/>
    <mergeCell ref="G41:H41"/>
    <mergeCell ref="I41:J41"/>
    <mergeCell ref="B42:D42"/>
    <mergeCell ref="E42:F42"/>
    <mergeCell ref="G42:H42"/>
    <mergeCell ref="I42:J42"/>
    <mergeCell ref="B43:D43"/>
    <mergeCell ref="E43:F43"/>
    <mergeCell ref="G43:H43"/>
    <mergeCell ref="I43:J43"/>
    <mergeCell ref="B44:D44"/>
    <mergeCell ref="E44:F44"/>
    <mergeCell ref="G44:H44"/>
    <mergeCell ref="I44:J44"/>
    <mergeCell ref="B45:D45"/>
    <mergeCell ref="E45:F45"/>
    <mergeCell ref="G45:H45"/>
    <mergeCell ref="I45:J45"/>
    <mergeCell ref="B46:D46"/>
    <mergeCell ref="E46:F46"/>
    <mergeCell ref="G46:H46"/>
    <mergeCell ref="I46:J46"/>
    <mergeCell ref="B47:D47"/>
    <mergeCell ref="E47:F47"/>
    <mergeCell ref="G47:H47"/>
    <mergeCell ref="I47:J47"/>
    <mergeCell ref="B48:D48"/>
    <mergeCell ref="E48:F48"/>
    <mergeCell ref="G48:H48"/>
    <mergeCell ref="I48:J48"/>
    <mergeCell ref="B49:D49"/>
    <mergeCell ref="E49:F49"/>
    <mergeCell ref="G49:H49"/>
    <mergeCell ref="I49:J49"/>
    <mergeCell ref="B50:D50"/>
    <mergeCell ref="E50:F50"/>
    <mergeCell ref="G50:H50"/>
    <mergeCell ref="I50:J50"/>
    <mergeCell ref="B51:D51"/>
    <mergeCell ref="E51:F51"/>
    <mergeCell ref="G51:H51"/>
    <mergeCell ref="I51:J51"/>
    <mergeCell ref="B53:G53"/>
    <mergeCell ref="H53:M53"/>
    <mergeCell ref="B54:C54"/>
    <mergeCell ref="D54:F54"/>
    <mergeCell ref="H54:J54"/>
    <mergeCell ref="B55:C55"/>
    <mergeCell ref="D55:F55"/>
    <mergeCell ref="H55:J55"/>
    <mergeCell ref="B56:C56"/>
    <mergeCell ref="D56:F56"/>
    <mergeCell ref="H56:J56"/>
    <mergeCell ref="B57:C57"/>
    <mergeCell ref="D57:F57"/>
    <mergeCell ref="H57:J57"/>
    <mergeCell ref="B58:C58"/>
    <mergeCell ref="D58:F58"/>
    <mergeCell ref="H58:J58"/>
    <mergeCell ref="B59:C59"/>
    <mergeCell ref="D59:F59"/>
    <mergeCell ref="H59:J59"/>
    <mergeCell ref="B60:C60"/>
    <mergeCell ref="D60:F60"/>
    <mergeCell ref="H60:J60"/>
    <mergeCell ref="B61:C61"/>
    <mergeCell ref="D61:F61"/>
    <mergeCell ref="H61:J61"/>
    <mergeCell ref="B62:C62"/>
    <mergeCell ref="D62:F62"/>
    <mergeCell ref="H62:J62"/>
    <mergeCell ref="B64:G64"/>
    <mergeCell ref="H64:M64"/>
    <mergeCell ref="B65:C65"/>
    <mergeCell ref="I65:J65"/>
    <mergeCell ref="B66:C66"/>
    <mergeCell ref="I66:J66"/>
    <mergeCell ref="B67:C67"/>
    <mergeCell ref="I67:J67"/>
    <mergeCell ref="B68:C68"/>
    <mergeCell ref="I68:J68"/>
    <mergeCell ref="B69:C69"/>
    <mergeCell ref="I69:J69"/>
    <mergeCell ref="B70:C70"/>
    <mergeCell ref="I70:J70"/>
    <mergeCell ref="B71:C71"/>
    <mergeCell ref="I71:J71"/>
    <mergeCell ref="B72:C72"/>
    <mergeCell ref="I72:J72"/>
    <mergeCell ref="B73:C73"/>
    <mergeCell ref="I73:J73"/>
  </mergeCells>
  <conditionalFormatting sqref="L8">
    <cfRule type="cellIs" priority="2" operator="lessThan" aboveAverage="0" equalAverage="0" bottom="0" percent="0" rank="0" text="" dxfId="0">
      <formula>0</formula>
    </cfRule>
  </conditionalFormatting>
  <conditionalFormatting sqref="M13:M23">
    <cfRule type="cellIs" priority="3" operator="equal" aboveAverage="0" equalAverage="0" bottom="0" percent="0" rank="0" text="" dxfId="1">
      <formula>"OK"</formula>
    </cfRule>
    <cfRule type="cellIs" priority="4" operator="equal" aboveAverage="0" equalAverage="0" bottom="0" percent="0" rank="0" text="" dxfId="2">
      <formula>"ATTENTION"</formula>
    </cfRule>
    <cfRule type="cellIs" priority="5" operator="equal" aboveAverage="0" equalAverage="0" bottom="0" percent="0" rank="0" text="" dxfId="3">
      <formula>"ALERTE"</formula>
    </cfRule>
  </conditionalFormatting>
  <conditionalFormatting sqref="G13">
    <cfRule type="cellIs" priority="6" operator="equal" aboveAverage="0" equalAverage="0" bottom="0" percent="0" rank="0" text="" dxfId="4">
      <formula>"NON – retard"</formula>
    </cfRule>
  </conditionalFormatting>
  <conditionalFormatting sqref="K27:K36">
    <cfRule type="dataBar" priority="7">
      <dataBar showValue="1" minLength="10" maxLength="90">
        <cfvo type="num" val="0"/>
        <cfvo type="num" val="1"/>
        <color rgb="FF43A047"/>
      </dataBar>
      <extLst>
        <ext xmlns:x14="http://schemas.microsoft.com/office/spreadsheetml/2009/9/main" uri="{B025F937-C7B1-47D3-B67F-A62EFF666E3E}">
          <x14:id>{988770E9-1D70-4098-A915-7F8CB7ED4D60}</x14:id>
        </ext>
      </extLst>
    </cfRule>
  </conditionalFormatting>
  <conditionalFormatting sqref="L27:L36">
    <cfRule type="cellIs" priority="8" operator="equal" aboveAverage="0" equalAverage="0" bottom="0" percent="0" rank="0" text="" dxfId="2">
      <formula>"En cours"</formula>
    </cfRule>
    <cfRule type="cellIs" priority="9" operator="equal" aboveAverage="0" equalAverage="0" bottom="0" percent="0" rank="0" text="" dxfId="1">
      <formula>"Terminé"</formula>
    </cfRule>
    <cfRule type="cellIs" priority="10" operator="equal" aboveAverage="0" equalAverage="0" bottom="0" percent="0" rank="0" text="" dxfId="5">
      <formula>"Non démarré"</formula>
    </cfRule>
  </conditionalFormatting>
  <conditionalFormatting sqref="M40:M51">
    <cfRule type="cellIs" priority="11" operator="equal" aboveAverage="0" equalAverage="0" bottom="0" percent="0" rank="0" text="" dxfId="3">
      <formula>"Dépassement"</formula>
    </cfRule>
    <cfRule type="cellIs" priority="12" operator="equal" aboveAverage="0" equalAverage="0" bottom="0" percent="0" rank="0" text="" dxfId="2">
      <formula>"Surconsommation"</formula>
    </cfRule>
    <cfRule type="cellIs" priority="13" operator="equal" aboveAverage="0" equalAverage="0" bottom="0" percent="0" rank="0" text="" dxfId="1">
      <formula>"OK"</formula>
    </cfRule>
  </conditionalFormatting>
  <conditionalFormatting sqref="M55:M62">
    <cfRule type="cellIs" priority="14" operator="equal" aboveAverage="0" equalAverage="0" bottom="0" percent="0" rank="0" text="" dxfId="3">
      <formula>"Rupture"</formula>
    </cfRule>
    <cfRule type="cellIs" priority="15" operator="equal" aboveAverage="0" equalAverage="0" bottom="0" percent="0" rank="0" text="" dxfId="2">
      <formula>"À commander"</formula>
    </cfRule>
  </conditionalFormatting>
  <conditionalFormatting sqref="G66:G73">
    <cfRule type="cellIs" priority="16" operator="equal" aboveAverage="0" equalAverage="0" bottom="0" percent="0" rank="0" text="" dxfId="3">
      <formula>"En retard"</formula>
    </cfRule>
    <cfRule type="cellIs" priority="17" operator="equal" aboveAverage="0" equalAverage="0" bottom="0" percent="0" rank="0" text="" dxfId="2">
      <formula>"À payer &lt; 7j"</formula>
    </cfRule>
  </conditionalFormatting>
  <conditionalFormatting sqref="M66:M73">
    <cfRule type="cellIs" priority="18" operator="equal" aboveAverage="0" equalAverage="0" bottom="0" percent="0" rank="0" text="" dxfId="3">
      <formula>"En retard"</formula>
    </cfRule>
    <cfRule type="cellIs" priority="19" operator="equal" aboveAverage="0" equalAverage="0" bottom="0" percent="0" rank="0" text="" dxfId="2">
      <formula>"Partielle"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8770E9-1D70-4098-A915-7F8CB7ED4D6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3A047"/>
              <x14:axisColor rgb="FF000000"/>
            </x14:dataBar>
          </x14:cfRule>
          <xm:sqref>K27:K36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AY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10" min="8" style="0" width="9"/>
    <col collapsed="false" customWidth="true" hidden="false" outlineLevel="0" max="11" min="11" style="0" width="12"/>
    <col collapsed="false" customWidth="true" hidden="false" outlineLevel="0" max="51" min="12" style="0" width="4.6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</row>
    <row r="2" customFormat="false" ht="19.5" hidden="false" customHeight="true" outlineLevel="0" collapsed="false">
      <c r="A2" s="20" t="s">
        <v>343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customFormat="false" ht="30" hidden="false" customHeight="true" outlineLevel="0" collapsed="false">
      <c r="A4" s="21" t="s">
        <v>344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</row>
    <row r="5" customFormat="false" ht="15" hidden="false" customHeight="false" outlineLevel="0" collapsed="false">
      <c r="A5" s="64" t="s">
        <v>4</v>
      </c>
      <c r="B5" s="64"/>
      <c r="C5" s="64"/>
      <c r="D5" s="65" t="n">
        <f aca="false">P_DateRef</f>
        <v>46311</v>
      </c>
    </row>
    <row r="6" customFormat="false" ht="15" hidden="false" customHeight="false" outlineLevel="0" collapsed="false">
      <c r="L6" s="66" t="s">
        <v>345</v>
      </c>
      <c r="M6" s="66" t="s">
        <v>346</v>
      </c>
      <c r="N6" s="66" t="s">
        <v>347</v>
      </c>
      <c r="O6" s="66" t="s">
        <v>348</v>
      </c>
      <c r="P6" s="66" t="s">
        <v>349</v>
      </c>
      <c r="Q6" s="66" t="s">
        <v>350</v>
      </c>
      <c r="R6" s="66" t="s">
        <v>351</v>
      </c>
      <c r="S6" s="66" t="s">
        <v>352</v>
      </c>
      <c r="T6" s="66" t="s">
        <v>353</v>
      </c>
      <c r="U6" s="66" t="s">
        <v>354</v>
      </c>
      <c r="V6" s="66" t="s">
        <v>355</v>
      </c>
      <c r="W6" s="66" t="s">
        <v>356</v>
      </c>
      <c r="X6" s="66" t="s">
        <v>357</v>
      </c>
      <c r="Y6" s="66" t="s">
        <v>358</v>
      </c>
      <c r="Z6" s="66" t="s">
        <v>359</v>
      </c>
      <c r="AA6" s="66" t="s">
        <v>360</v>
      </c>
      <c r="AB6" s="66" t="s">
        <v>361</v>
      </c>
      <c r="AC6" s="66" t="s">
        <v>362</v>
      </c>
      <c r="AD6" s="66" t="s">
        <v>363</v>
      </c>
      <c r="AE6" s="66" t="s">
        <v>364</v>
      </c>
      <c r="AF6" s="66" t="s">
        <v>365</v>
      </c>
      <c r="AG6" s="66" t="s">
        <v>366</v>
      </c>
      <c r="AH6" s="66" t="s">
        <v>367</v>
      </c>
      <c r="AI6" s="66" t="s">
        <v>368</v>
      </c>
      <c r="AJ6" s="66" t="s">
        <v>369</v>
      </c>
      <c r="AK6" s="66" t="s">
        <v>370</v>
      </c>
      <c r="AL6" s="66" t="s">
        <v>371</v>
      </c>
      <c r="AM6" s="66" t="s">
        <v>372</v>
      </c>
      <c r="AN6" s="66" t="s">
        <v>373</v>
      </c>
      <c r="AO6" s="66" t="s">
        <v>374</v>
      </c>
      <c r="AP6" s="66" t="s">
        <v>375</v>
      </c>
      <c r="AQ6" s="66" t="s">
        <v>376</v>
      </c>
      <c r="AR6" s="66" t="s">
        <v>377</v>
      </c>
      <c r="AS6" s="66" t="s">
        <v>378</v>
      </c>
      <c r="AT6" s="66" t="s">
        <v>379</v>
      </c>
      <c r="AU6" s="66" t="s">
        <v>380</v>
      </c>
      <c r="AV6" s="66" t="s">
        <v>381</v>
      </c>
      <c r="AW6" s="66" t="s">
        <v>382</v>
      </c>
      <c r="AX6" s="66" t="s">
        <v>383</v>
      </c>
      <c r="AY6" s="66" t="s">
        <v>384</v>
      </c>
    </row>
    <row r="7" customFormat="false" ht="43.5" hidden="false" customHeight="true" outlineLevel="0" collapsed="false">
      <c r="A7" s="23" t="s">
        <v>280</v>
      </c>
      <c r="B7" s="23" t="s">
        <v>319</v>
      </c>
      <c r="C7" s="23" t="s">
        <v>329</v>
      </c>
      <c r="D7" s="23" t="s">
        <v>385</v>
      </c>
      <c r="E7" s="23" t="s">
        <v>386</v>
      </c>
      <c r="F7" s="23" t="s">
        <v>387</v>
      </c>
      <c r="G7" s="23" t="s">
        <v>388</v>
      </c>
      <c r="H7" s="23" t="s">
        <v>389</v>
      </c>
      <c r="I7" s="23" t="s">
        <v>390</v>
      </c>
      <c r="J7" s="23" t="s">
        <v>391</v>
      </c>
      <c r="K7" s="23" t="s">
        <v>306</v>
      </c>
      <c r="L7" s="67" t="n">
        <f aca="false">P_Debut-WEEKDAY(P_Debut,2)+1</f>
        <v>46237</v>
      </c>
      <c r="M7" s="67" t="n">
        <f aca="false">L7+7</f>
        <v>46244</v>
      </c>
      <c r="N7" s="67" t="n">
        <f aca="false">M7+7</f>
        <v>46251</v>
      </c>
      <c r="O7" s="67" t="n">
        <f aca="false">N7+7</f>
        <v>46258</v>
      </c>
      <c r="P7" s="67" t="n">
        <f aca="false">O7+7</f>
        <v>46265</v>
      </c>
      <c r="Q7" s="67" t="n">
        <f aca="false">P7+7</f>
        <v>46272</v>
      </c>
      <c r="R7" s="67" t="n">
        <f aca="false">Q7+7</f>
        <v>46279</v>
      </c>
      <c r="S7" s="67" t="n">
        <f aca="false">R7+7</f>
        <v>46286</v>
      </c>
      <c r="T7" s="67" t="n">
        <f aca="false">S7+7</f>
        <v>46293</v>
      </c>
      <c r="U7" s="67" t="n">
        <f aca="false">T7+7</f>
        <v>46300</v>
      </c>
      <c r="V7" s="67" t="n">
        <f aca="false">U7+7</f>
        <v>46307</v>
      </c>
      <c r="W7" s="67" t="n">
        <f aca="false">V7+7</f>
        <v>46314</v>
      </c>
      <c r="X7" s="67" t="n">
        <f aca="false">W7+7</f>
        <v>46321</v>
      </c>
      <c r="Y7" s="67" t="n">
        <f aca="false">X7+7</f>
        <v>46328</v>
      </c>
      <c r="Z7" s="67" t="n">
        <f aca="false">Y7+7</f>
        <v>46335</v>
      </c>
      <c r="AA7" s="67" t="n">
        <f aca="false">Z7+7</f>
        <v>46342</v>
      </c>
      <c r="AB7" s="67" t="n">
        <f aca="false">AA7+7</f>
        <v>46349</v>
      </c>
      <c r="AC7" s="67" t="n">
        <f aca="false">AB7+7</f>
        <v>46356</v>
      </c>
      <c r="AD7" s="67" t="n">
        <f aca="false">AC7+7</f>
        <v>46363</v>
      </c>
      <c r="AE7" s="67" t="n">
        <f aca="false">AD7+7</f>
        <v>46370</v>
      </c>
      <c r="AF7" s="67" t="n">
        <f aca="false">AE7+7</f>
        <v>46377</v>
      </c>
      <c r="AG7" s="67" t="n">
        <f aca="false">AF7+7</f>
        <v>46384</v>
      </c>
      <c r="AH7" s="67" t="n">
        <f aca="false">AG7+7</f>
        <v>46391</v>
      </c>
      <c r="AI7" s="67" t="n">
        <f aca="false">AH7+7</f>
        <v>46398</v>
      </c>
      <c r="AJ7" s="67" t="n">
        <f aca="false">AI7+7</f>
        <v>46405</v>
      </c>
      <c r="AK7" s="67" t="n">
        <f aca="false">AJ7+7</f>
        <v>46412</v>
      </c>
      <c r="AL7" s="67" t="n">
        <f aca="false">AK7+7</f>
        <v>46419</v>
      </c>
      <c r="AM7" s="67" t="n">
        <f aca="false">AL7+7</f>
        <v>46426</v>
      </c>
      <c r="AN7" s="67" t="n">
        <f aca="false">AM7+7</f>
        <v>46433</v>
      </c>
      <c r="AO7" s="67" t="n">
        <f aca="false">AN7+7</f>
        <v>46440</v>
      </c>
      <c r="AP7" s="67" t="n">
        <f aca="false">AO7+7</f>
        <v>46447</v>
      </c>
      <c r="AQ7" s="67" t="n">
        <f aca="false">AP7+7</f>
        <v>46454</v>
      </c>
      <c r="AR7" s="67" t="n">
        <f aca="false">AQ7+7</f>
        <v>46461</v>
      </c>
      <c r="AS7" s="67" t="n">
        <f aca="false">AR7+7</f>
        <v>46468</v>
      </c>
      <c r="AT7" s="67" t="n">
        <f aca="false">AS7+7</f>
        <v>46475</v>
      </c>
      <c r="AU7" s="67" t="n">
        <f aca="false">AT7+7</f>
        <v>46482</v>
      </c>
      <c r="AV7" s="67" t="n">
        <f aca="false">AU7+7</f>
        <v>46489</v>
      </c>
      <c r="AW7" s="67" t="n">
        <f aca="false">AV7+7</f>
        <v>46496</v>
      </c>
      <c r="AX7" s="67" t="n">
        <f aca="false">AW7+7</f>
        <v>46503</v>
      </c>
      <c r="AY7" s="67" t="n">
        <f aca="false">AX7+7</f>
        <v>46510</v>
      </c>
    </row>
    <row r="8" customFormat="false" ht="15" hidden="false" customHeight="false" outlineLevel="0" collapsed="false">
      <c r="A8" s="68" t="n">
        <v>1</v>
      </c>
      <c r="B8" s="25" t="s">
        <v>130</v>
      </c>
      <c r="C8" s="25" t="s">
        <v>392</v>
      </c>
      <c r="D8" s="25" t="s">
        <v>204</v>
      </c>
      <c r="E8" s="69" t="n">
        <v>46237</v>
      </c>
      <c r="F8" s="70" t="n">
        <v>15</v>
      </c>
      <c r="G8" s="71" t="n">
        <f aca="false">IF(OR(E8="",F8=""),"",E8+F8-1)</f>
        <v>46251</v>
      </c>
      <c r="H8" s="72" t="n">
        <v>1</v>
      </c>
      <c r="I8" s="73" t="n">
        <f aca="false">IF(OR(E8="",F8=""),"",MAX(0,MIN(1,(P_DateRef-E8+1)/F8)))</f>
        <v>1</v>
      </c>
      <c r="J8" s="73" t="n">
        <f aca="false">IF(I8="","",N(H8)-I8)</f>
        <v>0</v>
      </c>
      <c r="K8" s="74" t="str">
        <f aca="false">IF(C8="","",IF(N(H8)&gt;=1,"Terminé",IF(E8="","À planifier",IF(P_DateRef&lt;E8,"À venir",IF(OR(P_DateRef&gt;G8,N(H8)&lt;I8-P_Tol),"En retard","En cours")))))</f>
        <v>Terminé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</row>
    <row r="9" customFormat="false" ht="23.85" hidden="false" customHeight="false" outlineLevel="0" collapsed="false">
      <c r="A9" s="68" t="n">
        <v>2</v>
      </c>
      <c r="B9" s="25" t="s">
        <v>242</v>
      </c>
      <c r="C9" s="25" t="s">
        <v>393</v>
      </c>
      <c r="D9" s="25" t="s">
        <v>216</v>
      </c>
      <c r="E9" s="69" t="n">
        <v>46239</v>
      </c>
      <c r="F9" s="70" t="n">
        <v>20</v>
      </c>
      <c r="G9" s="71" t="n">
        <f aca="false">IF(OR(E9="",F9=""),"",E9+F9-1)</f>
        <v>46258</v>
      </c>
      <c r="H9" s="72" t="n">
        <v>1</v>
      </c>
      <c r="I9" s="73" t="n">
        <f aca="false">IF(OR(E9="",F9=""),"",MAX(0,MIN(1,(P_DateRef-E9+1)/F9)))</f>
        <v>1</v>
      </c>
      <c r="J9" s="73" t="n">
        <f aca="false">IF(I9="","",N(H9)-I9)</f>
        <v>0</v>
      </c>
      <c r="K9" s="74" t="str">
        <f aca="false">IF(C9="","",IF(N(H9)&gt;=1,"Terminé",IF(E9="","À planifier",IF(P_DateRef&lt;E9,"À venir",IF(OR(P_DateRef&gt;G9,N(H9)&lt;I9-P_Tol),"En retard","En cours")))))</f>
        <v>Terminé</v>
      </c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</row>
    <row r="10" customFormat="false" ht="23.85" hidden="false" customHeight="false" outlineLevel="0" collapsed="false">
      <c r="A10" s="68" t="n">
        <v>3</v>
      </c>
      <c r="B10" s="25" t="s">
        <v>151</v>
      </c>
      <c r="C10" s="25" t="s">
        <v>394</v>
      </c>
      <c r="D10" s="25" t="s">
        <v>131</v>
      </c>
      <c r="E10" s="69" t="n">
        <v>46251</v>
      </c>
      <c r="F10" s="70" t="n">
        <v>60</v>
      </c>
      <c r="G10" s="71" t="n">
        <f aca="false">IF(OR(E10="",F10=""),"",E10+F10-1)</f>
        <v>46310</v>
      </c>
      <c r="H10" s="72" t="n">
        <v>0.95</v>
      </c>
      <c r="I10" s="73" t="n">
        <f aca="false">IF(OR(E10="",F10=""),"",MAX(0,MIN(1,(P_DateRef-E10+1)/F10)))</f>
        <v>1</v>
      </c>
      <c r="J10" s="73" t="n">
        <f aca="false">IF(I10="","",N(H10)-I10)</f>
        <v>-0.05</v>
      </c>
      <c r="K10" s="74" t="str">
        <f aca="false">IF(C10="","",IF(N(H10)&gt;=1,"Terminé",IF(E10="","À planifier",IF(P_DateRef&lt;E10,"À venir",IF(OR(P_DateRef&gt;G10,N(H10)&lt;I10-P_Tol),"En retard","En cours")))))</f>
        <v>En retard</v>
      </c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</row>
    <row r="11" customFormat="false" ht="23.85" hidden="false" customHeight="false" outlineLevel="0" collapsed="false">
      <c r="A11" s="68" t="n">
        <v>4</v>
      </c>
      <c r="B11" s="25" t="s">
        <v>151</v>
      </c>
      <c r="C11" s="25" t="s">
        <v>395</v>
      </c>
      <c r="D11" s="25" t="s">
        <v>131</v>
      </c>
      <c r="E11" s="69" t="n">
        <v>46266</v>
      </c>
      <c r="F11" s="70" t="n">
        <v>90</v>
      </c>
      <c r="G11" s="71" t="n">
        <f aca="false">IF(OR(E11="",F11=""),"",E11+F11-1)</f>
        <v>46355</v>
      </c>
      <c r="H11" s="72" t="n">
        <v>0.45</v>
      </c>
      <c r="I11" s="73" t="n">
        <f aca="false">IF(OR(E11="",F11=""),"",MAX(0,MIN(1,(P_DateRef-E11+1)/F11)))</f>
        <v>0.511111111111111</v>
      </c>
      <c r="J11" s="73" t="n">
        <f aca="false">IF(I11="","",N(H11)-I11)</f>
        <v>-0.0611111111111111</v>
      </c>
      <c r="K11" s="74" t="str">
        <f aca="false">IF(C11="","",IF(N(H11)&gt;=1,"Terminé",IF(E11="","À planifier",IF(P_DateRef&lt;E11,"À venir",IF(OR(P_DateRef&gt;G11,N(H11)&lt;I11-P_Tol),"En retard","En cours")))))</f>
        <v>En cours</v>
      </c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</row>
    <row r="12" customFormat="false" ht="23.85" hidden="false" customHeight="false" outlineLevel="0" collapsed="false">
      <c r="A12" s="68" t="n">
        <v>5</v>
      </c>
      <c r="B12" s="25" t="s">
        <v>151</v>
      </c>
      <c r="C12" s="25" t="s">
        <v>396</v>
      </c>
      <c r="D12" s="25" t="s">
        <v>131</v>
      </c>
      <c r="E12" s="69" t="n">
        <v>46280</v>
      </c>
      <c r="F12" s="70" t="n">
        <v>100</v>
      </c>
      <c r="G12" s="71" t="n">
        <f aca="false">IF(OR(E12="",F12=""),"",E12+F12-1)</f>
        <v>46379</v>
      </c>
      <c r="H12" s="72" t="n">
        <v>0.3</v>
      </c>
      <c r="I12" s="73" t="n">
        <f aca="false">IF(OR(E12="",F12=""),"",MAX(0,MIN(1,(P_DateRef-E12+1)/F12)))</f>
        <v>0.32</v>
      </c>
      <c r="J12" s="73" t="n">
        <f aca="false">IF(I12="","",N(H12)-I12)</f>
        <v>-0.02</v>
      </c>
      <c r="K12" s="74" t="str">
        <f aca="false">IF(C12="","",IF(N(H12)&gt;=1,"Terminé",IF(E12="","À planifier",IF(P_DateRef&lt;E12,"À venir",IF(OR(P_DateRef&gt;G12,N(H12)&lt;I12-P_Tol),"En retard","En cours")))))</f>
        <v>En cours</v>
      </c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</row>
    <row r="13" customFormat="false" ht="23.85" hidden="false" customHeight="false" outlineLevel="0" collapsed="false">
      <c r="A13" s="68" t="n">
        <v>6</v>
      </c>
      <c r="B13" s="25" t="s">
        <v>151</v>
      </c>
      <c r="C13" s="25" t="s">
        <v>397</v>
      </c>
      <c r="D13" s="25" t="s">
        <v>131</v>
      </c>
      <c r="E13" s="69" t="n">
        <v>46296</v>
      </c>
      <c r="F13" s="70" t="n">
        <v>90</v>
      </c>
      <c r="G13" s="71" t="n">
        <f aca="false">IF(OR(E13="",F13=""),"",E13+F13-1)</f>
        <v>46385</v>
      </c>
      <c r="H13" s="72" t="n">
        <v>0.1</v>
      </c>
      <c r="I13" s="73" t="n">
        <f aca="false">IF(OR(E13="",F13=""),"",MAX(0,MIN(1,(P_DateRef-E13+1)/F13)))</f>
        <v>0.177777777777778</v>
      </c>
      <c r="J13" s="73" t="n">
        <f aca="false">IF(I13="","",N(H13)-I13)</f>
        <v>-0.0777777777777778</v>
      </c>
      <c r="K13" s="74" t="str">
        <f aca="false">IF(C13="","",IF(N(H13)&gt;=1,"Terminé",IF(E13="","À planifier",IF(P_DateRef&lt;E13,"À venir",IF(OR(P_DateRef&gt;G13,N(H13)&lt;I13-P_Tol),"En retard","En cours")))))</f>
        <v>En cours</v>
      </c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</row>
    <row r="14" customFormat="false" ht="23.85" hidden="false" customHeight="false" outlineLevel="0" collapsed="false">
      <c r="A14" s="68" t="n">
        <v>7</v>
      </c>
      <c r="B14" s="25" t="s">
        <v>173</v>
      </c>
      <c r="C14" s="25" t="s">
        <v>398</v>
      </c>
      <c r="D14" s="25" t="s">
        <v>131</v>
      </c>
      <c r="E14" s="69" t="n">
        <v>46266</v>
      </c>
      <c r="F14" s="70" t="n">
        <v>60</v>
      </c>
      <c r="G14" s="71" t="n">
        <f aca="false">IF(OR(E14="",F14=""),"",E14+F14-1)</f>
        <v>46325</v>
      </c>
      <c r="H14" s="72" t="n">
        <v>0.5</v>
      </c>
      <c r="I14" s="73" t="n">
        <f aca="false">IF(OR(E14="",F14=""),"",MAX(0,MIN(1,(P_DateRef-E14+1)/F14)))</f>
        <v>0.766666666666667</v>
      </c>
      <c r="J14" s="73" t="n">
        <f aca="false">IF(I14="","",N(H14)-I14)</f>
        <v>-0.266666666666667</v>
      </c>
      <c r="K14" s="74" t="str">
        <f aca="false">IF(C14="","",IF(N(H14)&gt;=1,"Terminé",IF(E14="","À planifier",IF(P_DateRef&lt;E14,"À venir",IF(OR(P_DateRef&gt;G14,N(H14)&lt;I14-P_Tol),"En retard","En cours")))))</f>
        <v>En retard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</row>
    <row r="15" customFormat="false" ht="23.85" hidden="false" customHeight="false" outlineLevel="0" collapsed="false">
      <c r="A15" s="68" t="n">
        <v>8</v>
      </c>
      <c r="B15" s="25" t="s">
        <v>191</v>
      </c>
      <c r="C15" s="25" t="s">
        <v>399</v>
      </c>
      <c r="D15" s="25" t="s">
        <v>152</v>
      </c>
      <c r="E15" s="69" t="n">
        <v>46286</v>
      </c>
      <c r="F15" s="70" t="n">
        <v>45</v>
      </c>
      <c r="G15" s="71" t="n">
        <f aca="false">IF(OR(E15="",F15=""),"",E15+F15-1)</f>
        <v>46330</v>
      </c>
      <c r="H15" s="72" t="n">
        <v>0.5</v>
      </c>
      <c r="I15" s="73" t="n">
        <f aca="false">IF(OR(E15="",F15=""),"",MAX(0,MIN(1,(P_DateRef-E15+1)/F15)))</f>
        <v>0.577777777777778</v>
      </c>
      <c r="J15" s="73" t="n">
        <f aca="false">IF(I15="","",N(H15)-I15)</f>
        <v>-0.0777777777777777</v>
      </c>
      <c r="K15" s="74" t="str">
        <f aca="false">IF(C15="","",IF(N(H15)&gt;=1,"Terminé",IF(E15="","À planifier",IF(P_DateRef&lt;E15,"À venir",IF(OR(P_DateRef&gt;G15,N(H15)&lt;I15-P_Tol),"En retard","En cours")))))</f>
        <v>En cours</v>
      </c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</row>
    <row r="16" customFormat="false" ht="23.85" hidden="false" customHeight="false" outlineLevel="0" collapsed="false">
      <c r="A16" s="68" t="n">
        <v>9</v>
      </c>
      <c r="B16" s="25" t="s">
        <v>191</v>
      </c>
      <c r="C16" s="25" t="s">
        <v>400</v>
      </c>
      <c r="D16" s="25" t="s">
        <v>152</v>
      </c>
      <c r="E16" s="69" t="n">
        <v>46300</v>
      </c>
      <c r="F16" s="70" t="n">
        <v>40</v>
      </c>
      <c r="G16" s="71" t="n">
        <f aca="false">IF(OR(E16="",F16=""),"",E16+F16-1)</f>
        <v>46339</v>
      </c>
      <c r="H16" s="72" t="n">
        <v>0.25</v>
      </c>
      <c r="I16" s="73" t="n">
        <f aca="false">IF(OR(E16="",F16=""),"",MAX(0,MIN(1,(P_DateRef-E16+1)/F16)))</f>
        <v>0.3</v>
      </c>
      <c r="J16" s="73" t="n">
        <f aca="false">IF(I16="","",N(H16)-I16)</f>
        <v>-0.05</v>
      </c>
      <c r="K16" s="74" t="str">
        <f aca="false">IF(C16="","",IF(N(H16)&gt;=1,"Terminé",IF(E16="","À planifier",IF(P_DateRef&lt;E16,"À venir",IF(OR(P_DateRef&gt;G16,N(H16)&lt;I16-P_Tol),"En retard","En cours")))))</f>
        <v>En cours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</row>
    <row r="17" customFormat="false" ht="23.85" hidden="false" customHeight="false" outlineLevel="0" collapsed="false">
      <c r="A17" s="68" t="n">
        <v>10</v>
      </c>
      <c r="B17" s="25" t="s">
        <v>191</v>
      </c>
      <c r="C17" s="25" t="s">
        <v>401</v>
      </c>
      <c r="D17" s="25" t="s">
        <v>152</v>
      </c>
      <c r="E17" s="69" t="n">
        <v>46328</v>
      </c>
      <c r="F17" s="70" t="n">
        <v>40</v>
      </c>
      <c r="G17" s="71" t="n">
        <f aca="false">IF(OR(E17="",F17=""),"",E17+F17-1)</f>
        <v>46367</v>
      </c>
      <c r="H17" s="72" t="n">
        <v>0</v>
      </c>
      <c r="I17" s="73" t="n">
        <f aca="false">IF(OR(E17="",F17=""),"",MAX(0,MIN(1,(P_DateRef-E17+1)/F17)))</f>
        <v>0</v>
      </c>
      <c r="J17" s="73" t="n">
        <f aca="false">IF(I17="","",N(H17)-I17)</f>
        <v>0</v>
      </c>
      <c r="K17" s="74" t="str">
        <f aca="false">IF(C17="","",IF(N(H17)&gt;=1,"Terminé",IF(E17="","À planifier",IF(P_DateRef&lt;E17,"À venir",IF(OR(P_DateRef&gt;G17,N(H17)&lt;I17-P_Tol),"En retard","En cours")))))</f>
        <v>À venir</v>
      </c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</row>
    <row r="18" customFormat="false" ht="23.85" hidden="false" customHeight="false" outlineLevel="0" collapsed="false">
      <c r="A18" s="68" t="n">
        <v>11</v>
      </c>
      <c r="B18" s="25" t="s">
        <v>203</v>
      </c>
      <c r="C18" s="25" t="s">
        <v>402</v>
      </c>
      <c r="D18" s="25" t="s">
        <v>152</v>
      </c>
      <c r="E18" s="69" t="n">
        <v>46258</v>
      </c>
      <c r="F18" s="70" t="n">
        <v>40</v>
      </c>
      <c r="G18" s="71" t="n">
        <f aca="false">IF(OR(E18="",F18=""),"",E18+F18-1)</f>
        <v>46297</v>
      </c>
      <c r="H18" s="72" t="n">
        <v>1</v>
      </c>
      <c r="I18" s="73" t="n">
        <f aca="false">IF(OR(E18="",F18=""),"",MAX(0,MIN(1,(P_DateRef-E18+1)/F18)))</f>
        <v>1</v>
      </c>
      <c r="J18" s="73" t="n">
        <f aca="false">IF(I18="","",N(H18)-I18)</f>
        <v>0</v>
      </c>
      <c r="K18" s="74" t="str">
        <f aca="false">IF(C18="","",IF(N(H18)&gt;=1,"Terminé",IF(E18="","À planifier",IF(P_DateRef&lt;E18,"À venir",IF(OR(P_DateRef&gt;G18,N(H18)&lt;I18-P_Tol),"En retard","En cours")))))</f>
        <v>Terminé</v>
      </c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</row>
    <row r="19" customFormat="false" ht="23.85" hidden="false" customHeight="false" outlineLevel="0" collapsed="false">
      <c r="A19" s="68" t="n">
        <v>12</v>
      </c>
      <c r="B19" s="25" t="s">
        <v>203</v>
      </c>
      <c r="C19" s="25" t="s">
        <v>403</v>
      </c>
      <c r="D19" s="25" t="s">
        <v>152</v>
      </c>
      <c r="E19" s="69" t="n">
        <v>46286</v>
      </c>
      <c r="F19" s="70" t="n">
        <v>55</v>
      </c>
      <c r="G19" s="71" t="n">
        <f aca="false">IF(OR(E19="",F19=""),"",E19+F19-1)</f>
        <v>46340</v>
      </c>
      <c r="H19" s="72" t="n">
        <v>0.45</v>
      </c>
      <c r="I19" s="73" t="n">
        <f aca="false">IF(OR(E19="",F19=""),"",MAX(0,MIN(1,(P_DateRef-E19+1)/F19)))</f>
        <v>0.472727272727273</v>
      </c>
      <c r="J19" s="73" t="n">
        <f aca="false">IF(I19="","",N(H19)-I19)</f>
        <v>-0.0227272727272727</v>
      </c>
      <c r="K19" s="74" t="str">
        <f aca="false">IF(C19="","",IF(N(H19)&gt;=1,"Terminé",IF(E19="","À planifier",IF(P_DateRef&lt;E19,"À venir",IF(OR(P_DateRef&gt;G19,N(H19)&lt;I19-P_Tol),"En retard","En cours")))))</f>
        <v>En cours</v>
      </c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</row>
    <row r="20" customFormat="false" ht="23.85" hidden="false" customHeight="false" outlineLevel="0" collapsed="false">
      <c r="A20" s="68" t="n">
        <v>13</v>
      </c>
      <c r="B20" s="25" t="s">
        <v>203</v>
      </c>
      <c r="C20" s="25" t="s">
        <v>404</v>
      </c>
      <c r="D20" s="25" t="s">
        <v>152</v>
      </c>
      <c r="E20" s="69" t="n">
        <v>46342</v>
      </c>
      <c r="F20" s="70" t="n">
        <v>55</v>
      </c>
      <c r="G20" s="71" t="n">
        <f aca="false">IF(OR(E20="",F20=""),"",E20+F20-1)</f>
        <v>46396</v>
      </c>
      <c r="H20" s="72" t="n">
        <v>0</v>
      </c>
      <c r="I20" s="73" t="n">
        <f aca="false">IF(OR(E20="",F20=""),"",MAX(0,MIN(1,(P_DateRef-E20+1)/F20)))</f>
        <v>0</v>
      </c>
      <c r="J20" s="73" t="n">
        <f aca="false">IF(I20="","",N(H20)-I20)</f>
        <v>0</v>
      </c>
      <c r="K20" s="74" t="str">
        <f aca="false">IF(C20="","",IF(N(H20)&gt;=1,"Terminé",IF(E20="","À planifier",IF(P_DateRef&lt;E20,"À venir",IF(OR(P_DateRef&gt;G20,N(H20)&lt;I20-P_Tol),"En retard","En cours")))))</f>
        <v>À venir</v>
      </c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</row>
    <row r="21" customFormat="false" ht="23.85" hidden="false" customHeight="false" outlineLevel="0" collapsed="false">
      <c r="A21" s="68" t="n">
        <v>14</v>
      </c>
      <c r="B21" s="25" t="s">
        <v>215</v>
      </c>
      <c r="C21" s="25" t="s">
        <v>405</v>
      </c>
      <c r="D21" s="25" t="s">
        <v>174</v>
      </c>
      <c r="E21" s="69" t="n">
        <v>46258</v>
      </c>
      <c r="F21" s="70" t="n">
        <v>30</v>
      </c>
      <c r="G21" s="71" t="n">
        <f aca="false">IF(OR(E21="",F21=""),"",E21+F21-1)</f>
        <v>46287</v>
      </c>
      <c r="H21" s="72" t="n">
        <v>1</v>
      </c>
      <c r="I21" s="73" t="n">
        <f aca="false">IF(OR(E21="",F21=""),"",MAX(0,MIN(1,(P_DateRef-E21+1)/F21)))</f>
        <v>1</v>
      </c>
      <c r="J21" s="73" t="n">
        <f aca="false">IF(I21="","",N(H21)-I21)</f>
        <v>0</v>
      </c>
      <c r="K21" s="74" t="str">
        <f aca="false">IF(C21="","",IF(N(H21)&gt;=1,"Terminé",IF(E21="","À planifier",IF(P_DateRef&lt;E21,"À venir",IF(OR(P_DateRef&gt;G21,N(H21)&lt;I21-P_Tol),"En retard","En cours")))))</f>
        <v>Terminé</v>
      </c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</row>
    <row r="22" customFormat="false" ht="23.85" hidden="false" customHeight="false" outlineLevel="0" collapsed="false">
      <c r="A22" s="68" t="n">
        <v>15</v>
      </c>
      <c r="B22" s="25" t="s">
        <v>215</v>
      </c>
      <c r="C22" s="25" t="s">
        <v>406</v>
      </c>
      <c r="D22" s="25" t="s">
        <v>174</v>
      </c>
      <c r="E22" s="69" t="n">
        <v>46288</v>
      </c>
      <c r="F22" s="70" t="n">
        <v>35</v>
      </c>
      <c r="G22" s="71" t="n">
        <f aca="false">IF(OR(E22="",F22=""),"",E22+F22-1)</f>
        <v>46322</v>
      </c>
      <c r="H22" s="72" t="n">
        <v>0.6</v>
      </c>
      <c r="I22" s="73" t="n">
        <f aca="false">IF(OR(E22="",F22=""),"",MAX(0,MIN(1,(P_DateRef-E22+1)/F22)))</f>
        <v>0.685714285714286</v>
      </c>
      <c r="J22" s="73" t="n">
        <f aca="false">IF(I22="","",N(H22)-I22)</f>
        <v>-0.0857142857142857</v>
      </c>
      <c r="K22" s="74" t="str">
        <f aca="false">IF(C22="","",IF(N(H22)&gt;=1,"Terminé",IF(E22="","À planifier",IF(P_DateRef&lt;E22,"À venir",IF(OR(P_DateRef&gt;G22,N(H22)&lt;I22-P_Tol),"En retard","En cours")))))</f>
        <v>En cours</v>
      </c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</row>
    <row r="23" customFormat="false" ht="23.85" hidden="false" customHeight="false" outlineLevel="0" collapsed="false">
      <c r="A23" s="68" t="n">
        <v>16</v>
      </c>
      <c r="B23" s="25" t="s">
        <v>215</v>
      </c>
      <c r="C23" s="25" t="s">
        <v>407</v>
      </c>
      <c r="D23" s="25" t="s">
        <v>174</v>
      </c>
      <c r="E23" s="69" t="n">
        <v>46323</v>
      </c>
      <c r="F23" s="70" t="n">
        <v>20</v>
      </c>
      <c r="G23" s="71" t="n">
        <f aca="false">IF(OR(E23="",F23=""),"",E23+F23-1)</f>
        <v>46342</v>
      </c>
      <c r="H23" s="72" t="n">
        <v>0</v>
      </c>
      <c r="I23" s="73" t="n">
        <f aca="false">IF(OR(E23="",F23=""),"",MAX(0,MIN(1,(P_DateRef-E23+1)/F23)))</f>
        <v>0</v>
      </c>
      <c r="J23" s="73" t="n">
        <f aca="false">IF(I23="","",N(H23)-I23)</f>
        <v>0</v>
      </c>
      <c r="K23" s="74" t="str">
        <f aca="false">IF(C23="","",IF(N(H23)&gt;=1,"Terminé",IF(E23="","À planifier",IF(P_DateRef&lt;E23,"À venir",IF(OR(P_DateRef&gt;G23,N(H23)&lt;I23-P_Tol),"En retard","En cours")))))</f>
        <v>À venir</v>
      </c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</row>
    <row r="24" customFormat="false" ht="23.85" hidden="false" customHeight="false" outlineLevel="0" collapsed="false">
      <c r="A24" s="68" t="n">
        <v>17</v>
      </c>
      <c r="B24" s="25" t="s">
        <v>226</v>
      </c>
      <c r="C24" s="25" t="s">
        <v>408</v>
      </c>
      <c r="D24" s="25" t="s">
        <v>183</v>
      </c>
      <c r="E24" s="69" t="n">
        <v>46346</v>
      </c>
      <c r="F24" s="70" t="n">
        <v>25</v>
      </c>
      <c r="G24" s="71" t="n">
        <f aca="false">IF(OR(E24="",F24=""),"",E24+F24-1)</f>
        <v>46370</v>
      </c>
      <c r="H24" s="72" t="n">
        <v>0</v>
      </c>
      <c r="I24" s="73" t="n">
        <f aca="false">IF(OR(E24="",F24=""),"",MAX(0,MIN(1,(P_DateRef-E24+1)/F24)))</f>
        <v>0</v>
      </c>
      <c r="J24" s="73" t="n">
        <f aca="false">IF(I24="","",N(H24)-I24)</f>
        <v>0</v>
      </c>
      <c r="K24" s="74" t="str">
        <f aca="false">IF(C24="","",IF(N(H24)&gt;=1,"Terminé",IF(E24="","À planifier",IF(P_DateRef&lt;E24,"À venir",IF(OR(P_DateRef&gt;G24,N(H24)&lt;I24-P_Tol),"En retard","En cours")))))</f>
        <v>À venir</v>
      </c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</row>
    <row r="25" customFormat="false" ht="23.85" hidden="false" customHeight="false" outlineLevel="0" collapsed="false">
      <c r="A25" s="68" t="n">
        <v>18</v>
      </c>
      <c r="B25" s="25" t="s">
        <v>226</v>
      </c>
      <c r="C25" s="25" t="s">
        <v>409</v>
      </c>
      <c r="D25" s="25" t="s">
        <v>183</v>
      </c>
      <c r="E25" s="69" t="n">
        <v>46351</v>
      </c>
      <c r="F25" s="70" t="n">
        <v>45</v>
      </c>
      <c r="G25" s="71" t="n">
        <f aca="false">IF(OR(E25="",F25=""),"",E25+F25-1)</f>
        <v>46395</v>
      </c>
      <c r="H25" s="72" t="n">
        <v>0</v>
      </c>
      <c r="I25" s="73" t="n">
        <f aca="false">IF(OR(E25="",F25=""),"",MAX(0,MIN(1,(P_DateRef-E25+1)/F25)))</f>
        <v>0</v>
      </c>
      <c r="J25" s="73" t="n">
        <f aca="false">IF(I25="","",N(H25)-I25)</f>
        <v>0</v>
      </c>
      <c r="K25" s="74" t="str">
        <f aca="false">IF(C25="","",IF(N(H25)&gt;=1,"Terminé",IF(E25="","À planifier",IF(P_DateRef&lt;E25,"À venir",IF(OR(P_DateRef&gt;G25,N(H25)&lt;I25-P_Tol),"En retard","En cours")))))</f>
        <v>À venir</v>
      </c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</row>
    <row r="26" customFormat="false" ht="23.85" hidden="false" customHeight="false" outlineLevel="0" collapsed="false">
      <c r="A26" s="68" t="n">
        <v>19</v>
      </c>
      <c r="B26" s="25" t="s">
        <v>226</v>
      </c>
      <c r="C26" s="25" t="s">
        <v>410</v>
      </c>
      <c r="D26" s="25" t="s">
        <v>183</v>
      </c>
      <c r="E26" s="69" t="n">
        <v>46377</v>
      </c>
      <c r="F26" s="70" t="n">
        <v>30</v>
      </c>
      <c r="G26" s="71" t="n">
        <f aca="false">IF(OR(E26="",F26=""),"",E26+F26-1)</f>
        <v>46406</v>
      </c>
      <c r="H26" s="72" t="n">
        <v>0</v>
      </c>
      <c r="I26" s="73" t="n">
        <f aca="false">IF(OR(E26="",F26=""),"",MAX(0,MIN(1,(P_DateRef-E26+1)/F26)))</f>
        <v>0</v>
      </c>
      <c r="J26" s="73" t="n">
        <f aca="false">IF(I26="","",N(H26)-I26)</f>
        <v>0</v>
      </c>
      <c r="K26" s="74" t="str">
        <f aca="false">IF(C26="","",IF(N(H26)&gt;=1,"Terminé",IF(E26="","À planifier",IF(P_DateRef&lt;E26,"À venir",IF(OR(P_DateRef&gt;G26,N(H26)&lt;I26-P_Tol),"En retard","En cours")))))</f>
        <v>À venir</v>
      </c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</row>
    <row r="27" customFormat="false" ht="23.85" hidden="false" customHeight="false" outlineLevel="0" collapsed="false">
      <c r="A27" s="68" t="n">
        <v>20</v>
      </c>
      <c r="B27" s="25" t="s">
        <v>226</v>
      </c>
      <c r="C27" s="25" t="s">
        <v>411</v>
      </c>
      <c r="D27" s="25" t="s">
        <v>174</v>
      </c>
      <c r="E27" s="69" t="n">
        <v>46392</v>
      </c>
      <c r="F27" s="70" t="n">
        <v>50</v>
      </c>
      <c r="G27" s="71" t="n">
        <f aca="false">IF(OR(E27="",F27=""),"",E27+F27-1)</f>
        <v>46441</v>
      </c>
      <c r="H27" s="72" t="n">
        <v>0</v>
      </c>
      <c r="I27" s="73" t="n">
        <f aca="false">IF(OR(E27="",F27=""),"",MAX(0,MIN(1,(P_DateRef-E27+1)/F27)))</f>
        <v>0</v>
      </c>
      <c r="J27" s="73" t="n">
        <f aca="false">IF(I27="","",N(H27)-I27)</f>
        <v>0</v>
      </c>
      <c r="K27" s="74" t="str">
        <f aca="false">IF(C27="","",IF(N(H27)&gt;=1,"Terminé",IF(E27="","À planifier",IF(P_DateRef&lt;E27,"À venir",IF(OR(P_DateRef&gt;G27,N(H27)&lt;I27-P_Tol),"En retard","En cours")))))</f>
        <v>À venir</v>
      </c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</row>
    <row r="28" customFormat="false" ht="15" hidden="false" customHeight="false" outlineLevel="0" collapsed="false">
      <c r="A28" s="68" t="n">
        <v>21</v>
      </c>
      <c r="B28" s="25" t="s">
        <v>232</v>
      </c>
      <c r="C28" s="25" t="s">
        <v>412</v>
      </c>
      <c r="D28" s="25" t="s">
        <v>174</v>
      </c>
      <c r="E28" s="69" t="n">
        <v>46279</v>
      </c>
      <c r="F28" s="70" t="n">
        <v>30</v>
      </c>
      <c r="G28" s="71" t="n">
        <f aca="false">IF(OR(E28="",F28=""),"",E28+F28-1)</f>
        <v>46308</v>
      </c>
      <c r="H28" s="72" t="n">
        <v>0.9</v>
      </c>
      <c r="I28" s="73" t="n">
        <f aca="false">IF(OR(E28="",F28=""),"",MAX(0,MIN(1,(P_DateRef-E28+1)/F28)))</f>
        <v>1</v>
      </c>
      <c r="J28" s="73" t="n">
        <f aca="false">IF(I28="","",N(H28)-I28)</f>
        <v>-0.1</v>
      </c>
      <c r="K28" s="74" t="str">
        <f aca="false">IF(C28="","",IF(N(H28)&gt;=1,"Terminé",IF(E28="","À planifier",IF(P_DateRef&lt;E28,"À venir",IF(OR(P_DateRef&gt;G28,N(H28)&lt;I28-P_Tol),"En retard","En cours")))))</f>
        <v>En retard</v>
      </c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</row>
    <row r="29" customFormat="false" ht="15" hidden="false" customHeight="false" outlineLevel="0" collapsed="false">
      <c r="A29" s="68" t="n">
        <v>22</v>
      </c>
      <c r="B29" s="25" t="s">
        <v>232</v>
      </c>
      <c r="C29" s="25" t="s">
        <v>413</v>
      </c>
      <c r="D29" s="25" t="s">
        <v>174</v>
      </c>
      <c r="E29" s="69" t="n">
        <v>46307</v>
      </c>
      <c r="F29" s="70" t="n">
        <v>45</v>
      </c>
      <c r="G29" s="71" t="n">
        <f aca="false">IF(OR(E29="",F29=""),"",E29+F29-1)</f>
        <v>46351</v>
      </c>
      <c r="H29" s="72" t="n">
        <v>0.15</v>
      </c>
      <c r="I29" s="73" t="n">
        <f aca="false">IF(OR(E29="",F29=""),"",MAX(0,MIN(1,(P_DateRef-E29+1)/F29)))</f>
        <v>0.111111111111111</v>
      </c>
      <c r="J29" s="73" t="n">
        <f aca="false">IF(I29="","",N(H29)-I29)</f>
        <v>0.0388888888888889</v>
      </c>
      <c r="K29" s="74" t="str">
        <f aca="false">IF(C29="","",IF(N(H29)&gt;=1,"Terminé",IF(E29="","À planifier",IF(P_DateRef&lt;E29,"À venir",IF(OR(P_DateRef&gt;G29,N(H29)&lt;I29-P_Tol),"En retard","En cours")))))</f>
        <v>En cours</v>
      </c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</row>
    <row r="30" customFormat="false" ht="15" hidden="false" customHeight="false" outlineLevel="0" collapsed="false">
      <c r="A30" s="68" t="n">
        <v>23</v>
      </c>
      <c r="B30" s="25" t="s">
        <v>232</v>
      </c>
      <c r="C30" s="25" t="s">
        <v>414</v>
      </c>
      <c r="D30" s="25" t="s">
        <v>174</v>
      </c>
      <c r="E30" s="69" t="n">
        <v>46398</v>
      </c>
      <c r="F30" s="70" t="n">
        <v>25</v>
      </c>
      <c r="G30" s="71" t="n">
        <f aca="false">IF(OR(E30="",F30=""),"",E30+F30-1)</f>
        <v>46422</v>
      </c>
      <c r="H30" s="72" t="n">
        <v>0</v>
      </c>
      <c r="I30" s="73" t="n">
        <f aca="false">IF(OR(E30="",F30=""),"",MAX(0,MIN(1,(P_DateRef-E30+1)/F30)))</f>
        <v>0</v>
      </c>
      <c r="J30" s="73" t="n">
        <f aca="false">IF(I30="","",N(H30)-I30)</f>
        <v>0</v>
      </c>
      <c r="K30" s="74" t="str">
        <f aca="false">IF(C30="","",IF(N(H30)&gt;=1,"Terminé",IF(E30="","À planifier",IF(P_DateRef&lt;E30,"À venir",IF(OR(P_DateRef&gt;G30,N(H30)&lt;I30-P_Tol),"En retard","En cours")))))</f>
        <v>À venir</v>
      </c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</row>
    <row r="31" customFormat="false" ht="23.85" hidden="false" customHeight="false" outlineLevel="0" collapsed="false">
      <c r="A31" s="68" t="n">
        <v>24</v>
      </c>
      <c r="B31" s="25" t="s">
        <v>238</v>
      </c>
      <c r="C31" s="25" t="s">
        <v>415</v>
      </c>
      <c r="D31" s="25" t="s">
        <v>192</v>
      </c>
      <c r="E31" s="69" t="n">
        <v>46266</v>
      </c>
      <c r="F31" s="70" t="n">
        <v>30</v>
      </c>
      <c r="G31" s="71" t="n">
        <f aca="false">IF(OR(E31="",F31=""),"",E31+F31-1)</f>
        <v>46295</v>
      </c>
      <c r="H31" s="72" t="n">
        <v>1</v>
      </c>
      <c r="I31" s="73" t="n">
        <f aca="false">IF(OR(E31="",F31=""),"",MAX(0,MIN(1,(P_DateRef-E31+1)/F31)))</f>
        <v>1</v>
      </c>
      <c r="J31" s="73" t="n">
        <f aca="false">IF(I31="","",N(H31)-I31)</f>
        <v>0</v>
      </c>
      <c r="K31" s="74" t="str">
        <f aca="false">IF(C31="","",IF(N(H31)&gt;=1,"Terminé",IF(E31="","À planifier",IF(P_DateRef&lt;E31,"À venir",IF(OR(P_DateRef&gt;G31,N(H31)&lt;I31-P_Tol),"En retard","En cours")))))</f>
        <v>Terminé</v>
      </c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</row>
    <row r="32" customFormat="false" ht="23.85" hidden="false" customHeight="false" outlineLevel="0" collapsed="false">
      <c r="A32" s="68" t="n">
        <v>25</v>
      </c>
      <c r="B32" s="25" t="s">
        <v>238</v>
      </c>
      <c r="C32" s="25" t="s">
        <v>416</v>
      </c>
      <c r="D32" s="25" t="s">
        <v>192</v>
      </c>
      <c r="E32" s="69" t="n">
        <v>46296</v>
      </c>
      <c r="F32" s="70" t="n">
        <v>45</v>
      </c>
      <c r="G32" s="71" t="n">
        <f aca="false">IF(OR(E32="",F32=""),"",E32+F32-1)</f>
        <v>46340</v>
      </c>
      <c r="H32" s="72" t="n">
        <v>0.4</v>
      </c>
      <c r="I32" s="73" t="n">
        <f aca="false">IF(OR(E32="",F32=""),"",MAX(0,MIN(1,(P_DateRef-E32+1)/F32)))</f>
        <v>0.355555555555556</v>
      </c>
      <c r="J32" s="73" t="n">
        <f aca="false">IF(I32="","",N(H32)-I32)</f>
        <v>0.0444444444444445</v>
      </c>
      <c r="K32" s="74" t="str">
        <f aca="false">IF(C32="","",IF(N(H32)&gt;=1,"Terminé",IF(E32="","À planifier",IF(P_DateRef&lt;E32,"À venir",IF(OR(P_DateRef&gt;G32,N(H32)&lt;I32-P_Tol),"En retard","En cours")))))</f>
        <v>En cours</v>
      </c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</row>
    <row r="33" customFormat="false" ht="23.85" hidden="false" customHeight="false" outlineLevel="0" collapsed="false">
      <c r="A33" s="68" t="n">
        <v>26</v>
      </c>
      <c r="B33" s="25" t="s">
        <v>238</v>
      </c>
      <c r="C33" s="25" t="s">
        <v>417</v>
      </c>
      <c r="D33" s="25" t="s">
        <v>192</v>
      </c>
      <c r="E33" s="69" t="n">
        <v>46342</v>
      </c>
      <c r="F33" s="70" t="n">
        <v>35</v>
      </c>
      <c r="G33" s="71" t="n">
        <f aca="false">IF(OR(E33="",F33=""),"",E33+F33-1)</f>
        <v>46376</v>
      </c>
      <c r="H33" s="72" t="n">
        <v>0</v>
      </c>
      <c r="I33" s="73" t="n">
        <f aca="false">IF(OR(E33="",F33=""),"",MAX(0,MIN(1,(P_DateRef-E33+1)/F33)))</f>
        <v>0</v>
      </c>
      <c r="J33" s="73" t="n">
        <f aca="false">IF(I33="","",N(H33)-I33)</f>
        <v>0</v>
      </c>
      <c r="K33" s="74" t="str">
        <f aca="false">IF(C33="","",IF(N(H33)&gt;=1,"Terminé",IF(E33="","À planifier",IF(P_DateRef&lt;E33,"À venir",IF(OR(P_DateRef&gt;G33,N(H33)&lt;I33-P_Tol),"En retard","En cours")))))</f>
        <v>À venir</v>
      </c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</row>
    <row r="34" customFormat="false" ht="15" hidden="false" customHeight="false" outlineLevel="0" collapsed="false">
      <c r="A34" s="68" t="n">
        <v>27</v>
      </c>
      <c r="B34" s="25" t="s">
        <v>242</v>
      </c>
      <c r="C34" s="25" t="s">
        <v>418</v>
      </c>
      <c r="D34" s="25" t="s">
        <v>216</v>
      </c>
      <c r="E34" s="69" t="n">
        <v>46244</v>
      </c>
      <c r="F34" s="70" t="n">
        <v>255</v>
      </c>
      <c r="G34" s="71" t="n">
        <f aca="false">IF(OR(E34="",F34=""),"",E34+F34-1)</f>
        <v>46498</v>
      </c>
      <c r="H34" s="72" t="n">
        <v>0.25</v>
      </c>
      <c r="I34" s="73" t="n">
        <f aca="false">IF(OR(E34="",F34=""),"",MAX(0,MIN(1,(P_DateRef-E34+1)/F34)))</f>
        <v>0.266666666666667</v>
      </c>
      <c r="J34" s="73" t="n">
        <f aca="false">IF(I34="","",N(H34)-I34)</f>
        <v>-0.0166666666666667</v>
      </c>
      <c r="K34" s="74" t="str">
        <f aca="false">IF(C34="","",IF(N(H34)&gt;=1,"Terminé",IF(E34="","À planifier",IF(P_DateRef&lt;E34,"À venir",IF(OR(P_DateRef&gt;G34,N(H34)&lt;I34-P_Tol),"En retard","En cours")))))</f>
        <v>En cours</v>
      </c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</row>
    <row r="35" customFormat="false" ht="15" hidden="false" customHeight="false" outlineLevel="0" collapsed="false">
      <c r="A35" s="68" t="n">
        <v>28</v>
      </c>
      <c r="B35" s="25" t="s">
        <v>130</v>
      </c>
      <c r="C35" s="25" t="s">
        <v>419</v>
      </c>
      <c r="D35" s="25" t="s">
        <v>204</v>
      </c>
      <c r="E35" s="69" t="n">
        <v>46492</v>
      </c>
      <c r="F35" s="70" t="n">
        <v>15</v>
      </c>
      <c r="G35" s="71" t="n">
        <f aca="false">IF(OR(E35="",F35=""),"",E35+F35-1)</f>
        <v>46506</v>
      </c>
      <c r="H35" s="72" t="n">
        <v>0</v>
      </c>
      <c r="I35" s="73" t="n">
        <f aca="false">IF(OR(E35="",F35=""),"",MAX(0,MIN(1,(P_DateRef-E35+1)/F35)))</f>
        <v>0</v>
      </c>
      <c r="J35" s="73" t="n">
        <f aca="false">IF(I35="","",N(H35)-I35)</f>
        <v>0</v>
      </c>
      <c r="K35" s="74" t="str">
        <f aca="false">IF(C35="","",IF(N(H35)&gt;=1,"Terminé",IF(E35="","À planifier",IF(P_DateRef&lt;E35,"À venir",IF(OR(P_DateRef&gt;G35,N(H35)&lt;I35-P_Tol),"En retard","En cours")))))</f>
        <v>À venir</v>
      </c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</row>
    <row r="36" customFormat="false" ht="15" hidden="false" customHeight="false" outlineLevel="0" collapsed="false">
      <c r="A36" s="68"/>
      <c r="B36" s="25"/>
      <c r="C36" s="25"/>
      <c r="D36" s="25"/>
      <c r="E36" s="69"/>
      <c r="F36" s="70"/>
      <c r="G36" s="71" t="str">
        <f aca="false">IF(OR(E36="",F36=""),"",E36+F36-1)</f>
        <v/>
      </c>
      <c r="H36" s="72"/>
      <c r="I36" s="73" t="str">
        <f aca="false">IF(OR(E36="",F36=""),"",MAX(0,MIN(1,(P_DateRef-E36+1)/F36)))</f>
        <v/>
      </c>
      <c r="J36" s="73" t="str">
        <f aca="false">IF(I36="","",N(H36)-I36)</f>
        <v/>
      </c>
      <c r="K36" s="74" t="str">
        <f aca="false">IF(C36="","",IF(N(H36)&gt;=1,"Terminé",IF(E36="","À planifier",IF(P_DateRef&lt;E36,"À venir",IF(OR(P_DateRef&gt;G36,N(H36)&lt;I36-P_Tol),"En retard","En cours")))))</f>
        <v/>
      </c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</row>
    <row r="37" customFormat="false" ht="15" hidden="false" customHeight="false" outlineLevel="0" collapsed="false">
      <c r="A37" s="68"/>
      <c r="B37" s="25"/>
      <c r="C37" s="25"/>
      <c r="D37" s="25"/>
      <c r="E37" s="69"/>
      <c r="F37" s="70"/>
      <c r="G37" s="71" t="str">
        <f aca="false">IF(OR(E37="",F37=""),"",E37+F37-1)</f>
        <v/>
      </c>
      <c r="H37" s="72"/>
      <c r="I37" s="73" t="str">
        <f aca="false">IF(OR(E37="",F37=""),"",MAX(0,MIN(1,(P_DateRef-E37+1)/F37)))</f>
        <v/>
      </c>
      <c r="J37" s="73" t="str">
        <f aca="false">IF(I37="","",N(H37)-I37)</f>
        <v/>
      </c>
      <c r="K37" s="74" t="str">
        <f aca="false">IF(C37="","",IF(N(H37)&gt;=1,"Terminé",IF(E37="","À planifier",IF(P_DateRef&lt;E37,"À venir",IF(OR(P_DateRef&gt;G37,N(H37)&lt;I37-P_Tol),"En retard","En cours")))))</f>
        <v/>
      </c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</row>
    <row r="38" customFormat="false" ht="15" hidden="false" customHeight="false" outlineLevel="0" collapsed="false">
      <c r="A38" s="68"/>
      <c r="B38" s="25"/>
      <c r="C38" s="25"/>
      <c r="D38" s="25"/>
      <c r="E38" s="69"/>
      <c r="F38" s="70"/>
      <c r="G38" s="71" t="str">
        <f aca="false">IF(OR(E38="",F38=""),"",E38+F38-1)</f>
        <v/>
      </c>
      <c r="H38" s="72"/>
      <c r="I38" s="73" t="str">
        <f aca="false">IF(OR(E38="",F38=""),"",MAX(0,MIN(1,(P_DateRef-E38+1)/F38)))</f>
        <v/>
      </c>
      <c r="J38" s="73" t="str">
        <f aca="false">IF(I38="","",N(H38)-I38)</f>
        <v/>
      </c>
      <c r="K38" s="74" t="str">
        <f aca="false">IF(C38="","",IF(N(H38)&gt;=1,"Terminé",IF(E38="","À planifier",IF(P_DateRef&lt;E38,"À venir",IF(OR(P_DateRef&gt;G38,N(H38)&lt;I38-P_Tol),"En retard","En cours")))))</f>
        <v/>
      </c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</row>
    <row r="39" customFormat="false" ht="15" hidden="false" customHeight="false" outlineLevel="0" collapsed="false">
      <c r="A39" s="68"/>
      <c r="B39" s="25"/>
      <c r="C39" s="25"/>
      <c r="D39" s="25"/>
      <c r="E39" s="69"/>
      <c r="F39" s="70"/>
      <c r="G39" s="71" t="str">
        <f aca="false">IF(OR(E39="",F39=""),"",E39+F39-1)</f>
        <v/>
      </c>
      <c r="H39" s="72"/>
      <c r="I39" s="73" t="str">
        <f aca="false">IF(OR(E39="",F39=""),"",MAX(0,MIN(1,(P_DateRef-E39+1)/F39)))</f>
        <v/>
      </c>
      <c r="J39" s="73" t="str">
        <f aca="false">IF(I39="","",N(H39)-I39)</f>
        <v/>
      </c>
      <c r="K39" s="74" t="str">
        <f aca="false">IF(C39="","",IF(N(H39)&gt;=1,"Terminé",IF(E39="","À planifier",IF(P_DateRef&lt;E39,"À venir",IF(OR(P_DateRef&gt;G39,N(H39)&lt;I39-P_Tol),"En retard","En cours")))))</f>
        <v/>
      </c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</row>
    <row r="40" customFormat="false" ht="15" hidden="false" customHeight="false" outlineLevel="0" collapsed="false">
      <c r="A40" s="68"/>
      <c r="B40" s="25"/>
      <c r="C40" s="25"/>
      <c r="D40" s="25"/>
      <c r="E40" s="69"/>
      <c r="F40" s="70"/>
      <c r="G40" s="71" t="str">
        <f aca="false">IF(OR(E40="",F40=""),"",E40+F40-1)</f>
        <v/>
      </c>
      <c r="H40" s="72"/>
      <c r="I40" s="73" t="str">
        <f aca="false">IF(OR(E40="",F40=""),"",MAX(0,MIN(1,(P_DateRef-E40+1)/F40)))</f>
        <v/>
      </c>
      <c r="J40" s="73" t="str">
        <f aca="false">IF(I40="","",N(H40)-I40)</f>
        <v/>
      </c>
      <c r="K40" s="74" t="str">
        <f aca="false">IF(C40="","",IF(N(H40)&gt;=1,"Terminé",IF(E40="","À planifier",IF(P_DateRef&lt;E40,"À venir",IF(OR(P_DateRef&gt;G40,N(H40)&lt;I40-P_Tol),"En retard","En cours")))))</f>
        <v/>
      </c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</row>
    <row r="41" customFormat="false" ht="15" hidden="false" customHeight="false" outlineLevel="0" collapsed="false">
      <c r="A41" s="68"/>
      <c r="B41" s="25"/>
      <c r="C41" s="25"/>
      <c r="D41" s="25"/>
      <c r="E41" s="69"/>
      <c r="F41" s="70"/>
      <c r="G41" s="71" t="str">
        <f aca="false">IF(OR(E41="",F41=""),"",E41+F41-1)</f>
        <v/>
      </c>
      <c r="H41" s="72"/>
      <c r="I41" s="73" t="str">
        <f aca="false">IF(OR(E41="",F41=""),"",MAX(0,MIN(1,(P_DateRef-E41+1)/F41)))</f>
        <v/>
      </c>
      <c r="J41" s="73" t="str">
        <f aca="false">IF(I41="","",N(H41)-I41)</f>
        <v/>
      </c>
      <c r="K41" s="74" t="str">
        <f aca="false">IF(C41="","",IF(N(H41)&gt;=1,"Terminé",IF(E41="","À planifier",IF(P_DateRef&lt;E41,"À venir",IF(OR(P_DateRef&gt;G41,N(H41)&lt;I41-P_Tol),"En retard","En cours")))))</f>
        <v/>
      </c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</row>
    <row r="42" customFormat="false" ht="15" hidden="false" customHeight="false" outlineLevel="0" collapsed="false">
      <c r="A42" s="68"/>
      <c r="B42" s="25"/>
      <c r="C42" s="25"/>
      <c r="D42" s="25"/>
      <c r="E42" s="69"/>
      <c r="F42" s="70"/>
      <c r="G42" s="71" t="str">
        <f aca="false">IF(OR(E42="",F42=""),"",E42+F42-1)</f>
        <v/>
      </c>
      <c r="H42" s="72"/>
      <c r="I42" s="73" t="str">
        <f aca="false">IF(OR(E42="",F42=""),"",MAX(0,MIN(1,(P_DateRef-E42+1)/F42)))</f>
        <v/>
      </c>
      <c r="J42" s="73" t="str">
        <f aca="false">IF(I42="","",N(H42)-I42)</f>
        <v/>
      </c>
      <c r="K42" s="74" t="str">
        <f aca="false">IF(C42="","",IF(N(H42)&gt;=1,"Terminé",IF(E42="","À planifier",IF(P_DateRef&lt;E42,"À venir",IF(OR(P_DateRef&gt;G42,N(H42)&lt;I42-P_Tol),"En retard","En cours")))))</f>
        <v/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</row>
    <row r="43" customFormat="false" ht="15" hidden="false" customHeight="false" outlineLevel="0" collapsed="false">
      <c r="A43" s="68"/>
      <c r="B43" s="25"/>
      <c r="C43" s="25"/>
      <c r="D43" s="25"/>
      <c r="E43" s="69"/>
      <c r="F43" s="70"/>
      <c r="G43" s="71" t="str">
        <f aca="false">IF(OR(E43="",F43=""),"",E43+F43-1)</f>
        <v/>
      </c>
      <c r="H43" s="72"/>
      <c r="I43" s="73" t="str">
        <f aca="false">IF(OR(E43="",F43=""),"",MAX(0,MIN(1,(P_DateRef-E43+1)/F43)))</f>
        <v/>
      </c>
      <c r="J43" s="73" t="str">
        <f aca="false">IF(I43="","",N(H43)-I43)</f>
        <v/>
      </c>
      <c r="K43" s="74" t="str">
        <f aca="false">IF(C43="","",IF(N(H43)&gt;=1,"Terminé",IF(E43="","À planifier",IF(P_DateRef&lt;E43,"À venir",IF(OR(P_DateRef&gt;G43,N(H43)&lt;I43-P_Tol),"En retard","En cours")))))</f>
        <v/>
      </c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</row>
    <row r="44" customFormat="false" ht="15" hidden="false" customHeight="false" outlineLevel="0" collapsed="false">
      <c r="A44" s="68"/>
      <c r="B44" s="25"/>
      <c r="C44" s="25"/>
      <c r="D44" s="25"/>
      <c r="E44" s="69"/>
      <c r="F44" s="70"/>
      <c r="G44" s="71" t="str">
        <f aca="false">IF(OR(E44="",F44=""),"",E44+F44-1)</f>
        <v/>
      </c>
      <c r="H44" s="72"/>
      <c r="I44" s="73" t="str">
        <f aca="false">IF(OR(E44="",F44=""),"",MAX(0,MIN(1,(P_DateRef-E44+1)/F44)))</f>
        <v/>
      </c>
      <c r="J44" s="73" t="str">
        <f aca="false">IF(I44="","",N(H44)-I44)</f>
        <v/>
      </c>
      <c r="K44" s="74" t="str">
        <f aca="false">IF(C44="","",IF(N(H44)&gt;=1,"Terminé",IF(E44="","À planifier",IF(P_DateRef&lt;E44,"À venir",IF(OR(P_DateRef&gt;G44,N(H44)&lt;I44-P_Tol),"En retard","En cours")))))</f>
        <v/>
      </c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</row>
    <row r="45" customFormat="false" ht="15" hidden="false" customHeight="false" outlineLevel="0" collapsed="false">
      <c r="A45" s="68"/>
      <c r="B45" s="25"/>
      <c r="C45" s="25"/>
      <c r="D45" s="25"/>
      <c r="E45" s="69"/>
      <c r="F45" s="70"/>
      <c r="G45" s="71" t="str">
        <f aca="false">IF(OR(E45="",F45=""),"",E45+F45-1)</f>
        <v/>
      </c>
      <c r="H45" s="72"/>
      <c r="I45" s="73" t="str">
        <f aca="false">IF(OR(E45="",F45=""),"",MAX(0,MIN(1,(P_DateRef-E45+1)/F45)))</f>
        <v/>
      </c>
      <c r="J45" s="73" t="str">
        <f aca="false">IF(I45="","",N(H45)-I45)</f>
        <v/>
      </c>
      <c r="K45" s="74" t="str">
        <f aca="false">IF(C45="","",IF(N(H45)&gt;=1,"Terminé",IF(E45="","À planifier",IF(P_DateRef&lt;E45,"À venir",IF(OR(P_DateRef&gt;G45,N(H45)&lt;I45-P_Tol),"En retard","En cours")))))</f>
        <v/>
      </c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</row>
    <row r="46" customFormat="false" ht="15" hidden="false" customHeight="false" outlineLevel="0" collapsed="false">
      <c r="A46" s="68"/>
      <c r="B46" s="25"/>
      <c r="C46" s="25"/>
      <c r="D46" s="25"/>
      <c r="E46" s="69"/>
      <c r="F46" s="70"/>
      <c r="G46" s="71" t="str">
        <f aca="false">IF(OR(E46="",F46=""),"",E46+F46-1)</f>
        <v/>
      </c>
      <c r="H46" s="72"/>
      <c r="I46" s="73" t="str">
        <f aca="false">IF(OR(E46="",F46=""),"",MAX(0,MIN(1,(P_DateRef-E46+1)/F46)))</f>
        <v/>
      </c>
      <c r="J46" s="73" t="str">
        <f aca="false">IF(I46="","",N(H46)-I46)</f>
        <v/>
      </c>
      <c r="K46" s="74" t="str">
        <f aca="false">IF(C46="","",IF(N(H46)&gt;=1,"Terminé",IF(E46="","À planifier",IF(P_DateRef&lt;E46,"À venir",IF(OR(P_DateRef&gt;G46,N(H46)&lt;I46-P_Tol),"En retard","En cours")))))</f>
        <v/>
      </c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</row>
    <row r="47" customFormat="false" ht="15" hidden="false" customHeight="false" outlineLevel="0" collapsed="false">
      <c r="A47" s="68"/>
      <c r="B47" s="25"/>
      <c r="C47" s="25"/>
      <c r="D47" s="25"/>
      <c r="E47" s="69"/>
      <c r="F47" s="70"/>
      <c r="G47" s="71" t="str">
        <f aca="false">IF(OR(E47="",F47=""),"",E47+F47-1)</f>
        <v/>
      </c>
      <c r="H47" s="72"/>
      <c r="I47" s="73" t="str">
        <f aca="false">IF(OR(E47="",F47=""),"",MAX(0,MIN(1,(P_DateRef-E47+1)/F47)))</f>
        <v/>
      </c>
      <c r="J47" s="73" t="str">
        <f aca="false">IF(I47="","",N(H47)-I47)</f>
        <v/>
      </c>
      <c r="K47" s="74" t="str">
        <f aca="false">IF(C47="","",IF(N(H47)&gt;=1,"Terminé",IF(E47="","À planifier",IF(P_DateRef&lt;E47,"À venir",IF(OR(P_DateRef&gt;G47,N(H47)&lt;I47-P_Tol),"En retard","En cours")))))</f>
        <v/>
      </c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</row>
    <row r="48" customFormat="false" ht="15" hidden="false" customHeight="false" outlineLevel="0" collapsed="false">
      <c r="A48" s="68"/>
      <c r="B48" s="25"/>
      <c r="C48" s="25"/>
      <c r="D48" s="25"/>
      <c r="E48" s="69"/>
      <c r="F48" s="70"/>
      <c r="G48" s="71" t="str">
        <f aca="false">IF(OR(E48="",F48=""),"",E48+F48-1)</f>
        <v/>
      </c>
      <c r="H48" s="72"/>
      <c r="I48" s="73" t="str">
        <f aca="false">IF(OR(E48="",F48=""),"",MAX(0,MIN(1,(P_DateRef-E48+1)/F48)))</f>
        <v/>
      </c>
      <c r="J48" s="73" t="str">
        <f aca="false">IF(I48="","",N(H48)-I48)</f>
        <v/>
      </c>
      <c r="K48" s="74" t="str">
        <f aca="false">IF(C48="","",IF(N(H48)&gt;=1,"Terminé",IF(E48="","À planifier",IF(P_DateRef&lt;E48,"À venir",IF(OR(P_DateRef&gt;G48,N(H48)&lt;I48-P_Tol),"En retard","En cours")))))</f>
        <v/>
      </c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</row>
    <row r="49" customFormat="false" ht="15" hidden="false" customHeight="false" outlineLevel="0" collapsed="false">
      <c r="A49" s="68"/>
      <c r="B49" s="25"/>
      <c r="C49" s="25"/>
      <c r="D49" s="25"/>
      <c r="E49" s="69"/>
      <c r="F49" s="70"/>
      <c r="G49" s="71" t="str">
        <f aca="false">IF(OR(E49="",F49=""),"",E49+F49-1)</f>
        <v/>
      </c>
      <c r="H49" s="72"/>
      <c r="I49" s="73" t="str">
        <f aca="false">IF(OR(E49="",F49=""),"",MAX(0,MIN(1,(P_DateRef-E49+1)/F49)))</f>
        <v/>
      </c>
      <c r="J49" s="73" t="str">
        <f aca="false">IF(I49="","",N(H49)-I49)</f>
        <v/>
      </c>
      <c r="K49" s="74" t="str">
        <f aca="false">IF(C49="","",IF(N(H49)&gt;=1,"Terminé",IF(E49="","À planifier",IF(P_DateRef&lt;E49,"À venir",IF(OR(P_DateRef&gt;G49,N(H49)&lt;I49-P_Tol),"En retard","En cours")))))</f>
        <v/>
      </c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</row>
    <row r="50" customFormat="false" ht="15" hidden="false" customHeight="false" outlineLevel="0" collapsed="false">
      <c r="A50" s="68"/>
      <c r="B50" s="25"/>
      <c r="C50" s="25"/>
      <c r="D50" s="25"/>
      <c r="E50" s="69"/>
      <c r="F50" s="70"/>
      <c r="G50" s="71" t="str">
        <f aca="false">IF(OR(E50="",F50=""),"",E50+F50-1)</f>
        <v/>
      </c>
      <c r="H50" s="72"/>
      <c r="I50" s="73" t="str">
        <f aca="false">IF(OR(E50="",F50=""),"",MAX(0,MIN(1,(P_DateRef-E50+1)/F50)))</f>
        <v/>
      </c>
      <c r="J50" s="73" t="str">
        <f aca="false">IF(I50="","",N(H50)-I50)</f>
        <v/>
      </c>
      <c r="K50" s="74" t="str">
        <f aca="false">IF(C50="","",IF(N(H50)&gt;=1,"Terminé",IF(E50="","À planifier",IF(P_DateRef&lt;E50,"À venir",IF(OR(P_DateRef&gt;G50,N(H50)&lt;I50-P_Tol),"En retard","En cours")))))</f>
        <v/>
      </c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</row>
    <row r="51" customFormat="false" ht="15" hidden="false" customHeight="false" outlineLevel="0" collapsed="false">
      <c r="A51" s="68"/>
      <c r="B51" s="25"/>
      <c r="C51" s="25"/>
      <c r="D51" s="25"/>
      <c r="E51" s="69"/>
      <c r="F51" s="70"/>
      <c r="G51" s="71" t="str">
        <f aca="false">IF(OR(E51="",F51=""),"",E51+F51-1)</f>
        <v/>
      </c>
      <c r="H51" s="72"/>
      <c r="I51" s="73" t="str">
        <f aca="false">IF(OR(E51="",F51=""),"",MAX(0,MIN(1,(P_DateRef-E51+1)/F51)))</f>
        <v/>
      </c>
      <c r="J51" s="73" t="str">
        <f aca="false">IF(I51="","",N(H51)-I51)</f>
        <v/>
      </c>
      <c r="K51" s="74" t="str">
        <f aca="false">IF(C51="","",IF(N(H51)&gt;=1,"Terminé",IF(E51="","À planifier",IF(P_DateRef&lt;E51,"À venir",IF(OR(P_DateRef&gt;G51,N(H51)&lt;I51-P_Tol),"En retard","En cours")))))</f>
        <v/>
      </c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</row>
    <row r="52" customFormat="false" ht="15" hidden="false" customHeight="false" outlineLevel="0" collapsed="false">
      <c r="A52" s="68"/>
      <c r="B52" s="25"/>
      <c r="C52" s="25"/>
      <c r="D52" s="25"/>
      <c r="E52" s="69"/>
      <c r="F52" s="70"/>
      <c r="G52" s="71" t="str">
        <f aca="false">IF(OR(E52="",F52=""),"",E52+F52-1)</f>
        <v/>
      </c>
      <c r="H52" s="72"/>
      <c r="I52" s="73" t="str">
        <f aca="false">IF(OR(E52="",F52=""),"",MAX(0,MIN(1,(P_DateRef-E52+1)/F52)))</f>
        <v/>
      </c>
      <c r="J52" s="73" t="str">
        <f aca="false">IF(I52="","",N(H52)-I52)</f>
        <v/>
      </c>
      <c r="K52" s="74" t="str">
        <f aca="false">IF(C52="","",IF(N(H52)&gt;=1,"Terminé",IF(E52="","À planifier",IF(P_DateRef&lt;E52,"À venir",IF(OR(P_DateRef&gt;G52,N(H52)&lt;I52-P_Tol),"En retard","En cours")))))</f>
        <v/>
      </c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</row>
    <row r="53" customFormat="false" ht="15" hidden="false" customHeight="false" outlineLevel="0" collapsed="false">
      <c r="A53" s="68"/>
      <c r="B53" s="25"/>
      <c r="C53" s="25"/>
      <c r="D53" s="25"/>
      <c r="E53" s="69"/>
      <c r="F53" s="70"/>
      <c r="G53" s="71" t="str">
        <f aca="false">IF(OR(E53="",F53=""),"",E53+F53-1)</f>
        <v/>
      </c>
      <c r="H53" s="72"/>
      <c r="I53" s="73" t="str">
        <f aca="false">IF(OR(E53="",F53=""),"",MAX(0,MIN(1,(P_DateRef-E53+1)/F53)))</f>
        <v/>
      </c>
      <c r="J53" s="73" t="str">
        <f aca="false">IF(I53="","",N(H53)-I53)</f>
        <v/>
      </c>
      <c r="K53" s="74" t="str">
        <f aca="false">IF(C53="","",IF(N(H53)&gt;=1,"Terminé",IF(E53="","À planifier",IF(P_DateRef&lt;E53,"À venir",IF(OR(P_DateRef&gt;G53,N(H53)&lt;I53-P_Tol),"En retard","En cours")))))</f>
        <v/>
      </c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</row>
    <row r="54" customFormat="false" ht="15" hidden="false" customHeight="false" outlineLevel="0" collapsed="false">
      <c r="A54" s="68"/>
      <c r="B54" s="25"/>
      <c r="C54" s="25"/>
      <c r="D54" s="25"/>
      <c r="E54" s="69"/>
      <c r="F54" s="70"/>
      <c r="G54" s="71" t="str">
        <f aca="false">IF(OR(E54="",F54=""),"",E54+F54-1)</f>
        <v/>
      </c>
      <c r="H54" s="72"/>
      <c r="I54" s="73" t="str">
        <f aca="false">IF(OR(E54="",F54=""),"",MAX(0,MIN(1,(P_DateRef-E54+1)/F54)))</f>
        <v/>
      </c>
      <c r="J54" s="73" t="str">
        <f aca="false">IF(I54="","",N(H54)-I54)</f>
        <v/>
      </c>
      <c r="K54" s="74" t="str">
        <f aca="false">IF(C54="","",IF(N(H54)&gt;=1,"Terminé",IF(E54="","À planifier",IF(P_DateRef&lt;E54,"À venir",IF(OR(P_DateRef&gt;G54,N(H54)&lt;I54-P_Tol),"En retard","En cours")))))</f>
        <v/>
      </c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</row>
    <row r="55" customFormat="false" ht="15" hidden="false" customHeight="false" outlineLevel="0" collapsed="false">
      <c r="A55" s="68"/>
      <c r="B55" s="25"/>
      <c r="C55" s="25"/>
      <c r="D55" s="25"/>
      <c r="E55" s="69"/>
      <c r="F55" s="70"/>
      <c r="G55" s="71" t="str">
        <f aca="false">IF(OR(E55="",F55=""),"",E55+F55-1)</f>
        <v/>
      </c>
      <c r="H55" s="72"/>
      <c r="I55" s="73" t="str">
        <f aca="false">IF(OR(E55="",F55=""),"",MAX(0,MIN(1,(P_DateRef-E55+1)/F55)))</f>
        <v/>
      </c>
      <c r="J55" s="73" t="str">
        <f aca="false">IF(I55="","",N(H55)-I55)</f>
        <v/>
      </c>
      <c r="K55" s="74" t="str">
        <f aca="false">IF(C55="","",IF(N(H55)&gt;=1,"Terminé",IF(E55="","À planifier",IF(P_DateRef&lt;E55,"À venir",IF(OR(P_DateRef&gt;G55,N(H55)&lt;I55-P_Tol),"En retard","En cours")))))</f>
        <v/>
      </c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</row>
    <row r="56" customFormat="false" ht="15" hidden="false" customHeight="false" outlineLevel="0" collapsed="false">
      <c r="A56" s="68"/>
      <c r="B56" s="25"/>
      <c r="C56" s="25"/>
      <c r="D56" s="25"/>
      <c r="E56" s="69"/>
      <c r="F56" s="70"/>
      <c r="G56" s="71" t="str">
        <f aca="false">IF(OR(E56="",F56=""),"",E56+F56-1)</f>
        <v/>
      </c>
      <c r="H56" s="72"/>
      <c r="I56" s="73" t="str">
        <f aca="false">IF(OR(E56="",F56=""),"",MAX(0,MIN(1,(P_DateRef-E56+1)/F56)))</f>
        <v/>
      </c>
      <c r="J56" s="73" t="str">
        <f aca="false">IF(I56="","",N(H56)-I56)</f>
        <v/>
      </c>
      <c r="K56" s="74" t="str">
        <f aca="false">IF(C56="","",IF(N(H56)&gt;=1,"Terminé",IF(E56="","À planifier",IF(P_DateRef&lt;E56,"À venir",IF(OR(P_DateRef&gt;G56,N(H56)&lt;I56-P_Tol),"En retard","En cours")))))</f>
        <v/>
      </c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</row>
    <row r="57" customFormat="false" ht="15" hidden="false" customHeight="false" outlineLevel="0" collapsed="false">
      <c r="A57" s="68"/>
      <c r="B57" s="25"/>
      <c r="C57" s="25"/>
      <c r="D57" s="25"/>
      <c r="E57" s="69"/>
      <c r="F57" s="70"/>
      <c r="G57" s="71" t="str">
        <f aca="false">IF(OR(E57="",F57=""),"",E57+F57-1)</f>
        <v/>
      </c>
      <c r="H57" s="72"/>
      <c r="I57" s="73" t="str">
        <f aca="false">IF(OR(E57="",F57=""),"",MAX(0,MIN(1,(P_DateRef-E57+1)/F57)))</f>
        <v/>
      </c>
      <c r="J57" s="73" t="str">
        <f aca="false">IF(I57="","",N(H57)-I57)</f>
        <v/>
      </c>
      <c r="K57" s="74" t="str">
        <f aca="false">IF(C57="","",IF(N(H57)&gt;=1,"Terminé",IF(E57="","À planifier",IF(P_DateRef&lt;E57,"À venir",IF(OR(P_DateRef&gt;G57,N(H57)&lt;I57-P_Tol),"En retard","En cours")))))</f>
        <v/>
      </c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</row>
    <row r="58" customFormat="false" ht="15" hidden="false" customHeight="false" outlineLevel="0" collapsed="false">
      <c r="A58" s="68"/>
      <c r="B58" s="25"/>
      <c r="C58" s="25"/>
      <c r="D58" s="25"/>
      <c r="E58" s="69"/>
      <c r="F58" s="70"/>
      <c r="G58" s="71" t="str">
        <f aca="false">IF(OR(E58="",F58=""),"",E58+F58-1)</f>
        <v/>
      </c>
      <c r="H58" s="72"/>
      <c r="I58" s="73" t="str">
        <f aca="false">IF(OR(E58="",F58=""),"",MAX(0,MIN(1,(P_DateRef-E58+1)/F58)))</f>
        <v/>
      </c>
      <c r="J58" s="73" t="str">
        <f aca="false">IF(I58="","",N(H58)-I58)</f>
        <v/>
      </c>
      <c r="K58" s="74" t="str">
        <f aca="false">IF(C58="","",IF(N(H58)&gt;=1,"Terminé",IF(E58="","À planifier",IF(P_DateRef&lt;E58,"À venir",IF(OR(P_DateRef&gt;G58,N(H58)&lt;I58-P_Tol),"En retard","En cours")))))</f>
        <v/>
      </c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</row>
    <row r="59" customFormat="false" ht="15" hidden="false" customHeight="false" outlineLevel="0" collapsed="false">
      <c r="A59" s="68"/>
      <c r="B59" s="25"/>
      <c r="C59" s="25"/>
      <c r="D59" s="25"/>
      <c r="E59" s="69"/>
      <c r="F59" s="70"/>
      <c r="G59" s="71" t="str">
        <f aca="false">IF(OR(E59="",F59=""),"",E59+F59-1)</f>
        <v/>
      </c>
      <c r="H59" s="72"/>
      <c r="I59" s="73" t="str">
        <f aca="false">IF(OR(E59="",F59=""),"",MAX(0,MIN(1,(P_DateRef-E59+1)/F59)))</f>
        <v/>
      </c>
      <c r="J59" s="73" t="str">
        <f aca="false">IF(I59="","",N(H59)-I59)</f>
        <v/>
      </c>
      <c r="K59" s="74" t="str">
        <f aca="false">IF(C59="","",IF(N(H59)&gt;=1,"Terminé",IF(E59="","À planifier",IF(P_DateRef&lt;E59,"À venir",IF(OR(P_DateRef&gt;G59,N(H59)&lt;I59-P_Tol),"En retard","En cours")))))</f>
        <v/>
      </c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</row>
    <row r="60" customFormat="false" ht="15" hidden="false" customHeight="false" outlineLevel="0" collapsed="false">
      <c r="A60" s="68"/>
      <c r="B60" s="25"/>
      <c r="C60" s="25"/>
      <c r="D60" s="25"/>
      <c r="E60" s="69"/>
      <c r="F60" s="70"/>
      <c r="G60" s="71" t="str">
        <f aca="false">IF(OR(E60="",F60=""),"",E60+F60-1)</f>
        <v/>
      </c>
      <c r="H60" s="72"/>
      <c r="I60" s="73" t="str">
        <f aca="false">IF(OR(E60="",F60=""),"",MAX(0,MIN(1,(P_DateRef-E60+1)/F60)))</f>
        <v/>
      </c>
      <c r="J60" s="73" t="str">
        <f aca="false">IF(I60="","",N(H60)-I60)</f>
        <v/>
      </c>
      <c r="K60" s="74" t="str">
        <f aca="false">IF(C60="","",IF(N(H60)&gt;=1,"Terminé",IF(E60="","À planifier",IF(P_DateRef&lt;E60,"À venir",IF(OR(P_DateRef&gt;G60,N(H60)&lt;I60-P_Tol),"En retard","En cours")))))</f>
        <v/>
      </c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</row>
    <row r="61" customFormat="false" ht="15" hidden="false" customHeight="false" outlineLevel="0" collapsed="false">
      <c r="A61" s="68"/>
      <c r="B61" s="25"/>
      <c r="C61" s="25"/>
      <c r="D61" s="25"/>
      <c r="E61" s="69"/>
      <c r="F61" s="70"/>
      <c r="G61" s="71" t="str">
        <f aca="false">IF(OR(E61="",F61=""),"",E61+F61-1)</f>
        <v/>
      </c>
      <c r="H61" s="72"/>
      <c r="I61" s="73" t="str">
        <f aca="false">IF(OR(E61="",F61=""),"",MAX(0,MIN(1,(P_DateRef-E61+1)/F61)))</f>
        <v/>
      </c>
      <c r="J61" s="73" t="str">
        <f aca="false">IF(I61="","",N(H61)-I61)</f>
        <v/>
      </c>
      <c r="K61" s="74" t="str">
        <f aca="false">IF(C61="","",IF(N(H61)&gt;=1,"Terminé",IF(E61="","À planifier",IF(P_DateRef&lt;E61,"À venir",IF(OR(P_DateRef&gt;G61,N(H61)&lt;I61-P_Tol),"En retard","En cours")))))</f>
        <v/>
      </c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</row>
    <row r="62" customFormat="false" ht="15" hidden="false" customHeight="false" outlineLevel="0" collapsed="false">
      <c r="A62" s="68"/>
      <c r="B62" s="25"/>
      <c r="C62" s="25"/>
      <c r="D62" s="25"/>
      <c r="E62" s="69"/>
      <c r="F62" s="70"/>
      <c r="G62" s="71" t="str">
        <f aca="false">IF(OR(E62="",F62=""),"",E62+F62-1)</f>
        <v/>
      </c>
      <c r="H62" s="72"/>
      <c r="I62" s="73" t="str">
        <f aca="false">IF(OR(E62="",F62=""),"",MAX(0,MIN(1,(P_DateRef-E62+1)/F62)))</f>
        <v/>
      </c>
      <c r="J62" s="73" t="str">
        <f aca="false">IF(I62="","",N(H62)-I62)</f>
        <v/>
      </c>
      <c r="K62" s="74" t="str">
        <f aca="false">IF(C62="","",IF(N(H62)&gt;=1,"Terminé",IF(E62="","À planifier",IF(P_DateRef&lt;E62,"À venir",IF(OR(P_DateRef&gt;G62,N(H62)&lt;I62-P_Tol),"En retard","En cours")))))</f>
        <v/>
      </c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</row>
    <row r="63" customFormat="false" ht="15" hidden="false" customHeight="false" outlineLevel="0" collapsed="false">
      <c r="A63" s="68"/>
      <c r="B63" s="25"/>
      <c r="C63" s="25"/>
      <c r="D63" s="25"/>
      <c r="E63" s="69"/>
      <c r="F63" s="70"/>
      <c r="G63" s="71" t="str">
        <f aca="false">IF(OR(E63="",F63=""),"",E63+F63-1)</f>
        <v/>
      </c>
      <c r="H63" s="72"/>
      <c r="I63" s="73" t="str">
        <f aca="false">IF(OR(E63="",F63=""),"",MAX(0,MIN(1,(P_DateRef-E63+1)/F63)))</f>
        <v/>
      </c>
      <c r="J63" s="73" t="str">
        <f aca="false">IF(I63="","",N(H63)-I63)</f>
        <v/>
      </c>
      <c r="K63" s="74" t="str">
        <f aca="false">IF(C63="","",IF(N(H63)&gt;=1,"Terminé",IF(E63="","À planifier",IF(P_DateRef&lt;E63,"À venir",IF(OR(P_DateRef&gt;G63,N(H63)&lt;I63-P_Tol),"En retard","En cours")))))</f>
        <v/>
      </c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</row>
    <row r="64" customFormat="false" ht="15" hidden="false" customHeight="false" outlineLevel="0" collapsed="false">
      <c r="A64" s="68"/>
      <c r="B64" s="25"/>
      <c r="C64" s="25"/>
      <c r="D64" s="25"/>
      <c r="E64" s="69"/>
      <c r="F64" s="70"/>
      <c r="G64" s="71" t="str">
        <f aca="false">IF(OR(E64="",F64=""),"",E64+F64-1)</f>
        <v/>
      </c>
      <c r="H64" s="72"/>
      <c r="I64" s="73" t="str">
        <f aca="false">IF(OR(E64="",F64=""),"",MAX(0,MIN(1,(P_DateRef-E64+1)/F64)))</f>
        <v/>
      </c>
      <c r="J64" s="73" t="str">
        <f aca="false">IF(I64="","",N(H64)-I64)</f>
        <v/>
      </c>
      <c r="K64" s="74" t="str">
        <f aca="false">IF(C64="","",IF(N(H64)&gt;=1,"Terminé",IF(E64="","À planifier",IF(P_DateRef&lt;E64,"À venir",IF(OR(P_DateRef&gt;G64,N(H64)&lt;I64-P_Tol),"En retard","En cours")))))</f>
        <v/>
      </c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</row>
    <row r="65" customFormat="false" ht="15" hidden="false" customHeight="false" outlineLevel="0" collapsed="false">
      <c r="A65" s="68"/>
      <c r="B65" s="25"/>
      <c r="C65" s="25"/>
      <c r="D65" s="25"/>
      <c r="E65" s="69"/>
      <c r="F65" s="70"/>
      <c r="G65" s="71" t="str">
        <f aca="false">IF(OR(E65="",F65=""),"",E65+F65-1)</f>
        <v/>
      </c>
      <c r="H65" s="72"/>
      <c r="I65" s="73" t="str">
        <f aca="false">IF(OR(E65="",F65=""),"",MAX(0,MIN(1,(P_DateRef-E65+1)/F65)))</f>
        <v/>
      </c>
      <c r="J65" s="73" t="str">
        <f aca="false">IF(I65="","",N(H65)-I65)</f>
        <v/>
      </c>
      <c r="K65" s="74" t="str">
        <f aca="false">IF(C65="","",IF(N(H65)&gt;=1,"Terminé",IF(E65="","À planifier",IF(P_DateRef&lt;E65,"À venir",IF(OR(P_DateRef&gt;G65,N(H65)&lt;I65-P_Tol),"En retard","En cours")))))</f>
        <v/>
      </c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</row>
    <row r="66" customFormat="false" ht="15" hidden="false" customHeight="false" outlineLevel="0" collapsed="false">
      <c r="A66" s="68"/>
      <c r="B66" s="25"/>
      <c r="C66" s="25"/>
      <c r="D66" s="25"/>
      <c r="E66" s="69"/>
      <c r="F66" s="70"/>
      <c r="G66" s="71" t="str">
        <f aca="false">IF(OR(E66="",F66=""),"",E66+F66-1)</f>
        <v/>
      </c>
      <c r="H66" s="72"/>
      <c r="I66" s="73" t="str">
        <f aca="false">IF(OR(E66="",F66=""),"",MAX(0,MIN(1,(P_DateRef-E66+1)/F66)))</f>
        <v/>
      </c>
      <c r="J66" s="73" t="str">
        <f aca="false">IF(I66="","",N(H66)-I66)</f>
        <v/>
      </c>
      <c r="K66" s="74" t="str">
        <f aca="false">IF(C66="","",IF(N(H66)&gt;=1,"Terminé",IF(E66="","À planifier",IF(P_DateRef&lt;E66,"À venir",IF(OR(P_DateRef&gt;G66,N(H66)&lt;I66-P_Tol),"En retard","En cours")))))</f>
        <v/>
      </c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</row>
    <row r="67" customFormat="false" ht="15" hidden="false" customHeight="false" outlineLevel="0" collapsed="false">
      <c r="A67" s="68"/>
      <c r="B67" s="25"/>
      <c r="C67" s="25"/>
      <c r="D67" s="25"/>
      <c r="E67" s="69"/>
      <c r="F67" s="70"/>
      <c r="G67" s="71" t="str">
        <f aca="false">IF(OR(E67="",F67=""),"",E67+F67-1)</f>
        <v/>
      </c>
      <c r="H67" s="72"/>
      <c r="I67" s="73" t="str">
        <f aca="false">IF(OR(E67="",F67=""),"",MAX(0,MIN(1,(P_DateRef-E67+1)/F67)))</f>
        <v/>
      </c>
      <c r="J67" s="73" t="str">
        <f aca="false">IF(I67="","",N(H67)-I67)</f>
        <v/>
      </c>
      <c r="K67" s="74" t="str">
        <f aca="false">IF(C67="","",IF(N(H67)&gt;=1,"Terminé",IF(E67="","À planifier",IF(P_DateRef&lt;E67,"À venir",IF(OR(P_DateRef&gt;G67,N(H67)&lt;I67-P_Tol),"En retard","En cours")))))</f>
        <v/>
      </c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</row>
  </sheetData>
  <autoFilter ref="A7:K67"/>
  <mergeCells count="5">
    <mergeCell ref="A1:AY1"/>
    <mergeCell ref="A2:AY2"/>
    <mergeCell ref="A3:AY3"/>
    <mergeCell ref="A4:AY4"/>
    <mergeCell ref="A5:C5"/>
  </mergeCells>
  <conditionalFormatting sqref="L8:AY67">
    <cfRule type="expression" priority="2" aboveAverage="0" equalAverage="0" bottom="0" percent="0" rank="0" text="" dxfId="15">
      <formula>AND($E8&lt;&gt;"",$F8&lt;&gt;"",L$7&lt;=$G8,L$7+6&gt;=$E8,L$7&lt;$E8+$F8*N($H8))</formula>
    </cfRule>
    <cfRule type="expression" priority="3" aboveAverage="0" equalAverage="0" bottom="0" percent="0" rank="0" text="" dxfId="16">
      <formula>AND($E8&lt;&gt;"",$F8&lt;&gt;"",L$7&lt;=$G8,L$7+6&gt;=$E8,$K8="En retard")</formula>
    </cfRule>
    <cfRule type="expression" priority="4" aboveAverage="0" equalAverage="0" bottom="0" percent="0" rank="0" text="" dxfId="17">
      <formula>AND($E8&lt;&gt;"",$F8&lt;&gt;"",L$7&lt;=$G8,L$7+6&gt;=$E8)</formula>
    </cfRule>
  </conditionalFormatting>
  <conditionalFormatting sqref="L7:AY67">
    <cfRule type="expression" priority="5" aboveAverage="0" equalAverage="0" bottom="0" percent="0" rank="0" text="" dxfId="18">
      <formula>AND(P_DateRef&gt;=L$7,P_DateRef&lt;L$7+7)</formula>
    </cfRule>
  </conditionalFormatting>
  <conditionalFormatting sqref="K8:K67">
    <cfRule type="cellIs" priority="6" operator="equal" aboveAverage="0" equalAverage="0" bottom="0" percent="0" rank="0" text="" dxfId="3">
      <formula>"En retard"</formula>
    </cfRule>
    <cfRule type="cellIs" priority="7" operator="equal" aboveAverage="0" equalAverage="0" bottom="0" percent="0" rank="0" text="" dxfId="2">
      <formula>"En cours"</formula>
    </cfRule>
    <cfRule type="cellIs" priority="8" operator="equal" aboveAverage="0" equalAverage="0" bottom="0" percent="0" rank="0" text="" dxfId="1">
      <formula>"Terminé"</formula>
    </cfRule>
    <cfRule type="cellIs" priority="9" operator="equal" aboveAverage="0" equalAverage="0" bottom="0" percent="0" rank="0" text="" dxfId="5">
      <formula>"À venir"</formula>
    </cfRule>
    <cfRule type="cellIs" priority="10" operator="equal" aboveAverage="0" equalAverage="0" bottom="0" percent="0" rank="0" text="" dxfId="5">
      <formula>"À planifier"</formula>
    </cfRule>
  </conditionalFormatting>
  <conditionalFormatting sqref="J8:J67">
    <cfRule type="expression" priority="11" aboveAverage="0" equalAverage="0" bottom="0" percent="0" rank="0" text="" dxfId="19">
      <formula>AND(J8&lt;&gt;"",J8&lt;-P_Tol)</formula>
    </cfRule>
  </conditionalFormatting>
  <dataValidations count="2">
    <dataValidation allowBlank="true" errorStyle="stop" operator="between" showDropDown="false" showErrorMessage="true" showInputMessage="false" sqref="B8:B67" type="list">
      <formula1>L_Lots</formula1>
      <formula2>0</formula2>
    </dataValidation>
    <dataValidation allowBlank="true" errorStyle="stop" operator="between" showDropDown="false" showErrorMessage="false" showInputMessage="false" sqref="D8:D67" type="list">
      <formula1>L_Equipes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6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customFormat="false" ht="19.5" hidden="false" customHeight="true" outlineLevel="0" collapsed="false">
      <c r="A2" s="20" t="s">
        <v>420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30" hidden="false" customHeight="true" outlineLevel="0" collapsed="false">
      <c r="A4" s="21" t="s">
        <v>421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6" customFormat="false" ht="31.5" hidden="false" customHeight="true" outlineLevel="0" collapsed="false">
      <c r="A6" s="23" t="s">
        <v>319</v>
      </c>
      <c r="B6" s="23" t="s">
        <v>422</v>
      </c>
      <c r="C6" s="23" t="s">
        <v>423</v>
      </c>
      <c r="D6" s="23" t="s">
        <v>424</v>
      </c>
      <c r="E6" s="23" t="s">
        <v>425</v>
      </c>
      <c r="F6" s="23" t="s">
        <v>426</v>
      </c>
      <c r="G6" s="23" t="s">
        <v>272</v>
      </c>
      <c r="H6" s="23" t="s">
        <v>273</v>
      </c>
      <c r="I6" s="23" t="s">
        <v>323</v>
      </c>
      <c r="J6" s="23" t="s">
        <v>427</v>
      </c>
      <c r="K6" s="23" t="s">
        <v>325</v>
      </c>
    </row>
    <row r="7" customFormat="false" ht="15" hidden="false" customHeight="false" outlineLevel="0" collapsed="false">
      <c r="A7" s="76" t="str">
        <f aca="false">IF(INDEX(L_Lots,7-6)="","",INDEX(L_Lots,7-6))</f>
        <v>L00 Installation &amp; repli</v>
      </c>
      <c r="B7" s="28" t="n">
        <v>22000000</v>
      </c>
      <c r="C7" s="31" t="n">
        <f aca="false">IF(A7="","",SUMIFS(BC_HT,BC_Lot,A7))</f>
        <v>0</v>
      </c>
      <c r="D7" s="31" t="n">
        <f aca="false">IF(A7="","",SUMIFS(FA_HT,FA_Lot,A7))</f>
        <v>0</v>
      </c>
      <c r="E7" s="31" t="n">
        <f aca="false">IF(A7="","",SUMIFS(PT_Cout,PT_Lot,A7))</f>
        <v>70000</v>
      </c>
      <c r="F7" s="28" t="n">
        <v>1500000</v>
      </c>
      <c r="G7" s="31" t="n">
        <f aca="false">IF(A7="","",N(D7)+N(E7)+N(F7))</f>
        <v>1570000</v>
      </c>
      <c r="H7" s="31" t="n">
        <f aca="false">IF(A7="","",N(B7)-G7)</f>
        <v>20430000</v>
      </c>
      <c r="I7" s="73" t="n">
        <f aca="false">IF(OR(A7="",N(B7)=0),"",G7/B7)</f>
        <v>0.0713636363636364</v>
      </c>
      <c r="J7" s="73" t="n">
        <f aca="false">IF(A7="","",IFERROR(SUMPRODUCT((PL_Lot=A7)*PL_Duree*PL_Real)/SUMIFS(PL_Duree,PL_Lot,A7),""))</f>
        <v>0.5</v>
      </c>
      <c r="K7" s="74" t="str">
        <f aca="false">IF(I7="","",IF(G7&gt;N(B7),"Dépassement",IF(I7-IF(J7="",0,J7)&gt;P_Tol,"Surconsommation","OK")))</f>
        <v>OK</v>
      </c>
    </row>
    <row r="8" customFormat="false" ht="15" hidden="false" customHeight="false" outlineLevel="0" collapsed="false">
      <c r="A8" s="76" t="str">
        <f aca="false">IF(INDEX(L_Lots,8-6)="","",INDEX(L_Lots,8-6))</f>
        <v>R01 Route – reprofilage lourd</v>
      </c>
      <c r="B8" s="28" t="n">
        <v>190000000</v>
      </c>
      <c r="C8" s="31" t="n">
        <f aca="false">IF(A8="","",SUMIFS(BC_HT,BC_Lot,A8))</f>
        <v>25025000</v>
      </c>
      <c r="D8" s="31" t="n">
        <f aca="false">IF(A8="","",SUMIFS(FA_HT,FA_Lot,A8))</f>
        <v>67525000</v>
      </c>
      <c r="E8" s="31" t="n">
        <f aca="false">IF(A8="","",SUMIFS(PT_Cout,PT_Lot,A8))</f>
        <v>63500</v>
      </c>
      <c r="F8" s="28" t="n">
        <v>6000000</v>
      </c>
      <c r="G8" s="31" t="n">
        <f aca="false">IF(A8="","",N(D8)+N(E8)+N(F8))</f>
        <v>73588500</v>
      </c>
      <c r="H8" s="31" t="n">
        <f aca="false">IF(A8="","",N(B8)-G8)</f>
        <v>116411500</v>
      </c>
      <c r="I8" s="73" t="n">
        <f aca="false">IF(OR(A8="",N(B8)=0),"",G8/B8)</f>
        <v>0.387307894736842</v>
      </c>
      <c r="J8" s="73" t="n">
        <f aca="false">IF(A8="","",IFERROR(SUMPRODUCT((PL_Lot=A8)*PL_Duree*PL_Real)/SUMIFS(PL_Duree,PL_Lot,A8),""))</f>
        <v>0.401470588235294</v>
      </c>
      <c r="K8" s="74" t="str">
        <f aca="false">IF(I8="","",IF(G8&gt;N(B8),"Dépassement",IF(I8-IF(J8="",0,J8)&gt;P_Tol,"Surconsommation","OK")))</f>
        <v>OK</v>
      </c>
    </row>
    <row r="9" customFormat="false" ht="15" hidden="false" customHeight="false" outlineLevel="0" collapsed="false">
      <c r="A9" s="76" t="str">
        <f aca="false">IF(INDEX(L_Lots,9-6)="","",INDEX(L_Lots,9-6))</f>
        <v>R02 Route – points critiques</v>
      </c>
      <c r="B9" s="28" t="n">
        <v>55000000</v>
      </c>
      <c r="C9" s="31" t="n">
        <f aca="false">IF(A9="","",SUMIFS(BC_HT,BC_Lot,A9))</f>
        <v>0</v>
      </c>
      <c r="D9" s="31" t="n">
        <f aca="false">IF(A9="","",SUMIFS(FA_HT,FA_Lot,A9))</f>
        <v>0</v>
      </c>
      <c r="E9" s="31" t="n">
        <f aca="false">IF(A9="","",SUMIFS(PT_Cout,PT_Lot,A9))</f>
        <v>0</v>
      </c>
      <c r="F9" s="28" t="n">
        <v>0</v>
      </c>
      <c r="G9" s="31" t="n">
        <f aca="false">IF(A9="","",N(D9)+N(E9)+N(F9))</f>
        <v>0</v>
      </c>
      <c r="H9" s="31" t="n">
        <f aca="false">IF(A9="","",N(B9)-G9)</f>
        <v>55000000</v>
      </c>
      <c r="I9" s="73" t="n">
        <f aca="false">IF(OR(A9="",N(B9)=0),"",G9/B9)</f>
        <v>0</v>
      </c>
      <c r="J9" s="73" t="n">
        <f aca="false">IF(A9="","",IFERROR(SUMPRODUCT((PL_Lot=A9)*PL_Duree*PL_Real)/SUMIFS(PL_Duree,PL_Lot,A9),""))</f>
        <v>0.5</v>
      </c>
      <c r="K9" s="74" t="str">
        <f aca="false">IF(I9="","",IF(G9&gt;N(B9),"Dépassement",IF(I9-IF(J9="",0,J9)&gt;P_Tol,"Surconsommation","OK")))</f>
        <v>OK</v>
      </c>
    </row>
    <row r="10" customFormat="false" ht="23.85" hidden="false" customHeight="false" outlineLevel="0" collapsed="false">
      <c r="A10" s="76" t="str">
        <f aca="false">IF(INDEX(L_Lots,10-6)="","",INDEX(L_Lots,10-6))</f>
        <v>R03 Ouvrages – buses Ø800/Ø1000</v>
      </c>
      <c r="B10" s="28" t="n">
        <v>30000000</v>
      </c>
      <c r="C10" s="31" t="n">
        <f aca="false">IF(A10="","",SUMIFS(BC_HT,BC_Lot,A10))</f>
        <v>11580000</v>
      </c>
      <c r="D10" s="31" t="n">
        <f aca="false">IF(A10="","",SUMIFS(FA_HT,FA_Lot,A10))</f>
        <v>4500000</v>
      </c>
      <c r="E10" s="31" t="n">
        <f aca="false">IF(A10="","",SUMIFS(PT_Cout,PT_Lot,A10))</f>
        <v>0</v>
      </c>
      <c r="F10" s="28" t="n">
        <v>0</v>
      </c>
      <c r="G10" s="31" t="n">
        <f aca="false">IF(A10="","",N(D10)+N(E10)+N(F10))</f>
        <v>4500000</v>
      </c>
      <c r="H10" s="31" t="n">
        <f aca="false">IF(A10="","",N(B10)-G10)</f>
        <v>25500000</v>
      </c>
      <c r="I10" s="73" t="n">
        <f aca="false">IF(OR(A10="",N(B10)=0),"",G10/B10)</f>
        <v>0.15</v>
      </c>
      <c r="J10" s="73" t="n">
        <f aca="false">IF(A10="","",IFERROR(SUMPRODUCT((PL_Lot=A10)*PL_Duree*PL_Real)/SUMIFS(PL_Duree,PL_Lot,A10),""))</f>
        <v>0.26</v>
      </c>
      <c r="K10" s="74" t="str">
        <f aca="false">IF(I10="","",IF(G10&gt;N(B10),"Dépassement",IF(I10-IF(J10="",0,J10)&gt;P_Tol,"Surconsommation","OK")))</f>
        <v>OK</v>
      </c>
    </row>
    <row r="11" customFormat="false" ht="15" hidden="false" customHeight="false" outlineLevel="0" collapsed="false">
      <c r="A11" s="76" t="str">
        <f aca="false">IF(INDEX(L_Lots,11-6)="","",INDEX(L_Lots,11-6))</f>
        <v>R04 Ouvrages – dalots</v>
      </c>
      <c r="B11" s="28" t="n">
        <v>85000000</v>
      </c>
      <c r="C11" s="31" t="n">
        <f aca="false">IF(A11="","",SUMIFS(BC_HT,BC_Lot,A11))</f>
        <v>16220000</v>
      </c>
      <c r="D11" s="31" t="n">
        <f aca="false">IF(A11="","",SUMIFS(FA_HT,FA_Lot,A11))</f>
        <v>16220000</v>
      </c>
      <c r="E11" s="31" t="n">
        <f aca="false">IF(A11="","",SUMIFS(PT_Cout,PT_Lot,A11))</f>
        <v>69000</v>
      </c>
      <c r="F11" s="28" t="n">
        <v>0</v>
      </c>
      <c r="G11" s="31" t="n">
        <f aca="false">IF(A11="","",N(D11)+N(E11)+N(F11))</f>
        <v>16289000</v>
      </c>
      <c r="H11" s="31" t="n">
        <f aca="false">IF(A11="","",N(B11)-G11)</f>
        <v>68711000</v>
      </c>
      <c r="I11" s="73" t="n">
        <f aca="false">IF(OR(A11="",N(B11)=0),"",G11/B11)</f>
        <v>0.191635294117647</v>
      </c>
      <c r="J11" s="73" t="n">
        <f aca="false">IF(A11="","",IFERROR(SUMPRODUCT((PL_Lot=A11)*PL_Duree*PL_Real)/SUMIFS(PL_Duree,PL_Lot,A11),""))</f>
        <v>0.431666666666667</v>
      </c>
      <c r="K11" s="74" t="str">
        <f aca="false">IF(I11="","",IF(G11&gt;N(B11),"Dépassement",IF(I11-IF(J11="",0,J11)&gt;P_Tol,"Surconsommation","OK")))</f>
        <v>OK</v>
      </c>
    </row>
    <row r="12" customFormat="false" ht="15" hidden="false" customHeight="false" outlineLevel="0" collapsed="false">
      <c r="A12" s="76" t="str">
        <f aca="false">IF(INDEX(L_Lots,12-6)="","",INDEX(L_Lots,12-6))</f>
        <v>B01 Bâtiment – gros œuvre</v>
      </c>
      <c r="B12" s="28" t="n">
        <v>55000000</v>
      </c>
      <c r="C12" s="31" t="n">
        <f aca="false">IF(A12="","",SUMIFS(BC_HT,BC_Lot,A12))</f>
        <v>3225000</v>
      </c>
      <c r="D12" s="31" t="n">
        <f aca="false">IF(A12="","",SUMIFS(FA_HT,FA_Lot,A12))</f>
        <v>3225000</v>
      </c>
      <c r="E12" s="31" t="n">
        <f aca="false">IF(A12="","",SUMIFS(PT_Cout,PT_Lot,A12))</f>
        <v>46250</v>
      </c>
      <c r="F12" s="28" t="n">
        <v>0</v>
      </c>
      <c r="G12" s="31" t="n">
        <f aca="false">IF(A12="","",N(D12)+N(E12)+N(F12))</f>
        <v>3271250</v>
      </c>
      <c r="H12" s="31" t="n">
        <f aca="false">IF(A12="","",N(B12)-G12)</f>
        <v>51728750</v>
      </c>
      <c r="I12" s="73" t="n">
        <f aca="false">IF(OR(A12="",N(B12)=0),"",G12/B12)</f>
        <v>0.0594772727272727</v>
      </c>
      <c r="J12" s="73" t="n">
        <f aca="false">IF(A12="","",IFERROR(SUMPRODUCT((PL_Lot=A12)*PL_Duree*PL_Real)/SUMIFS(PL_Duree,PL_Lot,A12),""))</f>
        <v>0.6</v>
      </c>
      <c r="K12" s="74" t="str">
        <f aca="false">IF(I12="","",IF(G12&gt;N(B12),"Dépassement",IF(I12-IF(J12="",0,J12)&gt;P_Tol,"Surconsommation","OK")))</f>
        <v>OK</v>
      </c>
    </row>
    <row r="13" customFormat="false" ht="23.85" hidden="false" customHeight="false" outlineLevel="0" collapsed="false">
      <c r="A13" s="76" t="str">
        <f aca="false">IF(INDEX(L_Lots,13-6)="","",INDEX(L_Lots,13-6))</f>
        <v>B02 Bâtiment – second œuvre TCE</v>
      </c>
      <c r="B13" s="28" t="n">
        <v>42000000</v>
      </c>
      <c r="C13" s="31" t="n">
        <f aca="false">IF(A13="","",SUMIFS(BC_HT,BC_Lot,A13))</f>
        <v>0</v>
      </c>
      <c r="D13" s="31" t="n">
        <f aca="false">IF(A13="","",SUMIFS(FA_HT,FA_Lot,A13))</f>
        <v>0</v>
      </c>
      <c r="E13" s="31" t="n">
        <f aca="false">IF(A13="","",SUMIFS(PT_Cout,PT_Lot,A13))</f>
        <v>0</v>
      </c>
      <c r="F13" s="28" t="n">
        <v>0</v>
      </c>
      <c r="G13" s="31" t="n">
        <f aca="false">IF(A13="","",N(D13)+N(E13)+N(F13))</f>
        <v>0</v>
      </c>
      <c r="H13" s="31" t="n">
        <f aca="false">IF(A13="","",N(B13)-G13)</f>
        <v>42000000</v>
      </c>
      <c r="I13" s="73" t="n">
        <f aca="false">IF(OR(A13="",N(B13)=0),"",G13/B13)</f>
        <v>0</v>
      </c>
      <c r="J13" s="73" t="n">
        <f aca="false">IF(A13="","",IFERROR(SUMPRODUCT((PL_Lot=A13)*PL_Duree*PL_Real)/SUMIFS(PL_Duree,PL_Lot,A13),""))</f>
        <v>0</v>
      </c>
      <c r="K13" s="74" t="str">
        <f aca="false">IF(I13="","",IF(G13&gt;N(B13),"Dépassement",IF(I13-IF(J13="",0,J13)&gt;P_Tol,"Surconsommation","OK")))</f>
        <v>OK</v>
      </c>
    </row>
    <row r="14" customFormat="false" ht="15" hidden="false" customHeight="false" outlineLevel="0" collapsed="false">
      <c r="A14" s="76" t="str">
        <f aca="false">IF(INDEX(L_Lots,14-6)="","",INDEX(L_Lots,14-6))</f>
        <v>C01 Clôture</v>
      </c>
      <c r="B14" s="28" t="n">
        <v>17000000</v>
      </c>
      <c r="C14" s="31" t="n">
        <f aca="false">IF(A14="","",SUMIFS(BC_HT,BC_Lot,A14))</f>
        <v>780000</v>
      </c>
      <c r="D14" s="31" t="n">
        <f aca="false">IF(A14="","",SUMIFS(FA_HT,FA_Lot,A14))</f>
        <v>0</v>
      </c>
      <c r="E14" s="31" t="n">
        <f aca="false">IF(A14="","",SUMIFS(PT_Cout,PT_Lot,A14))</f>
        <v>0</v>
      </c>
      <c r="F14" s="28" t="n">
        <v>0</v>
      </c>
      <c r="G14" s="31" t="n">
        <f aca="false">IF(A14="","",N(D14)+N(E14)+N(F14))</f>
        <v>0</v>
      </c>
      <c r="H14" s="31" t="n">
        <f aca="false">IF(A14="","",N(B14)-G14)</f>
        <v>17000000</v>
      </c>
      <c r="I14" s="73" t="n">
        <f aca="false">IF(OR(A14="",N(B14)=0),"",G14/B14)</f>
        <v>0</v>
      </c>
      <c r="J14" s="73" t="n">
        <f aca="false">IF(A14="","",IFERROR(SUMPRODUCT((PL_Lot=A14)*PL_Duree*PL_Real)/SUMIFS(PL_Duree,PL_Lot,A14),""))</f>
        <v>0.3375</v>
      </c>
      <c r="K14" s="74" t="str">
        <f aca="false">IF(I14="","",IF(G14&gt;N(B14),"Dépassement",IF(I14-IF(J14="",0,J14)&gt;P_Tol,"Surconsommation","OK")))</f>
        <v>OK</v>
      </c>
    </row>
    <row r="15" customFormat="false" ht="15" hidden="false" customHeight="false" outlineLevel="0" collapsed="false">
      <c r="A15" s="76" t="str">
        <f aca="false">IF(INDEX(L_Lots,15-6)="","",INDEX(L_Lots,15-6))</f>
        <v>M01 Charpente métallique</v>
      </c>
      <c r="B15" s="28" t="n">
        <v>34000000</v>
      </c>
      <c r="C15" s="31" t="n">
        <f aca="false">IF(A15="","",SUMIFS(BC_HT,BC_Lot,A15))</f>
        <v>0</v>
      </c>
      <c r="D15" s="31" t="n">
        <f aca="false">IF(A15="","",SUMIFS(FA_HT,FA_Lot,A15))</f>
        <v>9990000</v>
      </c>
      <c r="E15" s="31" t="n">
        <f aca="false">IF(A15="","",SUMIFS(PT_Cout,PT_Lot,A15))</f>
        <v>28000</v>
      </c>
      <c r="F15" s="28" t="n">
        <v>0</v>
      </c>
      <c r="G15" s="31" t="n">
        <f aca="false">IF(A15="","",N(D15)+N(E15)+N(F15))</f>
        <v>10018000</v>
      </c>
      <c r="H15" s="31" t="n">
        <f aca="false">IF(A15="","",N(B15)-G15)</f>
        <v>23982000</v>
      </c>
      <c r="I15" s="73" t="n">
        <f aca="false">IF(OR(A15="",N(B15)=0),"",G15/B15)</f>
        <v>0.294647058823529</v>
      </c>
      <c r="J15" s="73" t="n">
        <f aca="false">IF(A15="","",IFERROR(SUMPRODUCT((PL_Lot=A15)*PL_Duree*PL_Real)/SUMIFS(PL_Duree,PL_Lot,A15),""))</f>
        <v>0.436363636363636</v>
      </c>
      <c r="K15" s="74" t="str">
        <f aca="false">IF(I15="","",IF(G15&gt;N(B15),"Dépassement",IF(I15-IF(J15="",0,J15)&gt;P_Tol,"Surconsommation","OK")))</f>
        <v>OK</v>
      </c>
    </row>
    <row r="16" customFormat="false" ht="15" hidden="false" customHeight="false" outlineLevel="0" collapsed="false">
      <c r="A16" s="76" t="str">
        <f aca="false">IF(INDEX(L_Lots,16-6)="","",INDEX(L_Lots,16-6))</f>
        <v>S01 Contrôle &amp; essais</v>
      </c>
      <c r="B16" s="28" t="n">
        <v>8000000</v>
      </c>
      <c r="C16" s="31" t="n">
        <f aca="false">IF(A16="","",SUMIFS(BC_HT,BC_Lot,A16))</f>
        <v>0</v>
      </c>
      <c r="D16" s="31" t="n">
        <f aca="false">IF(A16="","",SUMIFS(FA_HT,FA_Lot,A16))</f>
        <v>1850000</v>
      </c>
      <c r="E16" s="31" t="n">
        <f aca="false">IF(A16="","",SUMIFS(PT_Cout,PT_Lot,A16))</f>
        <v>24000</v>
      </c>
      <c r="F16" s="28" t="n">
        <v>500000</v>
      </c>
      <c r="G16" s="31" t="n">
        <f aca="false">IF(A16="","",N(D16)+N(E16)+N(F16))</f>
        <v>2374000</v>
      </c>
      <c r="H16" s="31" t="n">
        <f aca="false">IF(A16="","",N(B16)-G16)</f>
        <v>5626000</v>
      </c>
      <c r="I16" s="73" t="n">
        <f aca="false">IF(OR(A16="",N(B16)=0),"",G16/B16)</f>
        <v>0.29675</v>
      </c>
      <c r="J16" s="73" t="n">
        <f aca="false">IF(A16="","",IFERROR(SUMPRODUCT((PL_Lot=A16)*PL_Duree*PL_Real)/SUMIFS(PL_Duree,PL_Lot,A16),""))</f>
        <v>0.304545454545455</v>
      </c>
      <c r="K16" s="74" t="str">
        <f aca="false">IF(I16="","",IF(G16&gt;N(B16),"Dépassement",IF(I16-IF(J16="",0,J16)&gt;P_Tol,"Surconsommation","OK")))</f>
        <v>OK</v>
      </c>
    </row>
    <row r="17" customFormat="false" ht="15" hidden="false" customHeight="false" outlineLevel="0" collapsed="false">
      <c r="A17" s="76" t="str">
        <f aca="false">IF(INDEX(L_Lots,17-6)="","",INDEX(L_Lots,17-6))</f>
        <v/>
      </c>
      <c r="B17" s="28"/>
      <c r="C17" s="31" t="str">
        <f aca="false">IF(A17="","",SUMIFS(BC_HT,BC_Lot,A17))</f>
        <v/>
      </c>
      <c r="D17" s="31" t="str">
        <f aca="false">IF(A17="","",SUMIFS(FA_HT,FA_Lot,A17))</f>
        <v/>
      </c>
      <c r="E17" s="31" t="str">
        <f aca="false">IF(A17="","",SUMIFS(PT_Cout,PT_Lot,A17))</f>
        <v/>
      </c>
      <c r="F17" s="28"/>
      <c r="G17" s="31" t="str">
        <f aca="false">IF(A17="","",N(D17)+N(E17)+N(F17))</f>
        <v/>
      </c>
      <c r="H17" s="31" t="str">
        <f aca="false">IF(A17="","",N(B17)-G17)</f>
        <v/>
      </c>
      <c r="I17" s="73" t="str">
        <f aca="false">IF(OR(A17="",N(B17)=0),"",G17/B17)</f>
        <v/>
      </c>
      <c r="J17" s="73" t="str">
        <f aca="false">IF(A17="","",IFERROR(SUMPRODUCT((PL_Lot=A17)*PL_Duree*PL_Real)/SUMIFS(PL_Duree,PL_Lot,A17),""))</f>
        <v/>
      </c>
      <c r="K17" s="74" t="str">
        <f aca="false">IF(I17="","",IF(G17&gt;N(B17),"Dépassement",IF(I17-IF(J17="",0,J17)&gt;P_Tol,"Surconsommation","OK")))</f>
        <v/>
      </c>
    </row>
    <row r="18" customFormat="false" ht="15" hidden="false" customHeight="false" outlineLevel="0" collapsed="false">
      <c r="A18" s="76" t="str">
        <f aca="false">IF(INDEX(L_Lots,18-6)="","",INDEX(L_Lots,18-6))</f>
        <v/>
      </c>
      <c r="B18" s="28"/>
      <c r="C18" s="31" t="str">
        <f aca="false">IF(A18="","",SUMIFS(BC_HT,BC_Lot,A18))</f>
        <v/>
      </c>
      <c r="D18" s="31" t="str">
        <f aca="false">IF(A18="","",SUMIFS(FA_HT,FA_Lot,A18))</f>
        <v/>
      </c>
      <c r="E18" s="31" t="str">
        <f aca="false">IF(A18="","",SUMIFS(PT_Cout,PT_Lot,A18))</f>
        <v/>
      </c>
      <c r="F18" s="28"/>
      <c r="G18" s="31" t="str">
        <f aca="false">IF(A18="","",N(D18)+N(E18)+N(F18))</f>
        <v/>
      </c>
      <c r="H18" s="31" t="str">
        <f aca="false">IF(A18="","",N(B18)-G18)</f>
        <v/>
      </c>
      <c r="I18" s="73" t="str">
        <f aca="false">IF(OR(A18="",N(B18)=0),"",G18/B18)</f>
        <v/>
      </c>
      <c r="J18" s="73" t="str">
        <f aca="false">IF(A18="","",IFERROR(SUMPRODUCT((PL_Lot=A18)*PL_Duree*PL_Real)/SUMIFS(PL_Duree,PL_Lot,A18),""))</f>
        <v/>
      </c>
      <c r="K18" s="74" t="str">
        <f aca="false">IF(I18="","",IF(G18&gt;N(B18),"Dépassement",IF(I18-IF(J18="",0,J18)&gt;P_Tol,"Surconsommation","OK")))</f>
        <v/>
      </c>
    </row>
    <row r="19" customFormat="false" ht="15" hidden="false" customHeight="false" outlineLevel="0" collapsed="false">
      <c r="A19" s="76" t="str">
        <f aca="false">IF(INDEX(L_Lots,19-6)="","",INDEX(L_Lots,19-6))</f>
        <v/>
      </c>
      <c r="B19" s="28"/>
      <c r="C19" s="31" t="str">
        <f aca="false">IF(A19="","",SUMIFS(BC_HT,BC_Lot,A19))</f>
        <v/>
      </c>
      <c r="D19" s="31" t="str">
        <f aca="false">IF(A19="","",SUMIFS(FA_HT,FA_Lot,A19))</f>
        <v/>
      </c>
      <c r="E19" s="31" t="str">
        <f aca="false">IF(A19="","",SUMIFS(PT_Cout,PT_Lot,A19))</f>
        <v/>
      </c>
      <c r="F19" s="28"/>
      <c r="G19" s="31" t="str">
        <f aca="false">IF(A19="","",N(D19)+N(E19)+N(F19))</f>
        <v/>
      </c>
      <c r="H19" s="31" t="str">
        <f aca="false">IF(A19="","",N(B19)-G19)</f>
        <v/>
      </c>
      <c r="I19" s="73" t="str">
        <f aca="false">IF(OR(A19="",N(B19)=0),"",G19/B19)</f>
        <v/>
      </c>
      <c r="J19" s="73" t="str">
        <f aca="false">IF(A19="","",IFERROR(SUMPRODUCT((PL_Lot=A19)*PL_Duree*PL_Real)/SUMIFS(PL_Duree,PL_Lot,A19),""))</f>
        <v/>
      </c>
      <c r="K19" s="74" t="str">
        <f aca="false">IF(I19="","",IF(G19&gt;N(B19),"Dépassement",IF(I19-IF(J19="",0,J19)&gt;P_Tol,"Surconsommation","OK")))</f>
        <v/>
      </c>
    </row>
    <row r="20" customFormat="false" ht="15" hidden="false" customHeight="false" outlineLevel="0" collapsed="false">
      <c r="A20" s="76" t="str">
        <f aca="false">IF(INDEX(L_Lots,20-6)="","",INDEX(L_Lots,20-6))</f>
        <v/>
      </c>
      <c r="B20" s="28"/>
      <c r="C20" s="31" t="str">
        <f aca="false">IF(A20="","",SUMIFS(BC_HT,BC_Lot,A20))</f>
        <v/>
      </c>
      <c r="D20" s="31" t="str">
        <f aca="false">IF(A20="","",SUMIFS(FA_HT,FA_Lot,A20))</f>
        <v/>
      </c>
      <c r="E20" s="31" t="str">
        <f aca="false">IF(A20="","",SUMIFS(PT_Cout,PT_Lot,A20))</f>
        <v/>
      </c>
      <c r="F20" s="28"/>
      <c r="G20" s="31" t="str">
        <f aca="false">IF(A20="","",N(D20)+N(E20)+N(F20))</f>
        <v/>
      </c>
      <c r="H20" s="31" t="str">
        <f aca="false">IF(A20="","",N(B20)-G20)</f>
        <v/>
      </c>
      <c r="I20" s="73" t="str">
        <f aca="false">IF(OR(A20="",N(B20)=0),"",G20/B20)</f>
        <v/>
      </c>
      <c r="J20" s="73" t="str">
        <f aca="false">IF(A20="","",IFERROR(SUMPRODUCT((PL_Lot=A20)*PL_Duree*PL_Real)/SUMIFS(PL_Duree,PL_Lot,A20),""))</f>
        <v/>
      </c>
      <c r="K20" s="74" t="str">
        <f aca="false">IF(I20="","",IF(G20&gt;N(B20),"Dépassement",IF(I20-IF(J20="",0,J20)&gt;P_Tol,"Surconsommation","OK")))</f>
        <v/>
      </c>
    </row>
    <row r="21" customFormat="false" ht="15" hidden="false" customHeight="false" outlineLevel="0" collapsed="false">
      <c r="A21" s="76" t="str">
        <f aca="false">IF(INDEX(L_Lots,21-6)="","",INDEX(L_Lots,21-6))</f>
        <v/>
      </c>
      <c r="B21" s="28"/>
      <c r="C21" s="31" t="str">
        <f aca="false">IF(A21="","",SUMIFS(BC_HT,BC_Lot,A21))</f>
        <v/>
      </c>
      <c r="D21" s="31" t="str">
        <f aca="false">IF(A21="","",SUMIFS(FA_HT,FA_Lot,A21))</f>
        <v/>
      </c>
      <c r="E21" s="31" t="str">
        <f aca="false">IF(A21="","",SUMIFS(PT_Cout,PT_Lot,A21))</f>
        <v/>
      </c>
      <c r="F21" s="28"/>
      <c r="G21" s="31" t="str">
        <f aca="false">IF(A21="","",N(D21)+N(E21)+N(F21))</f>
        <v/>
      </c>
      <c r="H21" s="31" t="str">
        <f aca="false">IF(A21="","",N(B21)-G21)</f>
        <v/>
      </c>
      <c r="I21" s="73" t="str">
        <f aca="false">IF(OR(A21="",N(B21)=0),"",G21/B21)</f>
        <v/>
      </c>
      <c r="J21" s="73" t="str">
        <f aca="false">IF(A21="","",IFERROR(SUMPRODUCT((PL_Lot=A21)*PL_Duree*PL_Real)/SUMIFS(PL_Duree,PL_Lot,A21),""))</f>
        <v/>
      </c>
      <c r="K21" s="74" t="str">
        <f aca="false">IF(I21="","",IF(G21&gt;N(B21),"Dépassement",IF(I21-IF(J21="",0,J21)&gt;P_Tol,"Surconsommation","OK")))</f>
        <v/>
      </c>
    </row>
    <row r="22" customFormat="false" ht="15" hidden="false" customHeight="false" outlineLevel="0" collapsed="false">
      <c r="A22" s="77" t="s">
        <v>428</v>
      </c>
      <c r="B22" s="78" t="n">
        <f aca="false">SUM(B7:B21)</f>
        <v>538000000</v>
      </c>
      <c r="C22" s="78" t="n">
        <f aca="false">SUM(C7:C21)</f>
        <v>56830000</v>
      </c>
      <c r="D22" s="78" t="n">
        <f aca="false">SUM(D7:D21)</f>
        <v>103310000</v>
      </c>
      <c r="E22" s="78" t="n">
        <f aca="false">SUM(E7:E21)</f>
        <v>300750</v>
      </c>
      <c r="F22" s="78" t="n">
        <f aca="false">SUM(F7:F21)</f>
        <v>8000000</v>
      </c>
      <c r="G22" s="78" t="n">
        <f aca="false">SUM(G7:G21)</f>
        <v>111610750</v>
      </c>
      <c r="H22" s="78" t="n">
        <f aca="false">SUM(H7:H21)</f>
        <v>426389250</v>
      </c>
      <c r="I22" s="79" t="n">
        <f aca="false">IF(B22=0,"",G22/B22)</f>
        <v>0.207454925650558</v>
      </c>
      <c r="J22" s="77"/>
      <c r="K22" s="77"/>
    </row>
    <row r="24" customFormat="false" ht="15" hidden="false" customHeight="false" outlineLevel="0" collapsed="false">
      <c r="A24" s="80" t="s">
        <v>429</v>
      </c>
    </row>
  </sheetData>
  <autoFilter ref="A6:K21"/>
  <mergeCells count="4">
    <mergeCell ref="A1:M1"/>
    <mergeCell ref="A2:M2"/>
    <mergeCell ref="A3:M3"/>
    <mergeCell ref="A4:M4"/>
  </mergeCells>
  <conditionalFormatting sqref="K7:K21">
    <cfRule type="cellIs" priority="2" operator="equal" aboveAverage="0" equalAverage="0" bottom="0" percent="0" rank="0" text="" dxfId="3">
      <formula>"Dépassement"</formula>
    </cfRule>
    <cfRule type="cellIs" priority="3" operator="equal" aboveAverage="0" equalAverage="0" bottom="0" percent="0" rank="0" text="" dxfId="2">
      <formula>"Surconsommation"</formula>
    </cfRule>
    <cfRule type="cellIs" priority="4" operator="equal" aboveAverage="0" equalAverage="0" bottom="0" percent="0" rank="0" text="" dxfId="1">
      <formula>"OK"</formula>
    </cfRule>
  </conditionalFormatting>
  <conditionalFormatting sqref="H7:H21">
    <cfRule type="cellIs" priority="5" operator="lessThan" aboveAverage="0" equalAverage="0" bottom="0" percent="0" rank="0" text="" dxfId="19">
      <formula>0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M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0" min="8" style="0" width="10"/>
    <col collapsed="false" customWidth="true" hidden="false" outlineLevel="0" max="11" min="11" style="0" width="9"/>
    <col collapsed="false" customWidth="true" hidden="false" outlineLevel="0" max="13" min="12" style="0" width="14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customFormat="false" ht="19.5" hidden="false" customHeight="true" outlineLevel="0" collapsed="false">
      <c r="A2" s="20" t="s">
        <v>430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30" hidden="false" customHeight="true" outlineLevel="0" collapsed="false">
      <c r="A4" s="21" t="s">
        <v>431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customFormat="false" ht="15" hidden="false" customHeight="false" outlineLevel="0" collapsed="false">
      <c r="A5" s="4" t="s">
        <v>432</v>
      </c>
      <c r="C5" s="12" t="n">
        <v>2</v>
      </c>
      <c r="E5" s="4" t="s">
        <v>433</v>
      </c>
      <c r="F5" s="81" t="n">
        <v>46296</v>
      </c>
      <c r="H5" s="4" t="s">
        <v>434</v>
      </c>
      <c r="I5" s="81" t="n">
        <v>46326</v>
      </c>
    </row>
    <row r="7" customFormat="false" ht="31.5" hidden="false" customHeight="true" outlineLevel="0" collapsed="false">
      <c r="A7" s="23" t="s">
        <v>435</v>
      </c>
      <c r="B7" s="23" t="s">
        <v>319</v>
      </c>
      <c r="C7" s="23" t="s">
        <v>436</v>
      </c>
      <c r="D7" s="23" t="s">
        <v>302</v>
      </c>
      <c r="E7" s="23" t="s">
        <v>437</v>
      </c>
      <c r="F7" s="23" t="s">
        <v>438</v>
      </c>
      <c r="G7" s="23" t="s">
        <v>439</v>
      </c>
      <c r="H7" s="23" t="s">
        <v>440</v>
      </c>
      <c r="I7" s="23" t="s">
        <v>441</v>
      </c>
      <c r="J7" s="23" t="s">
        <v>442</v>
      </c>
      <c r="K7" s="23" t="s">
        <v>443</v>
      </c>
      <c r="L7" s="23" t="s">
        <v>444</v>
      </c>
      <c r="M7" s="23" t="s">
        <v>445</v>
      </c>
    </row>
    <row r="8" customFormat="false" ht="15" hidden="false" customHeight="false" outlineLevel="0" collapsed="false">
      <c r="A8" s="68" t="s">
        <v>446</v>
      </c>
      <c r="B8" s="25" t="s">
        <v>130</v>
      </c>
      <c r="C8" s="25" t="s">
        <v>447</v>
      </c>
      <c r="D8" s="68" t="s">
        <v>184</v>
      </c>
      <c r="E8" s="82" t="n">
        <v>1</v>
      </c>
      <c r="F8" s="28" t="n">
        <v>30000000</v>
      </c>
      <c r="G8" s="31" t="n">
        <f aca="false">IF(E8="","",E8*N(F8))</f>
        <v>30000000</v>
      </c>
      <c r="H8" s="82" t="n">
        <v>0.6</v>
      </c>
      <c r="I8" s="82" t="n">
        <v>0.1</v>
      </c>
      <c r="J8" s="83" t="n">
        <f aca="false">IF(E8="","",N(H8)+N(I8))</f>
        <v>0.7</v>
      </c>
      <c r="K8" s="73" t="n">
        <f aca="false">IF(N(E8)=0,"",J8/E8)</f>
        <v>0.7</v>
      </c>
      <c r="L8" s="31" t="n">
        <f aca="false">IF(E8="","",N(H8)*N(F8))</f>
        <v>18000000</v>
      </c>
      <c r="M8" s="31" t="n">
        <f aca="false">IF(E8="","",J8*N(F8))</f>
        <v>21000000</v>
      </c>
    </row>
    <row r="9" customFormat="false" ht="15" hidden="false" customHeight="false" outlineLevel="0" collapsed="false">
      <c r="A9" s="68" t="s">
        <v>448</v>
      </c>
      <c r="B9" s="25" t="s">
        <v>242</v>
      </c>
      <c r="C9" s="25" t="s">
        <v>449</v>
      </c>
      <c r="D9" s="68" t="s">
        <v>184</v>
      </c>
      <c r="E9" s="82" t="n">
        <v>1</v>
      </c>
      <c r="F9" s="28" t="n">
        <v>6000000</v>
      </c>
      <c r="G9" s="31" t="n">
        <f aca="false">IF(E9="","",E9*N(F9))</f>
        <v>6000000</v>
      </c>
      <c r="H9" s="82" t="n">
        <v>0.2</v>
      </c>
      <c r="I9" s="82" t="n">
        <v>0.1</v>
      </c>
      <c r="J9" s="83" t="n">
        <f aca="false">IF(E9="","",N(H9)+N(I9))</f>
        <v>0.3</v>
      </c>
      <c r="K9" s="73" t="n">
        <f aca="false">IF(N(E9)=0,"",J9/E9)</f>
        <v>0.3</v>
      </c>
      <c r="L9" s="31" t="n">
        <f aca="false">IF(E9="","",N(H9)*N(F9))</f>
        <v>1200000</v>
      </c>
      <c r="M9" s="31" t="n">
        <f aca="false">IF(E9="","",J9*N(F9))</f>
        <v>1800000</v>
      </c>
    </row>
    <row r="10" customFormat="false" ht="23.85" hidden="false" customHeight="false" outlineLevel="0" collapsed="false">
      <c r="A10" s="68" t="s">
        <v>450</v>
      </c>
      <c r="B10" s="25" t="s">
        <v>151</v>
      </c>
      <c r="C10" s="25" t="s">
        <v>451</v>
      </c>
      <c r="D10" s="68" t="s">
        <v>229</v>
      </c>
      <c r="E10" s="82" t="n">
        <v>160000</v>
      </c>
      <c r="F10" s="28" t="n">
        <v>150</v>
      </c>
      <c r="G10" s="31" t="n">
        <f aca="false">IF(E10="","",E10*N(F10))</f>
        <v>24000000</v>
      </c>
      <c r="H10" s="82" t="n">
        <v>120000</v>
      </c>
      <c r="I10" s="82" t="n">
        <v>30000</v>
      </c>
      <c r="J10" s="83" t="n">
        <f aca="false">IF(E10="","",N(H10)+N(I10))</f>
        <v>150000</v>
      </c>
      <c r="K10" s="73" t="n">
        <f aca="false">IF(N(E10)=0,"",J10/E10)</f>
        <v>0.9375</v>
      </c>
      <c r="L10" s="31" t="n">
        <f aca="false">IF(E10="","",N(H10)*N(F10))</f>
        <v>18000000</v>
      </c>
      <c r="M10" s="31" t="n">
        <f aca="false">IF(E10="","",J10*N(F10))</f>
        <v>22500000</v>
      </c>
    </row>
    <row r="11" customFormat="false" ht="23.85" hidden="false" customHeight="false" outlineLevel="0" collapsed="false">
      <c r="A11" s="68" t="s">
        <v>452</v>
      </c>
      <c r="B11" s="25" t="s">
        <v>151</v>
      </c>
      <c r="C11" s="25" t="s">
        <v>453</v>
      </c>
      <c r="D11" s="68" t="s">
        <v>221</v>
      </c>
      <c r="E11" s="82" t="n">
        <v>20</v>
      </c>
      <c r="F11" s="28" t="n">
        <v>4500000</v>
      </c>
      <c r="G11" s="31" t="n">
        <f aca="false">IF(E11="","",E11*N(F11))</f>
        <v>90000000</v>
      </c>
      <c r="H11" s="82" t="n">
        <v>6</v>
      </c>
      <c r="I11" s="82" t="n">
        <v>2.5</v>
      </c>
      <c r="J11" s="83" t="n">
        <f aca="false">IF(E11="","",N(H11)+N(I11))</f>
        <v>8.5</v>
      </c>
      <c r="K11" s="73" t="n">
        <f aca="false">IF(N(E11)=0,"",J11/E11)</f>
        <v>0.425</v>
      </c>
      <c r="L11" s="31" t="n">
        <f aca="false">IF(E11="","",N(H11)*N(F11))</f>
        <v>27000000</v>
      </c>
      <c r="M11" s="31" t="n">
        <f aca="false">IF(E11="","",J11*N(F11))</f>
        <v>38250000</v>
      </c>
    </row>
    <row r="12" customFormat="false" ht="23.85" hidden="false" customHeight="false" outlineLevel="0" collapsed="false">
      <c r="A12" s="68" t="s">
        <v>454</v>
      </c>
      <c r="B12" s="25" t="s">
        <v>151</v>
      </c>
      <c r="C12" s="25" t="s">
        <v>455</v>
      </c>
      <c r="D12" s="68" t="s">
        <v>235</v>
      </c>
      <c r="E12" s="82" t="n">
        <v>20000</v>
      </c>
      <c r="F12" s="28" t="n">
        <v>5200</v>
      </c>
      <c r="G12" s="31" t="n">
        <f aca="false">IF(E12="","",E12*N(F12))</f>
        <v>104000000</v>
      </c>
      <c r="H12" s="82" t="n">
        <v>6000</v>
      </c>
      <c r="I12" s="82" t="n">
        <v>1800</v>
      </c>
      <c r="J12" s="83" t="n">
        <f aca="false">IF(E12="","",N(H12)+N(I12))</f>
        <v>7800</v>
      </c>
      <c r="K12" s="73" t="n">
        <f aca="false">IF(N(E12)=0,"",J12/E12)</f>
        <v>0.39</v>
      </c>
      <c r="L12" s="31" t="n">
        <f aca="false">IF(E12="","",N(H12)*N(F12))</f>
        <v>31200000</v>
      </c>
      <c r="M12" s="31" t="n">
        <f aca="false">IF(E12="","",J12*N(F12))</f>
        <v>40560000</v>
      </c>
    </row>
    <row r="13" customFormat="false" ht="23.85" hidden="false" customHeight="false" outlineLevel="0" collapsed="false">
      <c r="A13" s="68" t="s">
        <v>456</v>
      </c>
      <c r="B13" s="25" t="s">
        <v>151</v>
      </c>
      <c r="C13" s="25" t="s">
        <v>457</v>
      </c>
      <c r="D13" s="68" t="s">
        <v>210</v>
      </c>
      <c r="E13" s="82" t="n">
        <v>12000</v>
      </c>
      <c r="F13" s="28" t="n">
        <v>1500</v>
      </c>
      <c r="G13" s="31" t="n">
        <f aca="false">IF(E13="","",E13*N(F13))</f>
        <v>18000000</v>
      </c>
      <c r="H13" s="82" t="n">
        <v>0</v>
      </c>
      <c r="I13" s="82" t="n">
        <v>1200</v>
      </c>
      <c r="J13" s="83" t="n">
        <f aca="false">IF(E13="","",N(H13)+N(I13))</f>
        <v>1200</v>
      </c>
      <c r="K13" s="73" t="n">
        <f aca="false">IF(N(E13)=0,"",J13/E13)</f>
        <v>0.1</v>
      </c>
      <c r="L13" s="31" t="n">
        <f aca="false">IF(E13="","",N(H13)*N(F13))</f>
        <v>0</v>
      </c>
      <c r="M13" s="31" t="n">
        <f aca="false">IF(E13="","",J13*N(F13))</f>
        <v>1800000</v>
      </c>
    </row>
    <row r="14" customFormat="false" ht="23.85" hidden="false" customHeight="false" outlineLevel="0" collapsed="false">
      <c r="A14" s="68" t="s">
        <v>458</v>
      </c>
      <c r="B14" s="25" t="s">
        <v>173</v>
      </c>
      <c r="C14" s="25" t="s">
        <v>459</v>
      </c>
      <c r="D14" s="68" t="s">
        <v>235</v>
      </c>
      <c r="E14" s="82" t="n">
        <v>3000</v>
      </c>
      <c r="F14" s="28" t="n">
        <v>3500</v>
      </c>
      <c r="G14" s="31" t="n">
        <f aca="false">IF(E14="","",E14*N(F14))</f>
        <v>10500000</v>
      </c>
      <c r="H14" s="82" t="n">
        <v>1200</v>
      </c>
      <c r="I14" s="82" t="n">
        <v>400</v>
      </c>
      <c r="J14" s="83" t="n">
        <f aca="false">IF(E14="","",N(H14)+N(I14))</f>
        <v>1600</v>
      </c>
      <c r="K14" s="73" t="n">
        <f aca="false">IF(N(E14)=0,"",J14/E14)</f>
        <v>0.533333333333333</v>
      </c>
      <c r="L14" s="31" t="n">
        <f aca="false">IF(E14="","",N(H14)*N(F14))</f>
        <v>4200000</v>
      </c>
      <c r="M14" s="31" t="n">
        <f aca="false">IF(E14="","",J14*N(F14))</f>
        <v>5600000</v>
      </c>
    </row>
    <row r="15" customFormat="false" ht="23.85" hidden="false" customHeight="false" outlineLevel="0" collapsed="false">
      <c r="A15" s="68" t="s">
        <v>460</v>
      </c>
      <c r="B15" s="25" t="s">
        <v>173</v>
      </c>
      <c r="C15" s="25" t="s">
        <v>461</v>
      </c>
      <c r="D15" s="68" t="s">
        <v>235</v>
      </c>
      <c r="E15" s="82" t="n">
        <v>6000</v>
      </c>
      <c r="F15" s="28" t="n">
        <v>7500</v>
      </c>
      <c r="G15" s="31" t="n">
        <f aca="false">IF(E15="","",E15*N(F15))</f>
        <v>45000000</v>
      </c>
      <c r="H15" s="82" t="n">
        <v>2000</v>
      </c>
      <c r="I15" s="82" t="n">
        <v>1000</v>
      </c>
      <c r="J15" s="83" t="n">
        <f aca="false">IF(E15="","",N(H15)+N(I15))</f>
        <v>3000</v>
      </c>
      <c r="K15" s="73" t="n">
        <f aca="false">IF(N(E15)=0,"",J15/E15)</f>
        <v>0.5</v>
      </c>
      <c r="L15" s="31" t="n">
        <f aca="false">IF(E15="","",N(H15)*N(F15))</f>
        <v>15000000</v>
      </c>
      <c r="M15" s="31" t="n">
        <f aca="false">IF(E15="","",J15*N(F15))</f>
        <v>22500000</v>
      </c>
    </row>
    <row r="16" customFormat="false" ht="23.85" hidden="false" customHeight="false" outlineLevel="0" collapsed="false">
      <c r="A16" s="68" t="s">
        <v>462</v>
      </c>
      <c r="B16" s="25" t="s">
        <v>173</v>
      </c>
      <c r="C16" s="25" t="s">
        <v>463</v>
      </c>
      <c r="D16" s="68" t="s">
        <v>235</v>
      </c>
      <c r="E16" s="82" t="n">
        <v>300</v>
      </c>
      <c r="F16" s="28" t="n">
        <v>45000</v>
      </c>
      <c r="G16" s="31" t="n">
        <f aca="false">IF(E16="","",E16*N(F16))</f>
        <v>13500000</v>
      </c>
      <c r="H16" s="82" t="n">
        <v>0</v>
      </c>
      <c r="I16" s="82" t="n">
        <v>0</v>
      </c>
      <c r="J16" s="83" t="n">
        <f aca="false">IF(E16="","",N(H16)+N(I16))</f>
        <v>0</v>
      </c>
      <c r="K16" s="73" t="n">
        <f aca="false">IF(N(E16)=0,"",J16/E16)</f>
        <v>0</v>
      </c>
      <c r="L16" s="31" t="n">
        <f aca="false">IF(E16="","",N(H16)*N(F16))</f>
        <v>0</v>
      </c>
      <c r="M16" s="31" t="n">
        <f aca="false">IF(E16="","",J16*N(F16))</f>
        <v>0</v>
      </c>
    </row>
    <row r="17" customFormat="false" ht="23.85" hidden="false" customHeight="false" outlineLevel="0" collapsed="false">
      <c r="A17" s="68" t="s">
        <v>464</v>
      </c>
      <c r="B17" s="25" t="s">
        <v>191</v>
      </c>
      <c r="C17" s="25" t="s">
        <v>465</v>
      </c>
      <c r="D17" s="68" t="s">
        <v>210</v>
      </c>
      <c r="E17" s="82" t="n">
        <v>48</v>
      </c>
      <c r="F17" s="28" t="n">
        <v>120000</v>
      </c>
      <c r="G17" s="31" t="n">
        <f aca="false">IF(E17="","",E17*N(F17))</f>
        <v>5760000</v>
      </c>
      <c r="H17" s="82" t="n">
        <v>0</v>
      </c>
      <c r="I17" s="82" t="n">
        <v>12</v>
      </c>
      <c r="J17" s="83" t="n">
        <f aca="false">IF(E17="","",N(H17)+N(I17))</f>
        <v>12</v>
      </c>
      <c r="K17" s="73" t="n">
        <f aca="false">IF(N(E17)=0,"",J17/E17)</f>
        <v>0.25</v>
      </c>
      <c r="L17" s="31" t="n">
        <f aca="false">IF(E17="","",N(H17)*N(F17))</f>
        <v>0</v>
      </c>
      <c r="M17" s="31" t="n">
        <f aca="false">IF(E17="","",J17*N(F17))</f>
        <v>1440000</v>
      </c>
    </row>
    <row r="18" customFormat="false" ht="23.85" hidden="false" customHeight="false" outlineLevel="0" collapsed="false">
      <c r="A18" s="68" t="s">
        <v>466</v>
      </c>
      <c r="B18" s="25" t="s">
        <v>191</v>
      </c>
      <c r="C18" s="25" t="s">
        <v>467</v>
      </c>
      <c r="D18" s="68" t="s">
        <v>210</v>
      </c>
      <c r="E18" s="82" t="n">
        <v>60</v>
      </c>
      <c r="F18" s="28" t="n">
        <v>165000</v>
      </c>
      <c r="G18" s="31" t="n">
        <f aca="false">IF(E18="","",E18*N(F18))</f>
        <v>9900000</v>
      </c>
      <c r="H18" s="82" t="n">
        <v>12</v>
      </c>
      <c r="I18" s="82" t="n">
        <v>12</v>
      </c>
      <c r="J18" s="83" t="n">
        <f aca="false">IF(E18="","",N(H18)+N(I18))</f>
        <v>24</v>
      </c>
      <c r="K18" s="73" t="n">
        <f aca="false">IF(N(E18)=0,"",J18/E18)</f>
        <v>0.4</v>
      </c>
      <c r="L18" s="31" t="n">
        <f aca="false">IF(E18="","",N(H18)*N(F18))</f>
        <v>1980000</v>
      </c>
      <c r="M18" s="31" t="n">
        <f aca="false">IF(E18="","",J18*N(F18))</f>
        <v>3960000</v>
      </c>
    </row>
    <row r="19" customFormat="false" ht="23.85" hidden="false" customHeight="false" outlineLevel="0" collapsed="false">
      <c r="A19" s="68" t="s">
        <v>468</v>
      </c>
      <c r="B19" s="25" t="s">
        <v>191</v>
      </c>
      <c r="C19" s="25" t="s">
        <v>469</v>
      </c>
      <c r="D19" s="68" t="s">
        <v>142</v>
      </c>
      <c r="E19" s="82" t="n">
        <v>10</v>
      </c>
      <c r="F19" s="28" t="n">
        <v>850000</v>
      </c>
      <c r="G19" s="31" t="n">
        <f aca="false">IF(E19="","",E19*N(F19))</f>
        <v>8500000</v>
      </c>
      <c r="H19" s="82" t="n">
        <v>0</v>
      </c>
      <c r="I19" s="82" t="n">
        <v>0</v>
      </c>
      <c r="J19" s="83" t="n">
        <f aca="false">IF(E19="","",N(H19)+N(I19))</f>
        <v>0</v>
      </c>
      <c r="K19" s="73" t="n">
        <f aca="false">IF(N(E19)=0,"",J19/E19)</f>
        <v>0</v>
      </c>
      <c r="L19" s="31" t="n">
        <f aca="false">IF(E19="","",N(H19)*N(F19))</f>
        <v>0</v>
      </c>
      <c r="M19" s="31" t="n">
        <f aca="false">IF(E19="","",J19*N(F19))</f>
        <v>0</v>
      </c>
    </row>
    <row r="20" customFormat="false" ht="15" hidden="false" customHeight="false" outlineLevel="0" collapsed="false">
      <c r="A20" s="68" t="s">
        <v>470</v>
      </c>
      <c r="B20" s="25" t="s">
        <v>203</v>
      </c>
      <c r="C20" s="25" t="s">
        <v>471</v>
      </c>
      <c r="D20" s="68" t="s">
        <v>235</v>
      </c>
      <c r="E20" s="82" t="n">
        <v>20</v>
      </c>
      <c r="F20" s="28" t="n">
        <v>85000</v>
      </c>
      <c r="G20" s="31" t="n">
        <f aca="false">IF(E20="","",E20*N(F20))</f>
        <v>1700000</v>
      </c>
      <c r="H20" s="82" t="n">
        <v>12</v>
      </c>
      <c r="I20" s="82" t="n">
        <v>2</v>
      </c>
      <c r="J20" s="83" t="n">
        <f aca="false">IF(E20="","",N(H20)+N(I20))</f>
        <v>14</v>
      </c>
      <c r="K20" s="73" t="n">
        <f aca="false">IF(N(E20)=0,"",J20/E20)</f>
        <v>0.7</v>
      </c>
      <c r="L20" s="31" t="n">
        <f aca="false">IF(E20="","",N(H20)*N(F20))</f>
        <v>1020000</v>
      </c>
      <c r="M20" s="31" t="n">
        <f aca="false">IF(E20="","",J20*N(F20))</f>
        <v>1190000</v>
      </c>
    </row>
    <row r="21" customFormat="false" ht="15" hidden="false" customHeight="false" outlineLevel="0" collapsed="false">
      <c r="A21" s="68" t="s">
        <v>472</v>
      </c>
      <c r="B21" s="25" t="s">
        <v>203</v>
      </c>
      <c r="C21" s="25" t="s">
        <v>473</v>
      </c>
      <c r="D21" s="68" t="s">
        <v>235</v>
      </c>
      <c r="E21" s="82" t="n">
        <v>260</v>
      </c>
      <c r="F21" s="28" t="n">
        <v>220000</v>
      </c>
      <c r="G21" s="31" t="n">
        <f aca="false">IF(E21="","",E21*N(F21))</f>
        <v>57200000</v>
      </c>
      <c r="H21" s="82" t="n">
        <v>70</v>
      </c>
      <c r="I21" s="82" t="n">
        <v>45</v>
      </c>
      <c r="J21" s="83" t="n">
        <f aca="false">IF(E21="","",N(H21)+N(I21))</f>
        <v>115</v>
      </c>
      <c r="K21" s="73" t="n">
        <f aca="false">IF(N(E21)=0,"",J21/E21)</f>
        <v>0.442307692307692</v>
      </c>
      <c r="L21" s="31" t="n">
        <f aca="false">IF(E21="","",N(H21)*N(F21))</f>
        <v>15400000</v>
      </c>
      <c r="M21" s="31" t="n">
        <f aca="false">IF(E21="","",J21*N(F21))</f>
        <v>25300000</v>
      </c>
    </row>
    <row r="22" customFormat="false" ht="15" hidden="false" customHeight="false" outlineLevel="0" collapsed="false">
      <c r="A22" s="68" t="s">
        <v>474</v>
      </c>
      <c r="B22" s="25" t="s">
        <v>203</v>
      </c>
      <c r="C22" s="25" t="s">
        <v>475</v>
      </c>
      <c r="D22" s="68" t="s">
        <v>240</v>
      </c>
      <c r="E22" s="82" t="n">
        <v>26000</v>
      </c>
      <c r="F22" s="28" t="n">
        <v>1100</v>
      </c>
      <c r="G22" s="31" t="n">
        <f aca="false">IF(E22="","",E22*N(F22))</f>
        <v>28600000</v>
      </c>
      <c r="H22" s="82" t="n">
        <v>7000</v>
      </c>
      <c r="I22" s="82" t="n">
        <v>4500</v>
      </c>
      <c r="J22" s="83" t="n">
        <f aca="false">IF(E22="","",N(H22)+N(I22))</f>
        <v>11500</v>
      </c>
      <c r="K22" s="73" t="n">
        <f aca="false">IF(N(E22)=0,"",J22/E22)</f>
        <v>0.442307692307692</v>
      </c>
      <c r="L22" s="31" t="n">
        <f aca="false">IF(E22="","",N(H22)*N(F22))</f>
        <v>7700000</v>
      </c>
      <c r="M22" s="31" t="n">
        <f aca="false">IF(E22="","",J22*N(F22))</f>
        <v>12650000</v>
      </c>
    </row>
    <row r="23" customFormat="false" ht="15" hidden="false" customHeight="false" outlineLevel="0" collapsed="false">
      <c r="A23" s="68" t="s">
        <v>476</v>
      </c>
      <c r="B23" s="25" t="s">
        <v>203</v>
      </c>
      <c r="C23" s="25" t="s">
        <v>477</v>
      </c>
      <c r="D23" s="68" t="s">
        <v>235</v>
      </c>
      <c r="E23" s="82" t="n">
        <v>900</v>
      </c>
      <c r="F23" s="28" t="n">
        <v>9000</v>
      </c>
      <c r="G23" s="31" t="n">
        <f aca="false">IF(E23="","",E23*N(F23))</f>
        <v>8100000</v>
      </c>
      <c r="H23" s="82" t="n">
        <v>300</v>
      </c>
      <c r="I23" s="82" t="n">
        <v>0</v>
      </c>
      <c r="J23" s="83" t="n">
        <f aca="false">IF(E23="","",N(H23)+N(I23))</f>
        <v>300</v>
      </c>
      <c r="K23" s="73" t="n">
        <f aca="false">IF(N(E23)=0,"",J23/E23)</f>
        <v>0.333333333333333</v>
      </c>
      <c r="L23" s="31" t="n">
        <f aca="false">IF(E23="","",N(H23)*N(F23))</f>
        <v>2700000</v>
      </c>
      <c r="M23" s="31" t="n">
        <f aca="false">IF(E23="","",J23*N(F23))</f>
        <v>2700000</v>
      </c>
    </row>
    <row r="24" customFormat="false" ht="15" hidden="false" customHeight="false" outlineLevel="0" collapsed="false">
      <c r="A24" s="68" t="s">
        <v>478</v>
      </c>
      <c r="B24" s="25" t="s">
        <v>203</v>
      </c>
      <c r="C24" s="25" t="s">
        <v>479</v>
      </c>
      <c r="D24" s="68" t="s">
        <v>229</v>
      </c>
      <c r="E24" s="82" t="n">
        <v>250</v>
      </c>
      <c r="F24" s="28" t="n">
        <v>25000</v>
      </c>
      <c r="G24" s="31" t="n">
        <f aca="false">IF(E24="","",E24*N(F24))</f>
        <v>6250000</v>
      </c>
      <c r="H24" s="82" t="n">
        <v>80</v>
      </c>
      <c r="I24" s="82" t="n">
        <v>0</v>
      </c>
      <c r="J24" s="83" t="n">
        <f aca="false">IF(E24="","",N(H24)+N(I24))</f>
        <v>80</v>
      </c>
      <c r="K24" s="73" t="n">
        <f aca="false">IF(N(E24)=0,"",J24/E24)</f>
        <v>0.32</v>
      </c>
      <c r="L24" s="31" t="n">
        <f aca="false">IF(E24="","",N(H24)*N(F24))</f>
        <v>2000000</v>
      </c>
      <c r="M24" s="31" t="n">
        <f aca="false">IF(E24="","",J24*N(F24))</f>
        <v>2000000</v>
      </c>
    </row>
    <row r="25" customFormat="false" ht="23.85" hidden="false" customHeight="false" outlineLevel="0" collapsed="false">
      <c r="A25" s="68" t="s">
        <v>480</v>
      </c>
      <c r="B25" s="25" t="s">
        <v>215</v>
      </c>
      <c r="C25" s="25" t="s">
        <v>481</v>
      </c>
      <c r="D25" s="68" t="s">
        <v>163</v>
      </c>
      <c r="E25" s="82" t="n">
        <v>1</v>
      </c>
      <c r="F25" s="28" t="n">
        <v>62000000</v>
      </c>
      <c r="G25" s="31" t="n">
        <f aca="false">IF(E25="","",E25*N(F25))</f>
        <v>62000000</v>
      </c>
      <c r="H25" s="82" t="n">
        <v>0.3</v>
      </c>
      <c r="I25" s="82" t="n">
        <v>0.15</v>
      </c>
      <c r="J25" s="83" t="n">
        <f aca="false">IF(E25="","",N(H25)+N(I25))</f>
        <v>0.45</v>
      </c>
      <c r="K25" s="73" t="n">
        <f aca="false">IF(N(E25)=0,"",J25/E25)</f>
        <v>0.45</v>
      </c>
      <c r="L25" s="31" t="n">
        <f aca="false">IF(E25="","",N(H25)*N(F25))</f>
        <v>18600000</v>
      </c>
      <c r="M25" s="31" t="n">
        <f aca="false">IF(E25="","",J25*N(F25))</f>
        <v>27900000</v>
      </c>
    </row>
    <row r="26" customFormat="false" ht="23.85" hidden="false" customHeight="false" outlineLevel="0" collapsed="false">
      <c r="A26" s="68" t="s">
        <v>482</v>
      </c>
      <c r="B26" s="25" t="s">
        <v>226</v>
      </c>
      <c r="C26" s="25" t="s">
        <v>483</v>
      </c>
      <c r="D26" s="68" t="s">
        <v>163</v>
      </c>
      <c r="E26" s="82" t="n">
        <v>1</v>
      </c>
      <c r="F26" s="28" t="n">
        <v>9000000</v>
      </c>
      <c r="G26" s="31" t="n">
        <f aca="false">IF(E26="","",E26*N(F26))</f>
        <v>9000000</v>
      </c>
      <c r="H26" s="82" t="n">
        <v>0</v>
      </c>
      <c r="I26" s="82" t="n">
        <v>0</v>
      </c>
      <c r="J26" s="83" t="n">
        <f aca="false">IF(E26="","",N(H26)+N(I26))</f>
        <v>0</v>
      </c>
      <c r="K26" s="73" t="n">
        <f aca="false">IF(N(E26)=0,"",J26/E26)</f>
        <v>0</v>
      </c>
      <c r="L26" s="31" t="n">
        <f aca="false">IF(E26="","",N(H26)*N(F26))</f>
        <v>0</v>
      </c>
      <c r="M26" s="31" t="n">
        <f aca="false">IF(E26="","",J26*N(F26))</f>
        <v>0</v>
      </c>
    </row>
    <row r="27" customFormat="false" ht="23.85" hidden="false" customHeight="false" outlineLevel="0" collapsed="false">
      <c r="A27" s="68" t="s">
        <v>484</v>
      </c>
      <c r="B27" s="25" t="s">
        <v>226</v>
      </c>
      <c r="C27" s="25" t="s">
        <v>485</v>
      </c>
      <c r="D27" s="68" t="s">
        <v>163</v>
      </c>
      <c r="E27" s="82" t="n">
        <v>1</v>
      </c>
      <c r="F27" s="28" t="n">
        <v>8500000</v>
      </c>
      <c r="G27" s="31" t="n">
        <f aca="false">IF(E27="","",E27*N(F27))</f>
        <v>8500000</v>
      </c>
      <c r="H27" s="82" t="n">
        <v>0</v>
      </c>
      <c r="I27" s="82" t="n">
        <v>0</v>
      </c>
      <c r="J27" s="83" t="n">
        <f aca="false">IF(E27="","",N(H27)+N(I27))</f>
        <v>0</v>
      </c>
      <c r="K27" s="73" t="n">
        <f aca="false">IF(N(E27)=0,"",J27/E27)</f>
        <v>0</v>
      </c>
      <c r="L27" s="31" t="n">
        <f aca="false">IF(E27="","",N(H27)*N(F27))</f>
        <v>0</v>
      </c>
      <c r="M27" s="31" t="n">
        <f aca="false">IF(E27="","",J27*N(F27))</f>
        <v>0</v>
      </c>
    </row>
    <row r="28" customFormat="false" ht="23.85" hidden="false" customHeight="false" outlineLevel="0" collapsed="false">
      <c r="A28" s="68" t="s">
        <v>486</v>
      </c>
      <c r="B28" s="25" t="s">
        <v>226</v>
      </c>
      <c r="C28" s="25" t="s">
        <v>487</v>
      </c>
      <c r="D28" s="68" t="s">
        <v>163</v>
      </c>
      <c r="E28" s="82" t="n">
        <v>1</v>
      </c>
      <c r="F28" s="28" t="n">
        <v>6000000</v>
      </c>
      <c r="G28" s="31" t="n">
        <f aca="false">IF(E28="","",E28*N(F28))</f>
        <v>6000000</v>
      </c>
      <c r="H28" s="82" t="n">
        <v>0</v>
      </c>
      <c r="I28" s="82" t="n">
        <v>0</v>
      </c>
      <c r="J28" s="83" t="n">
        <f aca="false">IF(E28="","",N(H28)+N(I28))</f>
        <v>0</v>
      </c>
      <c r="K28" s="73" t="n">
        <f aca="false">IF(N(E28)=0,"",J28/E28)</f>
        <v>0</v>
      </c>
      <c r="L28" s="31" t="n">
        <f aca="false">IF(E28="","",N(H28)*N(F28))</f>
        <v>0</v>
      </c>
      <c r="M28" s="31" t="n">
        <f aca="false">IF(E28="","",J28*N(F28))</f>
        <v>0</v>
      </c>
    </row>
    <row r="29" customFormat="false" ht="23.85" hidden="false" customHeight="false" outlineLevel="0" collapsed="false">
      <c r="A29" s="68" t="s">
        <v>488</v>
      </c>
      <c r="B29" s="25" t="s">
        <v>226</v>
      </c>
      <c r="C29" s="25" t="s">
        <v>489</v>
      </c>
      <c r="D29" s="68" t="s">
        <v>163</v>
      </c>
      <c r="E29" s="82" t="n">
        <v>1</v>
      </c>
      <c r="F29" s="28" t="n">
        <v>7500000</v>
      </c>
      <c r="G29" s="31" t="n">
        <f aca="false">IF(E29="","",E29*N(F29))</f>
        <v>7500000</v>
      </c>
      <c r="H29" s="82" t="n">
        <v>0</v>
      </c>
      <c r="I29" s="82" t="n">
        <v>0</v>
      </c>
      <c r="J29" s="83" t="n">
        <f aca="false">IF(E29="","",N(H29)+N(I29))</f>
        <v>0</v>
      </c>
      <c r="K29" s="73" t="n">
        <f aca="false">IF(N(E29)=0,"",J29/E29)</f>
        <v>0</v>
      </c>
      <c r="L29" s="31" t="n">
        <f aca="false">IF(E29="","",N(H29)*N(F29))</f>
        <v>0</v>
      </c>
      <c r="M29" s="31" t="n">
        <f aca="false">IF(E29="","",J29*N(F29))</f>
        <v>0</v>
      </c>
    </row>
    <row r="30" customFormat="false" ht="23.85" hidden="false" customHeight="false" outlineLevel="0" collapsed="false">
      <c r="A30" s="68" t="s">
        <v>490</v>
      </c>
      <c r="B30" s="25" t="s">
        <v>226</v>
      </c>
      <c r="C30" s="25" t="s">
        <v>491</v>
      </c>
      <c r="D30" s="68" t="s">
        <v>163</v>
      </c>
      <c r="E30" s="82" t="n">
        <v>1</v>
      </c>
      <c r="F30" s="28" t="n">
        <v>9000000</v>
      </c>
      <c r="G30" s="31" t="n">
        <f aca="false">IF(E30="","",E30*N(F30))</f>
        <v>9000000</v>
      </c>
      <c r="H30" s="82" t="n">
        <v>0</v>
      </c>
      <c r="I30" s="82" t="n">
        <v>0</v>
      </c>
      <c r="J30" s="83" t="n">
        <f aca="false">IF(E30="","",N(H30)+N(I30))</f>
        <v>0</v>
      </c>
      <c r="K30" s="73" t="n">
        <f aca="false">IF(N(E30)=0,"",J30/E30)</f>
        <v>0</v>
      </c>
      <c r="L30" s="31" t="n">
        <f aca="false">IF(E30="","",N(H30)*N(F30))</f>
        <v>0</v>
      </c>
      <c r="M30" s="31" t="n">
        <f aca="false">IF(E30="","",J30*N(F30))</f>
        <v>0</v>
      </c>
    </row>
    <row r="31" customFormat="false" ht="15" hidden="false" customHeight="false" outlineLevel="0" collapsed="false">
      <c r="A31" s="68" t="s">
        <v>492</v>
      </c>
      <c r="B31" s="25" t="s">
        <v>232</v>
      </c>
      <c r="C31" s="25" t="s">
        <v>493</v>
      </c>
      <c r="D31" s="68" t="s">
        <v>210</v>
      </c>
      <c r="E31" s="82" t="n">
        <v>400</v>
      </c>
      <c r="F31" s="28" t="n">
        <v>45000</v>
      </c>
      <c r="G31" s="31" t="n">
        <f aca="false">IF(E31="","",E31*N(F31))</f>
        <v>18000000</v>
      </c>
      <c r="H31" s="82" t="n">
        <v>0</v>
      </c>
      <c r="I31" s="82" t="n">
        <v>120</v>
      </c>
      <c r="J31" s="83" t="n">
        <f aca="false">IF(E31="","",N(H31)+N(I31))</f>
        <v>120</v>
      </c>
      <c r="K31" s="73" t="n">
        <f aca="false">IF(N(E31)=0,"",J31/E31)</f>
        <v>0.3</v>
      </c>
      <c r="L31" s="31" t="n">
        <f aca="false">IF(E31="","",N(H31)*N(F31))</f>
        <v>0</v>
      </c>
      <c r="M31" s="31" t="n">
        <f aca="false">IF(E31="","",J31*N(F31))</f>
        <v>5400000</v>
      </c>
    </row>
    <row r="32" customFormat="false" ht="15" hidden="false" customHeight="false" outlineLevel="0" collapsed="false">
      <c r="A32" s="68" t="s">
        <v>494</v>
      </c>
      <c r="B32" s="25" t="s">
        <v>232</v>
      </c>
      <c r="C32" s="25" t="s">
        <v>495</v>
      </c>
      <c r="D32" s="68" t="s">
        <v>142</v>
      </c>
      <c r="E32" s="82" t="n">
        <v>1</v>
      </c>
      <c r="F32" s="28" t="n">
        <v>2500000</v>
      </c>
      <c r="G32" s="31" t="n">
        <f aca="false">IF(E32="","",E32*N(F32))</f>
        <v>2500000</v>
      </c>
      <c r="H32" s="82" t="n">
        <v>0</v>
      </c>
      <c r="I32" s="82" t="n">
        <v>0</v>
      </c>
      <c r="J32" s="83" t="n">
        <f aca="false">IF(E32="","",N(H32)+N(I32))</f>
        <v>0</v>
      </c>
      <c r="K32" s="73" t="n">
        <f aca="false">IF(N(E32)=0,"",J32/E32)</f>
        <v>0</v>
      </c>
      <c r="L32" s="31" t="n">
        <f aca="false">IF(E32="","",N(H32)*N(F32))</f>
        <v>0</v>
      </c>
      <c r="M32" s="31" t="n">
        <f aca="false">IF(E32="","",J32*N(F32))</f>
        <v>0</v>
      </c>
    </row>
    <row r="33" customFormat="false" ht="23.85" hidden="false" customHeight="false" outlineLevel="0" collapsed="false">
      <c r="A33" s="68" t="s">
        <v>496</v>
      </c>
      <c r="B33" s="25" t="s">
        <v>238</v>
      </c>
      <c r="C33" s="25" t="s">
        <v>497</v>
      </c>
      <c r="D33" s="68" t="s">
        <v>240</v>
      </c>
      <c r="E33" s="82" t="n">
        <v>18000</v>
      </c>
      <c r="F33" s="28" t="n">
        <v>1850</v>
      </c>
      <c r="G33" s="31" t="n">
        <f aca="false">IF(E33="","",E33*N(F33))</f>
        <v>33300000</v>
      </c>
      <c r="H33" s="82" t="n">
        <v>0</v>
      </c>
      <c r="I33" s="82" t="n">
        <v>4000</v>
      </c>
      <c r="J33" s="83" t="n">
        <f aca="false">IF(E33="","",N(H33)+N(I33))</f>
        <v>4000</v>
      </c>
      <c r="K33" s="73" t="n">
        <f aca="false">IF(N(E33)=0,"",J33/E33)</f>
        <v>0.222222222222222</v>
      </c>
      <c r="L33" s="31" t="n">
        <f aca="false">IF(E33="","",N(H33)*N(F33))</f>
        <v>0</v>
      </c>
      <c r="M33" s="31" t="n">
        <f aca="false">IF(E33="","",J33*N(F33))</f>
        <v>7400000</v>
      </c>
    </row>
    <row r="34" customFormat="false" ht="23.85" hidden="false" customHeight="false" outlineLevel="0" collapsed="false">
      <c r="A34" s="68" t="s">
        <v>498</v>
      </c>
      <c r="B34" s="25" t="s">
        <v>238</v>
      </c>
      <c r="C34" s="25" t="s">
        <v>499</v>
      </c>
      <c r="D34" s="68" t="s">
        <v>229</v>
      </c>
      <c r="E34" s="82" t="n">
        <v>600</v>
      </c>
      <c r="F34" s="28" t="n">
        <v>12000</v>
      </c>
      <c r="G34" s="31" t="n">
        <f aca="false">IF(E34="","",E34*N(F34))</f>
        <v>7200000</v>
      </c>
      <c r="H34" s="82" t="n">
        <v>0</v>
      </c>
      <c r="I34" s="82" t="n">
        <v>0</v>
      </c>
      <c r="J34" s="83" t="n">
        <f aca="false">IF(E34="","",N(H34)+N(I34))</f>
        <v>0</v>
      </c>
      <c r="K34" s="73" t="n">
        <f aca="false">IF(N(E34)=0,"",J34/E34)</f>
        <v>0</v>
      </c>
      <c r="L34" s="31" t="n">
        <f aca="false">IF(E34="","",N(H34)*N(F34))</f>
        <v>0</v>
      </c>
      <c r="M34" s="31" t="n">
        <f aca="false">IF(E34="","",J34*N(F34))</f>
        <v>0</v>
      </c>
    </row>
    <row r="35" customFormat="false" ht="15" hidden="false" customHeight="false" outlineLevel="0" collapsed="false">
      <c r="A35" s="68"/>
      <c r="B35" s="25"/>
      <c r="C35" s="25"/>
      <c r="D35" s="68"/>
      <c r="E35" s="82"/>
      <c r="F35" s="28"/>
      <c r="G35" s="31" t="str">
        <f aca="false">IF(E35="","",E35*N(F35))</f>
        <v/>
      </c>
      <c r="H35" s="82"/>
      <c r="I35" s="82"/>
      <c r="J35" s="83" t="str">
        <f aca="false">IF(E35="","",N(H35)+N(I35))</f>
        <v/>
      </c>
      <c r="K35" s="73" t="str">
        <f aca="false">IF(N(E35)=0,"",J35/E35)</f>
        <v/>
      </c>
      <c r="L35" s="31" t="str">
        <f aca="false">IF(E35="","",N(H35)*N(F35))</f>
        <v/>
      </c>
      <c r="M35" s="31" t="str">
        <f aca="false">IF(E35="","",J35*N(F35))</f>
        <v/>
      </c>
    </row>
    <row r="36" customFormat="false" ht="15" hidden="false" customHeight="false" outlineLevel="0" collapsed="false">
      <c r="A36" s="68"/>
      <c r="B36" s="25"/>
      <c r="C36" s="25"/>
      <c r="D36" s="68"/>
      <c r="E36" s="82"/>
      <c r="F36" s="28"/>
      <c r="G36" s="31" t="str">
        <f aca="false">IF(E36="","",E36*N(F36))</f>
        <v/>
      </c>
      <c r="H36" s="82"/>
      <c r="I36" s="82"/>
      <c r="J36" s="83" t="str">
        <f aca="false">IF(E36="","",N(H36)+N(I36))</f>
        <v/>
      </c>
      <c r="K36" s="73" t="str">
        <f aca="false">IF(N(E36)=0,"",J36/E36)</f>
        <v/>
      </c>
      <c r="L36" s="31" t="str">
        <f aca="false">IF(E36="","",N(H36)*N(F36))</f>
        <v/>
      </c>
      <c r="M36" s="31" t="str">
        <f aca="false">IF(E36="","",J36*N(F36))</f>
        <v/>
      </c>
    </row>
    <row r="37" customFormat="false" ht="15" hidden="false" customHeight="false" outlineLevel="0" collapsed="false">
      <c r="A37" s="68"/>
      <c r="B37" s="25"/>
      <c r="C37" s="25"/>
      <c r="D37" s="68"/>
      <c r="E37" s="82"/>
      <c r="F37" s="28"/>
      <c r="G37" s="31" t="str">
        <f aca="false">IF(E37="","",E37*N(F37))</f>
        <v/>
      </c>
      <c r="H37" s="82"/>
      <c r="I37" s="82"/>
      <c r="J37" s="83" t="str">
        <f aca="false">IF(E37="","",N(H37)+N(I37))</f>
        <v/>
      </c>
      <c r="K37" s="73" t="str">
        <f aca="false">IF(N(E37)=0,"",J37/E37)</f>
        <v/>
      </c>
      <c r="L37" s="31" t="str">
        <f aca="false">IF(E37="","",N(H37)*N(F37))</f>
        <v/>
      </c>
      <c r="M37" s="31" t="str">
        <f aca="false">IF(E37="","",J37*N(F37))</f>
        <v/>
      </c>
    </row>
    <row r="38" customFormat="false" ht="15" hidden="false" customHeight="false" outlineLevel="0" collapsed="false">
      <c r="A38" s="68"/>
      <c r="B38" s="25"/>
      <c r="C38" s="25"/>
      <c r="D38" s="68"/>
      <c r="E38" s="82"/>
      <c r="F38" s="28"/>
      <c r="G38" s="31" t="str">
        <f aca="false">IF(E38="","",E38*N(F38))</f>
        <v/>
      </c>
      <c r="H38" s="82"/>
      <c r="I38" s="82"/>
      <c r="J38" s="83" t="str">
        <f aca="false">IF(E38="","",N(H38)+N(I38))</f>
        <v/>
      </c>
      <c r="K38" s="73" t="str">
        <f aca="false">IF(N(E38)=0,"",J38/E38)</f>
        <v/>
      </c>
      <c r="L38" s="31" t="str">
        <f aca="false">IF(E38="","",N(H38)*N(F38))</f>
        <v/>
      </c>
      <c r="M38" s="31" t="str">
        <f aca="false">IF(E38="","",J38*N(F38))</f>
        <v/>
      </c>
    </row>
    <row r="39" customFormat="false" ht="15" hidden="false" customHeight="false" outlineLevel="0" collapsed="false">
      <c r="A39" s="68"/>
      <c r="B39" s="25"/>
      <c r="C39" s="25"/>
      <c r="D39" s="68"/>
      <c r="E39" s="82"/>
      <c r="F39" s="28"/>
      <c r="G39" s="31" t="str">
        <f aca="false">IF(E39="","",E39*N(F39))</f>
        <v/>
      </c>
      <c r="H39" s="82"/>
      <c r="I39" s="82"/>
      <c r="J39" s="83" t="str">
        <f aca="false">IF(E39="","",N(H39)+N(I39))</f>
        <v/>
      </c>
      <c r="K39" s="73" t="str">
        <f aca="false">IF(N(E39)=0,"",J39/E39)</f>
        <v/>
      </c>
      <c r="L39" s="31" t="str">
        <f aca="false">IF(E39="","",N(H39)*N(F39))</f>
        <v/>
      </c>
      <c r="M39" s="31" t="str">
        <f aca="false">IF(E39="","",J39*N(F39))</f>
        <v/>
      </c>
    </row>
    <row r="40" customFormat="false" ht="15" hidden="false" customHeight="false" outlineLevel="0" collapsed="false">
      <c r="A40" s="68"/>
      <c r="B40" s="25"/>
      <c r="C40" s="25"/>
      <c r="D40" s="68"/>
      <c r="E40" s="82"/>
      <c r="F40" s="28"/>
      <c r="G40" s="31" t="str">
        <f aca="false">IF(E40="","",E40*N(F40))</f>
        <v/>
      </c>
      <c r="H40" s="82"/>
      <c r="I40" s="82"/>
      <c r="J40" s="83" t="str">
        <f aca="false">IF(E40="","",N(H40)+N(I40))</f>
        <v/>
      </c>
      <c r="K40" s="73" t="str">
        <f aca="false">IF(N(E40)=0,"",J40/E40)</f>
        <v/>
      </c>
      <c r="L40" s="31" t="str">
        <f aca="false">IF(E40="","",N(H40)*N(F40))</f>
        <v/>
      </c>
      <c r="M40" s="31" t="str">
        <f aca="false">IF(E40="","",J40*N(F40))</f>
        <v/>
      </c>
    </row>
    <row r="41" customFormat="false" ht="15" hidden="false" customHeight="false" outlineLevel="0" collapsed="false">
      <c r="A41" s="68"/>
      <c r="B41" s="25"/>
      <c r="C41" s="25"/>
      <c r="D41" s="68"/>
      <c r="E41" s="82"/>
      <c r="F41" s="28"/>
      <c r="G41" s="31" t="str">
        <f aca="false">IF(E41="","",E41*N(F41))</f>
        <v/>
      </c>
      <c r="H41" s="82"/>
      <c r="I41" s="82"/>
      <c r="J41" s="83" t="str">
        <f aca="false">IF(E41="","",N(H41)+N(I41))</f>
        <v/>
      </c>
      <c r="K41" s="73" t="str">
        <f aca="false">IF(N(E41)=0,"",J41/E41)</f>
        <v/>
      </c>
      <c r="L41" s="31" t="str">
        <f aca="false">IF(E41="","",N(H41)*N(F41))</f>
        <v/>
      </c>
      <c r="M41" s="31" t="str">
        <f aca="false">IF(E41="","",J41*N(F41))</f>
        <v/>
      </c>
    </row>
    <row r="42" customFormat="false" ht="15" hidden="false" customHeight="false" outlineLevel="0" collapsed="false">
      <c r="A42" s="68"/>
      <c r="B42" s="25"/>
      <c r="C42" s="25"/>
      <c r="D42" s="68"/>
      <c r="E42" s="82"/>
      <c r="F42" s="28"/>
      <c r="G42" s="31" t="str">
        <f aca="false">IF(E42="","",E42*N(F42))</f>
        <v/>
      </c>
      <c r="H42" s="82"/>
      <c r="I42" s="82"/>
      <c r="J42" s="83" t="str">
        <f aca="false">IF(E42="","",N(H42)+N(I42))</f>
        <v/>
      </c>
      <c r="K42" s="73" t="str">
        <f aca="false">IF(N(E42)=0,"",J42/E42)</f>
        <v/>
      </c>
      <c r="L42" s="31" t="str">
        <f aca="false">IF(E42="","",N(H42)*N(F42))</f>
        <v/>
      </c>
      <c r="M42" s="31" t="str">
        <f aca="false">IF(E42="","",J42*N(F42))</f>
        <v/>
      </c>
    </row>
    <row r="43" customFormat="false" ht="15" hidden="false" customHeight="false" outlineLevel="0" collapsed="false">
      <c r="A43" s="68"/>
      <c r="B43" s="25"/>
      <c r="C43" s="25"/>
      <c r="D43" s="68"/>
      <c r="E43" s="82"/>
      <c r="F43" s="28"/>
      <c r="G43" s="31" t="str">
        <f aca="false">IF(E43="","",E43*N(F43))</f>
        <v/>
      </c>
      <c r="H43" s="82"/>
      <c r="I43" s="82"/>
      <c r="J43" s="83" t="str">
        <f aca="false">IF(E43="","",N(H43)+N(I43))</f>
        <v/>
      </c>
      <c r="K43" s="73" t="str">
        <f aca="false">IF(N(E43)=0,"",J43/E43)</f>
        <v/>
      </c>
      <c r="L43" s="31" t="str">
        <f aca="false">IF(E43="","",N(H43)*N(F43))</f>
        <v/>
      </c>
      <c r="M43" s="31" t="str">
        <f aca="false">IF(E43="","",J43*N(F43))</f>
        <v/>
      </c>
    </row>
    <row r="44" customFormat="false" ht="15" hidden="false" customHeight="false" outlineLevel="0" collapsed="false">
      <c r="A44" s="68"/>
      <c r="B44" s="25"/>
      <c r="C44" s="25"/>
      <c r="D44" s="68"/>
      <c r="E44" s="82"/>
      <c r="F44" s="28"/>
      <c r="G44" s="31" t="str">
        <f aca="false">IF(E44="","",E44*N(F44))</f>
        <v/>
      </c>
      <c r="H44" s="82"/>
      <c r="I44" s="82"/>
      <c r="J44" s="83" t="str">
        <f aca="false">IF(E44="","",N(H44)+N(I44))</f>
        <v/>
      </c>
      <c r="K44" s="73" t="str">
        <f aca="false">IF(N(E44)=0,"",J44/E44)</f>
        <v/>
      </c>
      <c r="L44" s="31" t="str">
        <f aca="false">IF(E44="","",N(H44)*N(F44))</f>
        <v/>
      </c>
      <c r="M44" s="31" t="str">
        <f aca="false">IF(E44="","",J44*N(F44))</f>
        <v/>
      </c>
    </row>
    <row r="45" customFormat="false" ht="15" hidden="false" customHeight="false" outlineLevel="0" collapsed="false">
      <c r="A45" s="68"/>
      <c r="B45" s="25"/>
      <c r="C45" s="25"/>
      <c r="D45" s="68"/>
      <c r="E45" s="82"/>
      <c r="F45" s="28"/>
      <c r="G45" s="31" t="str">
        <f aca="false">IF(E45="","",E45*N(F45))</f>
        <v/>
      </c>
      <c r="H45" s="82"/>
      <c r="I45" s="82"/>
      <c r="J45" s="83" t="str">
        <f aca="false">IF(E45="","",N(H45)+N(I45))</f>
        <v/>
      </c>
      <c r="K45" s="73" t="str">
        <f aca="false">IF(N(E45)=0,"",J45/E45)</f>
        <v/>
      </c>
      <c r="L45" s="31" t="str">
        <f aca="false">IF(E45="","",N(H45)*N(F45))</f>
        <v/>
      </c>
      <c r="M45" s="31" t="str">
        <f aca="false">IF(E45="","",J45*N(F45))</f>
        <v/>
      </c>
    </row>
    <row r="46" customFormat="false" ht="15" hidden="false" customHeight="false" outlineLevel="0" collapsed="false">
      <c r="A46" s="68"/>
      <c r="B46" s="25"/>
      <c r="C46" s="25"/>
      <c r="D46" s="68"/>
      <c r="E46" s="82"/>
      <c r="F46" s="28"/>
      <c r="G46" s="31" t="str">
        <f aca="false">IF(E46="","",E46*N(F46))</f>
        <v/>
      </c>
      <c r="H46" s="82"/>
      <c r="I46" s="82"/>
      <c r="J46" s="83" t="str">
        <f aca="false">IF(E46="","",N(H46)+N(I46))</f>
        <v/>
      </c>
      <c r="K46" s="73" t="str">
        <f aca="false">IF(N(E46)=0,"",J46/E46)</f>
        <v/>
      </c>
      <c r="L46" s="31" t="str">
        <f aca="false">IF(E46="","",N(H46)*N(F46))</f>
        <v/>
      </c>
      <c r="M46" s="31" t="str">
        <f aca="false">IF(E46="","",J46*N(F46))</f>
        <v/>
      </c>
    </row>
    <row r="47" customFormat="false" ht="15" hidden="false" customHeight="false" outlineLevel="0" collapsed="false">
      <c r="A47" s="68"/>
      <c r="B47" s="25"/>
      <c r="C47" s="25"/>
      <c r="D47" s="68"/>
      <c r="E47" s="82"/>
      <c r="F47" s="28"/>
      <c r="G47" s="31" t="str">
        <f aca="false">IF(E47="","",E47*N(F47))</f>
        <v/>
      </c>
      <c r="H47" s="82"/>
      <c r="I47" s="82"/>
      <c r="J47" s="83" t="str">
        <f aca="false">IF(E47="","",N(H47)+N(I47))</f>
        <v/>
      </c>
      <c r="K47" s="73" t="str">
        <f aca="false">IF(N(E47)=0,"",J47/E47)</f>
        <v/>
      </c>
      <c r="L47" s="31" t="str">
        <f aca="false">IF(E47="","",N(H47)*N(F47))</f>
        <v/>
      </c>
      <c r="M47" s="31" t="str">
        <f aca="false">IF(E47="","",J47*N(F47))</f>
        <v/>
      </c>
    </row>
    <row r="48" customFormat="false" ht="15" hidden="false" customHeight="false" outlineLevel="0" collapsed="false">
      <c r="A48" s="68"/>
      <c r="B48" s="25"/>
      <c r="C48" s="25"/>
      <c r="D48" s="68"/>
      <c r="E48" s="82"/>
      <c r="F48" s="28"/>
      <c r="G48" s="31" t="str">
        <f aca="false">IF(E48="","",E48*N(F48))</f>
        <v/>
      </c>
      <c r="H48" s="82"/>
      <c r="I48" s="82"/>
      <c r="J48" s="83" t="str">
        <f aca="false">IF(E48="","",N(H48)+N(I48))</f>
        <v/>
      </c>
      <c r="K48" s="73" t="str">
        <f aca="false">IF(N(E48)=0,"",J48/E48)</f>
        <v/>
      </c>
      <c r="L48" s="31" t="str">
        <f aca="false">IF(E48="","",N(H48)*N(F48))</f>
        <v/>
      </c>
      <c r="M48" s="31" t="str">
        <f aca="false">IF(E48="","",J48*N(F48))</f>
        <v/>
      </c>
    </row>
    <row r="49" customFormat="false" ht="15" hidden="false" customHeight="false" outlineLevel="0" collapsed="false">
      <c r="A49" s="68"/>
      <c r="B49" s="25"/>
      <c r="C49" s="25"/>
      <c r="D49" s="68"/>
      <c r="E49" s="82"/>
      <c r="F49" s="28"/>
      <c r="G49" s="31" t="str">
        <f aca="false">IF(E49="","",E49*N(F49))</f>
        <v/>
      </c>
      <c r="H49" s="82"/>
      <c r="I49" s="82"/>
      <c r="J49" s="83" t="str">
        <f aca="false">IF(E49="","",N(H49)+N(I49))</f>
        <v/>
      </c>
      <c r="K49" s="73" t="str">
        <f aca="false">IF(N(E49)=0,"",J49/E49)</f>
        <v/>
      </c>
      <c r="L49" s="31" t="str">
        <f aca="false">IF(E49="","",N(H49)*N(F49))</f>
        <v/>
      </c>
      <c r="M49" s="31" t="str">
        <f aca="false">IF(E49="","",J49*N(F49))</f>
        <v/>
      </c>
    </row>
    <row r="50" customFormat="false" ht="15" hidden="false" customHeight="false" outlineLevel="0" collapsed="false">
      <c r="A50" s="68"/>
      <c r="B50" s="25"/>
      <c r="C50" s="25"/>
      <c r="D50" s="68"/>
      <c r="E50" s="82"/>
      <c r="F50" s="28"/>
      <c r="G50" s="31" t="str">
        <f aca="false">IF(E50="","",E50*N(F50))</f>
        <v/>
      </c>
      <c r="H50" s="82"/>
      <c r="I50" s="82"/>
      <c r="J50" s="83" t="str">
        <f aca="false">IF(E50="","",N(H50)+N(I50))</f>
        <v/>
      </c>
      <c r="K50" s="73" t="str">
        <f aca="false">IF(N(E50)=0,"",J50/E50)</f>
        <v/>
      </c>
      <c r="L50" s="31" t="str">
        <f aca="false">IF(E50="","",N(H50)*N(F50))</f>
        <v/>
      </c>
      <c r="M50" s="31" t="str">
        <f aca="false">IF(E50="","",J50*N(F50))</f>
        <v/>
      </c>
    </row>
    <row r="51" customFormat="false" ht="15" hidden="false" customHeight="false" outlineLevel="0" collapsed="false">
      <c r="A51" s="68"/>
      <c r="B51" s="25"/>
      <c r="C51" s="25"/>
      <c r="D51" s="68"/>
      <c r="E51" s="82"/>
      <c r="F51" s="28"/>
      <c r="G51" s="31" t="str">
        <f aca="false">IF(E51="","",E51*N(F51))</f>
        <v/>
      </c>
      <c r="H51" s="82"/>
      <c r="I51" s="82"/>
      <c r="J51" s="83" t="str">
        <f aca="false">IF(E51="","",N(H51)+N(I51))</f>
        <v/>
      </c>
      <c r="K51" s="73" t="str">
        <f aca="false">IF(N(E51)=0,"",J51/E51)</f>
        <v/>
      </c>
      <c r="L51" s="31" t="str">
        <f aca="false">IF(E51="","",N(H51)*N(F51))</f>
        <v/>
      </c>
      <c r="M51" s="31" t="str">
        <f aca="false">IF(E51="","",J51*N(F51))</f>
        <v/>
      </c>
    </row>
    <row r="52" customFormat="false" ht="15" hidden="false" customHeight="false" outlineLevel="0" collapsed="false">
      <c r="A52" s="68"/>
      <c r="B52" s="25"/>
      <c r="C52" s="25"/>
      <c r="D52" s="68"/>
      <c r="E52" s="82"/>
      <c r="F52" s="28"/>
      <c r="G52" s="31" t="str">
        <f aca="false">IF(E52="","",E52*N(F52))</f>
        <v/>
      </c>
      <c r="H52" s="82"/>
      <c r="I52" s="82"/>
      <c r="J52" s="83" t="str">
        <f aca="false">IF(E52="","",N(H52)+N(I52))</f>
        <v/>
      </c>
      <c r="K52" s="73" t="str">
        <f aca="false">IF(N(E52)=0,"",J52/E52)</f>
        <v/>
      </c>
      <c r="L52" s="31" t="str">
        <f aca="false">IF(E52="","",N(H52)*N(F52))</f>
        <v/>
      </c>
      <c r="M52" s="31" t="str">
        <f aca="false">IF(E52="","",J52*N(F52))</f>
        <v/>
      </c>
    </row>
    <row r="53" customFormat="false" ht="15" hidden="false" customHeight="false" outlineLevel="0" collapsed="false">
      <c r="A53" s="68"/>
      <c r="B53" s="25"/>
      <c r="C53" s="25"/>
      <c r="D53" s="68"/>
      <c r="E53" s="82"/>
      <c r="F53" s="28"/>
      <c r="G53" s="31" t="str">
        <f aca="false">IF(E53="","",E53*N(F53))</f>
        <v/>
      </c>
      <c r="H53" s="82"/>
      <c r="I53" s="82"/>
      <c r="J53" s="83" t="str">
        <f aca="false">IF(E53="","",N(H53)+N(I53))</f>
        <v/>
      </c>
      <c r="K53" s="73" t="str">
        <f aca="false">IF(N(E53)=0,"",J53/E53)</f>
        <v/>
      </c>
      <c r="L53" s="31" t="str">
        <f aca="false">IF(E53="","",N(H53)*N(F53))</f>
        <v/>
      </c>
      <c r="M53" s="31" t="str">
        <f aca="false">IF(E53="","",J53*N(F53))</f>
        <v/>
      </c>
    </row>
    <row r="54" customFormat="false" ht="15" hidden="false" customHeight="false" outlineLevel="0" collapsed="false">
      <c r="A54" s="68"/>
      <c r="B54" s="25"/>
      <c r="C54" s="25"/>
      <c r="D54" s="68"/>
      <c r="E54" s="82"/>
      <c r="F54" s="28"/>
      <c r="G54" s="31" t="str">
        <f aca="false">IF(E54="","",E54*N(F54))</f>
        <v/>
      </c>
      <c r="H54" s="82"/>
      <c r="I54" s="82"/>
      <c r="J54" s="83" t="str">
        <f aca="false">IF(E54="","",N(H54)+N(I54))</f>
        <v/>
      </c>
      <c r="K54" s="73" t="str">
        <f aca="false">IF(N(E54)=0,"",J54/E54)</f>
        <v/>
      </c>
      <c r="L54" s="31" t="str">
        <f aca="false">IF(E54="","",N(H54)*N(F54))</f>
        <v/>
      </c>
      <c r="M54" s="31" t="str">
        <f aca="false">IF(E54="","",J54*N(F54))</f>
        <v/>
      </c>
    </row>
    <row r="55" customFormat="false" ht="15" hidden="false" customHeight="false" outlineLevel="0" collapsed="false">
      <c r="A55" s="68"/>
      <c r="B55" s="25"/>
      <c r="C55" s="25"/>
      <c r="D55" s="68"/>
      <c r="E55" s="82"/>
      <c r="F55" s="28"/>
      <c r="G55" s="31" t="str">
        <f aca="false">IF(E55="","",E55*N(F55))</f>
        <v/>
      </c>
      <c r="H55" s="82"/>
      <c r="I55" s="82"/>
      <c r="J55" s="83" t="str">
        <f aca="false">IF(E55="","",N(H55)+N(I55))</f>
        <v/>
      </c>
      <c r="K55" s="73" t="str">
        <f aca="false">IF(N(E55)=0,"",J55/E55)</f>
        <v/>
      </c>
      <c r="L55" s="31" t="str">
        <f aca="false">IF(E55="","",N(H55)*N(F55))</f>
        <v/>
      </c>
      <c r="M55" s="31" t="str">
        <f aca="false">IF(E55="","",J55*N(F55))</f>
        <v/>
      </c>
    </row>
    <row r="56" customFormat="false" ht="15" hidden="false" customHeight="false" outlineLevel="0" collapsed="false">
      <c r="A56" s="68"/>
      <c r="B56" s="25"/>
      <c r="C56" s="25"/>
      <c r="D56" s="68"/>
      <c r="E56" s="82"/>
      <c r="F56" s="28"/>
      <c r="G56" s="31" t="str">
        <f aca="false">IF(E56="","",E56*N(F56))</f>
        <v/>
      </c>
      <c r="H56" s="82"/>
      <c r="I56" s="82"/>
      <c r="J56" s="83" t="str">
        <f aca="false">IF(E56="","",N(H56)+N(I56))</f>
        <v/>
      </c>
      <c r="K56" s="73" t="str">
        <f aca="false">IF(N(E56)=0,"",J56/E56)</f>
        <v/>
      </c>
      <c r="L56" s="31" t="str">
        <f aca="false">IF(E56="","",N(H56)*N(F56))</f>
        <v/>
      </c>
      <c r="M56" s="31" t="str">
        <f aca="false">IF(E56="","",J56*N(F56))</f>
        <v/>
      </c>
    </row>
    <row r="57" customFormat="false" ht="15" hidden="false" customHeight="false" outlineLevel="0" collapsed="false">
      <c r="A57" s="68"/>
      <c r="B57" s="25"/>
      <c r="C57" s="25"/>
      <c r="D57" s="68"/>
      <c r="E57" s="82"/>
      <c r="F57" s="28"/>
      <c r="G57" s="31" t="str">
        <f aca="false">IF(E57="","",E57*N(F57))</f>
        <v/>
      </c>
      <c r="H57" s="82"/>
      <c r="I57" s="82"/>
      <c r="J57" s="83" t="str">
        <f aca="false">IF(E57="","",N(H57)+N(I57))</f>
        <v/>
      </c>
      <c r="K57" s="73" t="str">
        <f aca="false">IF(N(E57)=0,"",J57/E57)</f>
        <v/>
      </c>
      <c r="L57" s="31" t="str">
        <f aca="false">IF(E57="","",N(H57)*N(F57))</f>
        <v/>
      </c>
      <c r="M57" s="31" t="str">
        <f aca="false">IF(E57="","",J57*N(F57))</f>
        <v/>
      </c>
    </row>
    <row r="58" customFormat="false" ht="15" hidden="false" customHeight="false" outlineLevel="0" collapsed="false">
      <c r="A58" s="68"/>
      <c r="B58" s="25"/>
      <c r="C58" s="25"/>
      <c r="D58" s="68"/>
      <c r="E58" s="82"/>
      <c r="F58" s="28"/>
      <c r="G58" s="31" t="str">
        <f aca="false">IF(E58="","",E58*N(F58))</f>
        <v/>
      </c>
      <c r="H58" s="82"/>
      <c r="I58" s="82"/>
      <c r="J58" s="83" t="str">
        <f aca="false">IF(E58="","",N(H58)+N(I58))</f>
        <v/>
      </c>
      <c r="K58" s="73" t="str">
        <f aca="false">IF(N(E58)=0,"",J58/E58)</f>
        <v/>
      </c>
      <c r="L58" s="31" t="str">
        <f aca="false">IF(E58="","",N(H58)*N(F58))</f>
        <v/>
      </c>
      <c r="M58" s="31" t="str">
        <f aca="false">IF(E58="","",J58*N(F58))</f>
        <v/>
      </c>
    </row>
    <row r="59" customFormat="false" ht="15" hidden="false" customHeight="false" outlineLevel="0" collapsed="false">
      <c r="A59" s="68"/>
      <c r="B59" s="25"/>
      <c r="C59" s="25"/>
      <c r="D59" s="68"/>
      <c r="E59" s="82"/>
      <c r="F59" s="28"/>
      <c r="G59" s="31" t="str">
        <f aca="false">IF(E59="","",E59*N(F59))</f>
        <v/>
      </c>
      <c r="H59" s="82"/>
      <c r="I59" s="82"/>
      <c r="J59" s="83" t="str">
        <f aca="false">IF(E59="","",N(H59)+N(I59))</f>
        <v/>
      </c>
      <c r="K59" s="73" t="str">
        <f aca="false">IF(N(E59)=0,"",J59/E59)</f>
        <v/>
      </c>
      <c r="L59" s="31" t="str">
        <f aca="false">IF(E59="","",N(H59)*N(F59))</f>
        <v/>
      </c>
      <c r="M59" s="31" t="str">
        <f aca="false">IF(E59="","",J59*N(F59))</f>
        <v/>
      </c>
    </row>
    <row r="60" customFormat="false" ht="15" hidden="false" customHeight="false" outlineLevel="0" collapsed="false">
      <c r="A60" s="68"/>
      <c r="B60" s="25"/>
      <c r="C60" s="25"/>
      <c r="D60" s="68"/>
      <c r="E60" s="82"/>
      <c r="F60" s="28"/>
      <c r="G60" s="31" t="str">
        <f aca="false">IF(E60="","",E60*N(F60))</f>
        <v/>
      </c>
      <c r="H60" s="82"/>
      <c r="I60" s="82"/>
      <c r="J60" s="83" t="str">
        <f aca="false">IF(E60="","",N(H60)+N(I60))</f>
        <v/>
      </c>
      <c r="K60" s="73" t="str">
        <f aca="false">IF(N(E60)=0,"",J60/E60)</f>
        <v/>
      </c>
      <c r="L60" s="31" t="str">
        <f aca="false">IF(E60="","",N(H60)*N(F60))</f>
        <v/>
      </c>
      <c r="M60" s="31" t="str">
        <f aca="false">IF(E60="","",J60*N(F60))</f>
        <v/>
      </c>
    </row>
    <row r="61" customFormat="false" ht="15" hidden="false" customHeight="false" outlineLevel="0" collapsed="false">
      <c r="A61" s="68"/>
      <c r="B61" s="25"/>
      <c r="C61" s="25"/>
      <c r="D61" s="68"/>
      <c r="E61" s="82"/>
      <c r="F61" s="28"/>
      <c r="G61" s="31" t="str">
        <f aca="false">IF(E61="","",E61*N(F61))</f>
        <v/>
      </c>
      <c r="H61" s="82"/>
      <c r="I61" s="82"/>
      <c r="J61" s="83" t="str">
        <f aca="false">IF(E61="","",N(H61)+N(I61))</f>
        <v/>
      </c>
      <c r="K61" s="73" t="str">
        <f aca="false">IF(N(E61)=0,"",J61/E61)</f>
        <v/>
      </c>
      <c r="L61" s="31" t="str">
        <f aca="false">IF(E61="","",N(H61)*N(F61))</f>
        <v/>
      </c>
      <c r="M61" s="31" t="str">
        <f aca="false">IF(E61="","",J61*N(F61))</f>
        <v/>
      </c>
    </row>
    <row r="62" customFormat="false" ht="15" hidden="false" customHeight="false" outlineLevel="0" collapsed="false">
      <c r="A62" s="68"/>
      <c r="B62" s="25"/>
      <c r="C62" s="25"/>
      <c r="D62" s="68"/>
      <c r="E62" s="82"/>
      <c r="F62" s="28"/>
      <c r="G62" s="31" t="str">
        <f aca="false">IF(E62="","",E62*N(F62))</f>
        <v/>
      </c>
      <c r="H62" s="82"/>
      <c r="I62" s="82"/>
      <c r="J62" s="83" t="str">
        <f aca="false">IF(E62="","",N(H62)+N(I62))</f>
        <v/>
      </c>
      <c r="K62" s="73" t="str">
        <f aca="false">IF(N(E62)=0,"",J62/E62)</f>
        <v/>
      </c>
      <c r="L62" s="31" t="str">
        <f aca="false">IF(E62="","",N(H62)*N(F62))</f>
        <v/>
      </c>
      <c r="M62" s="31" t="str">
        <f aca="false">IF(E62="","",J62*N(F62))</f>
        <v/>
      </c>
    </row>
    <row r="63" customFormat="false" ht="15" hidden="false" customHeight="false" outlineLevel="0" collapsed="false">
      <c r="A63" s="68"/>
      <c r="B63" s="25"/>
      <c r="C63" s="25"/>
      <c r="D63" s="68"/>
      <c r="E63" s="82"/>
      <c r="F63" s="28"/>
      <c r="G63" s="31" t="str">
        <f aca="false">IF(E63="","",E63*N(F63))</f>
        <v/>
      </c>
      <c r="H63" s="82"/>
      <c r="I63" s="82"/>
      <c r="J63" s="83" t="str">
        <f aca="false">IF(E63="","",N(H63)+N(I63))</f>
        <v/>
      </c>
      <c r="K63" s="73" t="str">
        <f aca="false">IF(N(E63)=0,"",J63/E63)</f>
        <v/>
      </c>
      <c r="L63" s="31" t="str">
        <f aca="false">IF(E63="","",N(H63)*N(F63))</f>
        <v/>
      </c>
      <c r="M63" s="31" t="str">
        <f aca="false">IF(E63="","",J63*N(F63))</f>
        <v/>
      </c>
    </row>
    <row r="64" customFormat="false" ht="15" hidden="false" customHeight="false" outlineLevel="0" collapsed="false">
      <c r="A64" s="68"/>
      <c r="B64" s="25"/>
      <c r="C64" s="25"/>
      <c r="D64" s="68"/>
      <c r="E64" s="82"/>
      <c r="F64" s="28"/>
      <c r="G64" s="31" t="str">
        <f aca="false">IF(E64="","",E64*N(F64))</f>
        <v/>
      </c>
      <c r="H64" s="82"/>
      <c r="I64" s="82"/>
      <c r="J64" s="83" t="str">
        <f aca="false">IF(E64="","",N(H64)+N(I64))</f>
        <v/>
      </c>
      <c r="K64" s="73" t="str">
        <f aca="false">IF(N(E64)=0,"",J64/E64)</f>
        <v/>
      </c>
      <c r="L64" s="31" t="str">
        <f aca="false">IF(E64="","",N(H64)*N(F64))</f>
        <v/>
      </c>
      <c r="M64" s="31" t="str">
        <f aca="false">IF(E64="","",J64*N(F64))</f>
        <v/>
      </c>
    </row>
    <row r="65" customFormat="false" ht="15" hidden="false" customHeight="false" outlineLevel="0" collapsed="false">
      <c r="A65" s="68"/>
      <c r="B65" s="25"/>
      <c r="C65" s="25"/>
      <c r="D65" s="68"/>
      <c r="E65" s="82"/>
      <c r="F65" s="28"/>
      <c r="G65" s="31" t="str">
        <f aca="false">IF(E65="","",E65*N(F65))</f>
        <v/>
      </c>
      <c r="H65" s="82"/>
      <c r="I65" s="82"/>
      <c r="J65" s="83" t="str">
        <f aca="false">IF(E65="","",N(H65)+N(I65))</f>
        <v/>
      </c>
      <c r="K65" s="73" t="str">
        <f aca="false">IF(N(E65)=0,"",J65/E65)</f>
        <v/>
      </c>
      <c r="L65" s="31" t="str">
        <f aca="false">IF(E65="","",N(H65)*N(F65))</f>
        <v/>
      </c>
      <c r="M65" s="31" t="str">
        <f aca="false">IF(E65="","",J65*N(F65))</f>
        <v/>
      </c>
    </row>
    <row r="66" customFormat="false" ht="15" hidden="false" customHeight="false" outlineLevel="0" collapsed="false">
      <c r="A66" s="68"/>
      <c r="B66" s="25"/>
      <c r="C66" s="25"/>
      <c r="D66" s="68"/>
      <c r="E66" s="82"/>
      <c r="F66" s="28"/>
      <c r="G66" s="31" t="str">
        <f aca="false">IF(E66="","",E66*N(F66))</f>
        <v/>
      </c>
      <c r="H66" s="82"/>
      <c r="I66" s="82"/>
      <c r="J66" s="83" t="str">
        <f aca="false">IF(E66="","",N(H66)+N(I66))</f>
        <v/>
      </c>
      <c r="K66" s="73" t="str">
        <f aca="false">IF(N(E66)=0,"",J66/E66)</f>
        <v/>
      </c>
      <c r="L66" s="31" t="str">
        <f aca="false">IF(E66="","",N(H66)*N(F66))</f>
        <v/>
      </c>
      <c r="M66" s="31" t="str">
        <f aca="false">IF(E66="","",J66*N(F66))</f>
        <v/>
      </c>
    </row>
    <row r="67" customFormat="false" ht="15" hidden="false" customHeight="false" outlineLevel="0" collapsed="false">
      <c r="A67" s="68"/>
      <c r="B67" s="25"/>
      <c r="C67" s="25"/>
      <c r="D67" s="68"/>
      <c r="E67" s="82"/>
      <c r="F67" s="28"/>
      <c r="G67" s="31" t="str">
        <f aca="false">IF(E67="","",E67*N(F67))</f>
        <v/>
      </c>
      <c r="H67" s="82"/>
      <c r="I67" s="82"/>
      <c r="J67" s="83" t="str">
        <f aca="false">IF(E67="","",N(H67)+N(I67))</f>
        <v/>
      </c>
      <c r="K67" s="73" t="str">
        <f aca="false">IF(N(E67)=0,"",J67/E67)</f>
        <v/>
      </c>
      <c r="L67" s="31" t="str">
        <f aca="false">IF(E67="","",N(H67)*N(F67))</f>
        <v/>
      </c>
      <c r="M67" s="31" t="str">
        <f aca="false">IF(E67="","",J67*N(F67))</f>
        <v/>
      </c>
    </row>
    <row r="68" customFormat="false" ht="15" hidden="false" customHeight="false" outlineLevel="0" collapsed="false">
      <c r="A68" s="77"/>
      <c r="B68" s="77"/>
      <c r="C68" s="77" t="s">
        <v>500</v>
      </c>
      <c r="D68" s="77"/>
      <c r="E68" s="77"/>
      <c r="F68" s="77"/>
      <c r="G68" s="78" t="n">
        <f aca="false">SUM(G8:G67)</f>
        <v>630010000</v>
      </c>
      <c r="H68" s="77"/>
      <c r="I68" s="77"/>
      <c r="J68" s="77"/>
      <c r="K68" s="77"/>
      <c r="L68" s="78" t="n">
        <f aca="false">SUM(L8:L67)</f>
        <v>164000000</v>
      </c>
      <c r="M68" s="78" t="n">
        <f aca="false">SUM(M8:M67)</f>
        <v>243950000</v>
      </c>
    </row>
    <row r="70" customFormat="false" ht="15" hidden="false" customHeight="false" outlineLevel="0" collapsed="false">
      <c r="C70" s="22" t="s">
        <v>501</v>
      </c>
    </row>
    <row r="71" customFormat="false" ht="23.85" hidden="false" customHeight="false" outlineLevel="0" collapsed="false">
      <c r="E71" s="23" t="s">
        <v>502</v>
      </c>
      <c r="F71" s="23" t="s">
        <v>503</v>
      </c>
      <c r="G71" s="23" t="s">
        <v>504</v>
      </c>
    </row>
    <row r="72" customFormat="false" ht="15" hidden="false" customHeight="false" outlineLevel="0" collapsed="false">
      <c r="C72" s="13" t="s">
        <v>505</v>
      </c>
      <c r="E72" s="84" t="n">
        <f aca="false">SIT_TotCumul</f>
        <v>243950000</v>
      </c>
      <c r="F72" s="84" t="n">
        <f aca="false">SIT_TotPrec</f>
        <v>164000000</v>
      </c>
      <c r="G72" s="84" t="n">
        <f aca="false">E72-F72</f>
        <v>79950000</v>
      </c>
    </row>
    <row r="73" customFormat="false" ht="15" hidden="false" customHeight="false" outlineLevel="0" collapsed="false">
      <c r="C73" s="13" t="s">
        <v>253</v>
      </c>
      <c r="E73" s="84" t="n">
        <f aca="false">-SIT_TotCumul*P_RG</f>
        <v>-12197500</v>
      </c>
      <c r="F73" s="84" t="n">
        <f aca="false">-SIT_TotPrec*P_RG</f>
        <v>-8200000</v>
      </c>
      <c r="G73" s="84" t="n">
        <f aca="false">E73-F73</f>
        <v>-3997500</v>
      </c>
    </row>
    <row r="74" customFormat="false" ht="15" hidden="false" customHeight="false" outlineLevel="0" collapsed="false">
      <c r="C74" s="13" t="s">
        <v>506</v>
      </c>
      <c r="E74" s="84" t="n">
        <f aca="false">-SIT_TotCumul*P_Avance</f>
        <v>-24395000</v>
      </c>
      <c r="F74" s="84" t="n">
        <f aca="false">-SIT_TotPrec*P_Avance</f>
        <v>-16400000</v>
      </c>
      <c r="G74" s="84" t="n">
        <f aca="false">E74-F74</f>
        <v>-7995000</v>
      </c>
    </row>
    <row r="75" customFormat="false" ht="15" hidden="false" customHeight="false" outlineLevel="0" collapsed="false">
      <c r="C75" s="4" t="s">
        <v>507</v>
      </c>
      <c r="E75" s="85" t="n">
        <f aca="false">SUM(E72:E74)</f>
        <v>207357500</v>
      </c>
      <c r="F75" s="85" t="n">
        <f aca="false">SUM(F72:F74)</f>
        <v>139400000</v>
      </c>
      <c r="G75" s="85" t="n">
        <f aca="false">E75-F75</f>
        <v>67957500</v>
      </c>
    </row>
    <row r="76" customFormat="false" ht="15" hidden="false" customHeight="false" outlineLevel="0" collapsed="false">
      <c r="C76" s="13" t="s">
        <v>508</v>
      </c>
      <c r="G76" s="84" t="n">
        <f aca="false">G75*P_TVA</f>
        <v>12232350</v>
      </c>
    </row>
    <row r="77" customFormat="false" ht="15" hidden="false" customHeight="false" outlineLevel="0" collapsed="false">
      <c r="C77" s="4" t="s">
        <v>509</v>
      </c>
      <c r="G77" s="86" t="n">
        <f aca="false">G75+G76</f>
        <v>80189850</v>
      </c>
    </row>
    <row r="79" customFormat="false" ht="15" hidden="false" customHeight="false" outlineLevel="0" collapsed="false">
      <c r="C79" s="4" t="s">
        <v>510</v>
      </c>
      <c r="G79" s="87" t="n">
        <f aca="false">IF(SIT_TotMarche=0,0,SIT_TotCumul/SIT_TotMarche)</f>
        <v>0.387216075935303</v>
      </c>
    </row>
    <row r="81" customFormat="false" ht="15" hidden="false" customHeight="false" outlineLevel="0" collapsed="false">
      <c r="C81" s="80" t="s">
        <v>511</v>
      </c>
    </row>
  </sheetData>
  <autoFilter ref="A7:M67"/>
  <mergeCells count="4">
    <mergeCell ref="A1:M1"/>
    <mergeCell ref="A2:M2"/>
    <mergeCell ref="A3:M3"/>
    <mergeCell ref="A4:M4"/>
  </mergeCells>
  <conditionalFormatting sqref="K8:K67">
    <cfRule type="expression" priority="2" aboveAverage="0" equalAverage="0" bottom="0" percent="0" rank="0" text="" dxfId="16">
      <formula>AND(K8&lt;&gt;"",K8&gt;1)</formula>
    </cfRule>
  </conditionalFormatting>
  <dataValidations count="2">
    <dataValidation allowBlank="true" errorStyle="stop" operator="between" showDropDown="false" showErrorMessage="true" showInputMessage="false" sqref="B8:B67" type="list">
      <formula1>L_Lots</formula1>
      <formula2>0</formula2>
    </dataValidation>
    <dataValidation allowBlank="true" errorStyle="stop" operator="between" showDropDown="false" showErrorMessage="true" showInputMessage="false" sqref="D8:D67" type="list">
      <formula1>L_Unites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R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6" min="15" style="0" width="13"/>
    <col collapsed="false" customWidth="true" hidden="false" outlineLevel="0" max="18" min="17" style="0" width="8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customFormat="false" ht="19.5" hidden="false" customHeight="true" outlineLevel="0" collapsed="false">
      <c r="A2" s="20" t="s">
        <v>512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21" t="s">
        <v>513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6" customFormat="false" ht="31.5" hidden="false" customHeight="true" outlineLevel="0" collapsed="false">
      <c r="A6" s="23" t="s">
        <v>337</v>
      </c>
      <c r="B6" s="23" t="s">
        <v>514</v>
      </c>
      <c r="C6" s="23" t="s">
        <v>336</v>
      </c>
      <c r="D6" s="23" t="s">
        <v>515</v>
      </c>
      <c r="E6" s="23" t="s">
        <v>516</v>
      </c>
      <c r="F6" s="23" t="s">
        <v>517</v>
      </c>
      <c r="G6" s="23" t="s">
        <v>518</v>
      </c>
      <c r="H6" s="23" t="s">
        <v>519</v>
      </c>
      <c r="I6" s="23" t="s">
        <v>520</v>
      </c>
      <c r="J6" s="23" t="s">
        <v>521</v>
      </c>
      <c r="K6" s="23" t="s">
        <v>522</v>
      </c>
      <c r="L6" s="23" t="s">
        <v>339</v>
      </c>
      <c r="M6" s="23" t="s">
        <v>523</v>
      </c>
      <c r="N6" s="23" t="s">
        <v>524</v>
      </c>
      <c r="O6" s="23" t="s">
        <v>525</v>
      </c>
      <c r="P6" s="23" t="s">
        <v>306</v>
      </c>
      <c r="Q6" s="23" t="s">
        <v>526</v>
      </c>
      <c r="R6" s="23" t="s">
        <v>527</v>
      </c>
    </row>
    <row r="7" customFormat="false" ht="23.85" hidden="false" customHeight="false" outlineLevel="0" collapsed="false">
      <c r="A7" s="25" t="s">
        <v>528</v>
      </c>
      <c r="B7" s="69" t="n">
        <v>46239</v>
      </c>
      <c r="C7" s="25" t="s">
        <v>227</v>
      </c>
      <c r="D7" s="25" t="s">
        <v>151</v>
      </c>
      <c r="E7" s="25" t="s">
        <v>529</v>
      </c>
      <c r="F7" s="25" t="s">
        <v>530</v>
      </c>
      <c r="G7" s="28" t="n">
        <v>14300000</v>
      </c>
      <c r="H7" s="72" t="n">
        <v>0</v>
      </c>
      <c r="I7" s="31" t="n">
        <f aca="false">IF(G7="","",G7*N(H7))</f>
        <v>0</v>
      </c>
      <c r="J7" s="31" t="n">
        <f aca="false">IF(G7="","",G7+I7)</f>
        <v>14300000</v>
      </c>
      <c r="K7" s="70" t="n">
        <v>30</v>
      </c>
      <c r="L7" s="71" t="n">
        <f aca="false">IF(OR(B7="",K7=""),"",B7+K7)</f>
        <v>46269</v>
      </c>
      <c r="M7" s="28" t="n">
        <v>14300000</v>
      </c>
      <c r="N7" s="69" t="n">
        <v>46254</v>
      </c>
      <c r="O7" s="31" t="n">
        <f aca="false">IF(G7="","",J7-N(M7))</f>
        <v>0</v>
      </c>
      <c r="P7" s="74" t="str">
        <f aca="false">IF(G7="","",IF(O7&lt;=0,"Réglée",IF(L7="","À payer",IF(P_DateRef&gt;L7,"En retard",IF(L7-P_DateRef&lt;=7,"À payer &lt; 7j","À payer")))))</f>
        <v>Réglée</v>
      </c>
      <c r="Q7" s="88" t="str">
        <f aca="false">IF(P7="En retard",P_DateRef-L7,"")</f>
        <v/>
      </c>
      <c r="R7" s="74" t="str">
        <f aca="false">IF(OR(A7="",N(O7)&lt;=0),"",COUNTIFS($A$7:A7,"&lt;&gt;",$O$7:O7,"&gt;0"))</f>
        <v/>
      </c>
    </row>
    <row r="8" customFormat="false" ht="15" hidden="false" customHeight="false" outlineLevel="0" collapsed="false">
      <c r="A8" s="25" t="s">
        <v>531</v>
      </c>
      <c r="B8" s="69" t="n">
        <v>46246</v>
      </c>
      <c r="C8" s="25" t="s">
        <v>132</v>
      </c>
      <c r="D8" s="25" t="s">
        <v>203</v>
      </c>
      <c r="E8" s="25" t="s">
        <v>532</v>
      </c>
      <c r="F8" s="25" t="s">
        <v>533</v>
      </c>
      <c r="G8" s="28" t="n">
        <v>3120000</v>
      </c>
      <c r="H8" s="72" t="n">
        <v>0.18</v>
      </c>
      <c r="I8" s="31" t="n">
        <f aca="false">IF(G8="","",G8*N(H8))</f>
        <v>561600</v>
      </c>
      <c r="J8" s="31" t="n">
        <f aca="false">IF(G8="","",G8+I8)</f>
        <v>3681600</v>
      </c>
      <c r="K8" s="70" t="n">
        <v>30</v>
      </c>
      <c r="L8" s="71" t="n">
        <f aca="false">IF(OR(B8="",K8=""),"",B8+K8)</f>
        <v>46276</v>
      </c>
      <c r="M8" s="28" t="n">
        <v>3681600</v>
      </c>
      <c r="N8" s="69" t="n">
        <v>46275</v>
      </c>
      <c r="O8" s="31" t="n">
        <f aca="false">IF(G8="","",J8-N(M8))</f>
        <v>0</v>
      </c>
      <c r="P8" s="74" t="str">
        <f aca="false">IF(G8="","",IF(O8&lt;=0,"Réglée",IF(L8="","À payer",IF(P_DateRef&gt;L8,"En retard",IF(L8-P_DateRef&lt;=7,"À payer &lt; 7j","À payer")))))</f>
        <v>Réglée</v>
      </c>
      <c r="Q8" s="88" t="str">
        <f aca="false">IF(P8="En retard",P_DateRef-L8,"")</f>
        <v/>
      </c>
      <c r="R8" s="74" t="str">
        <f aca="false">IF(OR(A8="",N(O8)&lt;=0),"",COUNTIFS($A$7:A8,"&lt;&gt;",$O$7:O8,"&gt;0"))</f>
        <v/>
      </c>
    </row>
    <row r="9" customFormat="false" ht="15" hidden="false" customHeight="false" outlineLevel="0" collapsed="false">
      <c r="A9" s="25" t="s">
        <v>534</v>
      </c>
      <c r="B9" s="69" t="n">
        <v>46249</v>
      </c>
      <c r="C9" s="25" t="s">
        <v>153</v>
      </c>
      <c r="D9" s="25" t="s">
        <v>203</v>
      </c>
      <c r="E9" s="25" t="s">
        <v>535</v>
      </c>
      <c r="F9" s="25" t="s">
        <v>536</v>
      </c>
      <c r="G9" s="28" t="n">
        <v>2240000</v>
      </c>
      <c r="H9" s="72" t="n">
        <v>0.18</v>
      </c>
      <c r="I9" s="31" t="n">
        <f aca="false">IF(G9="","",G9*N(H9))</f>
        <v>403200</v>
      </c>
      <c r="J9" s="31" t="n">
        <f aca="false">IF(G9="","",G9+I9)</f>
        <v>2643200</v>
      </c>
      <c r="K9" s="70" t="n">
        <v>30</v>
      </c>
      <c r="L9" s="71" t="n">
        <f aca="false">IF(OR(B9="",K9=""),"",B9+K9)</f>
        <v>46279</v>
      </c>
      <c r="M9" s="28" t="n">
        <v>2643200</v>
      </c>
      <c r="N9" s="69" t="n">
        <v>46277</v>
      </c>
      <c r="O9" s="31" t="n">
        <f aca="false">IF(G9="","",J9-N(M9))</f>
        <v>0</v>
      </c>
      <c r="P9" s="74" t="str">
        <f aca="false">IF(G9="","",IF(O9&lt;=0,"Réglée",IF(L9="","À payer",IF(P_DateRef&gt;L9,"En retard",IF(L9-P_DateRef&lt;=7,"À payer &lt; 7j","À payer")))))</f>
        <v>Réglée</v>
      </c>
      <c r="Q9" s="88" t="str">
        <f aca="false">IF(P9="En retard",P_DateRef-L9,"")</f>
        <v/>
      </c>
      <c r="R9" s="74" t="str">
        <f aca="false">IF(OR(A9="",N(O9)&lt;=0),"",COUNTIFS($A$7:A9,"&lt;&gt;",$O$7:O9,"&gt;0"))</f>
        <v/>
      </c>
    </row>
    <row r="10" customFormat="false" ht="15" hidden="false" customHeight="false" outlineLevel="0" collapsed="false">
      <c r="A10" s="25" t="s">
        <v>537</v>
      </c>
      <c r="B10" s="69" t="n">
        <v>46249</v>
      </c>
      <c r="C10" s="25" t="s">
        <v>153</v>
      </c>
      <c r="D10" s="25" t="s">
        <v>203</v>
      </c>
      <c r="E10" s="25" t="s">
        <v>538</v>
      </c>
      <c r="F10" s="25" t="s">
        <v>539</v>
      </c>
      <c r="G10" s="28" t="n">
        <v>2940000</v>
      </c>
      <c r="H10" s="72" t="n">
        <v>0.18</v>
      </c>
      <c r="I10" s="31" t="n">
        <f aca="false">IF(G10="","",G10*N(H10))</f>
        <v>529200</v>
      </c>
      <c r="J10" s="31" t="n">
        <f aca="false">IF(G10="","",G10+I10)</f>
        <v>3469200</v>
      </c>
      <c r="K10" s="70" t="n">
        <v>30</v>
      </c>
      <c r="L10" s="71" t="n">
        <f aca="false">IF(OR(B10="",K10=""),"",B10+K10)</f>
        <v>46279</v>
      </c>
      <c r="M10" s="28" t="n">
        <v>3469200</v>
      </c>
      <c r="N10" s="69" t="n">
        <v>46277</v>
      </c>
      <c r="O10" s="31" t="n">
        <f aca="false">IF(G10="","",J10-N(M10))</f>
        <v>0</v>
      </c>
      <c r="P10" s="74" t="str">
        <f aca="false">IF(G10="","",IF(O10&lt;=0,"Réglée",IF(L10="","À payer",IF(P_DateRef&gt;L10,"En retard",IF(L10-P_DateRef&lt;=7,"À payer &lt; 7j","À payer")))))</f>
        <v>Réglée</v>
      </c>
      <c r="Q10" s="88" t="str">
        <f aca="false">IF(P10="En retard",P_DateRef-L10,"")</f>
        <v/>
      </c>
      <c r="R10" s="74" t="str">
        <f aca="false">IF(OR(A10="",N(O10)&lt;=0),"",COUNTIFS($A$7:A10,"&lt;&gt;",$O$7:O10,"&gt;0"))</f>
        <v/>
      </c>
    </row>
    <row r="11" customFormat="false" ht="15" hidden="false" customHeight="false" outlineLevel="0" collapsed="false">
      <c r="A11" s="25" t="s">
        <v>540</v>
      </c>
      <c r="B11" s="69" t="n">
        <v>46259</v>
      </c>
      <c r="C11" s="25" t="s">
        <v>193</v>
      </c>
      <c r="D11" s="25" t="s">
        <v>203</v>
      </c>
      <c r="E11" s="25" t="s">
        <v>541</v>
      </c>
      <c r="F11" s="25" t="s">
        <v>542</v>
      </c>
      <c r="G11" s="28" t="n">
        <v>1440000</v>
      </c>
      <c r="H11" s="72" t="n">
        <v>0.18</v>
      </c>
      <c r="I11" s="31" t="n">
        <f aca="false">IF(G11="","",G11*N(H11))</f>
        <v>259200</v>
      </c>
      <c r="J11" s="31" t="n">
        <f aca="false">IF(G11="","",G11+I11)</f>
        <v>1699200</v>
      </c>
      <c r="K11" s="70" t="n">
        <v>30</v>
      </c>
      <c r="L11" s="71" t="n">
        <f aca="false">IF(OR(B11="",K11=""),"",B11+K11)</f>
        <v>46289</v>
      </c>
      <c r="M11" s="28" t="n">
        <v>1699200</v>
      </c>
      <c r="N11" s="69" t="n">
        <v>46285</v>
      </c>
      <c r="O11" s="31" t="n">
        <f aca="false">IF(G11="","",J11-N(M11))</f>
        <v>0</v>
      </c>
      <c r="P11" s="74" t="str">
        <f aca="false">IF(G11="","",IF(O11&lt;=0,"Réglée",IF(L11="","À payer",IF(P_DateRef&gt;L11,"En retard",IF(L11-P_DateRef&lt;=7,"À payer &lt; 7j","À payer")))))</f>
        <v>Réglée</v>
      </c>
      <c r="Q11" s="88" t="str">
        <f aca="false">IF(P11="En retard",P_DateRef-L11,"")</f>
        <v/>
      </c>
      <c r="R11" s="74" t="str">
        <f aca="false">IF(OR(A11="",N(O11)&lt;=0),"",COUNTIFS($A$7:A11,"&lt;&gt;",$O$7:O11,"&gt;0"))</f>
        <v/>
      </c>
    </row>
    <row r="12" customFormat="false" ht="15" hidden="false" customHeight="false" outlineLevel="0" collapsed="false">
      <c r="A12" s="25" t="s">
        <v>543</v>
      </c>
      <c r="B12" s="69" t="n">
        <v>46260</v>
      </c>
      <c r="C12" s="25" t="s">
        <v>175</v>
      </c>
      <c r="D12" s="25" t="s">
        <v>203</v>
      </c>
      <c r="E12" s="25" t="s">
        <v>544</v>
      </c>
      <c r="F12" s="25" t="s">
        <v>545</v>
      </c>
      <c r="G12" s="28" t="n">
        <v>4400000</v>
      </c>
      <c r="H12" s="72" t="n">
        <v>0.18</v>
      </c>
      <c r="I12" s="31" t="n">
        <f aca="false">IF(G12="","",G12*N(H12))</f>
        <v>792000</v>
      </c>
      <c r="J12" s="31" t="n">
        <f aca="false">IF(G12="","",G12+I12)</f>
        <v>5192000</v>
      </c>
      <c r="K12" s="70" t="n">
        <v>30</v>
      </c>
      <c r="L12" s="71" t="n">
        <f aca="false">IF(OR(B12="",K12=""),"",B12+K12)</f>
        <v>46290</v>
      </c>
      <c r="M12" s="28" t="n">
        <v>2000000</v>
      </c>
      <c r="N12" s="69" t="n">
        <v>46290</v>
      </c>
      <c r="O12" s="31" t="n">
        <f aca="false">IF(G12="","",J12-N(M12))</f>
        <v>3192000</v>
      </c>
      <c r="P12" s="74" t="str">
        <f aca="false">IF(G12="","",IF(O12&lt;=0,"Réglée",IF(L12="","À payer",IF(P_DateRef&gt;L12,"En retard",IF(L12-P_DateRef&lt;=7,"À payer &lt; 7j","À payer")))))</f>
        <v>En retard</v>
      </c>
      <c r="Q12" s="88" t="n">
        <f aca="false">IF(P12="En retard",P_DateRef-L12,"")</f>
        <v>21</v>
      </c>
      <c r="R12" s="74" t="n">
        <f aca="false">IF(OR(A12="",N(O12)&lt;=0),"",COUNTIFS($A$7:A12,"&lt;&gt;",$O$7:O12,"&gt;0"))</f>
        <v>1</v>
      </c>
    </row>
    <row r="13" customFormat="false" ht="23.85" hidden="false" customHeight="false" outlineLevel="0" collapsed="false">
      <c r="A13" s="25" t="s">
        <v>546</v>
      </c>
      <c r="B13" s="69" t="n">
        <v>46260</v>
      </c>
      <c r="C13" s="25" t="s">
        <v>153</v>
      </c>
      <c r="D13" s="25" t="s">
        <v>215</v>
      </c>
      <c r="E13" s="25" t="s">
        <v>547</v>
      </c>
      <c r="F13" s="25" t="s">
        <v>548</v>
      </c>
      <c r="G13" s="28" t="n">
        <v>975000</v>
      </c>
      <c r="H13" s="72" t="n">
        <v>0.18</v>
      </c>
      <c r="I13" s="31" t="n">
        <f aca="false">IF(G13="","",G13*N(H13))</f>
        <v>175500</v>
      </c>
      <c r="J13" s="31" t="n">
        <f aca="false">IF(G13="","",G13+I13)</f>
        <v>1150500</v>
      </c>
      <c r="K13" s="70" t="n">
        <v>30</v>
      </c>
      <c r="L13" s="71" t="n">
        <f aca="false">IF(OR(B13="",K13=""),"",B13+K13)</f>
        <v>46290</v>
      </c>
      <c r="M13" s="28" t="n">
        <v>1150500</v>
      </c>
      <c r="N13" s="69" t="n">
        <v>46285</v>
      </c>
      <c r="O13" s="31" t="n">
        <f aca="false">IF(G13="","",J13-N(M13))</f>
        <v>0</v>
      </c>
      <c r="P13" s="74" t="str">
        <f aca="false">IF(G13="","",IF(O13&lt;=0,"Réglée",IF(L13="","À payer",IF(P_DateRef&gt;L13,"En retard",IF(L13-P_DateRef&lt;=7,"À payer &lt; 7j","À payer")))))</f>
        <v>Réglée</v>
      </c>
      <c r="Q13" s="88" t="str">
        <f aca="false">IF(P13="En retard",P_DateRef-L13,"")</f>
        <v/>
      </c>
      <c r="R13" s="74" t="str">
        <f aca="false">IF(OR(A13="",N(O13)&lt;=0),"",COUNTIFS($A$7:A13,"&lt;&gt;",$O$7:O13,"&gt;0"))</f>
        <v/>
      </c>
    </row>
    <row r="14" customFormat="false" ht="23.85" hidden="false" customHeight="false" outlineLevel="0" collapsed="false">
      <c r="A14" s="25" t="s">
        <v>549</v>
      </c>
      <c r="B14" s="69" t="n">
        <v>46265</v>
      </c>
      <c r="C14" s="25" t="s">
        <v>233</v>
      </c>
      <c r="D14" s="25" t="s">
        <v>151</v>
      </c>
      <c r="E14" s="25" t="s">
        <v>550</v>
      </c>
      <c r="F14" s="25"/>
      <c r="G14" s="28" t="n">
        <v>18500000</v>
      </c>
      <c r="H14" s="72" t="n">
        <v>0.18</v>
      </c>
      <c r="I14" s="31" t="n">
        <f aca="false">IF(G14="","",G14*N(H14))</f>
        <v>3330000</v>
      </c>
      <c r="J14" s="31" t="n">
        <f aca="false">IF(G14="","",G14+I14)</f>
        <v>21830000</v>
      </c>
      <c r="K14" s="70" t="n">
        <v>30</v>
      </c>
      <c r="L14" s="71" t="n">
        <f aca="false">IF(OR(B14="",K14=""),"",B14+K14)</f>
        <v>46295</v>
      </c>
      <c r="M14" s="28" t="n">
        <v>21830000</v>
      </c>
      <c r="N14" s="69" t="n">
        <v>46294</v>
      </c>
      <c r="O14" s="31" t="n">
        <f aca="false">IF(G14="","",J14-N(M14))</f>
        <v>0</v>
      </c>
      <c r="P14" s="74" t="str">
        <f aca="false">IF(G14="","",IF(O14&lt;=0,"Réglée",IF(L14="","À payer",IF(P_DateRef&gt;L14,"En retard",IF(L14-P_DateRef&lt;=7,"À payer &lt; 7j","À payer")))))</f>
        <v>Réglée</v>
      </c>
      <c r="Q14" s="88" t="str">
        <f aca="false">IF(P14="En retard",P_DateRef-L14,"")</f>
        <v/>
      </c>
      <c r="R14" s="74" t="str">
        <f aca="false">IF(OR(A14="",N(O14)&lt;=0),"",COUNTIFS($A$7:A14,"&lt;&gt;",$O$7:O14,"&gt;0"))</f>
        <v/>
      </c>
    </row>
    <row r="15" customFormat="false" ht="23.85" hidden="false" customHeight="false" outlineLevel="0" collapsed="false">
      <c r="A15" s="25" t="s">
        <v>551</v>
      </c>
      <c r="B15" s="69" t="n">
        <v>46275</v>
      </c>
      <c r="C15" s="25" t="s">
        <v>205</v>
      </c>
      <c r="D15" s="25" t="s">
        <v>215</v>
      </c>
      <c r="E15" s="25" t="s">
        <v>552</v>
      </c>
      <c r="F15" s="25" t="s">
        <v>553</v>
      </c>
      <c r="G15" s="28" t="n">
        <v>2250000</v>
      </c>
      <c r="H15" s="72" t="n">
        <v>0.18</v>
      </c>
      <c r="I15" s="31" t="n">
        <f aca="false">IF(G15="","",G15*N(H15))</f>
        <v>405000</v>
      </c>
      <c r="J15" s="31" t="n">
        <f aca="false">IF(G15="","",G15+I15)</f>
        <v>2655000</v>
      </c>
      <c r="K15" s="70" t="n">
        <v>30</v>
      </c>
      <c r="L15" s="71" t="n">
        <f aca="false">IF(OR(B15="",K15=""),"",B15+K15)</f>
        <v>46305</v>
      </c>
      <c r="M15" s="28" t="n">
        <v>2655000</v>
      </c>
      <c r="N15" s="69" t="n">
        <v>46300</v>
      </c>
      <c r="O15" s="31" t="n">
        <f aca="false">IF(G15="","",J15-N(M15))</f>
        <v>0</v>
      </c>
      <c r="P15" s="74" t="str">
        <f aca="false">IF(G15="","",IF(O15&lt;=0,"Réglée",IF(L15="","À payer",IF(P_DateRef&gt;L15,"En retard",IF(L15-P_DateRef&lt;=7,"À payer &lt; 7j","À payer")))))</f>
        <v>Réglée</v>
      </c>
      <c r="Q15" s="88" t="str">
        <f aca="false">IF(P15="En retard",P_DateRef-L15,"")</f>
        <v/>
      </c>
      <c r="R15" s="74" t="str">
        <f aca="false">IF(OR(A15="",N(O15)&lt;=0),"",COUNTIFS($A$7:A15,"&lt;&gt;",$O$7:O15,"&gt;0"))</f>
        <v/>
      </c>
    </row>
    <row r="16" customFormat="false" ht="15" hidden="false" customHeight="false" outlineLevel="0" collapsed="false">
      <c r="A16" s="25" t="s">
        <v>554</v>
      </c>
      <c r="B16" s="69" t="n">
        <v>46285</v>
      </c>
      <c r="C16" s="25" t="s">
        <v>132</v>
      </c>
      <c r="D16" s="25" t="s">
        <v>203</v>
      </c>
      <c r="E16" s="25" t="s">
        <v>555</v>
      </c>
      <c r="F16" s="25" t="s">
        <v>556</v>
      </c>
      <c r="G16" s="28" t="n">
        <v>2080000</v>
      </c>
      <c r="H16" s="72" t="n">
        <v>0.18</v>
      </c>
      <c r="I16" s="31" t="n">
        <f aca="false">IF(G16="","",G16*N(H16))</f>
        <v>374400</v>
      </c>
      <c r="J16" s="31" t="n">
        <f aca="false">IF(G16="","",G16+I16)</f>
        <v>2454400</v>
      </c>
      <c r="K16" s="70" t="n">
        <v>30</v>
      </c>
      <c r="L16" s="71" t="n">
        <f aca="false">IF(OR(B16="",K16=""),"",B16+K16)</f>
        <v>46315</v>
      </c>
      <c r="M16" s="28"/>
      <c r="N16" s="69"/>
      <c r="O16" s="31" t="n">
        <f aca="false">IF(G16="","",J16-N(M16))</f>
        <v>2454400</v>
      </c>
      <c r="P16" s="74" t="str">
        <f aca="false">IF(G16="","",IF(O16&lt;=0,"Réglée",IF(L16="","À payer",IF(P_DateRef&gt;L16,"En retard",IF(L16-P_DateRef&lt;=7,"À payer &lt; 7j","À payer")))))</f>
        <v>À payer &lt; 7j</v>
      </c>
      <c r="Q16" s="88" t="str">
        <f aca="false">IF(P16="En retard",P_DateRef-L16,"")</f>
        <v/>
      </c>
      <c r="R16" s="74" t="n">
        <f aca="false">IF(OR(A16="",N(O16)&lt;=0),"",COUNTIFS($A$7:A16,"&lt;&gt;",$O$7:O16,"&gt;0"))</f>
        <v>2</v>
      </c>
    </row>
    <row r="17" customFormat="false" ht="23.85" hidden="false" customHeight="false" outlineLevel="0" collapsed="false">
      <c r="A17" s="25" t="s">
        <v>557</v>
      </c>
      <c r="B17" s="69" t="n">
        <v>46291</v>
      </c>
      <c r="C17" s="25" t="s">
        <v>227</v>
      </c>
      <c r="D17" s="25" t="s">
        <v>151</v>
      </c>
      <c r="E17" s="25" t="s">
        <v>558</v>
      </c>
      <c r="F17" s="25" t="s">
        <v>559</v>
      </c>
      <c r="G17" s="28" t="n">
        <v>10725000</v>
      </c>
      <c r="H17" s="72" t="n">
        <v>0</v>
      </c>
      <c r="I17" s="31" t="n">
        <f aca="false">IF(G17="","",G17*N(H17))</f>
        <v>0</v>
      </c>
      <c r="J17" s="31" t="n">
        <f aca="false">IF(G17="","",G17+I17)</f>
        <v>10725000</v>
      </c>
      <c r="K17" s="70" t="n">
        <v>30</v>
      </c>
      <c r="L17" s="71" t="n">
        <f aca="false">IF(OR(B17="",K17=""),"",B17+K17)</f>
        <v>46321</v>
      </c>
      <c r="M17" s="28" t="n">
        <v>10725000</v>
      </c>
      <c r="N17" s="69" t="n">
        <v>46301</v>
      </c>
      <c r="O17" s="31" t="n">
        <f aca="false">IF(G17="","",J17-N(M17))</f>
        <v>0</v>
      </c>
      <c r="P17" s="74" t="str">
        <f aca="false">IF(G17="","",IF(O17&lt;=0,"Réglée",IF(L17="","À payer",IF(P_DateRef&gt;L17,"En retard",IF(L17-P_DateRef&lt;=7,"À payer &lt; 7j","À payer")))))</f>
        <v>Réglée</v>
      </c>
      <c r="Q17" s="88" t="str">
        <f aca="false">IF(P17="En retard",P_DateRef-L17,"")</f>
        <v/>
      </c>
      <c r="R17" s="74" t="str">
        <f aca="false">IF(OR(A17="",N(O17)&lt;=0),"",COUNTIFS($A$7:A17,"&lt;&gt;",$O$7:O17,"&gt;0"))</f>
        <v/>
      </c>
    </row>
    <row r="18" customFormat="false" ht="23.85" hidden="false" customHeight="false" outlineLevel="0" collapsed="false">
      <c r="A18" s="25" t="s">
        <v>560</v>
      </c>
      <c r="B18" s="69" t="n">
        <v>46295</v>
      </c>
      <c r="C18" s="25" t="s">
        <v>233</v>
      </c>
      <c r="D18" s="25" t="s">
        <v>151</v>
      </c>
      <c r="E18" s="25" t="s">
        <v>561</v>
      </c>
      <c r="F18" s="25"/>
      <c r="G18" s="28" t="n">
        <v>24000000</v>
      </c>
      <c r="H18" s="72" t="n">
        <v>0.18</v>
      </c>
      <c r="I18" s="31" t="n">
        <f aca="false">IF(G18="","",G18*N(H18))</f>
        <v>4320000</v>
      </c>
      <c r="J18" s="31" t="n">
        <f aca="false">IF(G18="","",G18+I18)</f>
        <v>28320000</v>
      </c>
      <c r="K18" s="70" t="n">
        <v>30</v>
      </c>
      <c r="L18" s="71" t="n">
        <f aca="false">IF(OR(B18="",K18=""),"",B18+K18)</f>
        <v>46325</v>
      </c>
      <c r="M18" s="28" t="n">
        <v>10000000</v>
      </c>
      <c r="N18" s="69" t="n">
        <v>46305</v>
      </c>
      <c r="O18" s="31" t="n">
        <f aca="false">IF(G18="","",J18-N(M18))</f>
        <v>18320000</v>
      </c>
      <c r="P18" s="74" t="str">
        <f aca="false">IF(G18="","",IF(O18&lt;=0,"Réglée",IF(L18="","À payer",IF(P_DateRef&gt;L18,"En retard",IF(L18-P_DateRef&lt;=7,"À payer &lt; 7j","À payer")))))</f>
        <v>À payer</v>
      </c>
      <c r="Q18" s="88" t="str">
        <f aca="false">IF(P18="En retard",P_DateRef-L18,"")</f>
        <v/>
      </c>
      <c r="R18" s="74" t="n">
        <f aca="false">IF(OR(A18="",N(O18)&lt;=0),"",COUNTIFS($A$7:A18,"&lt;&gt;",$O$7:O18,"&gt;0"))</f>
        <v>3</v>
      </c>
    </row>
    <row r="19" customFormat="false" ht="23.85" hidden="false" customHeight="false" outlineLevel="0" collapsed="false">
      <c r="A19" s="25" t="s">
        <v>562</v>
      </c>
      <c r="B19" s="69" t="n">
        <v>46296</v>
      </c>
      <c r="C19" s="25" t="s">
        <v>217</v>
      </c>
      <c r="D19" s="25" t="s">
        <v>191</v>
      </c>
      <c r="E19" s="25" t="s">
        <v>563</v>
      </c>
      <c r="F19" s="25" t="s">
        <v>564</v>
      </c>
      <c r="G19" s="28" t="n">
        <v>4500000</v>
      </c>
      <c r="H19" s="72" t="n">
        <v>0.18</v>
      </c>
      <c r="I19" s="31" t="n">
        <f aca="false">IF(G19="","",G19*N(H19))</f>
        <v>810000</v>
      </c>
      <c r="J19" s="31" t="n">
        <f aca="false">IF(G19="","",G19+I19)</f>
        <v>5310000</v>
      </c>
      <c r="K19" s="70" t="n">
        <v>30</v>
      </c>
      <c r="L19" s="71" t="n">
        <f aca="false">IF(OR(B19="",K19=""),"",B19+K19)</f>
        <v>46326</v>
      </c>
      <c r="M19" s="28"/>
      <c r="N19" s="69"/>
      <c r="O19" s="31" t="n">
        <f aca="false">IF(G19="","",J19-N(M19))</f>
        <v>5310000</v>
      </c>
      <c r="P19" s="74" t="str">
        <f aca="false">IF(G19="","",IF(O19&lt;=0,"Réglée",IF(L19="","À payer",IF(P_DateRef&gt;L19,"En retard",IF(L19-P_DateRef&lt;=7,"À payer &lt; 7j","À payer")))))</f>
        <v>À payer</v>
      </c>
      <c r="Q19" s="88" t="str">
        <f aca="false">IF(P19="En retard",P_DateRef-L19,"")</f>
        <v/>
      </c>
      <c r="R19" s="74" t="n">
        <f aca="false">IF(OR(A19="",N(O19)&lt;=0),"",COUNTIFS($A$7:A19,"&lt;&gt;",$O$7:O19,"&gt;0"))</f>
        <v>4</v>
      </c>
    </row>
    <row r="20" customFormat="false" ht="23.85" hidden="false" customHeight="false" outlineLevel="0" collapsed="false">
      <c r="A20" s="25" t="s">
        <v>565</v>
      </c>
      <c r="B20" s="69" t="n">
        <v>46300</v>
      </c>
      <c r="C20" s="25" t="s">
        <v>243</v>
      </c>
      <c r="D20" s="25" t="s">
        <v>238</v>
      </c>
      <c r="E20" s="25" t="s">
        <v>566</v>
      </c>
      <c r="F20" s="25"/>
      <c r="G20" s="28" t="n">
        <v>9990000</v>
      </c>
      <c r="H20" s="72" t="n">
        <v>0.18</v>
      </c>
      <c r="I20" s="31" t="n">
        <f aca="false">IF(G20="","",G20*N(H20))</f>
        <v>1798200</v>
      </c>
      <c r="J20" s="31" t="n">
        <f aca="false">IF(G20="","",G20+I20)</f>
        <v>11788200</v>
      </c>
      <c r="K20" s="70" t="n">
        <v>15</v>
      </c>
      <c r="L20" s="71" t="n">
        <f aca="false">IF(OR(B20="",K20=""),"",B20+K20)</f>
        <v>46315</v>
      </c>
      <c r="M20" s="28"/>
      <c r="N20" s="69"/>
      <c r="O20" s="31" t="n">
        <f aca="false">IF(G20="","",J20-N(M20))</f>
        <v>11788200</v>
      </c>
      <c r="P20" s="74" t="str">
        <f aca="false">IF(G20="","",IF(O20&lt;=0,"Réglée",IF(L20="","À payer",IF(P_DateRef&gt;L20,"En retard",IF(L20-P_DateRef&lt;=7,"À payer &lt; 7j","À payer")))))</f>
        <v>À payer &lt; 7j</v>
      </c>
      <c r="Q20" s="88" t="str">
        <f aca="false">IF(P20="En retard",P_DateRef-L20,"")</f>
        <v/>
      </c>
      <c r="R20" s="74" t="n">
        <f aca="false">IF(OR(A20="",N(O20)&lt;=0),"",COUNTIFS($A$7:A20,"&lt;&gt;",$O$7:O20,"&gt;0"))</f>
        <v>5</v>
      </c>
    </row>
    <row r="21" customFormat="false" ht="23.85" hidden="false" customHeight="false" outlineLevel="0" collapsed="false">
      <c r="A21" s="25" t="s">
        <v>567</v>
      </c>
      <c r="B21" s="69" t="n">
        <v>46305</v>
      </c>
      <c r="C21" s="25" t="s">
        <v>239</v>
      </c>
      <c r="D21" s="25" t="s">
        <v>242</v>
      </c>
      <c r="E21" s="25" t="s">
        <v>568</v>
      </c>
      <c r="F21" s="25"/>
      <c r="G21" s="28" t="n">
        <v>1850000</v>
      </c>
      <c r="H21" s="72" t="n">
        <v>0.18</v>
      </c>
      <c r="I21" s="31" t="n">
        <f aca="false">IF(G21="","",G21*N(H21))</f>
        <v>333000</v>
      </c>
      <c r="J21" s="31" t="n">
        <f aca="false">IF(G21="","",G21+I21)</f>
        <v>2183000</v>
      </c>
      <c r="K21" s="70" t="n">
        <v>30</v>
      </c>
      <c r="L21" s="71" t="n">
        <f aca="false">IF(OR(B21="",K21=""),"",B21+K21)</f>
        <v>46335</v>
      </c>
      <c r="M21" s="28"/>
      <c r="N21" s="69"/>
      <c r="O21" s="31" t="n">
        <f aca="false">IF(G21="","",J21-N(M21))</f>
        <v>2183000</v>
      </c>
      <c r="P21" s="74" t="str">
        <f aca="false">IF(G21="","",IF(O21&lt;=0,"Réglée",IF(L21="","À payer",IF(P_DateRef&gt;L21,"En retard",IF(L21-P_DateRef&lt;=7,"À payer &lt; 7j","À payer")))))</f>
        <v>À payer</v>
      </c>
      <c r="Q21" s="88" t="str">
        <f aca="false">IF(P21="En retard",P_DateRef-L21,"")</f>
        <v/>
      </c>
      <c r="R21" s="74" t="n">
        <f aca="false">IF(OR(A21="",N(O21)&lt;=0),"",COUNTIFS($A$7:A21,"&lt;&gt;",$O$7:O21,"&gt;0"))</f>
        <v>6</v>
      </c>
    </row>
    <row r="22" customFormat="false" ht="15" hidden="false" customHeight="false" outlineLevel="0" collapsed="false">
      <c r="A22" s="25"/>
      <c r="B22" s="69"/>
      <c r="C22" s="25"/>
      <c r="D22" s="25"/>
      <c r="E22" s="25"/>
      <c r="F22" s="25"/>
      <c r="G22" s="28"/>
      <c r="H22" s="72"/>
      <c r="I22" s="31" t="str">
        <f aca="false">IF(G22="","",G22*N(H22))</f>
        <v/>
      </c>
      <c r="J22" s="31" t="str">
        <f aca="false">IF(G22="","",G22+I22)</f>
        <v/>
      </c>
      <c r="K22" s="70"/>
      <c r="L22" s="71" t="str">
        <f aca="false">IF(OR(B22="",K22=""),"",B22+K22)</f>
        <v/>
      </c>
      <c r="M22" s="28"/>
      <c r="N22" s="69"/>
      <c r="O22" s="31" t="str">
        <f aca="false">IF(G22="","",J22-N(M22))</f>
        <v/>
      </c>
      <c r="P22" s="74" t="str">
        <f aca="false">IF(G22="","",IF(O22&lt;=0,"Réglée",IF(L22="","À payer",IF(P_DateRef&gt;L22,"En retard",IF(L22-P_DateRef&lt;=7,"À payer &lt; 7j","À payer")))))</f>
        <v/>
      </c>
      <c r="Q22" s="88" t="str">
        <f aca="false">IF(P22="En retard",P_DateRef-L22,"")</f>
        <v/>
      </c>
      <c r="R22" s="74" t="str">
        <f aca="false">IF(OR(A22="",N(O22)&lt;=0),"",COUNTIFS($A$7:A22,"&lt;&gt;",$O$7:O22,"&gt;0"))</f>
        <v/>
      </c>
    </row>
    <row r="23" customFormat="false" ht="15" hidden="false" customHeight="false" outlineLevel="0" collapsed="false">
      <c r="A23" s="25"/>
      <c r="B23" s="69"/>
      <c r="C23" s="25"/>
      <c r="D23" s="25"/>
      <c r="E23" s="25"/>
      <c r="F23" s="25"/>
      <c r="G23" s="28"/>
      <c r="H23" s="72"/>
      <c r="I23" s="31" t="str">
        <f aca="false">IF(G23="","",G23*N(H23))</f>
        <v/>
      </c>
      <c r="J23" s="31" t="str">
        <f aca="false">IF(G23="","",G23+I23)</f>
        <v/>
      </c>
      <c r="K23" s="70"/>
      <c r="L23" s="71" t="str">
        <f aca="false">IF(OR(B23="",K23=""),"",B23+K23)</f>
        <v/>
      </c>
      <c r="M23" s="28"/>
      <c r="N23" s="69"/>
      <c r="O23" s="31" t="str">
        <f aca="false">IF(G23="","",J23-N(M23))</f>
        <v/>
      </c>
      <c r="P23" s="74" t="str">
        <f aca="false">IF(G23="","",IF(O23&lt;=0,"Réglée",IF(L23="","À payer",IF(P_DateRef&gt;L23,"En retard",IF(L23-P_DateRef&lt;=7,"À payer &lt; 7j","À payer")))))</f>
        <v/>
      </c>
      <c r="Q23" s="88" t="str">
        <f aca="false">IF(P23="En retard",P_DateRef-L23,"")</f>
        <v/>
      </c>
      <c r="R23" s="74" t="str">
        <f aca="false">IF(OR(A23="",N(O23)&lt;=0),"",COUNTIFS($A$7:A23,"&lt;&gt;",$O$7:O23,"&gt;0"))</f>
        <v/>
      </c>
    </row>
    <row r="24" customFormat="false" ht="15" hidden="false" customHeight="false" outlineLevel="0" collapsed="false">
      <c r="A24" s="25"/>
      <c r="B24" s="69"/>
      <c r="C24" s="25"/>
      <c r="D24" s="25"/>
      <c r="E24" s="25"/>
      <c r="F24" s="25"/>
      <c r="G24" s="28"/>
      <c r="H24" s="72"/>
      <c r="I24" s="31" t="str">
        <f aca="false">IF(G24="","",G24*N(H24))</f>
        <v/>
      </c>
      <c r="J24" s="31" t="str">
        <f aca="false">IF(G24="","",G24+I24)</f>
        <v/>
      </c>
      <c r="K24" s="70"/>
      <c r="L24" s="71" t="str">
        <f aca="false">IF(OR(B24="",K24=""),"",B24+K24)</f>
        <v/>
      </c>
      <c r="M24" s="28"/>
      <c r="N24" s="69"/>
      <c r="O24" s="31" t="str">
        <f aca="false">IF(G24="","",J24-N(M24))</f>
        <v/>
      </c>
      <c r="P24" s="74" t="str">
        <f aca="false">IF(G24="","",IF(O24&lt;=0,"Réglée",IF(L24="","À payer",IF(P_DateRef&gt;L24,"En retard",IF(L24-P_DateRef&lt;=7,"À payer &lt; 7j","À payer")))))</f>
        <v/>
      </c>
      <c r="Q24" s="88" t="str">
        <f aca="false">IF(P24="En retard",P_DateRef-L24,"")</f>
        <v/>
      </c>
      <c r="R24" s="74" t="str">
        <f aca="false">IF(OR(A24="",N(O24)&lt;=0),"",COUNTIFS($A$7:A24,"&lt;&gt;",$O$7:O24,"&gt;0"))</f>
        <v/>
      </c>
    </row>
    <row r="25" customFormat="false" ht="15" hidden="false" customHeight="false" outlineLevel="0" collapsed="false">
      <c r="A25" s="25"/>
      <c r="B25" s="69"/>
      <c r="C25" s="25"/>
      <c r="D25" s="25"/>
      <c r="E25" s="25"/>
      <c r="F25" s="25"/>
      <c r="G25" s="28"/>
      <c r="H25" s="72"/>
      <c r="I25" s="31" t="str">
        <f aca="false">IF(G25="","",G25*N(H25))</f>
        <v/>
      </c>
      <c r="J25" s="31" t="str">
        <f aca="false">IF(G25="","",G25+I25)</f>
        <v/>
      </c>
      <c r="K25" s="70"/>
      <c r="L25" s="71" t="str">
        <f aca="false">IF(OR(B25="",K25=""),"",B25+K25)</f>
        <v/>
      </c>
      <c r="M25" s="28"/>
      <c r="N25" s="69"/>
      <c r="O25" s="31" t="str">
        <f aca="false">IF(G25="","",J25-N(M25))</f>
        <v/>
      </c>
      <c r="P25" s="74" t="str">
        <f aca="false">IF(G25="","",IF(O25&lt;=0,"Réglée",IF(L25="","À payer",IF(P_DateRef&gt;L25,"En retard",IF(L25-P_DateRef&lt;=7,"À payer &lt; 7j","À payer")))))</f>
        <v/>
      </c>
      <c r="Q25" s="88" t="str">
        <f aca="false">IF(P25="En retard",P_DateRef-L25,"")</f>
        <v/>
      </c>
      <c r="R25" s="74" t="str">
        <f aca="false">IF(OR(A25="",N(O25)&lt;=0),"",COUNTIFS($A$7:A25,"&lt;&gt;",$O$7:O25,"&gt;0"))</f>
        <v/>
      </c>
    </row>
    <row r="26" customFormat="false" ht="15" hidden="false" customHeight="false" outlineLevel="0" collapsed="false">
      <c r="A26" s="25"/>
      <c r="B26" s="69"/>
      <c r="C26" s="25"/>
      <c r="D26" s="25"/>
      <c r="E26" s="25"/>
      <c r="F26" s="25"/>
      <c r="G26" s="28"/>
      <c r="H26" s="72"/>
      <c r="I26" s="31" t="str">
        <f aca="false">IF(G26="","",G26*N(H26))</f>
        <v/>
      </c>
      <c r="J26" s="31" t="str">
        <f aca="false">IF(G26="","",G26+I26)</f>
        <v/>
      </c>
      <c r="K26" s="70"/>
      <c r="L26" s="71" t="str">
        <f aca="false">IF(OR(B26="",K26=""),"",B26+K26)</f>
        <v/>
      </c>
      <c r="M26" s="28"/>
      <c r="N26" s="69"/>
      <c r="O26" s="31" t="str">
        <f aca="false">IF(G26="","",J26-N(M26))</f>
        <v/>
      </c>
      <c r="P26" s="74" t="str">
        <f aca="false">IF(G26="","",IF(O26&lt;=0,"Réglée",IF(L26="","À payer",IF(P_DateRef&gt;L26,"En retard",IF(L26-P_DateRef&lt;=7,"À payer &lt; 7j","À payer")))))</f>
        <v/>
      </c>
      <c r="Q26" s="88" t="str">
        <f aca="false">IF(P26="En retard",P_DateRef-L26,"")</f>
        <v/>
      </c>
      <c r="R26" s="74" t="str">
        <f aca="false">IF(OR(A26="",N(O26)&lt;=0),"",COUNTIFS($A$7:A26,"&lt;&gt;",$O$7:O26,"&gt;0"))</f>
        <v/>
      </c>
    </row>
    <row r="27" customFormat="false" ht="15" hidden="false" customHeight="false" outlineLevel="0" collapsed="false">
      <c r="A27" s="25"/>
      <c r="B27" s="69"/>
      <c r="C27" s="25"/>
      <c r="D27" s="25"/>
      <c r="E27" s="25"/>
      <c r="F27" s="25"/>
      <c r="G27" s="28"/>
      <c r="H27" s="72"/>
      <c r="I27" s="31" t="str">
        <f aca="false">IF(G27="","",G27*N(H27))</f>
        <v/>
      </c>
      <c r="J27" s="31" t="str">
        <f aca="false">IF(G27="","",G27+I27)</f>
        <v/>
      </c>
      <c r="K27" s="70"/>
      <c r="L27" s="71" t="str">
        <f aca="false">IF(OR(B27="",K27=""),"",B27+K27)</f>
        <v/>
      </c>
      <c r="M27" s="28"/>
      <c r="N27" s="69"/>
      <c r="O27" s="31" t="str">
        <f aca="false">IF(G27="","",J27-N(M27))</f>
        <v/>
      </c>
      <c r="P27" s="74" t="str">
        <f aca="false">IF(G27="","",IF(O27&lt;=0,"Réglée",IF(L27="","À payer",IF(P_DateRef&gt;L27,"En retard",IF(L27-P_DateRef&lt;=7,"À payer &lt; 7j","À payer")))))</f>
        <v/>
      </c>
      <c r="Q27" s="88" t="str">
        <f aca="false">IF(P27="En retard",P_DateRef-L27,"")</f>
        <v/>
      </c>
      <c r="R27" s="74" t="str">
        <f aca="false">IF(OR(A27="",N(O27)&lt;=0),"",COUNTIFS($A$7:A27,"&lt;&gt;",$O$7:O27,"&gt;0"))</f>
        <v/>
      </c>
    </row>
    <row r="28" customFormat="false" ht="15" hidden="false" customHeight="false" outlineLevel="0" collapsed="false">
      <c r="A28" s="25"/>
      <c r="B28" s="69"/>
      <c r="C28" s="25"/>
      <c r="D28" s="25"/>
      <c r="E28" s="25"/>
      <c r="F28" s="25"/>
      <c r="G28" s="28"/>
      <c r="H28" s="72"/>
      <c r="I28" s="31" t="str">
        <f aca="false">IF(G28="","",G28*N(H28))</f>
        <v/>
      </c>
      <c r="J28" s="31" t="str">
        <f aca="false">IF(G28="","",G28+I28)</f>
        <v/>
      </c>
      <c r="K28" s="70"/>
      <c r="L28" s="71" t="str">
        <f aca="false">IF(OR(B28="",K28=""),"",B28+K28)</f>
        <v/>
      </c>
      <c r="M28" s="28"/>
      <c r="N28" s="69"/>
      <c r="O28" s="31" t="str">
        <f aca="false">IF(G28="","",J28-N(M28))</f>
        <v/>
      </c>
      <c r="P28" s="74" t="str">
        <f aca="false">IF(G28="","",IF(O28&lt;=0,"Réglée",IF(L28="","À payer",IF(P_DateRef&gt;L28,"En retard",IF(L28-P_DateRef&lt;=7,"À payer &lt; 7j","À payer")))))</f>
        <v/>
      </c>
      <c r="Q28" s="88" t="str">
        <f aca="false">IF(P28="En retard",P_DateRef-L28,"")</f>
        <v/>
      </c>
      <c r="R28" s="74" t="str">
        <f aca="false">IF(OR(A28="",N(O28)&lt;=0),"",COUNTIFS($A$7:A28,"&lt;&gt;",$O$7:O28,"&gt;0"))</f>
        <v/>
      </c>
    </row>
    <row r="29" customFormat="false" ht="15" hidden="false" customHeight="false" outlineLevel="0" collapsed="false">
      <c r="A29" s="25"/>
      <c r="B29" s="69"/>
      <c r="C29" s="25"/>
      <c r="D29" s="25"/>
      <c r="E29" s="25"/>
      <c r="F29" s="25"/>
      <c r="G29" s="28"/>
      <c r="H29" s="72"/>
      <c r="I29" s="31" t="str">
        <f aca="false">IF(G29="","",G29*N(H29))</f>
        <v/>
      </c>
      <c r="J29" s="31" t="str">
        <f aca="false">IF(G29="","",G29+I29)</f>
        <v/>
      </c>
      <c r="K29" s="70"/>
      <c r="L29" s="71" t="str">
        <f aca="false">IF(OR(B29="",K29=""),"",B29+K29)</f>
        <v/>
      </c>
      <c r="M29" s="28"/>
      <c r="N29" s="69"/>
      <c r="O29" s="31" t="str">
        <f aca="false">IF(G29="","",J29-N(M29))</f>
        <v/>
      </c>
      <c r="P29" s="74" t="str">
        <f aca="false">IF(G29="","",IF(O29&lt;=0,"Réglée",IF(L29="","À payer",IF(P_DateRef&gt;L29,"En retard",IF(L29-P_DateRef&lt;=7,"À payer &lt; 7j","À payer")))))</f>
        <v/>
      </c>
      <c r="Q29" s="88" t="str">
        <f aca="false">IF(P29="En retard",P_DateRef-L29,"")</f>
        <v/>
      </c>
      <c r="R29" s="74" t="str">
        <f aca="false">IF(OR(A29="",N(O29)&lt;=0),"",COUNTIFS($A$7:A29,"&lt;&gt;",$O$7:O29,"&gt;0"))</f>
        <v/>
      </c>
    </row>
    <row r="30" customFormat="false" ht="15" hidden="false" customHeight="false" outlineLevel="0" collapsed="false">
      <c r="A30" s="25"/>
      <c r="B30" s="69"/>
      <c r="C30" s="25"/>
      <c r="D30" s="25"/>
      <c r="E30" s="25"/>
      <c r="F30" s="25"/>
      <c r="G30" s="28"/>
      <c r="H30" s="72"/>
      <c r="I30" s="31" t="str">
        <f aca="false">IF(G30="","",G30*N(H30))</f>
        <v/>
      </c>
      <c r="J30" s="31" t="str">
        <f aca="false">IF(G30="","",G30+I30)</f>
        <v/>
      </c>
      <c r="K30" s="70"/>
      <c r="L30" s="71" t="str">
        <f aca="false">IF(OR(B30="",K30=""),"",B30+K30)</f>
        <v/>
      </c>
      <c r="M30" s="28"/>
      <c r="N30" s="69"/>
      <c r="O30" s="31" t="str">
        <f aca="false">IF(G30="","",J30-N(M30))</f>
        <v/>
      </c>
      <c r="P30" s="74" t="str">
        <f aca="false">IF(G30="","",IF(O30&lt;=0,"Réglée",IF(L30="","À payer",IF(P_DateRef&gt;L30,"En retard",IF(L30-P_DateRef&lt;=7,"À payer &lt; 7j","À payer")))))</f>
        <v/>
      </c>
      <c r="Q30" s="88" t="str">
        <f aca="false">IF(P30="En retard",P_DateRef-L30,"")</f>
        <v/>
      </c>
      <c r="R30" s="74" t="str">
        <f aca="false">IF(OR(A30="",N(O30)&lt;=0),"",COUNTIFS($A$7:A30,"&lt;&gt;",$O$7:O30,"&gt;0"))</f>
        <v/>
      </c>
    </row>
    <row r="31" customFormat="false" ht="15" hidden="false" customHeight="false" outlineLevel="0" collapsed="false">
      <c r="A31" s="25"/>
      <c r="B31" s="69"/>
      <c r="C31" s="25"/>
      <c r="D31" s="25"/>
      <c r="E31" s="25"/>
      <c r="F31" s="25"/>
      <c r="G31" s="28"/>
      <c r="H31" s="72"/>
      <c r="I31" s="31" t="str">
        <f aca="false">IF(G31="","",G31*N(H31))</f>
        <v/>
      </c>
      <c r="J31" s="31" t="str">
        <f aca="false">IF(G31="","",G31+I31)</f>
        <v/>
      </c>
      <c r="K31" s="70"/>
      <c r="L31" s="71" t="str">
        <f aca="false">IF(OR(B31="",K31=""),"",B31+K31)</f>
        <v/>
      </c>
      <c r="M31" s="28"/>
      <c r="N31" s="69"/>
      <c r="O31" s="31" t="str">
        <f aca="false">IF(G31="","",J31-N(M31))</f>
        <v/>
      </c>
      <c r="P31" s="74" t="str">
        <f aca="false">IF(G31="","",IF(O31&lt;=0,"Réglée",IF(L31="","À payer",IF(P_DateRef&gt;L31,"En retard",IF(L31-P_DateRef&lt;=7,"À payer &lt; 7j","À payer")))))</f>
        <v/>
      </c>
      <c r="Q31" s="88" t="str">
        <f aca="false">IF(P31="En retard",P_DateRef-L31,"")</f>
        <v/>
      </c>
      <c r="R31" s="74" t="str">
        <f aca="false">IF(OR(A31="",N(O31)&lt;=0),"",COUNTIFS($A$7:A31,"&lt;&gt;",$O$7:O31,"&gt;0"))</f>
        <v/>
      </c>
    </row>
    <row r="32" customFormat="false" ht="15" hidden="false" customHeight="false" outlineLevel="0" collapsed="false">
      <c r="A32" s="25"/>
      <c r="B32" s="69"/>
      <c r="C32" s="25"/>
      <c r="D32" s="25"/>
      <c r="E32" s="25"/>
      <c r="F32" s="25"/>
      <c r="G32" s="28"/>
      <c r="H32" s="72"/>
      <c r="I32" s="31" t="str">
        <f aca="false">IF(G32="","",G32*N(H32))</f>
        <v/>
      </c>
      <c r="J32" s="31" t="str">
        <f aca="false">IF(G32="","",G32+I32)</f>
        <v/>
      </c>
      <c r="K32" s="70"/>
      <c r="L32" s="71" t="str">
        <f aca="false">IF(OR(B32="",K32=""),"",B32+K32)</f>
        <v/>
      </c>
      <c r="M32" s="28"/>
      <c r="N32" s="69"/>
      <c r="O32" s="31" t="str">
        <f aca="false">IF(G32="","",J32-N(M32))</f>
        <v/>
      </c>
      <c r="P32" s="74" t="str">
        <f aca="false">IF(G32="","",IF(O32&lt;=0,"Réglée",IF(L32="","À payer",IF(P_DateRef&gt;L32,"En retard",IF(L32-P_DateRef&lt;=7,"À payer &lt; 7j","À payer")))))</f>
        <v/>
      </c>
      <c r="Q32" s="88" t="str">
        <f aca="false">IF(P32="En retard",P_DateRef-L32,"")</f>
        <v/>
      </c>
      <c r="R32" s="74" t="str">
        <f aca="false">IF(OR(A32="",N(O32)&lt;=0),"",COUNTIFS($A$7:A32,"&lt;&gt;",$O$7:O32,"&gt;0"))</f>
        <v/>
      </c>
    </row>
    <row r="33" customFormat="false" ht="15" hidden="false" customHeight="false" outlineLevel="0" collapsed="false">
      <c r="A33" s="25"/>
      <c r="B33" s="69"/>
      <c r="C33" s="25"/>
      <c r="D33" s="25"/>
      <c r="E33" s="25"/>
      <c r="F33" s="25"/>
      <c r="G33" s="28"/>
      <c r="H33" s="72"/>
      <c r="I33" s="31" t="str">
        <f aca="false">IF(G33="","",G33*N(H33))</f>
        <v/>
      </c>
      <c r="J33" s="31" t="str">
        <f aca="false">IF(G33="","",G33+I33)</f>
        <v/>
      </c>
      <c r="K33" s="70"/>
      <c r="L33" s="71" t="str">
        <f aca="false">IF(OR(B33="",K33=""),"",B33+K33)</f>
        <v/>
      </c>
      <c r="M33" s="28"/>
      <c r="N33" s="69"/>
      <c r="O33" s="31" t="str">
        <f aca="false">IF(G33="","",J33-N(M33))</f>
        <v/>
      </c>
      <c r="P33" s="74" t="str">
        <f aca="false">IF(G33="","",IF(O33&lt;=0,"Réglée",IF(L33="","À payer",IF(P_DateRef&gt;L33,"En retard",IF(L33-P_DateRef&lt;=7,"À payer &lt; 7j","À payer")))))</f>
        <v/>
      </c>
      <c r="Q33" s="88" t="str">
        <f aca="false">IF(P33="En retard",P_DateRef-L33,"")</f>
        <v/>
      </c>
      <c r="R33" s="74" t="str">
        <f aca="false">IF(OR(A33="",N(O33)&lt;=0),"",COUNTIFS($A$7:A33,"&lt;&gt;",$O$7:O33,"&gt;0"))</f>
        <v/>
      </c>
    </row>
    <row r="34" customFormat="false" ht="15" hidden="false" customHeight="false" outlineLevel="0" collapsed="false">
      <c r="A34" s="25"/>
      <c r="B34" s="69"/>
      <c r="C34" s="25"/>
      <c r="D34" s="25"/>
      <c r="E34" s="25"/>
      <c r="F34" s="25"/>
      <c r="G34" s="28"/>
      <c r="H34" s="72"/>
      <c r="I34" s="31" t="str">
        <f aca="false">IF(G34="","",G34*N(H34))</f>
        <v/>
      </c>
      <c r="J34" s="31" t="str">
        <f aca="false">IF(G34="","",G34+I34)</f>
        <v/>
      </c>
      <c r="K34" s="70"/>
      <c r="L34" s="71" t="str">
        <f aca="false">IF(OR(B34="",K34=""),"",B34+K34)</f>
        <v/>
      </c>
      <c r="M34" s="28"/>
      <c r="N34" s="69"/>
      <c r="O34" s="31" t="str">
        <f aca="false">IF(G34="","",J34-N(M34))</f>
        <v/>
      </c>
      <c r="P34" s="74" t="str">
        <f aca="false">IF(G34="","",IF(O34&lt;=0,"Réglée",IF(L34="","À payer",IF(P_DateRef&gt;L34,"En retard",IF(L34-P_DateRef&lt;=7,"À payer &lt; 7j","À payer")))))</f>
        <v/>
      </c>
      <c r="Q34" s="88" t="str">
        <f aca="false">IF(P34="En retard",P_DateRef-L34,"")</f>
        <v/>
      </c>
      <c r="R34" s="74" t="str">
        <f aca="false">IF(OR(A34="",N(O34)&lt;=0),"",COUNTIFS($A$7:A34,"&lt;&gt;",$O$7:O34,"&gt;0"))</f>
        <v/>
      </c>
    </row>
    <row r="35" customFormat="false" ht="15" hidden="false" customHeight="false" outlineLevel="0" collapsed="false">
      <c r="A35" s="25"/>
      <c r="B35" s="69"/>
      <c r="C35" s="25"/>
      <c r="D35" s="25"/>
      <c r="E35" s="25"/>
      <c r="F35" s="25"/>
      <c r="G35" s="28"/>
      <c r="H35" s="72"/>
      <c r="I35" s="31" t="str">
        <f aca="false">IF(G35="","",G35*N(H35))</f>
        <v/>
      </c>
      <c r="J35" s="31" t="str">
        <f aca="false">IF(G35="","",G35+I35)</f>
        <v/>
      </c>
      <c r="K35" s="70"/>
      <c r="L35" s="71" t="str">
        <f aca="false">IF(OR(B35="",K35=""),"",B35+K35)</f>
        <v/>
      </c>
      <c r="M35" s="28"/>
      <c r="N35" s="69"/>
      <c r="O35" s="31" t="str">
        <f aca="false">IF(G35="","",J35-N(M35))</f>
        <v/>
      </c>
      <c r="P35" s="74" t="str">
        <f aca="false">IF(G35="","",IF(O35&lt;=0,"Réglée",IF(L35="","À payer",IF(P_DateRef&gt;L35,"En retard",IF(L35-P_DateRef&lt;=7,"À payer &lt; 7j","À payer")))))</f>
        <v/>
      </c>
      <c r="Q35" s="88" t="str">
        <f aca="false">IF(P35="En retard",P_DateRef-L35,"")</f>
        <v/>
      </c>
      <c r="R35" s="74" t="str">
        <f aca="false">IF(OR(A35="",N(O35)&lt;=0),"",COUNTIFS($A$7:A35,"&lt;&gt;",$O$7:O35,"&gt;0"))</f>
        <v/>
      </c>
    </row>
    <row r="36" customFormat="false" ht="15" hidden="false" customHeight="false" outlineLevel="0" collapsed="false">
      <c r="A36" s="25"/>
      <c r="B36" s="69"/>
      <c r="C36" s="25"/>
      <c r="D36" s="25"/>
      <c r="E36" s="25"/>
      <c r="F36" s="25"/>
      <c r="G36" s="28"/>
      <c r="H36" s="72"/>
      <c r="I36" s="31" t="str">
        <f aca="false">IF(G36="","",G36*N(H36))</f>
        <v/>
      </c>
      <c r="J36" s="31" t="str">
        <f aca="false">IF(G36="","",G36+I36)</f>
        <v/>
      </c>
      <c r="K36" s="70"/>
      <c r="L36" s="71" t="str">
        <f aca="false">IF(OR(B36="",K36=""),"",B36+K36)</f>
        <v/>
      </c>
      <c r="M36" s="28"/>
      <c r="N36" s="69"/>
      <c r="O36" s="31" t="str">
        <f aca="false">IF(G36="","",J36-N(M36))</f>
        <v/>
      </c>
      <c r="P36" s="74" t="str">
        <f aca="false">IF(G36="","",IF(O36&lt;=0,"Réglée",IF(L36="","À payer",IF(P_DateRef&gt;L36,"En retard",IF(L36-P_DateRef&lt;=7,"À payer &lt; 7j","À payer")))))</f>
        <v/>
      </c>
      <c r="Q36" s="88" t="str">
        <f aca="false">IF(P36="En retard",P_DateRef-L36,"")</f>
        <v/>
      </c>
      <c r="R36" s="74" t="str">
        <f aca="false">IF(OR(A36="",N(O36)&lt;=0),"",COUNTIFS($A$7:A36,"&lt;&gt;",$O$7:O36,"&gt;0"))</f>
        <v/>
      </c>
    </row>
    <row r="37" customFormat="false" ht="15" hidden="false" customHeight="false" outlineLevel="0" collapsed="false">
      <c r="A37" s="25"/>
      <c r="B37" s="69"/>
      <c r="C37" s="25"/>
      <c r="D37" s="25"/>
      <c r="E37" s="25"/>
      <c r="F37" s="25"/>
      <c r="G37" s="28"/>
      <c r="H37" s="72"/>
      <c r="I37" s="31" t="str">
        <f aca="false">IF(G37="","",G37*N(H37))</f>
        <v/>
      </c>
      <c r="J37" s="31" t="str">
        <f aca="false">IF(G37="","",G37+I37)</f>
        <v/>
      </c>
      <c r="K37" s="70"/>
      <c r="L37" s="71" t="str">
        <f aca="false">IF(OR(B37="",K37=""),"",B37+K37)</f>
        <v/>
      </c>
      <c r="M37" s="28"/>
      <c r="N37" s="69"/>
      <c r="O37" s="31" t="str">
        <f aca="false">IF(G37="","",J37-N(M37))</f>
        <v/>
      </c>
      <c r="P37" s="74" t="str">
        <f aca="false">IF(G37="","",IF(O37&lt;=0,"Réglée",IF(L37="","À payer",IF(P_DateRef&gt;L37,"En retard",IF(L37-P_DateRef&lt;=7,"À payer &lt; 7j","À payer")))))</f>
        <v/>
      </c>
      <c r="Q37" s="88" t="str">
        <f aca="false">IF(P37="En retard",P_DateRef-L37,"")</f>
        <v/>
      </c>
      <c r="R37" s="74" t="str">
        <f aca="false">IF(OR(A37="",N(O37)&lt;=0),"",COUNTIFS($A$7:A37,"&lt;&gt;",$O$7:O37,"&gt;0"))</f>
        <v/>
      </c>
    </row>
    <row r="38" customFormat="false" ht="15" hidden="false" customHeight="false" outlineLevel="0" collapsed="false">
      <c r="A38" s="25"/>
      <c r="B38" s="69"/>
      <c r="C38" s="25"/>
      <c r="D38" s="25"/>
      <c r="E38" s="25"/>
      <c r="F38" s="25"/>
      <c r="G38" s="28"/>
      <c r="H38" s="72"/>
      <c r="I38" s="31" t="str">
        <f aca="false">IF(G38="","",G38*N(H38))</f>
        <v/>
      </c>
      <c r="J38" s="31" t="str">
        <f aca="false">IF(G38="","",G38+I38)</f>
        <v/>
      </c>
      <c r="K38" s="70"/>
      <c r="L38" s="71" t="str">
        <f aca="false">IF(OR(B38="",K38=""),"",B38+K38)</f>
        <v/>
      </c>
      <c r="M38" s="28"/>
      <c r="N38" s="69"/>
      <c r="O38" s="31" t="str">
        <f aca="false">IF(G38="","",J38-N(M38))</f>
        <v/>
      </c>
      <c r="P38" s="74" t="str">
        <f aca="false">IF(G38="","",IF(O38&lt;=0,"Réglée",IF(L38="","À payer",IF(P_DateRef&gt;L38,"En retard",IF(L38-P_DateRef&lt;=7,"À payer &lt; 7j","À payer")))))</f>
        <v/>
      </c>
      <c r="Q38" s="88" t="str">
        <f aca="false">IF(P38="En retard",P_DateRef-L38,"")</f>
        <v/>
      </c>
      <c r="R38" s="74" t="str">
        <f aca="false">IF(OR(A38="",N(O38)&lt;=0),"",COUNTIFS($A$7:A38,"&lt;&gt;",$O$7:O38,"&gt;0"))</f>
        <v/>
      </c>
    </row>
    <row r="39" customFormat="false" ht="15" hidden="false" customHeight="false" outlineLevel="0" collapsed="false">
      <c r="A39" s="25"/>
      <c r="B39" s="69"/>
      <c r="C39" s="25"/>
      <c r="D39" s="25"/>
      <c r="E39" s="25"/>
      <c r="F39" s="25"/>
      <c r="G39" s="28"/>
      <c r="H39" s="72"/>
      <c r="I39" s="31" t="str">
        <f aca="false">IF(G39="","",G39*N(H39))</f>
        <v/>
      </c>
      <c r="J39" s="31" t="str">
        <f aca="false">IF(G39="","",G39+I39)</f>
        <v/>
      </c>
      <c r="K39" s="70"/>
      <c r="L39" s="71" t="str">
        <f aca="false">IF(OR(B39="",K39=""),"",B39+K39)</f>
        <v/>
      </c>
      <c r="M39" s="28"/>
      <c r="N39" s="69"/>
      <c r="O39" s="31" t="str">
        <f aca="false">IF(G39="","",J39-N(M39))</f>
        <v/>
      </c>
      <c r="P39" s="74" t="str">
        <f aca="false">IF(G39="","",IF(O39&lt;=0,"Réglée",IF(L39="","À payer",IF(P_DateRef&gt;L39,"En retard",IF(L39-P_DateRef&lt;=7,"À payer &lt; 7j","À payer")))))</f>
        <v/>
      </c>
      <c r="Q39" s="88" t="str">
        <f aca="false">IF(P39="En retard",P_DateRef-L39,"")</f>
        <v/>
      </c>
      <c r="R39" s="74" t="str">
        <f aca="false">IF(OR(A39="",N(O39)&lt;=0),"",COUNTIFS($A$7:A39,"&lt;&gt;",$O$7:O39,"&gt;0"))</f>
        <v/>
      </c>
    </row>
    <row r="40" customFormat="false" ht="15" hidden="false" customHeight="false" outlineLevel="0" collapsed="false">
      <c r="A40" s="25"/>
      <c r="B40" s="69"/>
      <c r="C40" s="25"/>
      <c r="D40" s="25"/>
      <c r="E40" s="25"/>
      <c r="F40" s="25"/>
      <c r="G40" s="28"/>
      <c r="H40" s="72"/>
      <c r="I40" s="31" t="str">
        <f aca="false">IF(G40="","",G40*N(H40))</f>
        <v/>
      </c>
      <c r="J40" s="31" t="str">
        <f aca="false">IF(G40="","",G40+I40)</f>
        <v/>
      </c>
      <c r="K40" s="70"/>
      <c r="L40" s="71" t="str">
        <f aca="false">IF(OR(B40="",K40=""),"",B40+K40)</f>
        <v/>
      </c>
      <c r="M40" s="28"/>
      <c r="N40" s="69"/>
      <c r="O40" s="31" t="str">
        <f aca="false">IF(G40="","",J40-N(M40))</f>
        <v/>
      </c>
      <c r="P40" s="74" t="str">
        <f aca="false">IF(G40="","",IF(O40&lt;=0,"Réglée",IF(L40="","À payer",IF(P_DateRef&gt;L40,"En retard",IF(L40-P_DateRef&lt;=7,"À payer &lt; 7j","À payer")))))</f>
        <v/>
      </c>
      <c r="Q40" s="88" t="str">
        <f aca="false">IF(P40="En retard",P_DateRef-L40,"")</f>
        <v/>
      </c>
      <c r="R40" s="74" t="str">
        <f aca="false">IF(OR(A40="",N(O40)&lt;=0),"",COUNTIFS($A$7:A40,"&lt;&gt;",$O$7:O40,"&gt;0"))</f>
        <v/>
      </c>
    </row>
    <row r="41" customFormat="false" ht="15" hidden="false" customHeight="false" outlineLevel="0" collapsed="false">
      <c r="A41" s="25"/>
      <c r="B41" s="69"/>
      <c r="C41" s="25"/>
      <c r="D41" s="25"/>
      <c r="E41" s="25"/>
      <c r="F41" s="25"/>
      <c r="G41" s="28"/>
      <c r="H41" s="72"/>
      <c r="I41" s="31" t="str">
        <f aca="false">IF(G41="","",G41*N(H41))</f>
        <v/>
      </c>
      <c r="J41" s="31" t="str">
        <f aca="false">IF(G41="","",G41+I41)</f>
        <v/>
      </c>
      <c r="K41" s="70"/>
      <c r="L41" s="71" t="str">
        <f aca="false">IF(OR(B41="",K41=""),"",B41+K41)</f>
        <v/>
      </c>
      <c r="M41" s="28"/>
      <c r="N41" s="69"/>
      <c r="O41" s="31" t="str">
        <f aca="false">IF(G41="","",J41-N(M41))</f>
        <v/>
      </c>
      <c r="P41" s="74" t="str">
        <f aca="false">IF(G41="","",IF(O41&lt;=0,"Réglée",IF(L41="","À payer",IF(P_DateRef&gt;L41,"En retard",IF(L41-P_DateRef&lt;=7,"À payer &lt; 7j","À payer")))))</f>
        <v/>
      </c>
      <c r="Q41" s="88" t="str">
        <f aca="false">IF(P41="En retard",P_DateRef-L41,"")</f>
        <v/>
      </c>
      <c r="R41" s="74" t="str">
        <f aca="false">IF(OR(A41="",N(O41)&lt;=0),"",COUNTIFS($A$7:A41,"&lt;&gt;",$O$7:O41,"&gt;0"))</f>
        <v/>
      </c>
    </row>
    <row r="42" customFormat="false" ht="15" hidden="false" customHeight="false" outlineLevel="0" collapsed="false">
      <c r="A42" s="25"/>
      <c r="B42" s="69"/>
      <c r="C42" s="25"/>
      <c r="D42" s="25"/>
      <c r="E42" s="25"/>
      <c r="F42" s="25"/>
      <c r="G42" s="28"/>
      <c r="H42" s="72"/>
      <c r="I42" s="31" t="str">
        <f aca="false">IF(G42="","",G42*N(H42))</f>
        <v/>
      </c>
      <c r="J42" s="31" t="str">
        <f aca="false">IF(G42="","",G42+I42)</f>
        <v/>
      </c>
      <c r="K42" s="70"/>
      <c r="L42" s="71" t="str">
        <f aca="false">IF(OR(B42="",K42=""),"",B42+K42)</f>
        <v/>
      </c>
      <c r="M42" s="28"/>
      <c r="N42" s="69"/>
      <c r="O42" s="31" t="str">
        <f aca="false">IF(G42="","",J42-N(M42))</f>
        <v/>
      </c>
      <c r="P42" s="74" t="str">
        <f aca="false">IF(G42="","",IF(O42&lt;=0,"Réglée",IF(L42="","À payer",IF(P_DateRef&gt;L42,"En retard",IF(L42-P_DateRef&lt;=7,"À payer &lt; 7j","À payer")))))</f>
        <v/>
      </c>
      <c r="Q42" s="88" t="str">
        <f aca="false">IF(P42="En retard",P_DateRef-L42,"")</f>
        <v/>
      </c>
      <c r="R42" s="74" t="str">
        <f aca="false">IF(OR(A42="",N(O42)&lt;=0),"",COUNTIFS($A$7:A42,"&lt;&gt;",$O$7:O42,"&gt;0"))</f>
        <v/>
      </c>
    </row>
    <row r="43" customFormat="false" ht="15" hidden="false" customHeight="false" outlineLevel="0" collapsed="false">
      <c r="A43" s="25"/>
      <c r="B43" s="69"/>
      <c r="C43" s="25"/>
      <c r="D43" s="25"/>
      <c r="E43" s="25"/>
      <c r="F43" s="25"/>
      <c r="G43" s="28"/>
      <c r="H43" s="72"/>
      <c r="I43" s="31" t="str">
        <f aca="false">IF(G43="","",G43*N(H43))</f>
        <v/>
      </c>
      <c r="J43" s="31" t="str">
        <f aca="false">IF(G43="","",G43+I43)</f>
        <v/>
      </c>
      <c r="K43" s="70"/>
      <c r="L43" s="71" t="str">
        <f aca="false">IF(OR(B43="",K43=""),"",B43+K43)</f>
        <v/>
      </c>
      <c r="M43" s="28"/>
      <c r="N43" s="69"/>
      <c r="O43" s="31" t="str">
        <f aca="false">IF(G43="","",J43-N(M43))</f>
        <v/>
      </c>
      <c r="P43" s="74" t="str">
        <f aca="false">IF(G43="","",IF(O43&lt;=0,"Réglée",IF(L43="","À payer",IF(P_DateRef&gt;L43,"En retard",IF(L43-P_DateRef&lt;=7,"À payer &lt; 7j","À payer")))))</f>
        <v/>
      </c>
      <c r="Q43" s="88" t="str">
        <f aca="false">IF(P43="En retard",P_DateRef-L43,"")</f>
        <v/>
      </c>
      <c r="R43" s="74" t="str">
        <f aca="false">IF(OR(A43="",N(O43)&lt;=0),"",COUNTIFS($A$7:A43,"&lt;&gt;",$O$7:O43,"&gt;0"))</f>
        <v/>
      </c>
    </row>
    <row r="44" customFormat="false" ht="15" hidden="false" customHeight="false" outlineLevel="0" collapsed="false">
      <c r="A44" s="25"/>
      <c r="B44" s="69"/>
      <c r="C44" s="25"/>
      <c r="D44" s="25"/>
      <c r="E44" s="25"/>
      <c r="F44" s="25"/>
      <c r="G44" s="28"/>
      <c r="H44" s="72"/>
      <c r="I44" s="31" t="str">
        <f aca="false">IF(G44="","",G44*N(H44))</f>
        <v/>
      </c>
      <c r="J44" s="31" t="str">
        <f aca="false">IF(G44="","",G44+I44)</f>
        <v/>
      </c>
      <c r="K44" s="70"/>
      <c r="L44" s="71" t="str">
        <f aca="false">IF(OR(B44="",K44=""),"",B44+K44)</f>
        <v/>
      </c>
      <c r="M44" s="28"/>
      <c r="N44" s="69"/>
      <c r="O44" s="31" t="str">
        <f aca="false">IF(G44="","",J44-N(M44))</f>
        <v/>
      </c>
      <c r="P44" s="74" t="str">
        <f aca="false">IF(G44="","",IF(O44&lt;=0,"Réglée",IF(L44="","À payer",IF(P_DateRef&gt;L44,"En retard",IF(L44-P_DateRef&lt;=7,"À payer &lt; 7j","À payer")))))</f>
        <v/>
      </c>
      <c r="Q44" s="88" t="str">
        <f aca="false">IF(P44="En retard",P_DateRef-L44,"")</f>
        <v/>
      </c>
      <c r="R44" s="74" t="str">
        <f aca="false">IF(OR(A44="",N(O44)&lt;=0),"",COUNTIFS($A$7:A44,"&lt;&gt;",$O$7:O44,"&gt;0"))</f>
        <v/>
      </c>
    </row>
    <row r="45" customFormat="false" ht="15" hidden="false" customHeight="false" outlineLevel="0" collapsed="false">
      <c r="A45" s="25"/>
      <c r="B45" s="69"/>
      <c r="C45" s="25"/>
      <c r="D45" s="25"/>
      <c r="E45" s="25"/>
      <c r="F45" s="25"/>
      <c r="G45" s="28"/>
      <c r="H45" s="72"/>
      <c r="I45" s="31" t="str">
        <f aca="false">IF(G45="","",G45*N(H45))</f>
        <v/>
      </c>
      <c r="J45" s="31" t="str">
        <f aca="false">IF(G45="","",G45+I45)</f>
        <v/>
      </c>
      <c r="K45" s="70"/>
      <c r="L45" s="71" t="str">
        <f aca="false">IF(OR(B45="",K45=""),"",B45+K45)</f>
        <v/>
      </c>
      <c r="M45" s="28"/>
      <c r="N45" s="69"/>
      <c r="O45" s="31" t="str">
        <f aca="false">IF(G45="","",J45-N(M45))</f>
        <v/>
      </c>
      <c r="P45" s="74" t="str">
        <f aca="false">IF(G45="","",IF(O45&lt;=0,"Réglée",IF(L45="","À payer",IF(P_DateRef&gt;L45,"En retard",IF(L45-P_DateRef&lt;=7,"À payer &lt; 7j","À payer")))))</f>
        <v/>
      </c>
      <c r="Q45" s="88" t="str">
        <f aca="false">IF(P45="En retard",P_DateRef-L45,"")</f>
        <v/>
      </c>
      <c r="R45" s="74" t="str">
        <f aca="false">IF(OR(A45="",N(O45)&lt;=0),"",COUNTIFS($A$7:A45,"&lt;&gt;",$O$7:O45,"&gt;0"))</f>
        <v/>
      </c>
    </row>
    <row r="46" customFormat="false" ht="15" hidden="false" customHeight="false" outlineLevel="0" collapsed="false">
      <c r="A46" s="25"/>
      <c r="B46" s="69"/>
      <c r="C46" s="25"/>
      <c r="D46" s="25"/>
      <c r="E46" s="25"/>
      <c r="F46" s="25"/>
      <c r="G46" s="28"/>
      <c r="H46" s="72"/>
      <c r="I46" s="31" t="str">
        <f aca="false">IF(G46="","",G46*N(H46))</f>
        <v/>
      </c>
      <c r="J46" s="31" t="str">
        <f aca="false">IF(G46="","",G46+I46)</f>
        <v/>
      </c>
      <c r="K46" s="70"/>
      <c r="L46" s="71" t="str">
        <f aca="false">IF(OR(B46="",K46=""),"",B46+K46)</f>
        <v/>
      </c>
      <c r="M46" s="28"/>
      <c r="N46" s="69"/>
      <c r="O46" s="31" t="str">
        <f aca="false">IF(G46="","",J46-N(M46))</f>
        <v/>
      </c>
      <c r="P46" s="74" t="str">
        <f aca="false">IF(G46="","",IF(O46&lt;=0,"Réglée",IF(L46="","À payer",IF(P_DateRef&gt;L46,"En retard",IF(L46-P_DateRef&lt;=7,"À payer &lt; 7j","À payer")))))</f>
        <v/>
      </c>
      <c r="Q46" s="88" t="str">
        <f aca="false">IF(P46="En retard",P_DateRef-L46,"")</f>
        <v/>
      </c>
      <c r="R46" s="74" t="str">
        <f aca="false">IF(OR(A46="",N(O46)&lt;=0),"",COUNTIFS($A$7:A46,"&lt;&gt;",$O$7:O46,"&gt;0"))</f>
        <v/>
      </c>
    </row>
    <row r="47" customFormat="false" ht="15" hidden="false" customHeight="false" outlineLevel="0" collapsed="false">
      <c r="A47" s="25"/>
      <c r="B47" s="69"/>
      <c r="C47" s="25"/>
      <c r="D47" s="25"/>
      <c r="E47" s="25"/>
      <c r="F47" s="25"/>
      <c r="G47" s="28"/>
      <c r="H47" s="72"/>
      <c r="I47" s="31" t="str">
        <f aca="false">IF(G47="","",G47*N(H47))</f>
        <v/>
      </c>
      <c r="J47" s="31" t="str">
        <f aca="false">IF(G47="","",G47+I47)</f>
        <v/>
      </c>
      <c r="K47" s="70"/>
      <c r="L47" s="71" t="str">
        <f aca="false">IF(OR(B47="",K47=""),"",B47+K47)</f>
        <v/>
      </c>
      <c r="M47" s="28"/>
      <c r="N47" s="69"/>
      <c r="O47" s="31" t="str">
        <f aca="false">IF(G47="","",J47-N(M47))</f>
        <v/>
      </c>
      <c r="P47" s="74" t="str">
        <f aca="false">IF(G47="","",IF(O47&lt;=0,"Réglée",IF(L47="","À payer",IF(P_DateRef&gt;L47,"En retard",IF(L47-P_DateRef&lt;=7,"À payer &lt; 7j","À payer")))))</f>
        <v/>
      </c>
      <c r="Q47" s="88" t="str">
        <f aca="false">IF(P47="En retard",P_DateRef-L47,"")</f>
        <v/>
      </c>
      <c r="R47" s="74" t="str">
        <f aca="false">IF(OR(A47="",N(O47)&lt;=0),"",COUNTIFS($A$7:A47,"&lt;&gt;",$O$7:O47,"&gt;0"))</f>
        <v/>
      </c>
    </row>
    <row r="48" customFormat="false" ht="15" hidden="false" customHeight="false" outlineLevel="0" collapsed="false">
      <c r="A48" s="25"/>
      <c r="B48" s="69"/>
      <c r="C48" s="25"/>
      <c r="D48" s="25"/>
      <c r="E48" s="25"/>
      <c r="F48" s="25"/>
      <c r="G48" s="28"/>
      <c r="H48" s="72"/>
      <c r="I48" s="31" t="str">
        <f aca="false">IF(G48="","",G48*N(H48))</f>
        <v/>
      </c>
      <c r="J48" s="31" t="str">
        <f aca="false">IF(G48="","",G48+I48)</f>
        <v/>
      </c>
      <c r="K48" s="70"/>
      <c r="L48" s="71" t="str">
        <f aca="false">IF(OR(B48="",K48=""),"",B48+K48)</f>
        <v/>
      </c>
      <c r="M48" s="28"/>
      <c r="N48" s="69"/>
      <c r="O48" s="31" t="str">
        <f aca="false">IF(G48="","",J48-N(M48))</f>
        <v/>
      </c>
      <c r="P48" s="74" t="str">
        <f aca="false">IF(G48="","",IF(O48&lt;=0,"Réglée",IF(L48="","À payer",IF(P_DateRef&gt;L48,"En retard",IF(L48-P_DateRef&lt;=7,"À payer &lt; 7j","À payer")))))</f>
        <v/>
      </c>
      <c r="Q48" s="88" t="str">
        <f aca="false">IF(P48="En retard",P_DateRef-L48,"")</f>
        <v/>
      </c>
      <c r="R48" s="74" t="str">
        <f aca="false">IF(OR(A48="",N(O48)&lt;=0),"",COUNTIFS($A$7:A48,"&lt;&gt;",$O$7:O48,"&gt;0"))</f>
        <v/>
      </c>
    </row>
    <row r="49" customFormat="false" ht="15" hidden="false" customHeight="false" outlineLevel="0" collapsed="false">
      <c r="A49" s="25"/>
      <c r="B49" s="69"/>
      <c r="C49" s="25"/>
      <c r="D49" s="25"/>
      <c r="E49" s="25"/>
      <c r="F49" s="25"/>
      <c r="G49" s="28"/>
      <c r="H49" s="72"/>
      <c r="I49" s="31" t="str">
        <f aca="false">IF(G49="","",G49*N(H49))</f>
        <v/>
      </c>
      <c r="J49" s="31" t="str">
        <f aca="false">IF(G49="","",G49+I49)</f>
        <v/>
      </c>
      <c r="K49" s="70"/>
      <c r="L49" s="71" t="str">
        <f aca="false">IF(OR(B49="",K49=""),"",B49+K49)</f>
        <v/>
      </c>
      <c r="M49" s="28"/>
      <c r="N49" s="69"/>
      <c r="O49" s="31" t="str">
        <f aca="false">IF(G49="","",J49-N(M49))</f>
        <v/>
      </c>
      <c r="P49" s="74" t="str">
        <f aca="false">IF(G49="","",IF(O49&lt;=0,"Réglée",IF(L49="","À payer",IF(P_DateRef&gt;L49,"En retard",IF(L49-P_DateRef&lt;=7,"À payer &lt; 7j","À payer")))))</f>
        <v/>
      </c>
      <c r="Q49" s="88" t="str">
        <f aca="false">IF(P49="En retard",P_DateRef-L49,"")</f>
        <v/>
      </c>
      <c r="R49" s="74" t="str">
        <f aca="false">IF(OR(A49="",N(O49)&lt;=0),"",COUNTIFS($A$7:A49,"&lt;&gt;",$O$7:O49,"&gt;0"))</f>
        <v/>
      </c>
    </row>
    <row r="50" customFormat="false" ht="15" hidden="false" customHeight="false" outlineLevel="0" collapsed="false">
      <c r="A50" s="25"/>
      <c r="B50" s="69"/>
      <c r="C50" s="25"/>
      <c r="D50" s="25"/>
      <c r="E50" s="25"/>
      <c r="F50" s="25"/>
      <c r="G50" s="28"/>
      <c r="H50" s="72"/>
      <c r="I50" s="31" t="str">
        <f aca="false">IF(G50="","",G50*N(H50))</f>
        <v/>
      </c>
      <c r="J50" s="31" t="str">
        <f aca="false">IF(G50="","",G50+I50)</f>
        <v/>
      </c>
      <c r="K50" s="70"/>
      <c r="L50" s="71" t="str">
        <f aca="false">IF(OR(B50="",K50=""),"",B50+K50)</f>
        <v/>
      </c>
      <c r="M50" s="28"/>
      <c r="N50" s="69"/>
      <c r="O50" s="31" t="str">
        <f aca="false">IF(G50="","",J50-N(M50))</f>
        <v/>
      </c>
      <c r="P50" s="74" t="str">
        <f aca="false">IF(G50="","",IF(O50&lt;=0,"Réglée",IF(L50="","À payer",IF(P_DateRef&gt;L50,"En retard",IF(L50-P_DateRef&lt;=7,"À payer &lt; 7j","À payer")))))</f>
        <v/>
      </c>
      <c r="Q50" s="88" t="str">
        <f aca="false">IF(P50="En retard",P_DateRef-L50,"")</f>
        <v/>
      </c>
      <c r="R50" s="74" t="str">
        <f aca="false">IF(OR(A50="",N(O50)&lt;=0),"",COUNTIFS($A$7:A50,"&lt;&gt;",$O$7:O50,"&gt;0"))</f>
        <v/>
      </c>
    </row>
    <row r="51" customFormat="false" ht="15" hidden="false" customHeight="false" outlineLevel="0" collapsed="false">
      <c r="A51" s="25"/>
      <c r="B51" s="69"/>
      <c r="C51" s="25"/>
      <c r="D51" s="25"/>
      <c r="E51" s="25"/>
      <c r="F51" s="25"/>
      <c r="G51" s="28"/>
      <c r="H51" s="72"/>
      <c r="I51" s="31" t="str">
        <f aca="false">IF(G51="","",G51*N(H51))</f>
        <v/>
      </c>
      <c r="J51" s="31" t="str">
        <f aca="false">IF(G51="","",G51+I51)</f>
        <v/>
      </c>
      <c r="K51" s="70"/>
      <c r="L51" s="71" t="str">
        <f aca="false">IF(OR(B51="",K51=""),"",B51+K51)</f>
        <v/>
      </c>
      <c r="M51" s="28"/>
      <c r="N51" s="69"/>
      <c r="O51" s="31" t="str">
        <f aca="false">IF(G51="","",J51-N(M51))</f>
        <v/>
      </c>
      <c r="P51" s="74" t="str">
        <f aca="false">IF(G51="","",IF(O51&lt;=0,"Réglée",IF(L51="","À payer",IF(P_DateRef&gt;L51,"En retard",IF(L51-P_DateRef&lt;=7,"À payer &lt; 7j","À payer")))))</f>
        <v/>
      </c>
      <c r="Q51" s="88" t="str">
        <f aca="false">IF(P51="En retard",P_DateRef-L51,"")</f>
        <v/>
      </c>
      <c r="R51" s="74" t="str">
        <f aca="false">IF(OR(A51="",N(O51)&lt;=0),"",COUNTIFS($A$7:A51,"&lt;&gt;",$O$7:O51,"&gt;0"))</f>
        <v/>
      </c>
    </row>
    <row r="52" customFormat="false" ht="15" hidden="false" customHeight="false" outlineLevel="0" collapsed="false">
      <c r="A52" s="25"/>
      <c r="B52" s="69"/>
      <c r="C52" s="25"/>
      <c r="D52" s="25"/>
      <c r="E52" s="25"/>
      <c r="F52" s="25"/>
      <c r="G52" s="28"/>
      <c r="H52" s="72"/>
      <c r="I52" s="31" t="str">
        <f aca="false">IF(G52="","",G52*N(H52))</f>
        <v/>
      </c>
      <c r="J52" s="31" t="str">
        <f aca="false">IF(G52="","",G52+I52)</f>
        <v/>
      </c>
      <c r="K52" s="70"/>
      <c r="L52" s="71" t="str">
        <f aca="false">IF(OR(B52="",K52=""),"",B52+K52)</f>
        <v/>
      </c>
      <c r="M52" s="28"/>
      <c r="N52" s="69"/>
      <c r="O52" s="31" t="str">
        <f aca="false">IF(G52="","",J52-N(M52))</f>
        <v/>
      </c>
      <c r="P52" s="74" t="str">
        <f aca="false">IF(G52="","",IF(O52&lt;=0,"Réglée",IF(L52="","À payer",IF(P_DateRef&gt;L52,"En retard",IF(L52-P_DateRef&lt;=7,"À payer &lt; 7j","À payer")))))</f>
        <v/>
      </c>
      <c r="Q52" s="88" t="str">
        <f aca="false">IF(P52="En retard",P_DateRef-L52,"")</f>
        <v/>
      </c>
      <c r="R52" s="74" t="str">
        <f aca="false">IF(OR(A52="",N(O52)&lt;=0),"",COUNTIFS($A$7:A52,"&lt;&gt;",$O$7:O52,"&gt;0"))</f>
        <v/>
      </c>
    </row>
    <row r="53" customFormat="false" ht="15" hidden="false" customHeight="false" outlineLevel="0" collapsed="false">
      <c r="A53" s="25"/>
      <c r="B53" s="69"/>
      <c r="C53" s="25"/>
      <c r="D53" s="25"/>
      <c r="E53" s="25"/>
      <c r="F53" s="25"/>
      <c r="G53" s="28"/>
      <c r="H53" s="72"/>
      <c r="I53" s="31" t="str">
        <f aca="false">IF(G53="","",G53*N(H53))</f>
        <v/>
      </c>
      <c r="J53" s="31" t="str">
        <f aca="false">IF(G53="","",G53+I53)</f>
        <v/>
      </c>
      <c r="K53" s="70"/>
      <c r="L53" s="71" t="str">
        <f aca="false">IF(OR(B53="",K53=""),"",B53+K53)</f>
        <v/>
      </c>
      <c r="M53" s="28"/>
      <c r="N53" s="69"/>
      <c r="O53" s="31" t="str">
        <f aca="false">IF(G53="","",J53-N(M53))</f>
        <v/>
      </c>
      <c r="P53" s="74" t="str">
        <f aca="false">IF(G53="","",IF(O53&lt;=0,"Réglée",IF(L53="","À payer",IF(P_DateRef&gt;L53,"En retard",IF(L53-P_DateRef&lt;=7,"À payer &lt; 7j","À payer")))))</f>
        <v/>
      </c>
      <c r="Q53" s="88" t="str">
        <f aca="false">IF(P53="En retard",P_DateRef-L53,"")</f>
        <v/>
      </c>
      <c r="R53" s="74" t="str">
        <f aca="false">IF(OR(A53="",N(O53)&lt;=0),"",COUNTIFS($A$7:A53,"&lt;&gt;",$O$7:O53,"&gt;0"))</f>
        <v/>
      </c>
    </row>
    <row r="54" customFormat="false" ht="15" hidden="false" customHeight="false" outlineLevel="0" collapsed="false">
      <c r="A54" s="25"/>
      <c r="B54" s="69"/>
      <c r="C54" s="25"/>
      <c r="D54" s="25"/>
      <c r="E54" s="25"/>
      <c r="F54" s="25"/>
      <c r="G54" s="28"/>
      <c r="H54" s="72"/>
      <c r="I54" s="31" t="str">
        <f aca="false">IF(G54="","",G54*N(H54))</f>
        <v/>
      </c>
      <c r="J54" s="31" t="str">
        <f aca="false">IF(G54="","",G54+I54)</f>
        <v/>
      </c>
      <c r="K54" s="70"/>
      <c r="L54" s="71" t="str">
        <f aca="false">IF(OR(B54="",K54=""),"",B54+K54)</f>
        <v/>
      </c>
      <c r="M54" s="28"/>
      <c r="N54" s="69"/>
      <c r="O54" s="31" t="str">
        <f aca="false">IF(G54="","",J54-N(M54))</f>
        <v/>
      </c>
      <c r="P54" s="74" t="str">
        <f aca="false">IF(G54="","",IF(O54&lt;=0,"Réglée",IF(L54="","À payer",IF(P_DateRef&gt;L54,"En retard",IF(L54-P_DateRef&lt;=7,"À payer &lt; 7j","À payer")))))</f>
        <v/>
      </c>
      <c r="Q54" s="88" t="str">
        <f aca="false">IF(P54="En retard",P_DateRef-L54,"")</f>
        <v/>
      </c>
      <c r="R54" s="74" t="str">
        <f aca="false">IF(OR(A54="",N(O54)&lt;=0),"",COUNTIFS($A$7:A54,"&lt;&gt;",$O$7:O54,"&gt;0"))</f>
        <v/>
      </c>
    </row>
    <row r="55" customFormat="false" ht="15" hidden="false" customHeight="false" outlineLevel="0" collapsed="false">
      <c r="A55" s="25"/>
      <c r="B55" s="69"/>
      <c r="C55" s="25"/>
      <c r="D55" s="25"/>
      <c r="E55" s="25"/>
      <c r="F55" s="25"/>
      <c r="G55" s="28"/>
      <c r="H55" s="72"/>
      <c r="I55" s="31" t="str">
        <f aca="false">IF(G55="","",G55*N(H55))</f>
        <v/>
      </c>
      <c r="J55" s="31" t="str">
        <f aca="false">IF(G55="","",G55+I55)</f>
        <v/>
      </c>
      <c r="K55" s="70"/>
      <c r="L55" s="71" t="str">
        <f aca="false">IF(OR(B55="",K55=""),"",B55+K55)</f>
        <v/>
      </c>
      <c r="M55" s="28"/>
      <c r="N55" s="69"/>
      <c r="O55" s="31" t="str">
        <f aca="false">IF(G55="","",J55-N(M55))</f>
        <v/>
      </c>
      <c r="P55" s="74" t="str">
        <f aca="false">IF(G55="","",IF(O55&lt;=0,"Réglée",IF(L55="","À payer",IF(P_DateRef&gt;L55,"En retard",IF(L55-P_DateRef&lt;=7,"À payer &lt; 7j","À payer")))))</f>
        <v/>
      </c>
      <c r="Q55" s="88" t="str">
        <f aca="false">IF(P55="En retard",P_DateRef-L55,"")</f>
        <v/>
      </c>
      <c r="R55" s="74" t="str">
        <f aca="false">IF(OR(A55="",N(O55)&lt;=0),"",COUNTIFS($A$7:A55,"&lt;&gt;",$O$7:O55,"&gt;0"))</f>
        <v/>
      </c>
    </row>
    <row r="56" customFormat="false" ht="15" hidden="false" customHeight="false" outlineLevel="0" collapsed="false">
      <c r="A56" s="25"/>
      <c r="B56" s="69"/>
      <c r="C56" s="25"/>
      <c r="D56" s="25"/>
      <c r="E56" s="25"/>
      <c r="F56" s="25"/>
      <c r="G56" s="28"/>
      <c r="H56" s="72"/>
      <c r="I56" s="31" t="str">
        <f aca="false">IF(G56="","",G56*N(H56))</f>
        <v/>
      </c>
      <c r="J56" s="31" t="str">
        <f aca="false">IF(G56="","",G56+I56)</f>
        <v/>
      </c>
      <c r="K56" s="70"/>
      <c r="L56" s="71" t="str">
        <f aca="false">IF(OR(B56="",K56=""),"",B56+K56)</f>
        <v/>
      </c>
      <c r="M56" s="28"/>
      <c r="N56" s="69"/>
      <c r="O56" s="31" t="str">
        <f aca="false">IF(G56="","",J56-N(M56))</f>
        <v/>
      </c>
      <c r="P56" s="74" t="str">
        <f aca="false">IF(G56="","",IF(O56&lt;=0,"Réglée",IF(L56="","À payer",IF(P_DateRef&gt;L56,"En retard",IF(L56-P_DateRef&lt;=7,"À payer &lt; 7j","À payer")))))</f>
        <v/>
      </c>
      <c r="Q56" s="88" t="str">
        <f aca="false">IF(P56="En retard",P_DateRef-L56,"")</f>
        <v/>
      </c>
      <c r="R56" s="74" t="str">
        <f aca="false">IF(OR(A56="",N(O56)&lt;=0),"",COUNTIFS($A$7:A56,"&lt;&gt;",$O$7:O56,"&gt;0"))</f>
        <v/>
      </c>
    </row>
    <row r="57" customFormat="false" ht="15" hidden="false" customHeight="false" outlineLevel="0" collapsed="false">
      <c r="A57" s="25"/>
      <c r="B57" s="69"/>
      <c r="C57" s="25"/>
      <c r="D57" s="25"/>
      <c r="E57" s="25"/>
      <c r="F57" s="25"/>
      <c r="G57" s="28"/>
      <c r="H57" s="72"/>
      <c r="I57" s="31" t="str">
        <f aca="false">IF(G57="","",G57*N(H57))</f>
        <v/>
      </c>
      <c r="J57" s="31" t="str">
        <f aca="false">IF(G57="","",G57+I57)</f>
        <v/>
      </c>
      <c r="K57" s="70"/>
      <c r="L57" s="71" t="str">
        <f aca="false">IF(OR(B57="",K57=""),"",B57+K57)</f>
        <v/>
      </c>
      <c r="M57" s="28"/>
      <c r="N57" s="69"/>
      <c r="O57" s="31" t="str">
        <f aca="false">IF(G57="","",J57-N(M57))</f>
        <v/>
      </c>
      <c r="P57" s="74" t="str">
        <f aca="false">IF(G57="","",IF(O57&lt;=0,"Réglée",IF(L57="","À payer",IF(P_DateRef&gt;L57,"En retard",IF(L57-P_DateRef&lt;=7,"À payer &lt; 7j","À payer")))))</f>
        <v/>
      </c>
      <c r="Q57" s="88" t="str">
        <f aca="false">IF(P57="En retard",P_DateRef-L57,"")</f>
        <v/>
      </c>
      <c r="R57" s="74" t="str">
        <f aca="false">IF(OR(A57="",N(O57)&lt;=0),"",COUNTIFS($A$7:A57,"&lt;&gt;",$O$7:O57,"&gt;0"))</f>
        <v/>
      </c>
    </row>
    <row r="58" customFormat="false" ht="15" hidden="false" customHeight="false" outlineLevel="0" collapsed="false">
      <c r="A58" s="25"/>
      <c r="B58" s="69"/>
      <c r="C58" s="25"/>
      <c r="D58" s="25"/>
      <c r="E58" s="25"/>
      <c r="F58" s="25"/>
      <c r="G58" s="28"/>
      <c r="H58" s="72"/>
      <c r="I58" s="31" t="str">
        <f aca="false">IF(G58="","",G58*N(H58))</f>
        <v/>
      </c>
      <c r="J58" s="31" t="str">
        <f aca="false">IF(G58="","",G58+I58)</f>
        <v/>
      </c>
      <c r="K58" s="70"/>
      <c r="L58" s="71" t="str">
        <f aca="false">IF(OR(B58="",K58=""),"",B58+K58)</f>
        <v/>
      </c>
      <c r="M58" s="28"/>
      <c r="N58" s="69"/>
      <c r="O58" s="31" t="str">
        <f aca="false">IF(G58="","",J58-N(M58))</f>
        <v/>
      </c>
      <c r="P58" s="74" t="str">
        <f aca="false">IF(G58="","",IF(O58&lt;=0,"Réglée",IF(L58="","À payer",IF(P_DateRef&gt;L58,"En retard",IF(L58-P_DateRef&lt;=7,"À payer &lt; 7j","À payer")))))</f>
        <v/>
      </c>
      <c r="Q58" s="88" t="str">
        <f aca="false">IF(P58="En retard",P_DateRef-L58,"")</f>
        <v/>
      </c>
      <c r="R58" s="74" t="str">
        <f aca="false">IF(OR(A58="",N(O58)&lt;=0),"",COUNTIFS($A$7:A58,"&lt;&gt;",$O$7:O58,"&gt;0"))</f>
        <v/>
      </c>
    </row>
    <row r="59" customFormat="false" ht="15" hidden="false" customHeight="false" outlineLevel="0" collapsed="false">
      <c r="A59" s="25"/>
      <c r="B59" s="69"/>
      <c r="C59" s="25"/>
      <c r="D59" s="25"/>
      <c r="E59" s="25"/>
      <c r="F59" s="25"/>
      <c r="G59" s="28"/>
      <c r="H59" s="72"/>
      <c r="I59" s="31" t="str">
        <f aca="false">IF(G59="","",G59*N(H59))</f>
        <v/>
      </c>
      <c r="J59" s="31" t="str">
        <f aca="false">IF(G59="","",G59+I59)</f>
        <v/>
      </c>
      <c r="K59" s="70"/>
      <c r="L59" s="71" t="str">
        <f aca="false">IF(OR(B59="",K59=""),"",B59+K59)</f>
        <v/>
      </c>
      <c r="M59" s="28"/>
      <c r="N59" s="69"/>
      <c r="O59" s="31" t="str">
        <f aca="false">IF(G59="","",J59-N(M59))</f>
        <v/>
      </c>
      <c r="P59" s="74" t="str">
        <f aca="false">IF(G59="","",IF(O59&lt;=0,"Réglée",IF(L59="","À payer",IF(P_DateRef&gt;L59,"En retard",IF(L59-P_DateRef&lt;=7,"À payer &lt; 7j","À payer")))))</f>
        <v/>
      </c>
      <c r="Q59" s="88" t="str">
        <f aca="false">IF(P59="En retard",P_DateRef-L59,"")</f>
        <v/>
      </c>
      <c r="R59" s="74" t="str">
        <f aca="false">IF(OR(A59="",N(O59)&lt;=0),"",COUNTIFS($A$7:A59,"&lt;&gt;",$O$7:O59,"&gt;0"))</f>
        <v/>
      </c>
    </row>
    <row r="60" customFormat="false" ht="15" hidden="false" customHeight="false" outlineLevel="0" collapsed="false">
      <c r="A60" s="25"/>
      <c r="B60" s="69"/>
      <c r="C60" s="25"/>
      <c r="D60" s="25"/>
      <c r="E60" s="25"/>
      <c r="F60" s="25"/>
      <c r="G60" s="28"/>
      <c r="H60" s="72"/>
      <c r="I60" s="31" t="str">
        <f aca="false">IF(G60="","",G60*N(H60))</f>
        <v/>
      </c>
      <c r="J60" s="31" t="str">
        <f aca="false">IF(G60="","",G60+I60)</f>
        <v/>
      </c>
      <c r="K60" s="70"/>
      <c r="L60" s="71" t="str">
        <f aca="false">IF(OR(B60="",K60=""),"",B60+K60)</f>
        <v/>
      </c>
      <c r="M60" s="28"/>
      <c r="N60" s="69"/>
      <c r="O60" s="31" t="str">
        <f aca="false">IF(G60="","",J60-N(M60))</f>
        <v/>
      </c>
      <c r="P60" s="74" t="str">
        <f aca="false">IF(G60="","",IF(O60&lt;=0,"Réglée",IF(L60="","À payer",IF(P_DateRef&gt;L60,"En retard",IF(L60-P_DateRef&lt;=7,"À payer &lt; 7j","À payer")))))</f>
        <v/>
      </c>
      <c r="Q60" s="88" t="str">
        <f aca="false">IF(P60="En retard",P_DateRef-L60,"")</f>
        <v/>
      </c>
      <c r="R60" s="74" t="str">
        <f aca="false">IF(OR(A60="",N(O60)&lt;=0),"",COUNTIFS($A$7:A60,"&lt;&gt;",$O$7:O60,"&gt;0"))</f>
        <v/>
      </c>
    </row>
    <row r="61" customFormat="false" ht="15" hidden="false" customHeight="false" outlineLevel="0" collapsed="false">
      <c r="A61" s="25"/>
      <c r="B61" s="69"/>
      <c r="C61" s="25"/>
      <c r="D61" s="25"/>
      <c r="E61" s="25"/>
      <c r="F61" s="25"/>
      <c r="G61" s="28"/>
      <c r="H61" s="72"/>
      <c r="I61" s="31" t="str">
        <f aca="false">IF(G61="","",G61*N(H61))</f>
        <v/>
      </c>
      <c r="J61" s="31" t="str">
        <f aca="false">IF(G61="","",G61+I61)</f>
        <v/>
      </c>
      <c r="K61" s="70"/>
      <c r="L61" s="71" t="str">
        <f aca="false">IF(OR(B61="",K61=""),"",B61+K61)</f>
        <v/>
      </c>
      <c r="M61" s="28"/>
      <c r="N61" s="69"/>
      <c r="O61" s="31" t="str">
        <f aca="false">IF(G61="","",J61-N(M61))</f>
        <v/>
      </c>
      <c r="P61" s="74" t="str">
        <f aca="false">IF(G61="","",IF(O61&lt;=0,"Réglée",IF(L61="","À payer",IF(P_DateRef&gt;L61,"En retard",IF(L61-P_DateRef&lt;=7,"À payer &lt; 7j","À payer")))))</f>
        <v/>
      </c>
      <c r="Q61" s="88" t="str">
        <f aca="false">IF(P61="En retard",P_DateRef-L61,"")</f>
        <v/>
      </c>
      <c r="R61" s="74" t="str">
        <f aca="false">IF(OR(A61="",N(O61)&lt;=0),"",COUNTIFS($A$7:A61,"&lt;&gt;",$O$7:O61,"&gt;0"))</f>
        <v/>
      </c>
    </row>
    <row r="62" customFormat="false" ht="15" hidden="false" customHeight="false" outlineLevel="0" collapsed="false">
      <c r="A62" s="25"/>
      <c r="B62" s="69"/>
      <c r="C62" s="25"/>
      <c r="D62" s="25"/>
      <c r="E62" s="25"/>
      <c r="F62" s="25"/>
      <c r="G62" s="28"/>
      <c r="H62" s="72"/>
      <c r="I62" s="31" t="str">
        <f aca="false">IF(G62="","",G62*N(H62))</f>
        <v/>
      </c>
      <c r="J62" s="31" t="str">
        <f aca="false">IF(G62="","",G62+I62)</f>
        <v/>
      </c>
      <c r="K62" s="70"/>
      <c r="L62" s="71" t="str">
        <f aca="false">IF(OR(B62="",K62=""),"",B62+K62)</f>
        <v/>
      </c>
      <c r="M62" s="28"/>
      <c r="N62" s="69"/>
      <c r="O62" s="31" t="str">
        <f aca="false">IF(G62="","",J62-N(M62))</f>
        <v/>
      </c>
      <c r="P62" s="74" t="str">
        <f aca="false">IF(G62="","",IF(O62&lt;=0,"Réglée",IF(L62="","À payer",IF(P_DateRef&gt;L62,"En retard",IF(L62-P_DateRef&lt;=7,"À payer &lt; 7j","À payer")))))</f>
        <v/>
      </c>
      <c r="Q62" s="88" t="str">
        <f aca="false">IF(P62="En retard",P_DateRef-L62,"")</f>
        <v/>
      </c>
      <c r="R62" s="74" t="str">
        <f aca="false">IF(OR(A62="",N(O62)&lt;=0),"",COUNTIFS($A$7:A62,"&lt;&gt;",$O$7:O62,"&gt;0"))</f>
        <v/>
      </c>
    </row>
    <row r="63" customFormat="false" ht="15" hidden="false" customHeight="false" outlineLevel="0" collapsed="false">
      <c r="A63" s="25"/>
      <c r="B63" s="69"/>
      <c r="C63" s="25"/>
      <c r="D63" s="25"/>
      <c r="E63" s="25"/>
      <c r="F63" s="25"/>
      <c r="G63" s="28"/>
      <c r="H63" s="72"/>
      <c r="I63" s="31" t="str">
        <f aca="false">IF(G63="","",G63*N(H63))</f>
        <v/>
      </c>
      <c r="J63" s="31" t="str">
        <f aca="false">IF(G63="","",G63+I63)</f>
        <v/>
      </c>
      <c r="K63" s="70"/>
      <c r="L63" s="71" t="str">
        <f aca="false">IF(OR(B63="",K63=""),"",B63+K63)</f>
        <v/>
      </c>
      <c r="M63" s="28"/>
      <c r="N63" s="69"/>
      <c r="O63" s="31" t="str">
        <f aca="false">IF(G63="","",J63-N(M63))</f>
        <v/>
      </c>
      <c r="P63" s="74" t="str">
        <f aca="false">IF(G63="","",IF(O63&lt;=0,"Réglée",IF(L63="","À payer",IF(P_DateRef&gt;L63,"En retard",IF(L63-P_DateRef&lt;=7,"À payer &lt; 7j","À payer")))))</f>
        <v/>
      </c>
      <c r="Q63" s="88" t="str">
        <f aca="false">IF(P63="En retard",P_DateRef-L63,"")</f>
        <v/>
      </c>
      <c r="R63" s="74" t="str">
        <f aca="false">IF(OR(A63="",N(O63)&lt;=0),"",COUNTIFS($A$7:A63,"&lt;&gt;",$O$7:O63,"&gt;0"))</f>
        <v/>
      </c>
    </row>
    <row r="64" customFormat="false" ht="15" hidden="false" customHeight="false" outlineLevel="0" collapsed="false">
      <c r="A64" s="25"/>
      <c r="B64" s="69"/>
      <c r="C64" s="25"/>
      <c r="D64" s="25"/>
      <c r="E64" s="25"/>
      <c r="F64" s="25"/>
      <c r="G64" s="28"/>
      <c r="H64" s="72"/>
      <c r="I64" s="31" t="str">
        <f aca="false">IF(G64="","",G64*N(H64))</f>
        <v/>
      </c>
      <c r="J64" s="31" t="str">
        <f aca="false">IF(G64="","",G64+I64)</f>
        <v/>
      </c>
      <c r="K64" s="70"/>
      <c r="L64" s="71" t="str">
        <f aca="false">IF(OR(B64="",K64=""),"",B64+K64)</f>
        <v/>
      </c>
      <c r="M64" s="28"/>
      <c r="N64" s="69"/>
      <c r="O64" s="31" t="str">
        <f aca="false">IF(G64="","",J64-N(M64))</f>
        <v/>
      </c>
      <c r="P64" s="74" t="str">
        <f aca="false">IF(G64="","",IF(O64&lt;=0,"Réglée",IF(L64="","À payer",IF(P_DateRef&gt;L64,"En retard",IF(L64-P_DateRef&lt;=7,"À payer &lt; 7j","À payer")))))</f>
        <v/>
      </c>
      <c r="Q64" s="88" t="str">
        <f aca="false">IF(P64="En retard",P_DateRef-L64,"")</f>
        <v/>
      </c>
      <c r="R64" s="74" t="str">
        <f aca="false">IF(OR(A64="",N(O64)&lt;=0),"",COUNTIFS($A$7:A64,"&lt;&gt;",$O$7:O64,"&gt;0"))</f>
        <v/>
      </c>
    </row>
    <row r="65" customFormat="false" ht="15" hidden="false" customHeight="false" outlineLevel="0" collapsed="false">
      <c r="A65" s="25"/>
      <c r="B65" s="69"/>
      <c r="C65" s="25"/>
      <c r="D65" s="25"/>
      <c r="E65" s="25"/>
      <c r="F65" s="25"/>
      <c r="G65" s="28"/>
      <c r="H65" s="72"/>
      <c r="I65" s="31" t="str">
        <f aca="false">IF(G65="","",G65*N(H65))</f>
        <v/>
      </c>
      <c r="J65" s="31" t="str">
        <f aca="false">IF(G65="","",G65+I65)</f>
        <v/>
      </c>
      <c r="K65" s="70"/>
      <c r="L65" s="71" t="str">
        <f aca="false">IF(OR(B65="",K65=""),"",B65+K65)</f>
        <v/>
      </c>
      <c r="M65" s="28"/>
      <c r="N65" s="69"/>
      <c r="O65" s="31" t="str">
        <f aca="false">IF(G65="","",J65-N(M65))</f>
        <v/>
      </c>
      <c r="P65" s="74" t="str">
        <f aca="false">IF(G65="","",IF(O65&lt;=0,"Réglée",IF(L65="","À payer",IF(P_DateRef&gt;L65,"En retard",IF(L65-P_DateRef&lt;=7,"À payer &lt; 7j","À payer")))))</f>
        <v/>
      </c>
      <c r="Q65" s="88" t="str">
        <f aca="false">IF(P65="En retard",P_DateRef-L65,"")</f>
        <v/>
      </c>
      <c r="R65" s="74" t="str">
        <f aca="false">IF(OR(A65="",N(O65)&lt;=0),"",COUNTIFS($A$7:A65,"&lt;&gt;",$O$7:O65,"&gt;0"))</f>
        <v/>
      </c>
    </row>
    <row r="66" customFormat="false" ht="15" hidden="false" customHeight="false" outlineLevel="0" collapsed="false">
      <c r="A66" s="25"/>
      <c r="B66" s="69"/>
      <c r="C66" s="25"/>
      <c r="D66" s="25"/>
      <c r="E66" s="25"/>
      <c r="F66" s="25"/>
      <c r="G66" s="28"/>
      <c r="H66" s="72"/>
      <c r="I66" s="31" t="str">
        <f aca="false">IF(G66="","",G66*N(H66))</f>
        <v/>
      </c>
      <c r="J66" s="31" t="str">
        <f aca="false">IF(G66="","",G66+I66)</f>
        <v/>
      </c>
      <c r="K66" s="70"/>
      <c r="L66" s="71" t="str">
        <f aca="false">IF(OR(B66="",K66=""),"",B66+K66)</f>
        <v/>
      </c>
      <c r="M66" s="28"/>
      <c r="N66" s="69"/>
      <c r="O66" s="31" t="str">
        <f aca="false">IF(G66="","",J66-N(M66))</f>
        <v/>
      </c>
      <c r="P66" s="74" t="str">
        <f aca="false">IF(G66="","",IF(O66&lt;=0,"Réglée",IF(L66="","À payer",IF(P_DateRef&gt;L66,"En retard",IF(L66-P_DateRef&lt;=7,"À payer &lt; 7j","À payer")))))</f>
        <v/>
      </c>
      <c r="Q66" s="88" t="str">
        <f aca="false">IF(P66="En retard",P_DateRef-L66,"")</f>
        <v/>
      </c>
      <c r="R66" s="74" t="str">
        <f aca="false">IF(OR(A66="",N(O66)&lt;=0),"",COUNTIFS($A$7:A66,"&lt;&gt;",$O$7:O66,"&gt;0"))</f>
        <v/>
      </c>
    </row>
    <row r="67" customFormat="false" ht="15" hidden="false" customHeight="false" outlineLevel="0" collapsed="false">
      <c r="A67" s="25"/>
      <c r="B67" s="69"/>
      <c r="C67" s="25"/>
      <c r="D67" s="25"/>
      <c r="E67" s="25"/>
      <c r="F67" s="25"/>
      <c r="G67" s="28"/>
      <c r="H67" s="72"/>
      <c r="I67" s="31" t="str">
        <f aca="false">IF(G67="","",G67*N(H67))</f>
        <v/>
      </c>
      <c r="J67" s="31" t="str">
        <f aca="false">IF(G67="","",G67+I67)</f>
        <v/>
      </c>
      <c r="K67" s="70"/>
      <c r="L67" s="71" t="str">
        <f aca="false">IF(OR(B67="",K67=""),"",B67+K67)</f>
        <v/>
      </c>
      <c r="M67" s="28"/>
      <c r="N67" s="69"/>
      <c r="O67" s="31" t="str">
        <f aca="false">IF(G67="","",J67-N(M67))</f>
        <v/>
      </c>
      <c r="P67" s="74" t="str">
        <f aca="false">IF(G67="","",IF(O67&lt;=0,"Réglée",IF(L67="","À payer",IF(P_DateRef&gt;L67,"En retard",IF(L67-P_DateRef&lt;=7,"À payer &lt; 7j","À payer")))))</f>
        <v/>
      </c>
      <c r="Q67" s="88" t="str">
        <f aca="false">IF(P67="En retard",P_DateRef-L67,"")</f>
        <v/>
      </c>
      <c r="R67" s="74" t="str">
        <f aca="false">IF(OR(A67="",N(O67)&lt;=0),"",COUNTIFS($A$7:A67,"&lt;&gt;",$O$7:O67,"&gt;0"))</f>
        <v/>
      </c>
    </row>
    <row r="68" customFormat="false" ht="15" hidden="false" customHeight="false" outlineLevel="0" collapsed="false">
      <c r="A68" s="25"/>
      <c r="B68" s="69"/>
      <c r="C68" s="25"/>
      <c r="D68" s="25"/>
      <c r="E68" s="25"/>
      <c r="F68" s="25"/>
      <c r="G68" s="28"/>
      <c r="H68" s="72"/>
      <c r="I68" s="31" t="str">
        <f aca="false">IF(G68="","",G68*N(H68))</f>
        <v/>
      </c>
      <c r="J68" s="31" t="str">
        <f aca="false">IF(G68="","",G68+I68)</f>
        <v/>
      </c>
      <c r="K68" s="70"/>
      <c r="L68" s="71" t="str">
        <f aca="false">IF(OR(B68="",K68=""),"",B68+K68)</f>
        <v/>
      </c>
      <c r="M68" s="28"/>
      <c r="N68" s="69"/>
      <c r="O68" s="31" t="str">
        <f aca="false">IF(G68="","",J68-N(M68))</f>
        <v/>
      </c>
      <c r="P68" s="74" t="str">
        <f aca="false">IF(G68="","",IF(O68&lt;=0,"Réglée",IF(L68="","À payer",IF(P_DateRef&gt;L68,"En retard",IF(L68-P_DateRef&lt;=7,"À payer &lt; 7j","À payer")))))</f>
        <v/>
      </c>
      <c r="Q68" s="88" t="str">
        <f aca="false">IF(P68="En retard",P_DateRef-L68,"")</f>
        <v/>
      </c>
      <c r="R68" s="74" t="str">
        <f aca="false">IF(OR(A68="",N(O68)&lt;=0),"",COUNTIFS($A$7:A68,"&lt;&gt;",$O$7:O68,"&gt;0"))</f>
        <v/>
      </c>
    </row>
    <row r="69" customFormat="false" ht="15" hidden="false" customHeight="false" outlineLevel="0" collapsed="false">
      <c r="A69" s="25"/>
      <c r="B69" s="69"/>
      <c r="C69" s="25"/>
      <c r="D69" s="25"/>
      <c r="E69" s="25"/>
      <c r="F69" s="25"/>
      <c r="G69" s="28"/>
      <c r="H69" s="72"/>
      <c r="I69" s="31" t="str">
        <f aca="false">IF(G69="","",G69*N(H69))</f>
        <v/>
      </c>
      <c r="J69" s="31" t="str">
        <f aca="false">IF(G69="","",G69+I69)</f>
        <v/>
      </c>
      <c r="K69" s="70"/>
      <c r="L69" s="71" t="str">
        <f aca="false">IF(OR(B69="",K69=""),"",B69+K69)</f>
        <v/>
      </c>
      <c r="M69" s="28"/>
      <c r="N69" s="69"/>
      <c r="O69" s="31" t="str">
        <f aca="false">IF(G69="","",J69-N(M69))</f>
        <v/>
      </c>
      <c r="P69" s="74" t="str">
        <f aca="false">IF(G69="","",IF(O69&lt;=0,"Réglée",IF(L69="","À payer",IF(P_DateRef&gt;L69,"En retard",IF(L69-P_DateRef&lt;=7,"À payer &lt; 7j","À payer")))))</f>
        <v/>
      </c>
      <c r="Q69" s="88" t="str">
        <f aca="false">IF(P69="En retard",P_DateRef-L69,"")</f>
        <v/>
      </c>
      <c r="R69" s="74" t="str">
        <f aca="false">IF(OR(A69="",N(O69)&lt;=0),"",COUNTIFS($A$7:A69,"&lt;&gt;",$O$7:O69,"&gt;0"))</f>
        <v/>
      </c>
    </row>
    <row r="70" customFormat="false" ht="15" hidden="false" customHeight="false" outlineLevel="0" collapsed="false">
      <c r="A70" s="25"/>
      <c r="B70" s="69"/>
      <c r="C70" s="25"/>
      <c r="D70" s="25"/>
      <c r="E70" s="25"/>
      <c r="F70" s="25"/>
      <c r="G70" s="28"/>
      <c r="H70" s="72"/>
      <c r="I70" s="31" t="str">
        <f aca="false">IF(G70="","",G70*N(H70))</f>
        <v/>
      </c>
      <c r="J70" s="31" t="str">
        <f aca="false">IF(G70="","",G70+I70)</f>
        <v/>
      </c>
      <c r="K70" s="70"/>
      <c r="L70" s="71" t="str">
        <f aca="false">IF(OR(B70="",K70=""),"",B70+K70)</f>
        <v/>
      </c>
      <c r="M70" s="28"/>
      <c r="N70" s="69"/>
      <c r="O70" s="31" t="str">
        <f aca="false">IF(G70="","",J70-N(M70))</f>
        <v/>
      </c>
      <c r="P70" s="74" t="str">
        <f aca="false">IF(G70="","",IF(O70&lt;=0,"Réglée",IF(L70="","À payer",IF(P_DateRef&gt;L70,"En retard",IF(L70-P_DateRef&lt;=7,"À payer &lt; 7j","À payer")))))</f>
        <v/>
      </c>
      <c r="Q70" s="88" t="str">
        <f aca="false">IF(P70="En retard",P_DateRef-L70,"")</f>
        <v/>
      </c>
      <c r="R70" s="74" t="str">
        <f aca="false">IF(OR(A70="",N(O70)&lt;=0),"",COUNTIFS($A$7:A70,"&lt;&gt;",$O$7:O70,"&gt;0"))</f>
        <v/>
      </c>
    </row>
    <row r="71" customFormat="false" ht="15" hidden="false" customHeight="false" outlineLevel="0" collapsed="false">
      <c r="A71" s="25"/>
      <c r="B71" s="69"/>
      <c r="C71" s="25"/>
      <c r="D71" s="25"/>
      <c r="E71" s="25"/>
      <c r="F71" s="25"/>
      <c r="G71" s="28"/>
      <c r="H71" s="72"/>
      <c r="I71" s="31" t="str">
        <f aca="false">IF(G71="","",G71*N(H71))</f>
        <v/>
      </c>
      <c r="J71" s="31" t="str">
        <f aca="false">IF(G71="","",G71+I71)</f>
        <v/>
      </c>
      <c r="K71" s="70"/>
      <c r="L71" s="71" t="str">
        <f aca="false">IF(OR(B71="",K71=""),"",B71+K71)</f>
        <v/>
      </c>
      <c r="M71" s="28"/>
      <c r="N71" s="69"/>
      <c r="O71" s="31" t="str">
        <f aca="false">IF(G71="","",J71-N(M71))</f>
        <v/>
      </c>
      <c r="P71" s="74" t="str">
        <f aca="false">IF(G71="","",IF(O71&lt;=0,"Réglée",IF(L71="","À payer",IF(P_DateRef&gt;L71,"En retard",IF(L71-P_DateRef&lt;=7,"À payer &lt; 7j","À payer")))))</f>
        <v/>
      </c>
      <c r="Q71" s="88" t="str">
        <f aca="false">IF(P71="En retard",P_DateRef-L71,"")</f>
        <v/>
      </c>
      <c r="R71" s="74" t="str">
        <f aca="false">IF(OR(A71="",N(O71)&lt;=0),"",COUNTIFS($A$7:A71,"&lt;&gt;",$O$7:O71,"&gt;0"))</f>
        <v/>
      </c>
    </row>
    <row r="72" customFormat="false" ht="15" hidden="false" customHeight="false" outlineLevel="0" collapsed="false">
      <c r="A72" s="25"/>
      <c r="B72" s="69"/>
      <c r="C72" s="25"/>
      <c r="D72" s="25"/>
      <c r="E72" s="25"/>
      <c r="F72" s="25"/>
      <c r="G72" s="28"/>
      <c r="H72" s="72"/>
      <c r="I72" s="31" t="str">
        <f aca="false">IF(G72="","",G72*N(H72))</f>
        <v/>
      </c>
      <c r="J72" s="31" t="str">
        <f aca="false">IF(G72="","",G72+I72)</f>
        <v/>
      </c>
      <c r="K72" s="70"/>
      <c r="L72" s="71" t="str">
        <f aca="false">IF(OR(B72="",K72=""),"",B72+K72)</f>
        <v/>
      </c>
      <c r="M72" s="28"/>
      <c r="N72" s="69"/>
      <c r="O72" s="31" t="str">
        <f aca="false">IF(G72="","",J72-N(M72))</f>
        <v/>
      </c>
      <c r="P72" s="74" t="str">
        <f aca="false">IF(G72="","",IF(O72&lt;=0,"Réglée",IF(L72="","À payer",IF(P_DateRef&gt;L72,"En retard",IF(L72-P_DateRef&lt;=7,"À payer &lt; 7j","À payer")))))</f>
        <v/>
      </c>
      <c r="Q72" s="88" t="str">
        <f aca="false">IF(P72="En retard",P_DateRef-L72,"")</f>
        <v/>
      </c>
      <c r="R72" s="74" t="str">
        <f aca="false">IF(OR(A72="",N(O72)&lt;=0),"",COUNTIFS($A$7:A72,"&lt;&gt;",$O$7:O72,"&gt;0"))</f>
        <v/>
      </c>
    </row>
    <row r="73" customFormat="false" ht="15" hidden="false" customHeight="false" outlineLevel="0" collapsed="false">
      <c r="A73" s="25"/>
      <c r="B73" s="69"/>
      <c r="C73" s="25"/>
      <c r="D73" s="25"/>
      <c r="E73" s="25"/>
      <c r="F73" s="25"/>
      <c r="G73" s="28"/>
      <c r="H73" s="72"/>
      <c r="I73" s="31" t="str">
        <f aca="false">IF(G73="","",G73*N(H73))</f>
        <v/>
      </c>
      <c r="J73" s="31" t="str">
        <f aca="false">IF(G73="","",G73+I73)</f>
        <v/>
      </c>
      <c r="K73" s="70"/>
      <c r="L73" s="71" t="str">
        <f aca="false">IF(OR(B73="",K73=""),"",B73+K73)</f>
        <v/>
      </c>
      <c r="M73" s="28"/>
      <c r="N73" s="69"/>
      <c r="O73" s="31" t="str">
        <f aca="false">IF(G73="","",J73-N(M73))</f>
        <v/>
      </c>
      <c r="P73" s="74" t="str">
        <f aca="false">IF(G73="","",IF(O73&lt;=0,"Réglée",IF(L73="","À payer",IF(P_DateRef&gt;L73,"En retard",IF(L73-P_DateRef&lt;=7,"À payer &lt; 7j","À payer")))))</f>
        <v/>
      </c>
      <c r="Q73" s="88" t="str">
        <f aca="false">IF(P73="En retard",P_DateRef-L73,"")</f>
        <v/>
      </c>
      <c r="R73" s="74" t="str">
        <f aca="false">IF(OR(A73="",N(O73)&lt;=0),"",COUNTIFS($A$7:A73,"&lt;&gt;",$O$7:O73,"&gt;0"))</f>
        <v/>
      </c>
    </row>
    <row r="74" customFormat="false" ht="15" hidden="false" customHeight="false" outlineLevel="0" collapsed="false">
      <c r="A74" s="25"/>
      <c r="B74" s="69"/>
      <c r="C74" s="25"/>
      <c r="D74" s="25"/>
      <c r="E74" s="25"/>
      <c r="F74" s="25"/>
      <c r="G74" s="28"/>
      <c r="H74" s="72"/>
      <c r="I74" s="31" t="str">
        <f aca="false">IF(G74="","",G74*N(H74))</f>
        <v/>
      </c>
      <c r="J74" s="31" t="str">
        <f aca="false">IF(G74="","",G74+I74)</f>
        <v/>
      </c>
      <c r="K74" s="70"/>
      <c r="L74" s="71" t="str">
        <f aca="false">IF(OR(B74="",K74=""),"",B74+K74)</f>
        <v/>
      </c>
      <c r="M74" s="28"/>
      <c r="N74" s="69"/>
      <c r="O74" s="31" t="str">
        <f aca="false">IF(G74="","",J74-N(M74))</f>
        <v/>
      </c>
      <c r="P74" s="74" t="str">
        <f aca="false">IF(G74="","",IF(O74&lt;=0,"Réglée",IF(L74="","À payer",IF(P_DateRef&gt;L74,"En retard",IF(L74-P_DateRef&lt;=7,"À payer &lt; 7j","À payer")))))</f>
        <v/>
      </c>
      <c r="Q74" s="88" t="str">
        <f aca="false">IF(P74="En retard",P_DateRef-L74,"")</f>
        <v/>
      </c>
      <c r="R74" s="74" t="str">
        <f aca="false">IF(OR(A74="",N(O74)&lt;=0),"",COUNTIFS($A$7:A74,"&lt;&gt;",$O$7:O74,"&gt;0"))</f>
        <v/>
      </c>
    </row>
    <row r="75" customFormat="false" ht="15" hidden="false" customHeight="false" outlineLevel="0" collapsed="false">
      <c r="A75" s="25"/>
      <c r="B75" s="69"/>
      <c r="C75" s="25"/>
      <c r="D75" s="25"/>
      <c r="E75" s="25"/>
      <c r="F75" s="25"/>
      <c r="G75" s="28"/>
      <c r="H75" s="72"/>
      <c r="I75" s="31" t="str">
        <f aca="false">IF(G75="","",G75*N(H75))</f>
        <v/>
      </c>
      <c r="J75" s="31" t="str">
        <f aca="false">IF(G75="","",G75+I75)</f>
        <v/>
      </c>
      <c r="K75" s="70"/>
      <c r="L75" s="71" t="str">
        <f aca="false">IF(OR(B75="",K75=""),"",B75+K75)</f>
        <v/>
      </c>
      <c r="M75" s="28"/>
      <c r="N75" s="69"/>
      <c r="O75" s="31" t="str">
        <f aca="false">IF(G75="","",J75-N(M75))</f>
        <v/>
      </c>
      <c r="P75" s="74" t="str">
        <f aca="false">IF(G75="","",IF(O75&lt;=0,"Réglée",IF(L75="","À payer",IF(P_DateRef&gt;L75,"En retard",IF(L75-P_DateRef&lt;=7,"À payer &lt; 7j","À payer")))))</f>
        <v/>
      </c>
      <c r="Q75" s="88" t="str">
        <f aca="false">IF(P75="En retard",P_DateRef-L75,"")</f>
        <v/>
      </c>
      <c r="R75" s="74" t="str">
        <f aca="false">IF(OR(A75="",N(O75)&lt;=0),"",COUNTIFS($A$7:A75,"&lt;&gt;",$O$7:O75,"&gt;0"))</f>
        <v/>
      </c>
    </row>
    <row r="76" customFormat="false" ht="15" hidden="false" customHeight="false" outlineLevel="0" collapsed="false">
      <c r="A76" s="25"/>
      <c r="B76" s="69"/>
      <c r="C76" s="25"/>
      <c r="D76" s="25"/>
      <c r="E76" s="25"/>
      <c r="F76" s="25"/>
      <c r="G76" s="28"/>
      <c r="H76" s="72"/>
      <c r="I76" s="31" t="str">
        <f aca="false">IF(G76="","",G76*N(H76))</f>
        <v/>
      </c>
      <c r="J76" s="31" t="str">
        <f aca="false">IF(G76="","",G76+I76)</f>
        <v/>
      </c>
      <c r="K76" s="70"/>
      <c r="L76" s="71" t="str">
        <f aca="false">IF(OR(B76="",K76=""),"",B76+K76)</f>
        <v/>
      </c>
      <c r="M76" s="28"/>
      <c r="N76" s="69"/>
      <c r="O76" s="31" t="str">
        <f aca="false">IF(G76="","",J76-N(M76))</f>
        <v/>
      </c>
      <c r="P76" s="74" t="str">
        <f aca="false">IF(G76="","",IF(O76&lt;=0,"Réglée",IF(L76="","À payer",IF(P_DateRef&gt;L76,"En retard",IF(L76-P_DateRef&lt;=7,"À payer &lt; 7j","À payer")))))</f>
        <v/>
      </c>
      <c r="Q76" s="88" t="str">
        <f aca="false">IF(P76="En retard",P_DateRef-L76,"")</f>
        <v/>
      </c>
      <c r="R76" s="74" t="str">
        <f aca="false">IF(OR(A76="",N(O76)&lt;=0),"",COUNTIFS($A$7:A76,"&lt;&gt;",$O$7:O76,"&gt;0"))</f>
        <v/>
      </c>
    </row>
    <row r="77" customFormat="false" ht="15" hidden="false" customHeight="false" outlineLevel="0" collapsed="false">
      <c r="A77" s="25"/>
      <c r="B77" s="69"/>
      <c r="C77" s="25"/>
      <c r="D77" s="25"/>
      <c r="E77" s="25"/>
      <c r="F77" s="25"/>
      <c r="G77" s="28"/>
      <c r="H77" s="72"/>
      <c r="I77" s="31" t="str">
        <f aca="false">IF(G77="","",G77*N(H77))</f>
        <v/>
      </c>
      <c r="J77" s="31" t="str">
        <f aca="false">IF(G77="","",G77+I77)</f>
        <v/>
      </c>
      <c r="K77" s="70"/>
      <c r="L77" s="71" t="str">
        <f aca="false">IF(OR(B77="",K77=""),"",B77+K77)</f>
        <v/>
      </c>
      <c r="M77" s="28"/>
      <c r="N77" s="69"/>
      <c r="O77" s="31" t="str">
        <f aca="false">IF(G77="","",J77-N(M77))</f>
        <v/>
      </c>
      <c r="P77" s="74" t="str">
        <f aca="false">IF(G77="","",IF(O77&lt;=0,"Réglée",IF(L77="","À payer",IF(P_DateRef&gt;L77,"En retard",IF(L77-P_DateRef&lt;=7,"À payer &lt; 7j","À payer")))))</f>
        <v/>
      </c>
      <c r="Q77" s="88" t="str">
        <f aca="false">IF(P77="En retard",P_DateRef-L77,"")</f>
        <v/>
      </c>
      <c r="R77" s="74" t="str">
        <f aca="false">IF(OR(A77="",N(O77)&lt;=0),"",COUNTIFS($A$7:A77,"&lt;&gt;",$O$7:O77,"&gt;0"))</f>
        <v/>
      </c>
    </row>
    <row r="78" customFormat="false" ht="15" hidden="false" customHeight="false" outlineLevel="0" collapsed="false">
      <c r="A78" s="25"/>
      <c r="B78" s="69"/>
      <c r="C78" s="25"/>
      <c r="D78" s="25"/>
      <c r="E78" s="25"/>
      <c r="F78" s="25"/>
      <c r="G78" s="28"/>
      <c r="H78" s="72"/>
      <c r="I78" s="31" t="str">
        <f aca="false">IF(G78="","",G78*N(H78))</f>
        <v/>
      </c>
      <c r="J78" s="31" t="str">
        <f aca="false">IF(G78="","",G78+I78)</f>
        <v/>
      </c>
      <c r="K78" s="70"/>
      <c r="L78" s="71" t="str">
        <f aca="false">IF(OR(B78="",K78=""),"",B78+K78)</f>
        <v/>
      </c>
      <c r="M78" s="28"/>
      <c r="N78" s="69"/>
      <c r="O78" s="31" t="str">
        <f aca="false">IF(G78="","",J78-N(M78))</f>
        <v/>
      </c>
      <c r="P78" s="74" t="str">
        <f aca="false">IF(G78="","",IF(O78&lt;=0,"Réglée",IF(L78="","À payer",IF(P_DateRef&gt;L78,"En retard",IF(L78-P_DateRef&lt;=7,"À payer &lt; 7j","À payer")))))</f>
        <v/>
      </c>
      <c r="Q78" s="88" t="str">
        <f aca="false">IF(P78="En retard",P_DateRef-L78,"")</f>
        <v/>
      </c>
      <c r="R78" s="74" t="str">
        <f aca="false">IF(OR(A78="",N(O78)&lt;=0),"",COUNTIFS($A$7:A78,"&lt;&gt;",$O$7:O78,"&gt;0"))</f>
        <v/>
      </c>
    </row>
    <row r="79" customFormat="false" ht="15" hidden="false" customHeight="false" outlineLevel="0" collapsed="false">
      <c r="A79" s="25"/>
      <c r="B79" s="69"/>
      <c r="C79" s="25"/>
      <c r="D79" s="25"/>
      <c r="E79" s="25"/>
      <c r="F79" s="25"/>
      <c r="G79" s="28"/>
      <c r="H79" s="72"/>
      <c r="I79" s="31" t="str">
        <f aca="false">IF(G79="","",G79*N(H79))</f>
        <v/>
      </c>
      <c r="J79" s="31" t="str">
        <f aca="false">IF(G79="","",G79+I79)</f>
        <v/>
      </c>
      <c r="K79" s="70"/>
      <c r="L79" s="71" t="str">
        <f aca="false">IF(OR(B79="",K79=""),"",B79+K79)</f>
        <v/>
      </c>
      <c r="M79" s="28"/>
      <c r="N79" s="69"/>
      <c r="O79" s="31" t="str">
        <f aca="false">IF(G79="","",J79-N(M79))</f>
        <v/>
      </c>
      <c r="P79" s="74" t="str">
        <f aca="false">IF(G79="","",IF(O79&lt;=0,"Réglée",IF(L79="","À payer",IF(P_DateRef&gt;L79,"En retard",IF(L79-P_DateRef&lt;=7,"À payer &lt; 7j","À payer")))))</f>
        <v/>
      </c>
      <c r="Q79" s="88" t="str">
        <f aca="false">IF(P79="En retard",P_DateRef-L79,"")</f>
        <v/>
      </c>
      <c r="R79" s="74" t="str">
        <f aca="false">IF(OR(A79="",N(O79)&lt;=0),"",COUNTIFS($A$7:A79,"&lt;&gt;",$O$7:O79,"&gt;0"))</f>
        <v/>
      </c>
    </row>
    <row r="80" customFormat="false" ht="15" hidden="false" customHeight="false" outlineLevel="0" collapsed="false">
      <c r="A80" s="25"/>
      <c r="B80" s="69"/>
      <c r="C80" s="25"/>
      <c r="D80" s="25"/>
      <c r="E80" s="25"/>
      <c r="F80" s="25"/>
      <c r="G80" s="28"/>
      <c r="H80" s="72"/>
      <c r="I80" s="31" t="str">
        <f aca="false">IF(G80="","",G80*N(H80))</f>
        <v/>
      </c>
      <c r="J80" s="31" t="str">
        <f aca="false">IF(G80="","",G80+I80)</f>
        <v/>
      </c>
      <c r="K80" s="70"/>
      <c r="L80" s="71" t="str">
        <f aca="false">IF(OR(B80="",K80=""),"",B80+K80)</f>
        <v/>
      </c>
      <c r="M80" s="28"/>
      <c r="N80" s="69"/>
      <c r="O80" s="31" t="str">
        <f aca="false">IF(G80="","",J80-N(M80))</f>
        <v/>
      </c>
      <c r="P80" s="74" t="str">
        <f aca="false">IF(G80="","",IF(O80&lt;=0,"Réglée",IF(L80="","À payer",IF(P_DateRef&gt;L80,"En retard",IF(L80-P_DateRef&lt;=7,"À payer &lt; 7j","À payer")))))</f>
        <v/>
      </c>
      <c r="Q80" s="88" t="str">
        <f aca="false">IF(P80="En retard",P_DateRef-L80,"")</f>
        <v/>
      </c>
      <c r="R80" s="74" t="str">
        <f aca="false">IF(OR(A80="",N(O80)&lt;=0),"",COUNTIFS($A$7:A80,"&lt;&gt;",$O$7:O80,"&gt;0"))</f>
        <v/>
      </c>
    </row>
    <row r="81" customFormat="false" ht="15" hidden="false" customHeight="false" outlineLevel="0" collapsed="false">
      <c r="A81" s="25"/>
      <c r="B81" s="69"/>
      <c r="C81" s="25"/>
      <c r="D81" s="25"/>
      <c r="E81" s="25"/>
      <c r="F81" s="25"/>
      <c r="G81" s="28"/>
      <c r="H81" s="72"/>
      <c r="I81" s="31" t="str">
        <f aca="false">IF(G81="","",G81*N(H81))</f>
        <v/>
      </c>
      <c r="J81" s="31" t="str">
        <f aca="false">IF(G81="","",G81+I81)</f>
        <v/>
      </c>
      <c r="K81" s="70"/>
      <c r="L81" s="71" t="str">
        <f aca="false">IF(OR(B81="",K81=""),"",B81+K81)</f>
        <v/>
      </c>
      <c r="M81" s="28"/>
      <c r="N81" s="69"/>
      <c r="O81" s="31" t="str">
        <f aca="false">IF(G81="","",J81-N(M81))</f>
        <v/>
      </c>
      <c r="P81" s="74" t="str">
        <f aca="false">IF(G81="","",IF(O81&lt;=0,"Réglée",IF(L81="","À payer",IF(P_DateRef&gt;L81,"En retard",IF(L81-P_DateRef&lt;=7,"À payer &lt; 7j","À payer")))))</f>
        <v/>
      </c>
      <c r="Q81" s="88" t="str">
        <f aca="false">IF(P81="En retard",P_DateRef-L81,"")</f>
        <v/>
      </c>
      <c r="R81" s="74" t="str">
        <f aca="false">IF(OR(A81="",N(O81)&lt;=0),"",COUNTIFS($A$7:A81,"&lt;&gt;",$O$7:O81,"&gt;0"))</f>
        <v/>
      </c>
    </row>
    <row r="82" customFormat="false" ht="15" hidden="false" customHeight="false" outlineLevel="0" collapsed="false">
      <c r="A82" s="25"/>
      <c r="B82" s="69"/>
      <c r="C82" s="25"/>
      <c r="D82" s="25"/>
      <c r="E82" s="25"/>
      <c r="F82" s="25"/>
      <c r="G82" s="28"/>
      <c r="H82" s="72"/>
      <c r="I82" s="31" t="str">
        <f aca="false">IF(G82="","",G82*N(H82))</f>
        <v/>
      </c>
      <c r="J82" s="31" t="str">
        <f aca="false">IF(G82="","",G82+I82)</f>
        <v/>
      </c>
      <c r="K82" s="70"/>
      <c r="L82" s="71" t="str">
        <f aca="false">IF(OR(B82="",K82=""),"",B82+K82)</f>
        <v/>
      </c>
      <c r="M82" s="28"/>
      <c r="N82" s="69"/>
      <c r="O82" s="31" t="str">
        <f aca="false">IF(G82="","",J82-N(M82))</f>
        <v/>
      </c>
      <c r="P82" s="74" t="str">
        <f aca="false">IF(G82="","",IF(O82&lt;=0,"Réglée",IF(L82="","À payer",IF(P_DateRef&gt;L82,"En retard",IF(L82-P_DateRef&lt;=7,"À payer &lt; 7j","À payer")))))</f>
        <v/>
      </c>
      <c r="Q82" s="88" t="str">
        <f aca="false">IF(P82="En retard",P_DateRef-L82,"")</f>
        <v/>
      </c>
      <c r="R82" s="74" t="str">
        <f aca="false">IF(OR(A82="",N(O82)&lt;=0),"",COUNTIFS($A$7:A82,"&lt;&gt;",$O$7:O82,"&gt;0"))</f>
        <v/>
      </c>
    </row>
    <row r="83" customFormat="false" ht="15" hidden="false" customHeight="false" outlineLevel="0" collapsed="false">
      <c r="A83" s="25"/>
      <c r="B83" s="69"/>
      <c r="C83" s="25"/>
      <c r="D83" s="25"/>
      <c r="E83" s="25"/>
      <c r="F83" s="25"/>
      <c r="G83" s="28"/>
      <c r="H83" s="72"/>
      <c r="I83" s="31" t="str">
        <f aca="false">IF(G83="","",G83*N(H83))</f>
        <v/>
      </c>
      <c r="J83" s="31" t="str">
        <f aca="false">IF(G83="","",G83+I83)</f>
        <v/>
      </c>
      <c r="K83" s="70"/>
      <c r="L83" s="71" t="str">
        <f aca="false">IF(OR(B83="",K83=""),"",B83+K83)</f>
        <v/>
      </c>
      <c r="M83" s="28"/>
      <c r="N83" s="69"/>
      <c r="O83" s="31" t="str">
        <f aca="false">IF(G83="","",J83-N(M83))</f>
        <v/>
      </c>
      <c r="P83" s="74" t="str">
        <f aca="false">IF(G83="","",IF(O83&lt;=0,"Réglée",IF(L83="","À payer",IF(P_DateRef&gt;L83,"En retard",IF(L83-P_DateRef&lt;=7,"À payer &lt; 7j","À payer")))))</f>
        <v/>
      </c>
      <c r="Q83" s="88" t="str">
        <f aca="false">IF(P83="En retard",P_DateRef-L83,"")</f>
        <v/>
      </c>
      <c r="R83" s="74" t="str">
        <f aca="false">IF(OR(A83="",N(O83)&lt;=0),"",COUNTIFS($A$7:A83,"&lt;&gt;",$O$7:O83,"&gt;0"))</f>
        <v/>
      </c>
    </row>
    <row r="84" customFormat="false" ht="15" hidden="false" customHeight="false" outlineLevel="0" collapsed="false">
      <c r="A84" s="25"/>
      <c r="B84" s="69"/>
      <c r="C84" s="25"/>
      <c r="D84" s="25"/>
      <c r="E84" s="25"/>
      <c r="F84" s="25"/>
      <c r="G84" s="28"/>
      <c r="H84" s="72"/>
      <c r="I84" s="31" t="str">
        <f aca="false">IF(G84="","",G84*N(H84))</f>
        <v/>
      </c>
      <c r="J84" s="31" t="str">
        <f aca="false">IF(G84="","",G84+I84)</f>
        <v/>
      </c>
      <c r="K84" s="70"/>
      <c r="L84" s="71" t="str">
        <f aca="false">IF(OR(B84="",K84=""),"",B84+K84)</f>
        <v/>
      </c>
      <c r="M84" s="28"/>
      <c r="N84" s="69"/>
      <c r="O84" s="31" t="str">
        <f aca="false">IF(G84="","",J84-N(M84))</f>
        <v/>
      </c>
      <c r="P84" s="74" t="str">
        <f aca="false">IF(G84="","",IF(O84&lt;=0,"Réglée",IF(L84="","À payer",IF(P_DateRef&gt;L84,"En retard",IF(L84-P_DateRef&lt;=7,"À payer &lt; 7j","À payer")))))</f>
        <v/>
      </c>
      <c r="Q84" s="88" t="str">
        <f aca="false">IF(P84="En retard",P_DateRef-L84,"")</f>
        <v/>
      </c>
      <c r="R84" s="74" t="str">
        <f aca="false">IF(OR(A84="",N(O84)&lt;=0),"",COUNTIFS($A$7:A84,"&lt;&gt;",$O$7:O84,"&gt;0"))</f>
        <v/>
      </c>
    </row>
    <row r="85" customFormat="false" ht="15" hidden="false" customHeight="false" outlineLevel="0" collapsed="false">
      <c r="A85" s="25"/>
      <c r="B85" s="69"/>
      <c r="C85" s="25"/>
      <c r="D85" s="25"/>
      <c r="E85" s="25"/>
      <c r="F85" s="25"/>
      <c r="G85" s="28"/>
      <c r="H85" s="72"/>
      <c r="I85" s="31" t="str">
        <f aca="false">IF(G85="","",G85*N(H85))</f>
        <v/>
      </c>
      <c r="J85" s="31" t="str">
        <f aca="false">IF(G85="","",G85+I85)</f>
        <v/>
      </c>
      <c r="K85" s="70"/>
      <c r="L85" s="71" t="str">
        <f aca="false">IF(OR(B85="",K85=""),"",B85+K85)</f>
        <v/>
      </c>
      <c r="M85" s="28"/>
      <c r="N85" s="69"/>
      <c r="O85" s="31" t="str">
        <f aca="false">IF(G85="","",J85-N(M85))</f>
        <v/>
      </c>
      <c r="P85" s="74" t="str">
        <f aca="false">IF(G85="","",IF(O85&lt;=0,"Réglée",IF(L85="","À payer",IF(P_DateRef&gt;L85,"En retard",IF(L85-P_DateRef&lt;=7,"À payer &lt; 7j","À payer")))))</f>
        <v/>
      </c>
      <c r="Q85" s="88" t="str">
        <f aca="false">IF(P85="En retard",P_DateRef-L85,"")</f>
        <v/>
      </c>
      <c r="R85" s="74" t="str">
        <f aca="false">IF(OR(A85="",N(O85)&lt;=0),"",COUNTIFS($A$7:A85,"&lt;&gt;",$O$7:O85,"&gt;0"))</f>
        <v/>
      </c>
    </row>
    <row r="86" customFormat="false" ht="15" hidden="false" customHeight="false" outlineLevel="0" collapsed="false">
      <c r="A86" s="25"/>
      <c r="B86" s="69"/>
      <c r="C86" s="25"/>
      <c r="D86" s="25"/>
      <c r="E86" s="25"/>
      <c r="F86" s="25"/>
      <c r="G86" s="28"/>
      <c r="H86" s="72"/>
      <c r="I86" s="31" t="str">
        <f aca="false">IF(G86="","",G86*N(H86))</f>
        <v/>
      </c>
      <c r="J86" s="31" t="str">
        <f aca="false">IF(G86="","",G86+I86)</f>
        <v/>
      </c>
      <c r="K86" s="70"/>
      <c r="L86" s="71" t="str">
        <f aca="false">IF(OR(B86="",K86=""),"",B86+K86)</f>
        <v/>
      </c>
      <c r="M86" s="28"/>
      <c r="N86" s="69"/>
      <c r="O86" s="31" t="str">
        <f aca="false">IF(G86="","",J86-N(M86))</f>
        <v/>
      </c>
      <c r="P86" s="74" t="str">
        <f aca="false">IF(G86="","",IF(O86&lt;=0,"Réglée",IF(L86="","À payer",IF(P_DateRef&gt;L86,"En retard",IF(L86-P_DateRef&lt;=7,"À payer &lt; 7j","À payer")))))</f>
        <v/>
      </c>
      <c r="Q86" s="88" t="str">
        <f aca="false">IF(P86="En retard",P_DateRef-L86,"")</f>
        <v/>
      </c>
      <c r="R86" s="74" t="str">
        <f aca="false">IF(OR(A86="",N(O86)&lt;=0),"",COUNTIFS($A$7:A86,"&lt;&gt;",$O$7:O86,"&gt;0"))</f>
        <v/>
      </c>
    </row>
    <row r="87" customFormat="false" ht="15" hidden="false" customHeight="false" outlineLevel="0" collapsed="false">
      <c r="A87" s="25"/>
      <c r="B87" s="69"/>
      <c r="C87" s="25"/>
      <c r="D87" s="25"/>
      <c r="E87" s="25"/>
      <c r="F87" s="25"/>
      <c r="G87" s="28"/>
      <c r="H87" s="72"/>
      <c r="I87" s="31" t="str">
        <f aca="false">IF(G87="","",G87*N(H87))</f>
        <v/>
      </c>
      <c r="J87" s="31" t="str">
        <f aca="false">IF(G87="","",G87+I87)</f>
        <v/>
      </c>
      <c r="K87" s="70"/>
      <c r="L87" s="71" t="str">
        <f aca="false">IF(OR(B87="",K87=""),"",B87+K87)</f>
        <v/>
      </c>
      <c r="M87" s="28"/>
      <c r="N87" s="69"/>
      <c r="O87" s="31" t="str">
        <f aca="false">IF(G87="","",J87-N(M87))</f>
        <v/>
      </c>
      <c r="P87" s="74" t="str">
        <f aca="false">IF(G87="","",IF(O87&lt;=0,"Réglée",IF(L87="","À payer",IF(P_DateRef&gt;L87,"En retard",IF(L87-P_DateRef&lt;=7,"À payer &lt; 7j","À payer")))))</f>
        <v/>
      </c>
      <c r="Q87" s="88" t="str">
        <f aca="false">IF(P87="En retard",P_DateRef-L87,"")</f>
        <v/>
      </c>
      <c r="R87" s="74" t="str">
        <f aca="false">IF(OR(A87="",N(O87)&lt;=0),"",COUNTIFS($A$7:A87,"&lt;&gt;",$O$7:O87,"&gt;0"))</f>
        <v/>
      </c>
    </row>
    <row r="88" customFormat="false" ht="15" hidden="false" customHeight="false" outlineLevel="0" collapsed="false">
      <c r="A88" s="25"/>
      <c r="B88" s="69"/>
      <c r="C88" s="25"/>
      <c r="D88" s="25"/>
      <c r="E88" s="25"/>
      <c r="F88" s="25"/>
      <c r="G88" s="28"/>
      <c r="H88" s="72"/>
      <c r="I88" s="31" t="str">
        <f aca="false">IF(G88="","",G88*N(H88))</f>
        <v/>
      </c>
      <c r="J88" s="31" t="str">
        <f aca="false">IF(G88="","",G88+I88)</f>
        <v/>
      </c>
      <c r="K88" s="70"/>
      <c r="L88" s="71" t="str">
        <f aca="false">IF(OR(B88="",K88=""),"",B88+K88)</f>
        <v/>
      </c>
      <c r="M88" s="28"/>
      <c r="N88" s="69"/>
      <c r="O88" s="31" t="str">
        <f aca="false">IF(G88="","",J88-N(M88))</f>
        <v/>
      </c>
      <c r="P88" s="74" t="str">
        <f aca="false">IF(G88="","",IF(O88&lt;=0,"Réglée",IF(L88="","À payer",IF(P_DateRef&gt;L88,"En retard",IF(L88-P_DateRef&lt;=7,"À payer &lt; 7j","À payer")))))</f>
        <v/>
      </c>
      <c r="Q88" s="88" t="str">
        <f aca="false">IF(P88="En retard",P_DateRef-L88,"")</f>
        <v/>
      </c>
      <c r="R88" s="74" t="str">
        <f aca="false">IF(OR(A88="",N(O88)&lt;=0),"",COUNTIFS($A$7:A88,"&lt;&gt;",$O$7:O88,"&gt;0"))</f>
        <v/>
      </c>
    </row>
    <row r="89" customFormat="false" ht="15" hidden="false" customHeight="false" outlineLevel="0" collapsed="false">
      <c r="A89" s="25"/>
      <c r="B89" s="69"/>
      <c r="C89" s="25"/>
      <c r="D89" s="25"/>
      <c r="E89" s="25"/>
      <c r="F89" s="25"/>
      <c r="G89" s="28"/>
      <c r="H89" s="72"/>
      <c r="I89" s="31" t="str">
        <f aca="false">IF(G89="","",G89*N(H89))</f>
        <v/>
      </c>
      <c r="J89" s="31" t="str">
        <f aca="false">IF(G89="","",G89+I89)</f>
        <v/>
      </c>
      <c r="K89" s="70"/>
      <c r="L89" s="71" t="str">
        <f aca="false">IF(OR(B89="",K89=""),"",B89+K89)</f>
        <v/>
      </c>
      <c r="M89" s="28"/>
      <c r="N89" s="69"/>
      <c r="O89" s="31" t="str">
        <f aca="false">IF(G89="","",J89-N(M89))</f>
        <v/>
      </c>
      <c r="P89" s="74" t="str">
        <f aca="false">IF(G89="","",IF(O89&lt;=0,"Réglée",IF(L89="","À payer",IF(P_DateRef&gt;L89,"En retard",IF(L89-P_DateRef&lt;=7,"À payer &lt; 7j","À payer")))))</f>
        <v/>
      </c>
      <c r="Q89" s="88" t="str">
        <f aca="false">IF(P89="En retard",P_DateRef-L89,"")</f>
        <v/>
      </c>
      <c r="R89" s="74" t="str">
        <f aca="false">IF(OR(A89="",N(O89)&lt;=0),"",COUNTIFS($A$7:A89,"&lt;&gt;",$O$7:O89,"&gt;0"))</f>
        <v/>
      </c>
    </row>
    <row r="90" customFormat="false" ht="15" hidden="false" customHeight="false" outlineLevel="0" collapsed="false">
      <c r="A90" s="25"/>
      <c r="B90" s="69"/>
      <c r="C90" s="25"/>
      <c r="D90" s="25"/>
      <c r="E90" s="25"/>
      <c r="F90" s="25"/>
      <c r="G90" s="28"/>
      <c r="H90" s="72"/>
      <c r="I90" s="31" t="str">
        <f aca="false">IF(G90="","",G90*N(H90))</f>
        <v/>
      </c>
      <c r="J90" s="31" t="str">
        <f aca="false">IF(G90="","",G90+I90)</f>
        <v/>
      </c>
      <c r="K90" s="70"/>
      <c r="L90" s="71" t="str">
        <f aca="false">IF(OR(B90="",K90=""),"",B90+K90)</f>
        <v/>
      </c>
      <c r="M90" s="28"/>
      <c r="N90" s="69"/>
      <c r="O90" s="31" t="str">
        <f aca="false">IF(G90="","",J90-N(M90))</f>
        <v/>
      </c>
      <c r="P90" s="74" t="str">
        <f aca="false">IF(G90="","",IF(O90&lt;=0,"Réglée",IF(L90="","À payer",IF(P_DateRef&gt;L90,"En retard",IF(L90-P_DateRef&lt;=7,"À payer &lt; 7j","À payer")))))</f>
        <v/>
      </c>
      <c r="Q90" s="88" t="str">
        <f aca="false">IF(P90="En retard",P_DateRef-L90,"")</f>
        <v/>
      </c>
      <c r="R90" s="74" t="str">
        <f aca="false">IF(OR(A90="",N(O90)&lt;=0),"",COUNTIFS($A$7:A90,"&lt;&gt;",$O$7:O90,"&gt;0"))</f>
        <v/>
      </c>
    </row>
    <row r="91" customFormat="false" ht="15" hidden="false" customHeight="false" outlineLevel="0" collapsed="false">
      <c r="A91" s="25"/>
      <c r="B91" s="69"/>
      <c r="C91" s="25"/>
      <c r="D91" s="25"/>
      <c r="E91" s="25"/>
      <c r="F91" s="25"/>
      <c r="G91" s="28"/>
      <c r="H91" s="72"/>
      <c r="I91" s="31" t="str">
        <f aca="false">IF(G91="","",G91*N(H91))</f>
        <v/>
      </c>
      <c r="J91" s="31" t="str">
        <f aca="false">IF(G91="","",G91+I91)</f>
        <v/>
      </c>
      <c r="K91" s="70"/>
      <c r="L91" s="71" t="str">
        <f aca="false">IF(OR(B91="",K91=""),"",B91+K91)</f>
        <v/>
      </c>
      <c r="M91" s="28"/>
      <c r="N91" s="69"/>
      <c r="O91" s="31" t="str">
        <f aca="false">IF(G91="","",J91-N(M91))</f>
        <v/>
      </c>
      <c r="P91" s="74" t="str">
        <f aca="false">IF(G91="","",IF(O91&lt;=0,"Réglée",IF(L91="","À payer",IF(P_DateRef&gt;L91,"En retard",IF(L91-P_DateRef&lt;=7,"À payer &lt; 7j","À payer")))))</f>
        <v/>
      </c>
      <c r="Q91" s="88" t="str">
        <f aca="false">IF(P91="En retard",P_DateRef-L91,"")</f>
        <v/>
      </c>
      <c r="R91" s="74" t="str">
        <f aca="false">IF(OR(A91="",N(O91)&lt;=0),"",COUNTIFS($A$7:A91,"&lt;&gt;",$O$7:O91,"&gt;0"))</f>
        <v/>
      </c>
    </row>
    <row r="92" customFormat="false" ht="15" hidden="false" customHeight="false" outlineLevel="0" collapsed="false">
      <c r="A92" s="25"/>
      <c r="B92" s="69"/>
      <c r="C92" s="25"/>
      <c r="D92" s="25"/>
      <c r="E92" s="25"/>
      <c r="F92" s="25"/>
      <c r="G92" s="28"/>
      <c r="H92" s="72"/>
      <c r="I92" s="31" t="str">
        <f aca="false">IF(G92="","",G92*N(H92))</f>
        <v/>
      </c>
      <c r="J92" s="31" t="str">
        <f aca="false">IF(G92="","",G92+I92)</f>
        <v/>
      </c>
      <c r="K92" s="70"/>
      <c r="L92" s="71" t="str">
        <f aca="false">IF(OR(B92="",K92=""),"",B92+K92)</f>
        <v/>
      </c>
      <c r="M92" s="28"/>
      <c r="N92" s="69"/>
      <c r="O92" s="31" t="str">
        <f aca="false">IF(G92="","",J92-N(M92))</f>
        <v/>
      </c>
      <c r="P92" s="74" t="str">
        <f aca="false">IF(G92="","",IF(O92&lt;=0,"Réglée",IF(L92="","À payer",IF(P_DateRef&gt;L92,"En retard",IF(L92-P_DateRef&lt;=7,"À payer &lt; 7j","À payer")))))</f>
        <v/>
      </c>
      <c r="Q92" s="88" t="str">
        <f aca="false">IF(P92="En retard",P_DateRef-L92,"")</f>
        <v/>
      </c>
      <c r="R92" s="74" t="str">
        <f aca="false">IF(OR(A92="",N(O92)&lt;=0),"",COUNTIFS($A$7:A92,"&lt;&gt;",$O$7:O92,"&gt;0"))</f>
        <v/>
      </c>
    </row>
    <row r="93" customFormat="false" ht="15" hidden="false" customHeight="false" outlineLevel="0" collapsed="false">
      <c r="A93" s="25"/>
      <c r="B93" s="69"/>
      <c r="C93" s="25"/>
      <c r="D93" s="25"/>
      <c r="E93" s="25"/>
      <c r="F93" s="25"/>
      <c r="G93" s="28"/>
      <c r="H93" s="72"/>
      <c r="I93" s="31" t="str">
        <f aca="false">IF(G93="","",G93*N(H93))</f>
        <v/>
      </c>
      <c r="J93" s="31" t="str">
        <f aca="false">IF(G93="","",G93+I93)</f>
        <v/>
      </c>
      <c r="K93" s="70"/>
      <c r="L93" s="71" t="str">
        <f aca="false">IF(OR(B93="",K93=""),"",B93+K93)</f>
        <v/>
      </c>
      <c r="M93" s="28"/>
      <c r="N93" s="69"/>
      <c r="O93" s="31" t="str">
        <f aca="false">IF(G93="","",J93-N(M93))</f>
        <v/>
      </c>
      <c r="P93" s="74" t="str">
        <f aca="false">IF(G93="","",IF(O93&lt;=0,"Réglée",IF(L93="","À payer",IF(P_DateRef&gt;L93,"En retard",IF(L93-P_DateRef&lt;=7,"À payer &lt; 7j","À payer")))))</f>
        <v/>
      </c>
      <c r="Q93" s="88" t="str">
        <f aca="false">IF(P93="En retard",P_DateRef-L93,"")</f>
        <v/>
      </c>
      <c r="R93" s="74" t="str">
        <f aca="false">IF(OR(A93="",N(O93)&lt;=0),"",COUNTIFS($A$7:A93,"&lt;&gt;",$O$7:O93,"&gt;0"))</f>
        <v/>
      </c>
    </row>
    <row r="94" customFormat="false" ht="15" hidden="false" customHeight="false" outlineLevel="0" collapsed="false">
      <c r="A94" s="25"/>
      <c r="B94" s="69"/>
      <c r="C94" s="25"/>
      <c r="D94" s="25"/>
      <c r="E94" s="25"/>
      <c r="F94" s="25"/>
      <c r="G94" s="28"/>
      <c r="H94" s="72"/>
      <c r="I94" s="31" t="str">
        <f aca="false">IF(G94="","",G94*N(H94))</f>
        <v/>
      </c>
      <c r="J94" s="31" t="str">
        <f aca="false">IF(G94="","",G94+I94)</f>
        <v/>
      </c>
      <c r="K94" s="70"/>
      <c r="L94" s="71" t="str">
        <f aca="false">IF(OR(B94="",K94=""),"",B94+K94)</f>
        <v/>
      </c>
      <c r="M94" s="28"/>
      <c r="N94" s="69"/>
      <c r="O94" s="31" t="str">
        <f aca="false">IF(G94="","",J94-N(M94))</f>
        <v/>
      </c>
      <c r="P94" s="74" t="str">
        <f aca="false">IF(G94="","",IF(O94&lt;=0,"Réglée",IF(L94="","À payer",IF(P_DateRef&gt;L94,"En retard",IF(L94-P_DateRef&lt;=7,"À payer &lt; 7j","À payer")))))</f>
        <v/>
      </c>
      <c r="Q94" s="88" t="str">
        <f aca="false">IF(P94="En retard",P_DateRef-L94,"")</f>
        <v/>
      </c>
      <c r="R94" s="74" t="str">
        <f aca="false">IF(OR(A94="",N(O94)&lt;=0),"",COUNTIFS($A$7:A94,"&lt;&gt;",$O$7:O94,"&gt;0"))</f>
        <v/>
      </c>
    </row>
    <row r="95" customFormat="false" ht="15" hidden="false" customHeight="false" outlineLevel="0" collapsed="false">
      <c r="A95" s="25"/>
      <c r="B95" s="69"/>
      <c r="C95" s="25"/>
      <c r="D95" s="25"/>
      <c r="E95" s="25"/>
      <c r="F95" s="25"/>
      <c r="G95" s="28"/>
      <c r="H95" s="72"/>
      <c r="I95" s="31" t="str">
        <f aca="false">IF(G95="","",G95*N(H95))</f>
        <v/>
      </c>
      <c r="J95" s="31" t="str">
        <f aca="false">IF(G95="","",G95+I95)</f>
        <v/>
      </c>
      <c r="K95" s="70"/>
      <c r="L95" s="71" t="str">
        <f aca="false">IF(OR(B95="",K95=""),"",B95+K95)</f>
        <v/>
      </c>
      <c r="M95" s="28"/>
      <c r="N95" s="69"/>
      <c r="O95" s="31" t="str">
        <f aca="false">IF(G95="","",J95-N(M95))</f>
        <v/>
      </c>
      <c r="P95" s="74" t="str">
        <f aca="false">IF(G95="","",IF(O95&lt;=0,"Réglée",IF(L95="","À payer",IF(P_DateRef&gt;L95,"En retard",IF(L95-P_DateRef&lt;=7,"À payer &lt; 7j","À payer")))))</f>
        <v/>
      </c>
      <c r="Q95" s="88" t="str">
        <f aca="false">IF(P95="En retard",P_DateRef-L95,"")</f>
        <v/>
      </c>
      <c r="R95" s="74" t="str">
        <f aca="false">IF(OR(A95="",N(O95)&lt;=0),"",COUNTIFS($A$7:A95,"&lt;&gt;",$O$7:O95,"&gt;0"))</f>
        <v/>
      </c>
    </row>
    <row r="96" customFormat="false" ht="15" hidden="false" customHeight="false" outlineLevel="0" collapsed="false">
      <c r="A96" s="25"/>
      <c r="B96" s="69"/>
      <c r="C96" s="25"/>
      <c r="D96" s="25"/>
      <c r="E96" s="25"/>
      <c r="F96" s="25"/>
      <c r="G96" s="28"/>
      <c r="H96" s="72"/>
      <c r="I96" s="31" t="str">
        <f aca="false">IF(G96="","",G96*N(H96))</f>
        <v/>
      </c>
      <c r="J96" s="31" t="str">
        <f aca="false">IF(G96="","",G96+I96)</f>
        <v/>
      </c>
      <c r="K96" s="70"/>
      <c r="L96" s="71" t="str">
        <f aca="false">IF(OR(B96="",K96=""),"",B96+K96)</f>
        <v/>
      </c>
      <c r="M96" s="28"/>
      <c r="N96" s="69"/>
      <c r="O96" s="31" t="str">
        <f aca="false">IF(G96="","",J96-N(M96))</f>
        <v/>
      </c>
      <c r="P96" s="74" t="str">
        <f aca="false">IF(G96="","",IF(O96&lt;=0,"Réglée",IF(L96="","À payer",IF(P_DateRef&gt;L96,"En retard",IF(L96-P_DateRef&lt;=7,"À payer &lt; 7j","À payer")))))</f>
        <v/>
      </c>
      <c r="Q96" s="88" t="str">
        <f aca="false">IF(P96="En retard",P_DateRef-L96,"")</f>
        <v/>
      </c>
      <c r="R96" s="74" t="str">
        <f aca="false">IF(OR(A96="",N(O96)&lt;=0),"",COUNTIFS($A$7:A96,"&lt;&gt;",$O$7:O96,"&gt;0"))</f>
        <v/>
      </c>
    </row>
    <row r="97" customFormat="false" ht="15" hidden="false" customHeight="false" outlineLevel="0" collapsed="false">
      <c r="A97" s="25"/>
      <c r="B97" s="69"/>
      <c r="C97" s="25"/>
      <c r="D97" s="25"/>
      <c r="E97" s="25"/>
      <c r="F97" s="25"/>
      <c r="G97" s="28"/>
      <c r="H97" s="72"/>
      <c r="I97" s="31" t="str">
        <f aca="false">IF(G97="","",G97*N(H97))</f>
        <v/>
      </c>
      <c r="J97" s="31" t="str">
        <f aca="false">IF(G97="","",G97+I97)</f>
        <v/>
      </c>
      <c r="K97" s="70"/>
      <c r="L97" s="71" t="str">
        <f aca="false">IF(OR(B97="",K97=""),"",B97+K97)</f>
        <v/>
      </c>
      <c r="M97" s="28"/>
      <c r="N97" s="69"/>
      <c r="O97" s="31" t="str">
        <f aca="false">IF(G97="","",J97-N(M97))</f>
        <v/>
      </c>
      <c r="P97" s="74" t="str">
        <f aca="false">IF(G97="","",IF(O97&lt;=0,"Réglée",IF(L97="","À payer",IF(P_DateRef&gt;L97,"En retard",IF(L97-P_DateRef&lt;=7,"À payer &lt; 7j","À payer")))))</f>
        <v/>
      </c>
      <c r="Q97" s="88" t="str">
        <f aca="false">IF(P97="En retard",P_DateRef-L97,"")</f>
        <v/>
      </c>
      <c r="R97" s="74" t="str">
        <f aca="false">IF(OR(A97="",N(O97)&lt;=0),"",COUNTIFS($A$7:A97,"&lt;&gt;",$O$7:O97,"&gt;0"))</f>
        <v/>
      </c>
    </row>
    <row r="98" customFormat="false" ht="15" hidden="false" customHeight="false" outlineLevel="0" collapsed="false">
      <c r="A98" s="25"/>
      <c r="B98" s="69"/>
      <c r="C98" s="25"/>
      <c r="D98" s="25"/>
      <c r="E98" s="25"/>
      <c r="F98" s="25"/>
      <c r="G98" s="28"/>
      <c r="H98" s="72"/>
      <c r="I98" s="31" t="str">
        <f aca="false">IF(G98="","",G98*N(H98))</f>
        <v/>
      </c>
      <c r="J98" s="31" t="str">
        <f aca="false">IF(G98="","",G98+I98)</f>
        <v/>
      </c>
      <c r="K98" s="70"/>
      <c r="L98" s="71" t="str">
        <f aca="false">IF(OR(B98="",K98=""),"",B98+K98)</f>
        <v/>
      </c>
      <c r="M98" s="28"/>
      <c r="N98" s="69"/>
      <c r="O98" s="31" t="str">
        <f aca="false">IF(G98="","",J98-N(M98))</f>
        <v/>
      </c>
      <c r="P98" s="74" t="str">
        <f aca="false">IF(G98="","",IF(O98&lt;=0,"Réglée",IF(L98="","À payer",IF(P_DateRef&gt;L98,"En retard",IF(L98-P_DateRef&lt;=7,"À payer &lt; 7j","À payer")))))</f>
        <v/>
      </c>
      <c r="Q98" s="88" t="str">
        <f aca="false">IF(P98="En retard",P_DateRef-L98,"")</f>
        <v/>
      </c>
      <c r="R98" s="74" t="str">
        <f aca="false">IF(OR(A98="",N(O98)&lt;=0),"",COUNTIFS($A$7:A98,"&lt;&gt;",$O$7:O98,"&gt;0"))</f>
        <v/>
      </c>
    </row>
    <row r="99" customFormat="false" ht="15" hidden="false" customHeight="false" outlineLevel="0" collapsed="false">
      <c r="A99" s="25"/>
      <c r="B99" s="69"/>
      <c r="C99" s="25"/>
      <c r="D99" s="25"/>
      <c r="E99" s="25"/>
      <c r="F99" s="25"/>
      <c r="G99" s="28"/>
      <c r="H99" s="72"/>
      <c r="I99" s="31" t="str">
        <f aca="false">IF(G99="","",G99*N(H99))</f>
        <v/>
      </c>
      <c r="J99" s="31" t="str">
        <f aca="false">IF(G99="","",G99+I99)</f>
        <v/>
      </c>
      <c r="K99" s="70"/>
      <c r="L99" s="71" t="str">
        <f aca="false">IF(OR(B99="",K99=""),"",B99+K99)</f>
        <v/>
      </c>
      <c r="M99" s="28"/>
      <c r="N99" s="69"/>
      <c r="O99" s="31" t="str">
        <f aca="false">IF(G99="","",J99-N(M99))</f>
        <v/>
      </c>
      <c r="P99" s="74" t="str">
        <f aca="false">IF(G99="","",IF(O99&lt;=0,"Réglée",IF(L99="","À payer",IF(P_DateRef&gt;L99,"En retard",IF(L99-P_DateRef&lt;=7,"À payer &lt; 7j","À payer")))))</f>
        <v/>
      </c>
      <c r="Q99" s="88" t="str">
        <f aca="false">IF(P99="En retard",P_DateRef-L99,"")</f>
        <v/>
      </c>
      <c r="R99" s="74" t="str">
        <f aca="false">IF(OR(A99="",N(O99)&lt;=0),"",COUNTIFS($A$7:A99,"&lt;&gt;",$O$7:O99,"&gt;0"))</f>
        <v/>
      </c>
    </row>
    <row r="100" customFormat="false" ht="15" hidden="false" customHeight="false" outlineLevel="0" collapsed="false">
      <c r="A100" s="25"/>
      <c r="B100" s="69"/>
      <c r="C100" s="25"/>
      <c r="D100" s="25"/>
      <c r="E100" s="25"/>
      <c r="F100" s="25"/>
      <c r="G100" s="28"/>
      <c r="H100" s="72"/>
      <c r="I100" s="31" t="str">
        <f aca="false">IF(G100="","",G100*N(H100))</f>
        <v/>
      </c>
      <c r="J100" s="31" t="str">
        <f aca="false">IF(G100="","",G100+I100)</f>
        <v/>
      </c>
      <c r="K100" s="70"/>
      <c r="L100" s="71" t="str">
        <f aca="false">IF(OR(B100="",K100=""),"",B100+K100)</f>
        <v/>
      </c>
      <c r="M100" s="28"/>
      <c r="N100" s="69"/>
      <c r="O100" s="31" t="str">
        <f aca="false">IF(G100="","",J100-N(M100))</f>
        <v/>
      </c>
      <c r="P100" s="74" t="str">
        <f aca="false">IF(G100="","",IF(O100&lt;=0,"Réglée",IF(L100="","À payer",IF(P_DateRef&gt;L100,"En retard",IF(L100-P_DateRef&lt;=7,"À payer &lt; 7j","À payer")))))</f>
        <v/>
      </c>
      <c r="Q100" s="88" t="str">
        <f aca="false">IF(P100="En retard",P_DateRef-L100,"")</f>
        <v/>
      </c>
      <c r="R100" s="74" t="str">
        <f aca="false">IF(OR(A100="",N(O100)&lt;=0),"",COUNTIFS($A$7:A100,"&lt;&gt;",$O$7:O100,"&gt;0"))</f>
        <v/>
      </c>
    </row>
    <row r="101" customFormat="false" ht="15" hidden="false" customHeight="false" outlineLevel="0" collapsed="false">
      <c r="A101" s="25"/>
      <c r="B101" s="69"/>
      <c r="C101" s="25"/>
      <c r="D101" s="25"/>
      <c r="E101" s="25"/>
      <c r="F101" s="25"/>
      <c r="G101" s="28"/>
      <c r="H101" s="72"/>
      <c r="I101" s="31" t="str">
        <f aca="false">IF(G101="","",G101*N(H101))</f>
        <v/>
      </c>
      <c r="J101" s="31" t="str">
        <f aca="false">IF(G101="","",G101+I101)</f>
        <v/>
      </c>
      <c r="K101" s="70"/>
      <c r="L101" s="71" t="str">
        <f aca="false">IF(OR(B101="",K101=""),"",B101+K101)</f>
        <v/>
      </c>
      <c r="M101" s="28"/>
      <c r="N101" s="69"/>
      <c r="O101" s="31" t="str">
        <f aca="false">IF(G101="","",J101-N(M101))</f>
        <v/>
      </c>
      <c r="P101" s="74" t="str">
        <f aca="false">IF(G101="","",IF(O101&lt;=0,"Réglée",IF(L101="","À payer",IF(P_DateRef&gt;L101,"En retard",IF(L101-P_DateRef&lt;=7,"À payer &lt; 7j","À payer")))))</f>
        <v/>
      </c>
      <c r="Q101" s="88" t="str">
        <f aca="false">IF(P101="En retard",P_DateRef-L101,"")</f>
        <v/>
      </c>
      <c r="R101" s="74" t="str">
        <f aca="false">IF(OR(A101="",N(O101)&lt;=0),"",COUNTIFS($A$7:A101,"&lt;&gt;",$O$7:O101,"&gt;0"))</f>
        <v/>
      </c>
    </row>
    <row r="102" customFormat="false" ht="15" hidden="false" customHeight="false" outlineLevel="0" collapsed="false">
      <c r="A102" s="25"/>
      <c r="B102" s="69"/>
      <c r="C102" s="25"/>
      <c r="D102" s="25"/>
      <c r="E102" s="25"/>
      <c r="F102" s="25"/>
      <c r="G102" s="28"/>
      <c r="H102" s="72"/>
      <c r="I102" s="31" t="str">
        <f aca="false">IF(G102="","",G102*N(H102))</f>
        <v/>
      </c>
      <c r="J102" s="31" t="str">
        <f aca="false">IF(G102="","",G102+I102)</f>
        <v/>
      </c>
      <c r="K102" s="70"/>
      <c r="L102" s="71" t="str">
        <f aca="false">IF(OR(B102="",K102=""),"",B102+K102)</f>
        <v/>
      </c>
      <c r="M102" s="28"/>
      <c r="N102" s="69"/>
      <c r="O102" s="31" t="str">
        <f aca="false">IF(G102="","",J102-N(M102))</f>
        <v/>
      </c>
      <c r="P102" s="74" t="str">
        <f aca="false">IF(G102="","",IF(O102&lt;=0,"Réglée",IF(L102="","À payer",IF(P_DateRef&gt;L102,"En retard",IF(L102-P_DateRef&lt;=7,"À payer &lt; 7j","À payer")))))</f>
        <v/>
      </c>
      <c r="Q102" s="88" t="str">
        <f aca="false">IF(P102="En retard",P_DateRef-L102,"")</f>
        <v/>
      </c>
      <c r="R102" s="74" t="str">
        <f aca="false">IF(OR(A102="",N(O102)&lt;=0),"",COUNTIFS($A$7:A102,"&lt;&gt;",$O$7:O102,"&gt;0"))</f>
        <v/>
      </c>
    </row>
    <row r="103" customFormat="false" ht="15" hidden="false" customHeight="false" outlineLevel="0" collapsed="false">
      <c r="A103" s="25"/>
      <c r="B103" s="69"/>
      <c r="C103" s="25"/>
      <c r="D103" s="25"/>
      <c r="E103" s="25"/>
      <c r="F103" s="25"/>
      <c r="G103" s="28"/>
      <c r="H103" s="72"/>
      <c r="I103" s="31" t="str">
        <f aca="false">IF(G103="","",G103*N(H103))</f>
        <v/>
      </c>
      <c r="J103" s="31" t="str">
        <f aca="false">IF(G103="","",G103+I103)</f>
        <v/>
      </c>
      <c r="K103" s="70"/>
      <c r="L103" s="71" t="str">
        <f aca="false">IF(OR(B103="",K103=""),"",B103+K103)</f>
        <v/>
      </c>
      <c r="M103" s="28"/>
      <c r="N103" s="69"/>
      <c r="O103" s="31" t="str">
        <f aca="false">IF(G103="","",J103-N(M103))</f>
        <v/>
      </c>
      <c r="P103" s="74" t="str">
        <f aca="false">IF(G103="","",IF(O103&lt;=0,"Réglée",IF(L103="","À payer",IF(P_DateRef&gt;L103,"En retard",IF(L103-P_DateRef&lt;=7,"À payer &lt; 7j","À payer")))))</f>
        <v/>
      </c>
      <c r="Q103" s="88" t="str">
        <f aca="false">IF(P103="En retard",P_DateRef-L103,"")</f>
        <v/>
      </c>
      <c r="R103" s="74" t="str">
        <f aca="false">IF(OR(A103="",N(O103)&lt;=0),"",COUNTIFS($A$7:A103,"&lt;&gt;",$O$7:O103,"&gt;0"))</f>
        <v/>
      </c>
    </row>
    <row r="104" customFormat="false" ht="15" hidden="false" customHeight="false" outlineLevel="0" collapsed="false">
      <c r="A104" s="25"/>
      <c r="B104" s="69"/>
      <c r="C104" s="25"/>
      <c r="D104" s="25"/>
      <c r="E104" s="25"/>
      <c r="F104" s="25"/>
      <c r="G104" s="28"/>
      <c r="H104" s="72"/>
      <c r="I104" s="31" t="str">
        <f aca="false">IF(G104="","",G104*N(H104))</f>
        <v/>
      </c>
      <c r="J104" s="31" t="str">
        <f aca="false">IF(G104="","",G104+I104)</f>
        <v/>
      </c>
      <c r="K104" s="70"/>
      <c r="L104" s="71" t="str">
        <f aca="false">IF(OR(B104="",K104=""),"",B104+K104)</f>
        <v/>
      </c>
      <c r="M104" s="28"/>
      <c r="N104" s="69"/>
      <c r="O104" s="31" t="str">
        <f aca="false">IF(G104="","",J104-N(M104))</f>
        <v/>
      </c>
      <c r="P104" s="74" t="str">
        <f aca="false">IF(G104="","",IF(O104&lt;=0,"Réglée",IF(L104="","À payer",IF(P_DateRef&gt;L104,"En retard",IF(L104-P_DateRef&lt;=7,"À payer &lt; 7j","À payer")))))</f>
        <v/>
      </c>
      <c r="Q104" s="88" t="str">
        <f aca="false">IF(P104="En retard",P_DateRef-L104,"")</f>
        <v/>
      </c>
      <c r="R104" s="74" t="str">
        <f aca="false">IF(OR(A104="",N(O104)&lt;=0),"",COUNTIFS($A$7:A104,"&lt;&gt;",$O$7:O104,"&gt;0"))</f>
        <v/>
      </c>
    </row>
    <row r="105" customFormat="false" ht="15" hidden="false" customHeight="false" outlineLevel="0" collapsed="false">
      <c r="A105" s="25"/>
      <c r="B105" s="69"/>
      <c r="C105" s="25"/>
      <c r="D105" s="25"/>
      <c r="E105" s="25"/>
      <c r="F105" s="25"/>
      <c r="G105" s="28"/>
      <c r="H105" s="72"/>
      <c r="I105" s="31" t="str">
        <f aca="false">IF(G105="","",G105*N(H105))</f>
        <v/>
      </c>
      <c r="J105" s="31" t="str">
        <f aca="false">IF(G105="","",G105+I105)</f>
        <v/>
      </c>
      <c r="K105" s="70"/>
      <c r="L105" s="71" t="str">
        <f aca="false">IF(OR(B105="",K105=""),"",B105+K105)</f>
        <v/>
      </c>
      <c r="M105" s="28"/>
      <c r="N105" s="69"/>
      <c r="O105" s="31" t="str">
        <f aca="false">IF(G105="","",J105-N(M105))</f>
        <v/>
      </c>
      <c r="P105" s="74" t="str">
        <f aca="false">IF(G105="","",IF(O105&lt;=0,"Réglée",IF(L105="","À payer",IF(P_DateRef&gt;L105,"En retard",IF(L105-P_DateRef&lt;=7,"À payer &lt; 7j","À payer")))))</f>
        <v/>
      </c>
      <c r="Q105" s="88" t="str">
        <f aca="false">IF(P105="En retard",P_DateRef-L105,"")</f>
        <v/>
      </c>
      <c r="R105" s="74" t="str">
        <f aca="false">IF(OR(A105="",N(O105)&lt;=0),"",COUNTIFS($A$7:A105,"&lt;&gt;",$O$7:O105,"&gt;0"))</f>
        <v/>
      </c>
    </row>
    <row r="106" customFormat="false" ht="15" hidden="false" customHeight="false" outlineLevel="0" collapsed="false">
      <c r="A106" s="25"/>
      <c r="B106" s="69"/>
      <c r="C106" s="25"/>
      <c r="D106" s="25"/>
      <c r="E106" s="25"/>
      <c r="F106" s="25"/>
      <c r="G106" s="28"/>
      <c r="H106" s="72"/>
      <c r="I106" s="31" t="str">
        <f aca="false">IF(G106="","",G106*N(H106))</f>
        <v/>
      </c>
      <c r="J106" s="31" t="str">
        <f aca="false">IF(G106="","",G106+I106)</f>
        <v/>
      </c>
      <c r="K106" s="70"/>
      <c r="L106" s="71" t="str">
        <f aca="false">IF(OR(B106="",K106=""),"",B106+K106)</f>
        <v/>
      </c>
      <c r="M106" s="28"/>
      <c r="N106" s="69"/>
      <c r="O106" s="31" t="str">
        <f aca="false">IF(G106="","",J106-N(M106))</f>
        <v/>
      </c>
      <c r="P106" s="74" t="str">
        <f aca="false">IF(G106="","",IF(O106&lt;=0,"Réglée",IF(L106="","À payer",IF(P_DateRef&gt;L106,"En retard",IF(L106-P_DateRef&lt;=7,"À payer &lt; 7j","À payer")))))</f>
        <v/>
      </c>
      <c r="Q106" s="88" t="str">
        <f aca="false">IF(P106="En retard",P_DateRef-L106,"")</f>
        <v/>
      </c>
      <c r="R106" s="74" t="str">
        <f aca="false">IF(OR(A106="",N(O106)&lt;=0),"",COUNTIFS($A$7:A106,"&lt;&gt;",$O$7:O106,"&gt;0"))</f>
        <v/>
      </c>
    </row>
    <row r="107" customFormat="false" ht="15" hidden="false" customHeight="false" outlineLevel="0" collapsed="false">
      <c r="A107" s="25"/>
      <c r="B107" s="69"/>
      <c r="C107" s="25"/>
      <c r="D107" s="25"/>
      <c r="E107" s="25"/>
      <c r="F107" s="25"/>
      <c r="G107" s="28"/>
      <c r="H107" s="72"/>
      <c r="I107" s="31" t="str">
        <f aca="false">IF(G107="","",G107*N(H107))</f>
        <v/>
      </c>
      <c r="J107" s="31" t="str">
        <f aca="false">IF(G107="","",G107+I107)</f>
        <v/>
      </c>
      <c r="K107" s="70"/>
      <c r="L107" s="71" t="str">
        <f aca="false">IF(OR(B107="",K107=""),"",B107+K107)</f>
        <v/>
      </c>
      <c r="M107" s="28"/>
      <c r="N107" s="69"/>
      <c r="O107" s="31" t="str">
        <f aca="false">IF(G107="","",J107-N(M107))</f>
        <v/>
      </c>
      <c r="P107" s="74" t="str">
        <f aca="false">IF(G107="","",IF(O107&lt;=0,"Réglée",IF(L107="","À payer",IF(P_DateRef&gt;L107,"En retard",IF(L107-P_DateRef&lt;=7,"À payer &lt; 7j","À payer")))))</f>
        <v/>
      </c>
      <c r="Q107" s="88" t="str">
        <f aca="false">IF(P107="En retard",P_DateRef-L107,"")</f>
        <v/>
      </c>
      <c r="R107" s="74" t="str">
        <f aca="false">IF(OR(A107="",N(O107)&lt;=0),"",COUNTIFS($A$7:A107,"&lt;&gt;",$O$7:O107,"&gt;0"))</f>
        <v/>
      </c>
    </row>
    <row r="108" customFormat="false" ht="15" hidden="false" customHeight="false" outlineLevel="0" collapsed="false">
      <c r="A108" s="25"/>
      <c r="B108" s="69"/>
      <c r="C108" s="25"/>
      <c r="D108" s="25"/>
      <c r="E108" s="25"/>
      <c r="F108" s="25"/>
      <c r="G108" s="28"/>
      <c r="H108" s="72"/>
      <c r="I108" s="31" t="str">
        <f aca="false">IF(G108="","",G108*N(H108))</f>
        <v/>
      </c>
      <c r="J108" s="31" t="str">
        <f aca="false">IF(G108="","",G108+I108)</f>
        <v/>
      </c>
      <c r="K108" s="70"/>
      <c r="L108" s="71" t="str">
        <f aca="false">IF(OR(B108="",K108=""),"",B108+K108)</f>
        <v/>
      </c>
      <c r="M108" s="28"/>
      <c r="N108" s="69"/>
      <c r="O108" s="31" t="str">
        <f aca="false">IF(G108="","",J108-N(M108))</f>
        <v/>
      </c>
      <c r="P108" s="74" t="str">
        <f aca="false">IF(G108="","",IF(O108&lt;=0,"Réglée",IF(L108="","À payer",IF(P_DateRef&gt;L108,"En retard",IF(L108-P_DateRef&lt;=7,"À payer &lt; 7j","À payer")))))</f>
        <v/>
      </c>
      <c r="Q108" s="88" t="str">
        <f aca="false">IF(P108="En retard",P_DateRef-L108,"")</f>
        <v/>
      </c>
      <c r="R108" s="74" t="str">
        <f aca="false">IF(OR(A108="",N(O108)&lt;=0),"",COUNTIFS($A$7:A108,"&lt;&gt;",$O$7:O108,"&gt;0"))</f>
        <v/>
      </c>
    </row>
    <row r="109" customFormat="false" ht="15" hidden="false" customHeight="false" outlineLevel="0" collapsed="false">
      <c r="A109" s="25"/>
      <c r="B109" s="69"/>
      <c r="C109" s="25"/>
      <c r="D109" s="25"/>
      <c r="E109" s="25"/>
      <c r="F109" s="25"/>
      <c r="G109" s="28"/>
      <c r="H109" s="72"/>
      <c r="I109" s="31" t="str">
        <f aca="false">IF(G109="","",G109*N(H109))</f>
        <v/>
      </c>
      <c r="J109" s="31" t="str">
        <f aca="false">IF(G109="","",G109+I109)</f>
        <v/>
      </c>
      <c r="K109" s="70"/>
      <c r="L109" s="71" t="str">
        <f aca="false">IF(OR(B109="",K109=""),"",B109+K109)</f>
        <v/>
      </c>
      <c r="M109" s="28"/>
      <c r="N109" s="69"/>
      <c r="O109" s="31" t="str">
        <f aca="false">IF(G109="","",J109-N(M109))</f>
        <v/>
      </c>
      <c r="P109" s="74" t="str">
        <f aca="false">IF(G109="","",IF(O109&lt;=0,"Réglée",IF(L109="","À payer",IF(P_DateRef&gt;L109,"En retard",IF(L109-P_DateRef&lt;=7,"À payer &lt; 7j","À payer")))))</f>
        <v/>
      </c>
      <c r="Q109" s="88" t="str">
        <f aca="false">IF(P109="En retard",P_DateRef-L109,"")</f>
        <v/>
      </c>
      <c r="R109" s="74" t="str">
        <f aca="false">IF(OR(A109="",N(O109)&lt;=0),"",COUNTIFS($A$7:A109,"&lt;&gt;",$O$7:O109,"&gt;0"))</f>
        <v/>
      </c>
    </row>
    <row r="110" customFormat="false" ht="15" hidden="false" customHeight="false" outlineLevel="0" collapsed="false">
      <c r="A110" s="25"/>
      <c r="B110" s="69"/>
      <c r="C110" s="25"/>
      <c r="D110" s="25"/>
      <c r="E110" s="25"/>
      <c r="F110" s="25"/>
      <c r="G110" s="28"/>
      <c r="H110" s="72"/>
      <c r="I110" s="31" t="str">
        <f aca="false">IF(G110="","",G110*N(H110))</f>
        <v/>
      </c>
      <c r="J110" s="31" t="str">
        <f aca="false">IF(G110="","",G110+I110)</f>
        <v/>
      </c>
      <c r="K110" s="70"/>
      <c r="L110" s="71" t="str">
        <f aca="false">IF(OR(B110="",K110=""),"",B110+K110)</f>
        <v/>
      </c>
      <c r="M110" s="28"/>
      <c r="N110" s="69"/>
      <c r="O110" s="31" t="str">
        <f aca="false">IF(G110="","",J110-N(M110))</f>
        <v/>
      </c>
      <c r="P110" s="74" t="str">
        <f aca="false">IF(G110="","",IF(O110&lt;=0,"Réglée",IF(L110="","À payer",IF(P_DateRef&gt;L110,"En retard",IF(L110-P_DateRef&lt;=7,"À payer &lt; 7j","À payer")))))</f>
        <v/>
      </c>
      <c r="Q110" s="88" t="str">
        <f aca="false">IF(P110="En retard",P_DateRef-L110,"")</f>
        <v/>
      </c>
      <c r="R110" s="74" t="str">
        <f aca="false">IF(OR(A110="",N(O110)&lt;=0),"",COUNTIFS($A$7:A110,"&lt;&gt;",$O$7:O110,"&gt;0"))</f>
        <v/>
      </c>
    </row>
    <row r="111" customFormat="false" ht="15" hidden="false" customHeight="false" outlineLevel="0" collapsed="false">
      <c r="A111" s="25"/>
      <c r="B111" s="69"/>
      <c r="C111" s="25"/>
      <c r="D111" s="25"/>
      <c r="E111" s="25"/>
      <c r="F111" s="25"/>
      <c r="G111" s="28"/>
      <c r="H111" s="72"/>
      <c r="I111" s="31" t="str">
        <f aca="false">IF(G111="","",G111*N(H111))</f>
        <v/>
      </c>
      <c r="J111" s="31" t="str">
        <f aca="false">IF(G111="","",G111+I111)</f>
        <v/>
      </c>
      <c r="K111" s="70"/>
      <c r="L111" s="71" t="str">
        <f aca="false">IF(OR(B111="",K111=""),"",B111+K111)</f>
        <v/>
      </c>
      <c r="M111" s="28"/>
      <c r="N111" s="69"/>
      <c r="O111" s="31" t="str">
        <f aca="false">IF(G111="","",J111-N(M111))</f>
        <v/>
      </c>
      <c r="P111" s="74" t="str">
        <f aca="false">IF(G111="","",IF(O111&lt;=0,"Réglée",IF(L111="","À payer",IF(P_DateRef&gt;L111,"En retard",IF(L111-P_DateRef&lt;=7,"À payer &lt; 7j","À payer")))))</f>
        <v/>
      </c>
      <c r="Q111" s="88" t="str">
        <f aca="false">IF(P111="En retard",P_DateRef-L111,"")</f>
        <v/>
      </c>
      <c r="R111" s="74" t="str">
        <f aca="false">IF(OR(A111="",N(O111)&lt;=0),"",COUNTIFS($A$7:A111,"&lt;&gt;",$O$7:O111,"&gt;0"))</f>
        <v/>
      </c>
    </row>
    <row r="112" customFormat="false" ht="15" hidden="false" customHeight="false" outlineLevel="0" collapsed="false">
      <c r="A112" s="25"/>
      <c r="B112" s="69"/>
      <c r="C112" s="25"/>
      <c r="D112" s="25"/>
      <c r="E112" s="25"/>
      <c r="F112" s="25"/>
      <c r="G112" s="28"/>
      <c r="H112" s="72"/>
      <c r="I112" s="31" t="str">
        <f aca="false">IF(G112="","",G112*N(H112))</f>
        <v/>
      </c>
      <c r="J112" s="31" t="str">
        <f aca="false">IF(G112="","",G112+I112)</f>
        <v/>
      </c>
      <c r="K112" s="70"/>
      <c r="L112" s="71" t="str">
        <f aca="false">IF(OR(B112="",K112=""),"",B112+K112)</f>
        <v/>
      </c>
      <c r="M112" s="28"/>
      <c r="N112" s="69"/>
      <c r="O112" s="31" t="str">
        <f aca="false">IF(G112="","",J112-N(M112))</f>
        <v/>
      </c>
      <c r="P112" s="74" t="str">
        <f aca="false">IF(G112="","",IF(O112&lt;=0,"Réglée",IF(L112="","À payer",IF(P_DateRef&gt;L112,"En retard",IF(L112-P_DateRef&lt;=7,"À payer &lt; 7j","À payer")))))</f>
        <v/>
      </c>
      <c r="Q112" s="88" t="str">
        <f aca="false">IF(P112="En retard",P_DateRef-L112,"")</f>
        <v/>
      </c>
      <c r="R112" s="74" t="str">
        <f aca="false">IF(OR(A112="",N(O112)&lt;=0),"",COUNTIFS($A$7:A112,"&lt;&gt;",$O$7:O112,"&gt;0"))</f>
        <v/>
      </c>
    </row>
    <row r="113" customFormat="false" ht="15" hidden="false" customHeight="false" outlineLevel="0" collapsed="false">
      <c r="A113" s="25"/>
      <c r="B113" s="69"/>
      <c r="C113" s="25"/>
      <c r="D113" s="25"/>
      <c r="E113" s="25"/>
      <c r="F113" s="25"/>
      <c r="G113" s="28"/>
      <c r="H113" s="72"/>
      <c r="I113" s="31" t="str">
        <f aca="false">IF(G113="","",G113*N(H113))</f>
        <v/>
      </c>
      <c r="J113" s="31" t="str">
        <f aca="false">IF(G113="","",G113+I113)</f>
        <v/>
      </c>
      <c r="K113" s="70"/>
      <c r="L113" s="71" t="str">
        <f aca="false">IF(OR(B113="",K113=""),"",B113+K113)</f>
        <v/>
      </c>
      <c r="M113" s="28"/>
      <c r="N113" s="69"/>
      <c r="O113" s="31" t="str">
        <f aca="false">IF(G113="","",J113-N(M113))</f>
        <v/>
      </c>
      <c r="P113" s="74" t="str">
        <f aca="false">IF(G113="","",IF(O113&lt;=0,"Réglée",IF(L113="","À payer",IF(P_DateRef&gt;L113,"En retard",IF(L113-P_DateRef&lt;=7,"À payer &lt; 7j","À payer")))))</f>
        <v/>
      </c>
      <c r="Q113" s="88" t="str">
        <f aca="false">IF(P113="En retard",P_DateRef-L113,"")</f>
        <v/>
      </c>
      <c r="R113" s="74" t="str">
        <f aca="false">IF(OR(A113="",N(O113)&lt;=0),"",COUNTIFS($A$7:A113,"&lt;&gt;",$O$7:O113,"&gt;0"))</f>
        <v/>
      </c>
    </row>
    <row r="114" customFormat="false" ht="15" hidden="false" customHeight="false" outlineLevel="0" collapsed="false">
      <c r="A114" s="25"/>
      <c r="B114" s="69"/>
      <c r="C114" s="25"/>
      <c r="D114" s="25"/>
      <c r="E114" s="25"/>
      <c r="F114" s="25"/>
      <c r="G114" s="28"/>
      <c r="H114" s="72"/>
      <c r="I114" s="31" t="str">
        <f aca="false">IF(G114="","",G114*N(H114))</f>
        <v/>
      </c>
      <c r="J114" s="31" t="str">
        <f aca="false">IF(G114="","",G114+I114)</f>
        <v/>
      </c>
      <c r="K114" s="70"/>
      <c r="L114" s="71" t="str">
        <f aca="false">IF(OR(B114="",K114=""),"",B114+K114)</f>
        <v/>
      </c>
      <c r="M114" s="28"/>
      <c r="N114" s="69"/>
      <c r="O114" s="31" t="str">
        <f aca="false">IF(G114="","",J114-N(M114))</f>
        <v/>
      </c>
      <c r="P114" s="74" t="str">
        <f aca="false">IF(G114="","",IF(O114&lt;=0,"Réglée",IF(L114="","À payer",IF(P_DateRef&gt;L114,"En retard",IF(L114-P_DateRef&lt;=7,"À payer &lt; 7j","À payer")))))</f>
        <v/>
      </c>
      <c r="Q114" s="88" t="str">
        <f aca="false">IF(P114="En retard",P_DateRef-L114,"")</f>
        <v/>
      </c>
      <c r="R114" s="74" t="str">
        <f aca="false">IF(OR(A114="",N(O114)&lt;=0),"",COUNTIFS($A$7:A114,"&lt;&gt;",$O$7:O114,"&gt;0"))</f>
        <v/>
      </c>
    </row>
    <row r="115" customFormat="false" ht="15" hidden="false" customHeight="false" outlineLevel="0" collapsed="false">
      <c r="A115" s="25"/>
      <c r="B115" s="69"/>
      <c r="C115" s="25"/>
      <c r="D115" s="25"/>
      <c r="E115" s="25"/>
      <c r="F115" s="25"/>
      <c r="G115" s="28"/>
      <c r="H115" s="72"/>
      <c r="I115" s="31" t="str">
        <f aca="false">IF(G115="","",G115*N(H115))</f>
        <v/>
      </c>
      <c r="J115" s="31" t="str">
        <f aca="false">IF(G115="","",G115+I115)</f>
        <v/>
      </c>
      <c r="K115" s="70"/>
      <c r="L115" s="71" t="str">
        <f aca="false">IF(OR(B115="",K115=""),"",B115+K115)</f>
        <v/>
      </c>
      <c r="M115" s="28"/>
      <c r="N115" s="69"/>
      <c r="O115" s="31" t="str">
        <f aca="false">IF(G115="","",J115-N(M115))</f>
        <v/>
      </c>
      <c r="P115" s="74" t="str">
        <f aca="false">IF(G115="","",IF(O115&lt;=0,"Réglée",IF(L115="","À payer",IF(P_DateRef&gt;L115,"En retard",IF(L115-P_DateRef&lt;=7,"À payer &lt; 7j","À payer")))))</f>
        <v/>
      </c>
      <c r="Q115" s="88" t="str">
        <f aca="false">IF(P115="En retard",P_DateRef-L115,"")</f>
        <v/>
      </c>
      <c r="R115" s="74" t="str">
        <f aca="false">IF(OR(A115="",N(O115)&lt;=0),"",COUNTIFS($A$7:A115,"&lt;&gt;",$O$7:O115,"&gt;0"))</f>
        <v/>
      </c>
    </row>
    <row r="116" customFormat="false" ht="15" hidden="false" customHeight="false" outlineLevel="0" collapsed="false">
      <c r="A116" s="25"/>
      <c r="B116" s="69"/>
      <c r="C116" s="25"/>
      <c r="D116" s="25"/>
      <c r="E116" s="25"/>
      <c r="F116" s="25"/>
      <c r="G116" s="28"/>
      <c r="H116" s="72"/>
      <c r="I116" s="31" t="str">
        <f aca="false">IF(G116="","",G116*N(H116))</f>
        <v/>
      </c>
      <c r="J116" s="31" t="str">
        <f aca="false">IF(G116="","",G116+I116)</f>
        <v/>
      </c>
      <c r="K116" s="70"/>
      <c r="L116" s="71" t="str">
        <f aca="false">IF(OR(B116="",K116=""),"",B116+K116)</f>
        <v/>
      </c>
      <c r="M116" s="28"/>
      <c r="N116" s="69"/>
      <c r="O116" s="31" t="str">
        <f aca="false">IF(G116="","",J116-N(M116))</f>
        <v/>
      </c>
      <c r="P116" s="74" t="str">
        <f aca="false">IF(G116="","",IF(O116&lt;=0,"Réglée",IF(L116="","À payer",IF(P_DateRef&gt;L116,"En retard",IF(L116-P_DateRef&lt;=7,"À payer &lt; 7j","À payer")))))</f>
        <v/>
      </c>
      <c r="Q116" s="88" t="str">
        <f aca="false">IF(P116="En retard",P_DateRef-L116,"")</f>
        <v/>
      </c>
      <c r="R116" s="74" t="str">
        <f aca="false">IF(OR(A116="",N(O116)&lt;=0),"",COUNTIFS($A$7:A116,"&lt;&gt;",$O$7:O116,"&gt;0"))</f>
        <v/>
      </c>
    </row>
    <row r="117" customFormat="false" ht="15" hidden="false" customHeight="false" outlineLevel="0" collapsed="false">
      <c r="A117" s="25"/>
      <c r="B117" s="69"/>
      <c r="C117" s="25"/>
      <c r="D117" s="25"/>
      <c r="E117" s="25"/>
      <c r="F117" s="25"/>
      <c r="G117" s="28"/>
      <c r="H117" s="72"/>
      <c r="I117" s="31" t="str">
        <f aca="false">IF(G117="","",G117*N(H117))</f>
        <v/>
      </c>
      <c r="J117" s="31" t="str">
        <f aca="false">IF(G117="","",G117+I117)</f>
        <v/>
      </c>
      <c r="K117" s="70"/>
      <c r="L117" s="71" t="str">
        <f aca="false">IF(OR(B117="",K117=""),"",B117+K117)</f>
        <v/>
      </c>
      <c r="M117" s="28"/>
      <c r="N117" s="69"/>
      <c r="O117" s="31" t="str">
        <f aca="false">IF(G117="","",J117-N(M117))</f>
        <v/>
      </c>
      <c r="P117" s="74" t="str">
        <f aca="false">IF(G117="","",IF(O117&lt;=0,"Réglée",IF(L117="","À payer",IF(P_DateRef&gt;L117,"En retard",IF(L117-P_DateRef&lt;=7,"À payer &lt; 7j","À payer")))))</f>
        <v/>
      </c>
      <c r="Q117" s="88" t="str">
        <f aca="false">IF(P117="En retard",P_DateRef-L117,"")</f>
        <v/>
      </c>
      <c r="R117" s="74" t="str">
        <f aca="false">IF(OR(A117="",N(O117)&lt;=0),"",COUNTIFS($A$7:A117,"&lt;&gt;",$O$7:O117,"&gt;0"))</f>
        <v/>
      </c>
    </row>
    <row r="118" customFormat="false" ht="15" hidden="false" customHeight="false" outlineLevel="0" collapsed="false">
      <c r="A118" s="25"/>
      <c r="B118" s="69"/>
      <c r="C118" s="25"/>
      <c r="D118" s="25"/>
      <c r="E118" s="25"/>
      <c r="F118" s="25"/>
      <c r="G118" s="28"/>
      <c r="H118" s="72"/>
      <c r="I118" s="31" t="str">
        <f aca="false">IF(G118="","",G118*N(H118))</f>
        <v/>
      </c>
      <c r="J118" s="31" t="str">
        <f aca="false">IF(G118="","",G118+I118)</f>
        <v/>
      </c>
      <c r="K118" s="70"/>
      <c r="L118" s="71" t="str">
        <f aca="false">IF(OR(B118="",K118=""),"",B118+K118)</f>
        <v/>
      </c>
      <c r="M118" s="28"/>
      <c r="N118" s="69"/>
      <c r="O118" s="31" t="str">
        <f aca="false">IF(G118="","",J118-N(M118))</f>
        <v/>
      </c>
      <c r="P118" s="74" t="str">
        <f aca="false">IF(G118="","",IF(O118&lt;=0,"Réglée",IF(L118="","À payer",IF(P_DateRef&gt;L118,"En retard",IF(L118-P_DateRef&lt;=7,"À payer &lt; 7j","À payer")))))</f>
        <v/>
      </c>
      <c r="Q118" s="88" t="str">
        <f aca="false">IF(P118="En retard",P_DateRef-L118,"")</f>
        <v/>
      </c>
      <c r="R118" s="74" t="str">
        <f aca="false">IF(OR(A118="",N(O118)&lt;=0),"",COUNTIFS($A$7:A118,"&lt;&gt;",$O$7:O118,"&gt;0"))</f>
        <v/>
      </c>
    </row>
    <row r="119" customFormat="false" ht="15" hidden="false" customHeight="false" outlineLevel="0" collapsed="false">
      <c r="A119" s="25"/>
      <c r="B119" s="69"/>
      <c r="C119" s="25"/>
      <c r="D119" s="25"/>
      <c r="E119" s="25"/>
      <c r="F119" s="25"/>
      <c r="G119" s="28"/>
      <c r="H119" s="72"/>
      <c r="I119" s="31" t="str">
        <f aca="false">IF(G119="","",G119*N(H119))</f>
        <v/>
      </c>
      <c r="J119" s="31" t="str">
        <f aca="false">IF(G119="","",G119+I119)</f>
        <v/>
      </c>
      <c r="K119" s="70"/>
      <c r="L119" s="71" t="str">
        <f aca="false">IF(OR(B119="",K119=""),"",B119+K119)</f>
        <v/>
      </c>
      <c r="M119" s="28"/>
      <c r="N119" s="69"/>
      <c r="O119" s="31" t="str">
        <f aca="false">IF(G119="","",J119-N(M119))</f>
        <v/>
      </c>
      <c r="P119" s="74" t="str">
        <f aca="false">IF(G119="","",IF(O119&lt;=0,"Réglée",IF(L119="","À payer",IF(P_DateRef&gt;L119,"En retard",IF(L119-P_DateRef&lt;=7,"À payer &lt; 7j","À payer")))))</f>
        <v/>
      </c>
      <c r="Q119" s="88" t="str">
        <f aca="false">IF(P119="En retard",P_DateRef-L119,"")</f>
        <v/>
      </c>
      <c r="R119" s="74" t="str">
        <f aca="false">IF(OR(A119="",N(O119)&lt;=0),"",COUNTIFS($A$7:A119,"&lt;&gt;",$O$7:O119,"&gt;0"))</f>
        <v/>
      </c>
    </row>
    <row r="120" customFormat="false" ht="15" hidden="false" customHeight="false" outlineLevel="0" collapsed="false">
      <c r="A120" s="25"/>
      <c r="B120" s="69"/>
      <c r="C120" s="25"/>
      <c r="D120" s="25"/>
      <c r="E120" s="25"/>
      <c r="F120" s="25"/>
      <c r="G120" s="28"/>
      <c r="H120" s="72"/>
      <c r="I120" s="31" t="str">
        <f aca="false">IF(G120="","",G120*N(H120))</f>
        <v/>
      </c>
      <c r="J120" s="31" t="str">
        <f aca="false">IF(G120="","",G120+I120)</f>
        <v/>
      </c>
      <c r="K120" s="70"/>
      <c r="L120" s="71" t="str">
        <f aca="false">IF(OR(B120="",K120=""),"",B120+K120)</f>
        <v/>
      </c>
      <c r="M120" s="28"/>
      <c r="N120" s="69"/>
      <c r="O120" s="31" t="str">
        <f aca="false">IF(G120="","",J120-N(M120))</f>
        <v/>
      </c>
      <c r="P120" s="74" t="str">
        <f aca="false">IF(G120="","",IF(O120&lt;=0,"Réglée",IF(L120="","À payer",IF(P_DateRef&gt;L120,"En retard",IF(L120-P_DateRef&lt;=7,"À payer &lt; 7j","À payer")))))</f>
        <v/>
      </c>
      <c r="Q120" s="88" t="str">
        <f aca="false">IF(P120="En retard",P_DateRef-L120,"")</f>
        <v/>
      </c>
      <c r="R120" s="74" t="str">
        <f aca="false">IF(OR(A120="",N(O120)&lt;=0),"",COUNTIFS($A$7:A120,"&lt;&gt;",$O$7:O120,"&gt;0"))</f>
        <v/>
      </c>
    </row>
    <row r="121" customFormat="false" ht="15" hidden="false" customHeight="false" outlineLevel="0" collapsed="false">
      <c r="A121" s="25"/>
      <c r="B121" s="69"/>
      <c r="C121" s="25"/>
      <c r="D121" s="25"/>
      <c r="E121" s="25"/>
      <c r="F121" s="25"/>
      <c r="G121" s="28"/>
      <c r="H121" s="72"/>
      <c r="I121" s="31" t="str">
        <f aca="false">IF(G121="","",G121*N(H121))</f>
        <v/>
      </c>
      <c r="J121" s="31" t="str">
        <f aca="false">IF(G121="","",G121+I121)</f>
        <v/>
      </c>
      <c r="K121" s="70"/>
      <c r="L121" s="71" t="str">
        <f aca="false">IF(OR(B121="",K121=""),"",B121+K121)</f>
        <v/>
      </c>
      <c r="M121" s="28"/>
      <c r="N121" s="69"/>
      <c r="O121" s="31" t="str">
        <f aca="false">IF(G121="","",J121-N(M121))</f>
        <v/>
      </c>
      <c r="P121" s="74" t="str">
        <f aca="false">IF(G121="","",IF(O121&lt;=0,"Réglée",IF(L121="","À payer",IF(P_DateRef&gt;L121,"En retard",IF(L121-P_DateRef&lt;=7,"À payer &lt; 7j","À payer")))))</f>
        <v/>
      </c>
      <c r="Q121" s="88" t="str">
        <f aca="false">IF(P121="En retard",P_DateRef-L121,"")</f>
        <v/>
      </c>
      <c r="R121" s="74" t="str">
        <f aca="false">IF(OR(A121="",N(O121)&lt;=0),"",COUNTIFS($A$7:A121,"&lt;&gt;",$O$7:O121,"&gt;0"))</f>
        <v/>
      </c>
    </row>
    <row r="122" customFormat="false" ht="15" hidden="false" customHeight="false" outlineLevel="0" collapsed="false">
      <c r="A122" s="25"/>
      <c r="B122" s="69"/>
      <c r="C122" s="25"/>
      <c r="D122" s="25"/>
      <c r="E122" s="25"/>
      <c r="F122" s="25"/>
      <c r="G122" s="28"/>
      <c r="H122" s="72"/>
      <c r="I122" s="31" t="str">
        <f aca="false">IF(G122="","",G122*N(H122))</f>
        <v/>
      </c>
      <c r="J122" s="31" t="str">
        <f aca="false">IF(G122="","",G122+I122)</f>
        <v/>
      </c>
      <c r="K122" s="70"/>
      <c r="L122" s="71" t="str">
        <f aca="false">IF(OR(B122="",K122=""),"",B122+K122)</f>
        <v/>
      </c>
      <c r="M122" s="28"/>
      <c r="N122" s="69"/>
      <c r="O122" s="31" t="str">
        <f aca="false">IF(G122="","",J122-N(M122))</f>
        <v/>
      </c>
      <c r="P122" s="74" t="str">
        <f aca="false">IF(G122="","",IF(O122&lt;=0,"Réglée",IF(L122="","À payer",IF(P_DateRef&gt;L122,"En retard",IF(L122-P_DateRef&lt;=7,"À payer &lt; 7j","À payer")))))</f>
        <v/>
      </c>
      <c r="Q122" s="88" t="str">
        <f aca="false">IF(P122="En retard",P_DateRef-L122,"")</f>
        <v/>
      </c>
      <c r="R122" s="74" t="str">
        <f aca="false">IF(OR(A122="",N(O122)&lt;=0),"",COUNTIFS($A$7:A122,"&lt;&gt;",$O$7:O122,"&gt;0"))</f>
        <v/>
      </c>
    </row>
    <row r="123" customFormat="false" ht="15" hidden="false" customHeight="false" outlineLevel="0" collapsed="false">
      <c r="A123" s="25"/>
      <c r="B123" s="69"/>
      <c r="C123" s="25"/>
      <c r="D123" s="25"/>
      <c r="E123" s="25"/>
      <c r="F123" s="25"/>
      <c r="G123" s="28"/>
      <c r="H123" s="72"/>
      <c r="I123" s="31" t="str">
        <f aca="false">IF(G123="","",G123*N(H123))</f>
        <v/>
      </c>
      <c r="J123" s="31" t="str">
        <f aca="false">IF(G123="","",G123+I123)</f>
        <v/>
      </c>
      <c r="K123" s="70"/>
      <c r="L123" s="71" t="str">
        <f aca="false">IF(OR(B123="",K123=""),"",B123+K123)</f>
        <v/>
      </c>
      <c r="M123" s="28"/>
      <c r="N123" s="69"/>
      <c r="O123" s="31" t="str">
        <f aca="false">IF(G123="","",J123-N(M123))</f>
        <v/>
      </c>
      <c r="P123" s="74" t="str">
        <f aca="false">IF(G123="","",IF(O123&lt;=0,"Réglée",IF(L123="","À payer",IF(P_DateRef&gt;L123,"En retard",IF(L123-P_DateRef&lt;=7,"À payer &lt; 7j","À payer")))))</f>
        <v/>
      </c>
      <c r="Q123" s="88" t="str">
        <f aca="false">IF(P123="En retard",P_DateRef-L123,"")</f>
        <v/>
      </c>
      <c r="R123" s="74" t="str">
        <f aca="false">IF(OR(A123="",N(O123)&lt;=0),"",COUNTIFS($A$7:A123,"&lt;&gt;",$O$7:O123,"&gt;0"))</f>
        <v/>
      </c>
    </row>
    <row r="124" customFormat="false" ht="15" hidden="false" customHeight="false" outlineLevel="0" collapsed="false">
      <c r="A124" s="25"/>
      <c r="B124" s="69"/>
      <c r="C124" s="25"/>
      <c r="D124" s="25"/>
      <c r="E124" s="25"/>
      <c r="F124" s="25"/>
      <c r="G124" s="28"/>
      <c r="H124" s="72"/>
      <c r="I124" s="31" t="str">
        <f aca="false">IF(G124="","",G124*N(H124))</f>
        <v/>
      </c>
      <c r="J124" s="31" t="str">
        <f aca="false">IF(G124="","",G124+I124)</f>
        <v/>
      </c>
      <c r="K124" s="70"/>
      <c r="L124" s="71" t="str">
        <f aca="false">IF(OR(B124="",K124=""),"",B124+K124)</f>
        <v/>
      </c>
      <c r="M124" s="28"/>
      <c r="N124" s="69"/>
      <c r="O124" s="31" t="str">
        <f aca="false">IF(G124="","",J124-N(M124))</f>
        <v/>
      </c>
      <c r="P124" s="74" t="str">
        <f aca="false">IF(G124="","",IF(O124&lt;=0,"Réglée",IF(L124="","À payer",IF(P_DateRef&gt;L124,"En retard",IF(L124-P_DateRef&lt;=7,"À payer &lt; 7j","À payer")))))</f>
        <v/>
      </c>
      <c r="Q124" s="88" t="str">
        <f aca="false">IF(P124="En retard",P_DateRef-L124,"")</f>
        <v/>
      </c>
      <c r="R124" s="74" t="str">
        <f aca="false">IF(OR(A124="",N(O124)&lt;=0),"",COUNTIFS($A$7:A124,"&lt;&gt;",$O$7:O124,"&gt;0"))</f>
        <v/>
      </c>
    </row>
    <row r="125" customFormat="false" ht="15" hidden="false" customHeight="false" outlineLevel="0" collapsed="false">
      <c r="A125" s="25"/>
      <c r="B125" s="69"/>
      <c r="C125" s="25"/>
      <c r="D125" s="25"/>
      <c r="E125" s="25"/>
      <c r="F125" s="25"/>
      <c r="G125" s="28"/>
      <c r="H125" s="72"/>
      <c r="I125" s="31" t="str">
        <f aca="false">IF(G125="","",G125*N(H125))</f>
        <v/>
      </c>
      <c r="J125" s="31" t="str">
        <f aca="false">IF(G125="","",G125+I125)</f>
        <v/>
      </c>
      <c r="K125" s="70"/>
      <c r="L125" s="71" t="str">
        <f aca="false">IF(OR(B125="",K125=""),"",B125+K125)</f>
        <v/>
      </c>
      <c r="M125" s="28"/>
      <c r="N125" s="69"/>
      <c r="O125" s="31" t="str">
        <f aca="false">IF(G125="","",J125-N(M125))</f>
        <v/>
      </c>
      <c r="P125" s="74" t="str">
        <f aca="false">IF(G125="","",IF(O125&lt;=0,"Réglée",IF(L125="","À payer",IF(P_DateRef&gt;L125,"En retard",IF(L125-P_DateRef&lt;=7,"À payer &lt; 7j","À payer")))))</f>
        <v/>
      </c>
      <c r="Q125" s="88" t="str">
        <f aca="false">IF(P125="En retard",P_DateRef-L125,"")</f>
        <v/>
      </c>
      <c r="R125" s="74" t="str">
        <f aca="false">IF(OR(A125="",N(O125)&lt;=0),"",COUNTIFS($A$7:A125,"&lt;&gt;",$O$7:O125,"&gt;0"))</f>
        <v/>
      </c>
    </row>
    <row r="126" customFormat="false" ht="15" hidden="false" customHeight="false" outlineLevel="0" collapsed="false">
      <c r="A126" s="25"/>
      <c r="B126" s="69"/>
      <c r="C126" s="25"/>
      <c r="D126" s="25"/>
      <c r="E126" s="25"/>
      <c r="F126" s="25"/>
      <c r="G126" s="28"/>
      <c r="H126" s="72"/>
      <c r="I126" s="31" t="str">
        <f aca="false">IF(G126="","",G126*N(H126))</f>
        <v/>
      </c>
      <c r="J126" s="31" t="str">
        <f aca="false">IF(G126="","",G126+I126)</f>
        <v/>
      </c>
      <c r="K126" s="70"/>
      <c r="L126" s="71" t="str">
        <f aca="false">IF(OR(B126="",K126=""),"",B126+K126)</f>
        <v/>
      </c>
      <c r="M126" s="28"/>
      <c r="N126" s="69"/>
      <c r="O126" s="31" t="str">
        <f aca="false">IF(G126="","",J126-N(M126))</f>
        <v/>
      </c>
      <c r="P126" s="74" t="str">
        <f aca="false">IF(G126="","",IF(O126&lt;=0,"Réglée",IF(L126="","À payer",IF(P_DateRef&gt;L126,"En retard",IF(L126-P_DateRef&lt;=7,"À payer &lt; 7j","À payer")))))</f>
        <v/>
      </c>
      <c r="Q126" s="88" t="str">
        <f aca="false">IF(P126="En retard",P_DateRef-L126,"")</f>
        <v/>
      </c>
      <c r="R126" s="74" t="str">
        <f aca="false">IF(OR(A126="",N(O126)&lt;=0),"",COUNTIFS($A$7:A126,"&lt;&gt;",$O$7:O126,"&gt;0"))</f>
        <v/>
      </c>
    </row>
    <row r="127" customFormat="false" ht="15" hidden="false" customHeight="false" outlineLevel="0" collapsed="false">
      <c r="A127" s="25"/>
      <c r="B127" s="69"/>
      <c r="C127" s="25"/>
      <c r="D127" s="25"/>
      <c r="E127" s="25"/>
      <c r="F127" s="25"/>
      <c r="G127" s="28"/>
      <c r="H127" s="72"/>
      <c r="I127" s="31" t="str">
        <f aca="false">IF(G127="","",G127*N(H127))</f>
        <v/>
      </c>
      <c r="J127" s="31" t="str">
        <f aca="false">IF(G127="","",G127+I127)</f>
        <v/>
      </c>
      <c r="K127" s="70"/>
      <c r="L127" s="71" t="str">
        <f aca="false">IF(OR(B127="",K127=""),"",B127+K127)</f>
        <v/>
      </c>
      <c r="M127" s="28"/>
      <c r="N127" s="69"/>
      <c r="O127" s="31" t="str">
        <f aca="false">IF(G127="","",J127-N(M127))</f>
        <v/>
      </c>
      <c r="P127" s="74" t="str">
        <f aca="false">IF(G127="","",IF(O127&lt;=0,"Réglée",IF(L127="","À payer",IF(P_DateRef&gt;L127,"En retard",IF(L127-P_DateRef&lt;=7,"À payer &lt; 7j","À payer")))))</f>
        <v/>
      </c>
      <c r="Q127" s="88" t="str">
        <f aca="false">IF(P127="En retard",P_DateRef-L127,"")</f>
        <v/>
      </c>
      <c r="R127" s="74" t="str">
        <f aca="false">IF(OR(A127="",N(O127)&lt;=0),"",COUNTIFS($A$7:A127,"&lt;&gt;",$O$7:O127,"&gt;0"))</f>
        <v/>
      </c>
    </row>
    <row r="128" customFormat="false" ht="15" hidden="false" customHeight="false" outlineLevel="0" collapsed="false">
      <c r="A128" s="25"/>
      <c r="B128" s="69"/>
      <c r="C128" s="25"/>
      <c r="D128" s="25"/>
      <c r="E128" s="25"/>
      <c r="F128" s="25"/>
      <c r="G128" s="28"/>
      <c r="H128" s="72"/>
      <c r="I128" s="31" t="str">
        <f aca="false">IF(G128="","",G128*N(H128))</f>
        <v/>
      </c>
      <c r="J128" s="31" t="str">
        <f aca="false">IF(G128="","",G128+I128)</f>
        <v/>
      </c>
      <c r="K128" s="70"/>
      <c r="L128" s="71" t="str">
        <f aca="false">IF(OR(B128="",K128=""),"",B128+K128)</f>
        <v/>
      </c>
      <c r="M128" s="28"/>
      <c r="N128" s="69"/>
      <c r="O128" s="31" t="str">
        <f aca="false">IF(G128="","",J128-N(M128))</f>
        <v/>
      </c>
      <c r="P128" s="74" t="str">
        <f aca="false">IF(G128="","",IF(O128&lt;=0,"Réglée",IF(L128="","À payer",IF(P_DateRef&gt;L128,"En retard",IF(L128-P_DateRef&lt;=7,"À payer &lt; 7j","À payer")))))</f>
        <v/>
      </c>
      <c r="Q128" s="88" t="str">
        <f aca="false">IF(P128="En retard",P_DateRef-L128,"")</f>
        <v/>
      </c>
      <c r="R128" s="74" t="str">
        <f aca="false">IF(OR(A128="",N(O128)&lt;=0),"",COUNTIFS($A$7:A128,"&lt;&gt;",$O$7:O128,"&gt;0"))</f>
        <v/>
      </c>
    </row>
    <row r="129" customFormat="false" ht="15" hidden="false" customHeight="false" outlineLevel="0" collapsed="false">
      <c r="A129" s="25"/>
      <c r="B129" s="69"/>
      <c r="C129" s="25"/>
      <c r="D129" s="25"/>
      <c r="E129" s="25"/>
      <c r="F129" s="25"/>
      <c r="G129" s="28"/>
      <c r="H129" s="72"/>
      <c r="I129" s="31" t="str">
        <f aca="false">IF(G129="","",G129*N(H129))</f>
        <v/>
      </c>
      <c r="J129" s="31" t="str">
        <f aca="false">IF(G129="","",G129+I129)</f>
        <v/>
      </c>
      <c r="K129" s="70"/>
      <c r="L129" s="71" t="str">
        <f aca="false">IF(OR(B129="",K129=""),"",B129+K129)</f>
        <v/>
      </c>
      <c r="M129" s="28"/>
      <c r="N129" s="69"/>
      <c r="O129" s="31" t="str">
        <f aca="false">IF(G129="","",J129-N(M129))</f>
        <v/>
      </c>
      <c r="P129" s="74" t="str">
        <f aca="false">IF(G129="","",IF(O129&lt;=0,"Réglée",IF(L129="","À payer",IF(P_DateRef&gt;L129,"En retard",IF(L129-P_DateRef&lt;=7,"À payer &lt; 7j","À payer")))))</f>
        <v/>
      </c>
      <c r="Q129" s="88" t="str">
        <f aca="false">IF(P129="En retard",P_DateRef-L129,"")</f>
        <v/>
      </c>
      <c r="R129" s="74" t="str">
        <f aca="false">IF(OR(A129="",N(O129)&lt;=0),"",COUNTIFS($A$7:A129,"&lt;&gt;",$O$7:O129,"&gt;0"))</f>
        <v/>
      </c>
    </row>
    <row r="130" customFormat="false" ht="15" hidden="false" customHeight="false" outlineLevel="0" collapsed="false">
      <c r="A130" s="25"/>
      <c r="B130" s="69"/>
      <c r="C130" s="25"/>
      <c r="D130" s="25"/>
      <c r="E130" s="25"/>
      <c r="F130" s="25"/>
      <c r="G130" s="28"/>
      <c r="H130" s="72"/>
      <c r="I130" s="31" t="str">
        <f aca="false">IF(G130="","",G130*N(H130))</f>
        <v/>
      </c>
      <c r="J130" s="31" t="str">
        <f aca="false">IF(G130="","",G130+I130)</f>
        <v/>
      </c>
      <c r="K130" s="70"/>
      <c r="L130" s="71" t="str">
        <f aca="false">IF(OR(B130="",K130=""),"",B130+K130)</f>
        <v/>
      </c>
      <c r="M130" s="28"/>
      <c r="N130" s="69"/>
      <c r="O130" s="31" t="str">
        <f aca="false">IF(G130="","",J130-N(M130))</f>
        <v/>
      </c>
      <c r="P130" s="74" t="str">
        <f aca="false">IF(G130="","",IF(O130&lt;=0,"Réglée",IF(L130="","À payer",IF(P_DateRef&gt;L130,"En retard",IF(L130-P_DateRef&lt;=7,"À payer &lt; 7j","À payer")))))</f>
        <v/>
      </c>
      <c r="Q130" s="88" t="str">
        <f aca="false">IF(P130="En retard",P_DateRef-L130,"")</f>
        <v/>
      </c>
      <c r="R130" s="74" t="str">
        <f aca="false">IF(OR(A130="",N(O130)&lt;=0),"",COUNTIFS($A$7:A130,"&lt;&gt;",$O$7:O130,"&gt;0"))</f>
        <v/>
      </c>
    </row>
    <row r="131" customFormat="false" ht="15" hidden="false" customHeight="false" outlineLevel="0" collapsed="false">
      <c r="A131" s="25"/>
      <c r="B131" s="69"/>
      <c r="C131" s="25"/>
      <c r="D131" s="25"/>
      <c r="E131" s="25"/>
      <c r="F131" s="25"/>
      <c r="G131" s="28"/>
      <c r="H131" s="72"/>
      <c r="I131" s="31" t="str">
        <f aca="false">IF(G131="","",G131*N(H131))</f>
        <v/>
      </c>
      <c r="J131" s="31" t="str">
        <f aca="false">IF(G131="","",G131+I131)</f>
        <v/>
      </c>
      <c r="K131" s="70"/>
      <c r="L131" s="71" t="str">
        <f aca="false">IF(OR(B131="",K131=""),"",B131+K131)</f>
        <v/>
      </c>
      <c r="M131" s="28"/>
      <c r="N131" s="69"/>
      <c r="O131" s="31" t="str">
        <f aca="false">IF(G131="","",J131-N(M131))</f>
        <v/>
      </c>
      <c r="P131" s="74" t="str">
        <f aca="false">IF(G131="","",IF(O131&lt;=0,"Réglée",IF(L131="","À payer",IF(P_DateRef&gt;L131,"En retard",IF(L131-P_DateRef&lt;=7,"À payer &lt; 7j","À payer")))))</f>
        <v/>
      </c>
      <c r="Q131" s="88" t="str">
        <f aca="false">IF(P131="En retard",P_DateRef-L131,"")</f>
        <v/>
      </c>
      <c r="R131" s="74" t="str">
        <f aca="false">IF(OR(A131="",N(O131)&lt;=0),"",COUNTIFS($A$7:A131,"&lt;&gt;",$O$7:O131,"&gt;0"))</f>
        <v/>
      </c>
    </row>
    <row r="132" customFormat="false" ht="15" hidden="false" customHeight="false" outlineLevel="0" collapsed="false">
      <c r="A132" s="25"/>
      <c r="B132" s="69"/>
      <c r="C132" s="25"/>
      <c r="D132" s="25"/>
      <c r="E132" s="25"/>
      <c r="F132" s="25"/>
      <c r="G132" s="28"/>
      <c r="H132" s="72"/>
      <c r="I132" s="31" t="str">
        <f aca="false">IF(G132="","",G132*N(H132))</f>
        <v/>
      </c>
      <c r="J132" s="31" t="str">
        <f aca="false">IF(G132="","",G132+I132)</f>
        <v/>
      </c>
      <c r="K132" s="70"/>
      <c r="L132" s="71" t="str">
        <f aca="false">IF(OR(B132="",K132=""),"",B132+K132)</f>
        <v/>
      </c>
      <c r="M132" s="28"/>
      <c r="N132" s="69"/>
      <c r="O132" s="31" t="str">
        <f aca="false">IF(G132="","",J132-N(M132))</f>
        <v/>
      </c>
      <c r="P132" s="74" t="str">
        <f aca="false">IF(G132="","",IF(O132&lt;=0,"Réglée",IF(L132="","À payer",IF(P_DateRef&gt;L132,"En retard",IF(L132-P_DateRef&lt;=7,"À payer &lt; 7j","À payer")))))</f>
        <v/>
      </c>
      <c r="Q132" s="88" t="str">
        <f aca="false">IF(P132="En retard",P_DateRef-L132,"")</f>
        <v/>
      </c>
      <c r="R132" s="74" t="str">
        <f aca="false">IF(OR(A132="",N(O132)&lt;=0),"",COUNTIFS($A$7:A132,"&lt;&gt;",$O$7:O132,"&gt;0"))</f>
        <v/>
      </c>
    </row>
    <row r="133" customFormat="false" ht="15" hidden="false" customHeight="false" outlineLevel="0" collapsed="false">
      <c r="A133" s="25"/>
      <c r="B133" s="69"/>
      <c r="C133" s="25"/>
      <c r="D133" s="25"/>
      <c r="E133" s="25"/>
      <c r="F133" s="25"/>
      <c r="G133" s="28"/>
      <c r="H133" s="72"/>
      <c r="I133" s="31" t="str">
        <f aca="false">IF(G133="","",G133*N(H133))</f>
        <v/>
      </c>
      <c r="J133" s="31" t="str">
        <f aca="false">IF(G133="","",G133+I133)</f>
        <v/>
      </c>
      <c r="K133" s="70"/>
      <c r="L133" s="71" t="str">
        <f aca="false">IF(OR(B133="",K133=""),"",B133+K133)</f>
        <v/>
      </c>
      <c r="M133" s="28"/>
      <c r="N133" s="69"/>
      <c r="O133" s="31" t="str">
        <f aca="false">IF(G133="","",J133-N(M133))</f>
        <v/>
      </c>
      <c r="P133" s="74" t="str">
        <f aca="false">IF(G133="","",IF(O133&lt;=0,"Réglée",IF(L133="","À payer",IF(P_DateRef&gt;L133,"En retard",IF(L133-P_DateRef&lt;=7,"À payer &lt; 7j","À payer")))))</f>
        <v/>
      </c>
      <c r="Q133" s="88" t="str">
        <f aca="false">IF(P133="En retard",P_DateRef-L133,"")</f>
        <v/>
      </c>
      <c r="R133" s="74" t="str">
        <f aca="false">IF(OR(A133="",N(O133)&lt;=0),"",COUNTIFS($A$7:A133,"&lt;&gt;",$O$7:O133,"&gt;0"))</f>
        <v/>
      </c>
    </row>
    <row r="134" customFormat="false" ht="15" hidden="false" customHeight="false" outlineLevel="0" collapsed="false">
      <c r="A134" s="25"/>
      <c r="B134" s="69"/>
      <c r="C134" s="25"/>
      <c r="D134" s="25"/>
      <c r="E134" s="25"/>
      <c r="F134" s="25"/>
      <c r="G134" s="28"/>
      <c r="H134" s="72"/>
      <c r="I134" s="31" t="str">
        <f aca="false">IF(G134="","",G134*N(H134))</f>
        <v/>
      </c>
      <c r="J134" s="31" t="str">
        <f aca="false">IF(G134="","",G134+I134)</f>
        <v/>
      </c>
      <c r="K134" s="70"/>
      <c r="L134" s="71" t="str">
        <f aca="false">IF(OR(B134="",K134=""),"",B134+K134)</f>
        <v/>
      </c>
      <c r="M134" s="28"/>
      <c r="N134" s="69"/>
      <c r="O134" s="31" t="str">
        <f aca="false">IF(G134="","",J134-N(M134))</f>
        <v/>
      </c>
      <c r="P134" s="74" t="str">
        <f aca="false">IF(G134="","",IF(O134&lt;=0,"Réglée",IF(L134="","À payer",IF(P_DateRef&gt;L134,"En retard",IF(L134-P_DateRef&lt;=7,"À payer &lt; 7j","À payer")))))</f>
        <v/>
      </c>
      <c r="Q134" s="88" t="str">
        <f aca="false">IF(P134="En retard",P_DateRef-L134,"")</f>
        <v/>
      </c>
      <c r="R134" s="74" t="str">
        <f aca="false">IF(OR(A134="",N(O134)&lt;=0),"",COUNTIFS($A$7:A134,"&lt;&gt;",$O$7:O134,"&gt;0"))</f>
        <v/>
      </c>
    </row>
    <row r="135" customFormat="false" ht="15" hidden="false" customHeight="false" outlineLevel="0" collapsed="false">
      <c r="A135" s="25"/>
      <c r="B135" s="69"/>
      <c r="C135" s="25"/>
      <c r="D135" s="25"/>
      <c r="E135" s="25"/>
      <c r="F135" s="25"/>
      <c r="G135" s="28"/>
      <c r="H135" s="72"/>
      <c r="I135" s="31" t="str">
        <f aca="false">IF(G135="","",G135*N(H135))</f>
        <v/>
      </c>
      <c r="J135" s="31" t="str">
        <f aca="false">IF(G135="","",G135+I135)</f>
        <v/>
      </c>
      <c r="K135" s="70"/>
      <c r="L135" s="71" t="str">
        <f aca="false">IF(OR(B135="",K135=""),"",B135+K135)</f>
        <v/>
      </c>
      <c r="M135" s="28"/>
      <c r="N135" s="69"/>
      <c r="O135" s="31" t="str">
        <f aca="false">IF(G135="","",J135-N(M135))</f>
        <v/>
      </c>
      <c r="P135" s="74" t="str">
        <f aca="false">IF(G135="","",IF(O135&lt;=0,"Réglée",IF(L135="","À payer",IF(P_DateRef&gt;L135,"En retard",IF(L135-P_DateRef&lt;=7,"À payer &lt; 7j","À payer")))))</f>
        <v/>
      </c>
      <c r="Q135" s="88" t="str">
        <f aca="false">IF(P135="En retard",P_DateRef-L135,"")</f>
        <v/>
      </c>
      <c r="R135" s="74" t="str">
        <f aca="false">IF(OR(A135="",N(O135)&lt;=0),"",COUNTIFS($A$7:A135,"&lt;&gt;",$O$7:O135,"&gt;0"))</f>
        <v/>
      </c>
    </row>
    <row r="136" customFormat="false" ht="15" hidden="false" customHeight="false" outlineLevel="0" collapsed="false">
      <c r="A136" s="25"/>
      <c r="B136" s="69"/>
      <c r="C136" s="25"/>
      <c r="D136" s="25"/>
      <c r="E136" s="25"/>
      <c r="F136" s="25"/>
      <c r="G136" s="28"/>
      <c r="H136" s="72"/>
      <c r="I136" s="31" t="str">
        <f aca="false">IF(G136="","",G136*N(H136))</f>
        <v/>
      </c>
      <c r="J136" s="31" t="str">
        <f aca="false">IF(G136="","",G136+I136)</f>
        <v/>
      </c>
      <c r="K136" s="70"/>
      <c r="L136" s="71" t="str">
        <f aca="false">IF(OR(B136="",K136=""),"",B136+K136)</f>
        <v/>
      </c>
      <c r="M136" s="28"/>
      <c r="N136" s="69"/>
      <c r="O136" s="31" t="str">
        <f aca="false">IF(G136="","",J136-N(M136))</f>
        <v/>
      </c>
      <c r="P136" s="74" t="str">
        <f aca="false">IF(G136="","",IF(O136&lt;=0,"Réglée",IF(L136="","À payer",IF(P_DateRef&gt;L136,"En retard",IF(L136-P_DateRef&lt;=7,"À payer &lt; 7j","À payer")))))</f>
        <v/>
      </c>
      <c r="Q136" s="88" t="str">
        <f aca="false">IF(P136="En retard",P_DateRef-L136,"")</f>
        <v/>
      </c>
      <c r="R136" s="74" t="str">
        <f aca="false">IF(OR(A136="",N(O136)&lt;=0),"",COUNTIFS($A$7:A136,"&lt;&gt;",$O$7:O136,"&gt;0"))</f>
        <v/>
      </c>
    </row>
    <row r="137" customFormat="false" ht="15" hidden="false" customHeight="false" outlineLevel="0" collapsed="false">
      <c r="A137" s="25"/>
      <c r="B137" s="69"/>
      <c r="C137" s="25"/>
      <c r="D137" s="25"/>
      <c r="E137" s="25"/>
      <c r="F137" s="25"/>
      <c r="G137" s="28"/>
      <c r="H137" s="72"/>
      <c r="I137" s="31" t="str">
        <f aca="false">IF(G137="","",G137*N(H137))</f>
        <v/>
      </c>
      <c r="J137" s="31" t="str">
        <f aca="false">IF(G137="","",G137+I137)</f>
        <v/>
      </c>
      <c r="K137" s="70"/>
      <c r="L137" s="71" t="str">
        <f aca="false">IF(OR(B137="",K137=""),"",B137+K137)</f>
        <v/>
      </c>
      <c r="M137" s="28"/>
      <c r="N137" s="69"/>
      <c r="O137" s="31" t="str">
        <f aca="false">IF(G137="","",J137-N(M137))</f>
        <v/>
      </c>
      <c r="P137" s="74" t="str">
        <f aca="false">IF(G137="","",IF(O137&lt;=0,"Réglée",IF(L137="","À payer",IF(P_DateRef&gt;L137,"En retard",IF(L137-P_DateRef&lt;=7,"À payer &lt; 7j","À payer")))))</f>
        <v/>
      </c>
      <c r="Q137" s="88" t="str">
        <f aca="false">IF(P137="En retard",P_DateRef-L137,"")</f>
        <v/>
      </c>
      <c r="R137" s="74" t="str">
        <f aca="false">IF(OR(A137="",N(O137)&lt;=0),"",COUNTIFS($A$7:A137,"&lt;&gt;",$O$7:O137,"&gt;0"))</f>
        <v/>
      </c>
    </row>
    <row r="138" customFormat="false" ht="15" hidden="false" customHeight="false" outlineLevel="0" collapsed="false">
      <c r="A138" s="25"/>
      <c r="B138" s="69"/>
      <c r="C138" s="25"/>
      <c r="D138" s="25"/>
      <c r="E138" s="25"/>
      <c r="F138" s="25"/>
      <c r="G138" s="28"/>
      <c r="H138" s="72"/>
      <c r="I138" s="31" t="str">
        <f aca="false">IF(G138="","",G138*N(H138))</f>
        <v/>
      </c>
      <c r="J138" s="31" t="str">
        <f aca="false">IF(G138="","",G138+I138)</f>
        <v/>
      </c>
      <c r="K138" s="70"/>
      <c r="L138" s="71" t="str">
        <f aca="false">IF(OR(B138="",K138=""),"",B138+K138)</f>
        <v/>
      </c>
      <c r="M138" s="28"/>
      <c r="N138" s="69"/>
      <c r="O138" s="31" t="str">
        <f aca="false">IF(G138="","",J138-N(M138))</f>
        <v/>
      </c>
      <c r="P138" s="74" t="str">
        <f aca="false">IF(G138="","",IF(O138&lt;=0,"Réglée",IF(L138="","À payer",IF(P_DateRef&gt;L138,"En retard",IF(L138-P_DateRef&lt;=7,"À payer &lt; 7j","À payer")))))</f>
        <v/>
      </c>
      <c r="Q138" s="88" t="str">
        <f aca="false">IF(P138="En retard",P_DateRef-L138,"")</f>
        <v/>
      </c>
      <c r="R138" s="74" t="str">
        <f aca="false">IF(OR(A138="",N(O138)&lt;=0),"",COUNTIFS($A$7:A138,"&lt;&gt;",$O$7:O138,"&gt;0"))</f>
        <v/>
      </c>
    </row>
    <row r="139" customFormat="false" ht="15" hidden="false" customHeight="false" outlineLevel="0" collapsed="false">
      <c r="A139" s="25"/>
      <c r="B139" s="69"/>
      <c r="C139" s="25"/>
      <c r="D139" s="25"/>
      <c r="E139" s="25"/>
      <c r="F139" s="25"/>
      <c r="G139" s="28"/>
      <c r="H139" s="72"/>
      <c r="I139" s="31" t="str">
        <f aca="false">IF(G139="","",G139*N(H139))</f>
        <v/>
      </c>
      <c r="J139" s="31" t="str">
        <f aca="false">IF(G139="","",G139+I139)</f>
        <v/>
      </c>
      <c r="K139" s="70"/>
      <c r="L139" s="71" t="str">
        <f aca="false">IF(OR(B139="",K139=""),"",B139+K139)</f>
        <v/>
      </c>
      <c r="M139" s="28"/>
      <c r="N139" s="69"/>
      <c r="O139" s="31" t="str">
        <f aca="false">IF(G139="","",J139-N(M139))</f>
        <v/>
      </c>
      <c r="P139" s="74" t="str">
        <f aca="false">IF(G139="","",IF(O139&lt;=0,"Réglée",IF(L139="","À payer",IF(P_DateRef&gt;L139,"En retard",IF(L139-P_DateRef&lt;=7,"À payer &lt; 7j","À payer")))))</f>
        <v/>
      </c>
      <c r="Q139" s="88" t="str">
        <f aca="false">IF(P139="En retard",P_DateRef-L139,"")</f>
        <v/>
      </c>
      <c r="R139" s="74" t="str">
        <f aca="false">IF(OR(A139="",N(O139)&lt;=0),"",COUNTIFS($A$7:A139,"&lt;&gt;",$O$7:O139,"&gt;0"))</f>
        <v/>
      </c>
    </row>
    <row r="140" customFormat="false" ht="15" hidden="false" customHeight="false" outlineLevel="0" collapsed="false">
      <c r="A140" s="25"/>
      <c r="B140" s="69"/>
      <c r="C140" s="25"/>
      <c r="D140" s="25"/>
      <c r="E140" s="25"/>
      <c r="F140" s="25"/>
      <c r="G140" s="28"/>
      <c r="H140" s="72"/>
      <c r="I140" s="31" t="str">
        <f aca="false">IF(G140="","",G140*N(H140))</f>
        <v/>
      </c>
      <c r="J140" s="31" t="str">
        <f aca="false">IF(G140="","",G140+I140)</f>
        <v/>
      </c>
      <c r="K140" s="70"/>
      <c r="L140" s="71" t="str">
        <f aca="false">IF(OR(B140="",K140=""),"",B140+K140)</f>
        <v/>
      </c>
      <c r="M140" s="28"/>
      <c r="N140" s="69"/>
      <c r="O140" s="31" t="str">
        <f aca="false">IF(G140="","",J140-N(M140))</f>
        <v/>
      </c>
      <c r="P140" s="74" t="str">
        <f aca="false">IF(G140="","",IF(O140&lt;=0,"Réglée",IF(L140="","À payer",IF(P_DateRef&gt;L140,"En retard",IF(L140-P_DateRef&lt;=7,"À payer &lt; 7j","À payer")))))</f>
        <v/>
      </c>
      <c r="Q140" s="88" t="str">
        <f aca="false">IF(P140="En retard",P_DateRef-L140,"")</f>
        <v/>
      </c>
      <c r="R140" s="74" t="str">
        <f aca="false">IF(OR(A140="",N(O140)&lt;=0),"",COUNTIFS($A$7:A140,"&lt;&gt;",$O$7:O140,"&gt;0"))</f>
        <v/>
      </c>
    </row>
    <row r="141" customFormat="false" ht="15" hidden="false" customHeight="false" outlineLevel="0" collapsed="false">
      <c r="A141" s="25"/>
      <c r="B141" s="69"/>
      <c r="C141" s="25"/>
      <c r="D141" s="25"/>
      <c r="E141" s="25"/>
      <c r="F141" s="25"/>
      <c r="G141" s="28"/>
      <c r="H141" s="72"/>
      <c r="I141" s="31" t="str">
        <f aca="false">IF(G141="","",G141*N(H141))</f>
        <v/>
      </c>
      <c r="J141" s="31" t="str">
        <f aca="false">IF(G141="","",G141+I141)</f>
        <v/>
      </c>
      <c r="K141" s="70"/>
      <c r="L141" s="71" t="str">
        <f aca="false">IF(OR(B141="",K141=""),"",B141+K141)</f>
        <v/>
      </c>
      <c r="M141" s="28"/>
      <c r="N141" s="69"/>
      <c r="O141" s="31" t="str">
        <f aca="false">IF(G141="","",J141-N(M141))</f>
        <v/>
      </c>
      <c r="P141" s="74" t="str">
        <f aca="false">IF(G141="","",IF(O141&lt;=0,"Réglée",IF(L141="","À payer",IF(P_DateRef&gt;L141,"En retard",IF(L141-P_DateRef&lt;=7,"À payer &lt; 7j","À payer")))))</f>
        <v/>
      </c>
      <c r="Q141" s="88" t="str">
        <f aca="false">IF(P141="En retard",P_DateRef-L141,"")</f>
        <v/>
      </c>
      <c r="R141" s="74" t="str">
        <f aca="false">IF(OR(A141="",N(O141)&lt;=0),"",COUNTIFS($A$7:A141,"&lt;&gt;",$O$7:O141,"&gt;0"))</f>
        <v/>
      </c>
    </row>
    <row r="142" customFormat="false" ht="15" hidden="false" customHeight="false" outlineLevel="0" collapsed="false">
      <c r="A142" s="25"/>
      <c r="B142" s="69"/>
      <c r="C142" s="25"/>
      <c r="D142" s="25"/>
      <c r="E142" s="25"/>
      <c r="F142" s="25"/>
      <c r="G142" s="28"/>
      <c r="H142" s="72"/>
      <c r="I142" s="31" t="str">
        <f aca="false">IF(G142="","",G142*N(H142))</f>
        <v/>
      </c>
      <c r="J142" s="31" t="str">
        <f aca="false">IF(G142="","",G142+I142)</f>
        <v/>
      </c>
      <c r="K142" s="70"/>
      <c r="L142" s="71" t="str">
        <f aca="false">IF(OR(B142="",K142=""),"",B142+K142)</f>
        <v/>
      </c>
      <c r="M142" s="28"/>
      <c r="N142" s="69"/>
      <c r="O142" s="31" t="str">
        <f aca="false">IF(G142="","",J142-N(M142))</f>
        <v/>
      </c>
      <c r="P142" s="74" t="str">
        <f aca="false">IF(G142="","",IF(O142&lt;=0,"Réglée",IF(L142="","À payer",IF(P_DateRef&gt;L142,"En retard",IF(L142-P_DateRef&lt;=7,"À payer &lt; 7j","À payer")))))</f>
        <v/>
      </c>
      <c r="Q142" s="88" t="str">
        <f aca="false">IF(P142="En retard",P_DateRef-L142,"")</f>
        <v/>
      </c>
      <c r="R142" s="74" t="str">
        <f aca="false">IF(OR(A142="",N(O142)&lt;=0),"",COUNTIFS($A$7:A142,"&lt;&gt;",$O$7:O142,"&gt;0"))</f>
        <v/>
      </c>
    </row>
    <row r="143" customFormat="false" ht="15" hidden="false" customHeight="false" outlineLevel="0" collapsed="false">
      <c r="A143" s="25"/>
      <c r="B143" s="69"/>
      <c r="C143" s="25"/>
      <c r="D143" s="25"/>
      <c r="E143" s="25"/>
      <c r="F143" s="25"/>
      <c r="G143" s="28"/>
      <c r="H143" s="72"/>
      <c r="I143" s="31" t="str">
        <f aca="false">IF(G143="","",G143*N(H143))</f>
        <v/>
      </c>
      <c r="J143" s="31" t="str">
        <f aca="false">IF(G143="","",G143+I143)</f>
        <v/>
      </c>
      <c r="K143" s="70"/>
      <c r="L143" s="71" t="str">
        <f aca="false">IF(OR(B143="",K143=""),"",B143+K143)</f>
        <v/>
      </c>
      <c r="M143" s="28"/>
      <c r="N143" s="69"/>
      <c r="O143" s="31" t="str">
        <f aca="false">IF(G143="","",J143-N(M143))</f>
        <v/>
      </c>
      <c r="P143" s="74" t="str">
        <f aca="false">IF(G143="","",IF(O143&lt;=0,"Réglée",IF(L143="","À payer",IF(P_DateRef&gt;L143,"En retard",IF(L143-P_DateRef&lt;=7,"À payer &lt; 7j","À payer")))))</f>
        <v/>
      </c>
      <c r="Q143" s="88" t="str">
        <f aca="false">IF(P143="En retard",P_DateRef-L143,"")</f>
        <v/>
      </c>
      <c r="R143" s="74" t="str">
        <f aca="false">IF(OR(A143="",N(O143)&lt;=0),"",COUNTIFS($A$7:A143,"&lt;&gt;",$O$7:O143,"&gt;0"))</f>
        <v/>
      </c>
    </row>
    <row r="144" customFormat="false" ht="15" hidden="false" customHeight="false" outlineLevel="0" collapsed="false">
      <c r="A144" s="25"/>
      <c r="B144" s="69"/>
      <c r="C144" s="25"/>
      <c r="D144" s="25"/>
      <c r="E144" s="25"/>
      <c r="F144" s="25"/>
      <c r="G144" s="28"/>
      <c r="H144" s="72"/>
      <c r="I144" s="31" t="str">
        <f aca="false">IF(G144="","",G144*N(H144))</f>
        <v/>
      </c>
      <c r="J144" s="31" t="str">
        <f aca="false">IF(G144="","",G144+I144)</f>
        <v/>
      </c>
      <c r="K144" s="70"/>
      <c r="L144" s="71" t="str">
        <f aca="false">IF(OR(B144="",K144=""),"",B144+K144)</f>
        <v/>
      </c>
      <c r="M144" s="28"/>
      <c r="N144" s="69"/>
      <c r="O144" s="31" t="str">
        <f aca="false">IF(G144="","",J144-N(M144))</f>
        <v/>
      </c>
      <c r="P144" s="74" t="str">
        <f aca="false">IF(G144="","",IF(O144&lt;=0,"Réglée",IF(L144="","À payer",IF(P_DateRef&gt;L144,"En retard",IF(L144-P_DateRef&lt;=7,"À payer &lt; 7j","À payer")))))</f>
        <v/>
      </c>
      <c r="Q144" s="88" t="str">
        <f aca="false">IF(P144="En retard",P_DateRef-L144,"")</f>
        <v/>
      </c>
      <c r="R144" s="74" t="str">
        <f aca="false">IF(OR(A144="",N(O144)&lt;=0),"",COUNTIFS($A$7:A144,"&lt;&gt;",$O$7:O144,"&gt;0"))</f>
        <v/>
      </c>
    </row>
    <row r="145" customFormat="false" ht="15" hidden="false" customHeight="false" outlineLevel="0" collapsed="false">
      <c r="A145" s="25"/>
      <c r="B145" s="69"/>
      <c r="C145" s="25"/>
      <c r="D145" s="25"/>
      <c r="E145" s="25"/>
      <c r="F145" s="25"/>
      <c r="G145" s="28"/>
      <c r="H145" s="72"/>
      <c r="I145" s="31" t="str">
        <f aca="false">IF(G145="","",G145*N(H145))</f>
        <v/>
      </c>
      <c r="J145" s="31" t="str">
        <f aca="false">IF(G145="","",G145+I145)</f>
        <v/>
      </c>
      <c r="K145" s="70"/>
      <c r="L145" s="71" t="str">
        <f aca="false">IF(OR(B145="",K145=""),"",B145+K145)</f>
        <v/>
      </c>
      <c r="M145" s="28"/>
      <c r="N145" s="69"/>
      <c r="O145" s="31" t="str">
        <f aca="false">IF(G145="","",J145-N(M145))</f>
        <v/>
      </c>
      <c r="P145" s="74" t="str">
        <f aca="false">IF(G145="","",IF(O145&lt;=0,"Réglée",IF(L145="","À payer",IF(P_DateRef&gt;L145,"En retard",IF(L145-P_DateRef&lt;=7,"À payer &lt; 7j","À payer")))))</f>
        <v/>
      </c>
      <c r="Q145" s="88" t="str">
        <f aca="false">IF(P145="En retard",P_DateRef-L145,"")</f>
        <v/>
      </c>
      <c r="R145" s="74" t="str">
        <f aca="false">IF(OR(A145="",N(O145)&lt;=0),"",COUNTIFS($A$7:A145,"&lt;&gt;",$O$7:O145,"&gt;0"))</f>
        <v/>
      </c>
    </row>
    <row r="146" customFormat="false" ht="15" hidden="false" customHeight="false" outlineLevel="0" collapsed="false">
      <c r="A146" s="25"/>
      <c r="B146" s="69"/>
      <c r="C146" s="25"/>
      <c r="D146" s="25"/>
      <c r="E146" s="25"/>
      <c r="F146" s="25"/>
      <c r="G146" s="28"/>
      <c r="H146" s="72"/>
      <c r="I146" s="31" t="str">
        <f aca="false">IF(G146="","",G146*N(H146))</f>
        <v/>
      </c>
      <c r="J146" s="31" t="str">
        <f aca="false">IF(G146="","",G146+I146)</f>
        <v/>
      </c>
      <c r="K146" s="70"/>
      <c r="L146" s="71" t="str">
        <f aca="false">IF(OR(B146="",K146=""),"",B146+K146)</f>
        <v/>
      </c>
      <c r="M146" s="28"/>
      <c r="N146" s="69"/>
      <c r="O146" s="31" t="str">
        <f aca="false">IF(G146="","",J146-N(M146))</f>
        <v/>
      </c>
      <c r="P146" s="74" t="str">
        <f aca="false">IF(G146="","",IF(O146&lt;=0,"Réglée",IF(L146="","À payer",IF(P_DateRef&gt;L146,"En retard",IF(L146-P_DateRef&lt;=7,"À payer &lt; 7j","À payer")))))</f>
        <v/>
      </c>
      <c r="Q146" s="88" t="str">
        <f aca="false">IF(P146="En retard",P_DateRef-L146,"")</f>
        <v/>
      </c>
      <c r="R146" s="74" t="str">
        <f aca="false">IF(OR(A146="",N(O146)&lt;=0),"",COUNTIFS($A$7:A146,"&lt;&gt;",$O$7:O146,"&gt;0"))</f>
        <v/>
      </c>
    </row>
    <row r="147" customFormat="false" ht="15" hidden="false" customHeight="false" outlineLevel="0" collapsed="false">
      <c r="A147" s="25"/>
      <c r="B147" s="69"/>
      <c r="C147" s="25"/>
      <c r="D147" s="25"/>
      <c r="E147" s="25"/>
      <c r="F147" s="25"/>
      <c r="G147" s="28"/>
      <c r="H147" s="72"/>
      <c r="I147" s="31" t="str">
        <f aca="false">IF(G147="","",G147*N(H147))</f>
        <v/>
      </c>
      <c r="J147" s="31" t="str">
        <f aca="false">IF(G147="","",G147+I147)</f>
        <v/>
      </c>
      <c r="K147" s="70"/>
      <c r="L147" s="71" t="str">
        <f aca="false">IF(OR(B147="",K147=""),"",B147+K147)</f>
        <v/>
      </c>
      <c r="M147" s="28"/>
      <c r="N147" s="69"/>
      <c r="O147" s="31" t="str">
        <f aca="false">IF(G147="","",J147-N(M147))</f>
        <v/>
      </c>
      <c r="P147" s="74" t="str">
        <f aca="false">IF(G147="","",IF(O147&lt;=0,"Réglée",IF(L147="","À payer",IF(P_DateRef&gt;L147,"En retard",IF(L147-P_DateRef&lt;=7,"À payer &lt; 7j","À payer")))))</f>
        <v/>
      </c>
      <c r="Q147" s="88" t="str">
        <f aca="false">IF(P147="En retard",P_DateRef-L147,"")</f>
        <v/>
      </c>
      <c r="R147" s="74" t="str">
        <f aca="false">IF(OR(A147="",N(O147)&lt;=0),"",COUNTIFS($A$7:A147,"&lt;&gt;",$O$7:O147,"&gt;0"))</f>
        <v/>
      </c>
    </row>
    <row r="148" customFormat="false" ht="15" hidden="false" customHeight="false" outlineLevel="0" collapsed="false">
      <c r="A148" s="25"/>
      <c r="B148" s="69"/>
      <c r="C148" s="25"/>
      <c r="D148" s="25"/>
      <c r="E148" s="25"/>
      <c r="F148" s="25"/>
      <c r="G148" s="28"/>
      <c r="H148" s="72"/>
      <c r="I148" s="31" t="str">
        <f aca="false">IF(G148="","",G148*N(H148))</f>
        <v/>
      </c>
      <c r="J148" s="31" t="str">
        <f aca="false">IF(G148="","",G148+I148)</f>
        <v/>
      </c>
      <c r="K148" s="70"/>
      <c r="L148" s="71" t="str">
        <f aca="false">IF(OR(B148="",K148=""),"",B148+K148)</f>
        <v/>
      </c>
      <c r="M148" s="28"/>
      <c r="N148" s="69"/>
      <c r="O148" s="31" t="str">
        <f aca="false">IF(G148="","",J148-N(M148))</f>
        <v/>
      </c>
      <c r="P148" s="74" t="str">
        <f aca="false">IF(G148="","",IF(O148&lt;=0,"Réglée",IF(L148="","À payer",IF(P_DateRef&gt;L148,"En retard",IF(L148-P_DateRef&lt;=7,"À payer &lt; 7j","À payer")))))</f>
        <v/>
      </c>
      <c r="Q148" s="88" t="str">
        <f aca="false">IF(P148="En retard",P_DateRef-L148,"")</f>
        <v/>
      </c>
      <c r="R148" s="74" t="str">
        <f aca="false">IF(OR(A148="",N(O148)&lt;=0),"",COUNTIFS($A$7:A148,"&lt;&gt;",$O$7:O148,"&gt;0"))</f>
        <v/>
      </c>
    </row>
    <row r="149" customFormat="false" ht="15" hidden="false" customHeight="false" outlineLevel="0" collapsed="false">
      <c r="A149" s="25"/>
      <c r="B149" s="69"/>
      <c r="C149" s="25"/>
      <c r="D149" s="25"/>
      <c r="E149" s="25"/>
      <c r="F149" s="25"/>
      <c r="G149" s="28"/>
      <c r="H149" s="72"/>
      <c r="I149" s="31" t="str">
        <f aca="false">IF(G149="","",G149*N(H149))</f>
        <v/>
      </c>
      <c r="J149" s="31" t="str">
        <f aca="false">IF(G149="","",G149+I149)</f>
        <v/>
      </c>
      <c r="K149" s="70"/>
      <c r="L149" s="71" t="str">
        <f aca="false">IF(OR(B149="",K149=""),"",B149+K149)</f>
        <v/>
      </c>
      <c r="M149" s="28"/>
      <c r="N149" s="69"/>
      <c r="O149" s="31" t="str">
        <f aca="false">IF(G149="","",J149-N(M149))</f>
        <v/>
      </c>
      <c r="P149" s="74" t="str">
        <f aca="false">IF(G149="","",IF(O149&lt;=0,"Réglée",IF(L149="","À payer",IF(P_DateRef&gt;L149,"En retard",IF(L149-P_DateRef&lt;=7,"À payer &lt; 7j","À payer")))))</f>
        <v/>
      </c>
      <c r="Q149" s="88" t="str">
        <f aca="false">IF(P149="En retard",P_DateRef-L149,"")</f>
        <v/>
      </c>
      <c r="R149" s="74" t="str">
        <f aca="false">IF(OR(A149="",N(O149)&lt;=0),"",COUNTIFS($A$7:A149,"&lt;&gt;",$O$7:O149,"&gt;0"))</f>
        <v/>
      </c>
    </row>
    <row r="150" customFormat="false" ht="15" hidden="false" customHeight="false" outlineLevel="0" collapsed="false">
      <c r="A150" s="25"/>
      <c r="B150" s="69"/>
      <c r="C150" s="25"/>
      <c r="D150" s="25"/>
      <c r="E150" s="25"/>
      <c r="F150" s="25"/>
      <c r="G150" s="28"/>
      <c r="H150" s="72"/>
      <c r="I150" s="31" t="str">
        <f aca="false">IF(G150="","",G150*N(H150))</f>
        <v/>
      </c>
      <c r="J150" s="31" t="str">
        <f aca="false">IF(G150="","",G150+I150)</f>
        <v/>
      </c>
      <c r="K150" s="70"/>
      <c r="L150" s="71" t="str">
        <f aca="false">IF(OR(B150="",K150=""),"",B150+K150)</f>
        <v/>
      </c>
      <c r="M150" s="28"/>
      <c r="N150" s="69"/>
      <c r="O150" s="31" t="str">
        <f aca="false">IF(G150="","",J150-N(M150))</f>
        <v/>
      </c>
      <c r="P150" s="74" t="str">
        <f aca="false">IF(G150="","",IF(O150&lt;=0,"Réglée",IF(L150="","À payer",IF(P_DateRef&gt;L150,"En retard",IF(L150-P_DateRef&lt;=7,"À payer &lt; 7j","À payer")))))</f>
        <v/>
      </c>
      <c r="Q150" s="88" t="str">
        <f aca="false">IF(P150="En retard",P_DateRef-L150,"")</f>
        <v/>
      </c>
      <c r="R150" s="74" t="str">
        <f aca="false">IF(OR(A150="",N(O150)&lt;=0),"",COUNTIFS($A$7:A150,"&lt;&gt;",$O$7:O150,"&gt;0"))</f>
        <v/>
      </c>
    </row>
    <row r="151" customFormat="false" ht="15" hidden="false" customHeight="false" outlineLevel="0" collapsed="false">
      <c r="A151" s="25"/>
      <c r="B151" s="69"/>
      <c r="C151" s="25"/>
      <c r="D151" s="25"/>
      <c r="E151" s="25"/>
      <c r="F151" s="25"/>
      <c r="G151" s="28"/>
      <c r="H151" s="72"/>
      <c r="I151" s="31" t="str">
        <f aca="false">IF(G151="","",G151*N(H151))</f>
        <v/>
      </c>
      <c r="J151" s="31" t="str">
        <f aca="false">IF(G151="","",G151+I151)</f>
        <v/>
      </c>
      <c r="K151" s="70"/>
      <c r="L151" s="71" t="str">
        <f aca="false">IF(OR(B151="",K151=""),"",B151+K151)</f>
        <v/>
      </c>
      <c r="M151" s="28"/>
      <c r="N151" s="69"/>
      <c r="O151" s="31" t="str">
        <f aca="false">IF(G151="","",J151-N(M151))</f>
        <v/>
      </c>
      <c r="P151" s="74" t="str">
        <f aca="false">IF(G151="","",IF(O151&lt;=0,"Réglée",IF(L151="","À payer",IF(P_DateRef&gt;L151,"En retard",IF(L151-P_DateRef&lt;=7,"À payer &lt; 7j","À payer")))))</f>
        <v/>
      </c>
      <c r="Q151" s="88" t="str">
        <f aca="false">IF(P151="En retard",P_DateRef-L151,"")</f>
        <v/>
      </c>
      <c r="R151" s="74" t="str">
        <f aca="false">IF(OR(A151="",N(O151)&lt;=0),"",COUNTIFS($A$7:A151,"&lt;&gt;",$O$7:O151,"&gt;0"))</f>
        <v/>
      </c>
    </row>
    <row r="152" customFormat="false" ht="15" hidden="false" customHeight="false" outlineLevel="0" collapsed="false">
      <c r="A152" s="25"/>
      <c r="B152" s="69"/>
      <c r="C152" s="25"/>
      <c r="D152" s="25"/>
      <c r="E152" s="25"/>
      <c r="F152" s="25"/>
      <c r="G152" s="28"/>
      <c r="H152" s="72"/>
      <c r="I152" s="31" t="str">
        <f aca="false">IF(G152="","",G152*N(H152))</f>
        <v/>
      </c>
      <c r="J152" s="31" t="str">
        <f aca="false">IF(G152="","",G152+I152)</f>
        <v/>
      </c>
      <c r="K152" s="70"/>
      <c r="L152" s="71" t="str">
        <f aca="false">IF(OR(B152="",K152=""),"",B152+K152)</f>
        <v/>
      </c>
      <c r="M152" s="28"/>
      <c r="N152" s="69"/>
      <c r="O152" s="31" t="str">
        <f aca="false">IF(G152="","",J152-N(M152))</f>
        <v/>
      </c>
      <c r="P152" s="74" t="str">
        <f aca="false">IF(G152="","",IF(O152&lt;=0,"Réglée",IF(L152="","À payer",IF(P_DateRef&gt;L152,"En retard",IF(L152-P_DateRef&lt;=7,"À payer &lt; 7j","À payer")))))</f>
        <v/>
      </c>
      <c r="Q152" s="88" t="str">
        <f aca="false">IF(P152="En retard",P_DateRef-L152,"")</f>
        <v/>
      </c>
      <c r="R152" s="74" t="str">
        <f aca="false">IF(OR(A152="",N(O152)&lt;=0),"",COUNTIFS($A$7:A152,"&lt;&gt;",$O$7:O152,"&gt;0"))</f>
        <v/>
      </c>
    </row>
    <row r="153" customFormat="false" ht="15" hidden="false" customHeight="false" outlineLevel="0" collapsed="false">
      <c r="A153" s="25"/>
      <c r="B153" s="69"/>
      <c r="C153" s="25"/>
      <c r="D153" s="25"/>
      <c r="E153" s="25"/>
      <c r="F153" s="25"/>
      <c r="G153" s="28"/>
      <c r="H153" s="72"/>
      <c r="I153" s="31" t="str">
        <f aca="false">IF(G153="","",G153*N(H153))</f>
        <v/>
      </c>
      <c r="J153" s="31" t="str">
        <f aca="false">IF(G153="","",G153+I153)</f>
        <v/>
      </c>
      <c r="K153" s="70"/>
      <c r="L153" s="71" t="str">
        <f aca="false">IF(OR(B153="",K153=""),"",B153+K153)</f>
        <v/>
      </c>
      <c r="M153" s="28"/>
      <c r="N153" s="69"/>
      <c r="O153" s="31" t="str">
        <f aca="false">IF(G153="","",J153-N(M153))</f>
        <v/>
      </c>
      <c r="P153" s="74" t="str">
        <f aca="false">IF(G153="","",IF(O153&lt;=0,"Réglée",IF(L153="","À payer",IF(P_DateRef&gt;L153,"En retard",IF(L153-P_DateRef&lt;=7,"À payer &lt; 7j","À payer")))))</f>
        <v/>
      </c>
      <c r="Q153" s="88" t="str">
        <f aca="false">IF(P153="En retard",P_DateRef-L153,"")</f>
        <v/>
      </c>
      <c r="R153" s="74" t="str">
        <f aca="false">IF(OR(A153="",N(O153)&lt;=0),"",COUNTIFS($A$7:A153,"&lt;&gt;",$O$7:O153,"&gt;0"))</f>
        <v/>
      </c>
    </row>
    <row r="154" customFormat="false" ht="15" hidden="false" customHeight="false" outlineLevel="0" collapsed="false">
      <c r="A154" s="25"/>
      <c r="B154" s="69"/>
      <c r="C154" s="25"/>
      <c r="D154" s="25"/>
      <c r="E154" s="25"/>
      <c r="F154" s="25"/>
      <c r="G154" s="28"/>
      <c r="H154" s="72"/>
      <c r="I154" s="31" t="str">
        <f aca="false">IF(G154="","",G154*N(H154))</f>
        <v/>
      </c>
      <c r="J154" s="31" t="str">
        <f aca="false">IF(G154="","",G154+I154)</f>
        <v/>
      </c>
      <c r="K154" s="70"/>
      <c r="L154" s="71" t="str">
        <f aca="false">IF(OR(B154="",K154=""),"",B154+K154)</f>
        <v/>
      </c>
      <c r="M154" s="28"/>
      <c r="N154" s="69"/>
      <c r="O154" s="31" t="str">
        <f aca="false">IF(G154="","",J154-N(M154))</f>
        <v/>
      </c>
      <c r="P154" s="74" t="str">
        <f aca="false">IF(G154="","",IF(O154&lt;=0,"Réglée",IF(L154="","À payer",IF(P_DateRef&gt;L154,"En retard",IF(L154-P_DateRef&lt;=7,"À payer &lt; 7j","À payer")))))</f>
        <v/>
      </c>
      <c r="Q154" s="88" t="str">
        <f aca="false">IF(P154="En retard",P_DateRef-L154,"")</f>
        <v/>
      </c>
      <c r="R154" s="74" t="str">
        <f aca="false">IF(OR(A154="",N(O154)&lt;=0),"",COUNTIFS($A$7:A154,"&lt;&gt;",$O$7:O154,"&gt;0"))</f>
        <v/>
      </c>
    </row>
    <row r="155" customFormat="false" ht="15" hidden="false" customHeight="false" outlineLevel="0" collapsed="false">
      <c r="A155" s="25"/>
      <c r="B155" s="69"/>
      <c r="C155" s="25"/>
      <c r="D155" s="25"/>
      <c r="E155" s="25"/>
      <c r="F155" s="25"/>
      <c r="G155" s="28"/>
      <c r="H155" s="72"/>
      <c r="I155" s="31" t="str">
        <f aca="false">IF(G155="","",G155*N(H155))</f>
        <v/>
      </c>
      <c r="J155" s="31" t="str">
        <f aca="false">IF(G155="","",G155+I155)</f>
        <v/>
      </c>
      <c r="K155" s="70"/>
      <c r="L155" s="71" t="str">
        <f aca="false">IF(OR(B155="",K155=""),"",B155+K155)</f>
        <v/>
      </c>
      <c r="M155" s="28"/>
      <c r="N155" s="69"/>
      <c r="O155" s="31" t="str">
        <f aca="false">IF(G155="","",J155-N(M155))</f>
        <v/>
      </c>
      <c r="P155" s="74" t="str">
        <f aca="false">IF(G155="","",IF(O155&lt;=0,"Réglée",IF(L155="","À payer",IF(P_DateRef&gt;L155,"En retard",IF(L155-P_DateRef&lt;=7,"À payer &lt; 7j","À payer")))))</f>
        <v/>
      </c>
      <c r="Q155" s="88" t="str">
        <f aca="false">IF(P155="En retard",P_DateRef-L155,"")</f>
        <v/>
      </c>
      <c r="R155" s="74" t="str">
        <f aca="false">IF(OR(A155="",N(O155)&lt;=0),"",COUNTIFS($A$7:A155,"&lt;&gt;",$O$7:O155,"&gt;0"))</f>
        <v/>
      </c>
    </row>
    <row r="156" customFormat="false" ht="15" hidden="false" customHeight="false" outlineLevel="0" collapsed="false">
      <c r="A156" s="25"/>
      <c r="B156" s="69"/>
      <c r="C156" s="25"/>
      <c r="D156" s="25"/>
      <c r="E156" s="25"/>
      <c r="F156" s="25"/>
      <c r="G156" s="28"/>
      <c r="H156" s="72"/>
      <c r="I156" s="31" t="str">
        <f aca="false">IF(G156="","",G156*N(H156))</f>
        <v/>
      </c>
      <c r="J156" s="31" t="str">
        <f aca="false">IF(G156="","",G156+I156)</f>
        <v/>
      </c>
      <c r="K156" s="70"/>
      <c r="L156" s="71" t="str">
        <f aca="false">IF(OR(B156="",K156=""),"",B156+K156)</f>
        <v/>
      </c>
      <c r="M156" s="28"/>
      <c r="N156" s="69"/>
      <c r="O156" s="31" t="str">
        <f aca="false">IF(G156="","",J156-N(M156))</f>
        <v/>
      </c>
      <c r="P156" s="74" t="str">
        <f aca="false">IF(G156="","",IF(O156&lt;=0,"Réglée",IF(L156="","À payer",IF(P_DateRef&gt;L156,"En retard",IF(L156-P_DateRef&lt;=7,"À payer &lt; 7j","À payer")))))</f>
        <v/>
      </c>
      <c r="Q156" s="88" t="str">
        <f aca="false">IF(P156="En retard",P_DateRef-L156,"")</f>
        <v/>
      </c>
      <c r="R156" s="74" t="str">
        <f aca="false">IF(OR(A156="",N(O156)&lt;=0),"",COUNTIFS($A$7:A156,"&lt;&gt;",$O$7:O156,"&gt;0"))</f>
        <v/>
      </c>
    </row>
  </sheetData>
  <autoFilter ref="A6:R156"/>
  <mergeCells count="4">
    <mergeCell ref="A1:R1"/>
    <mergeCell ref="A2:R2"/>
    <mergeCell ref="A3:R3"/>
    <mergeCell ref="A4:R4"/>
  </mergeCells>
  <conditionalFormatting sqref="P7:P156">
    <cfRule type="cellIs" priority="2" operator="equal" aboveAverage="0" equalAverage="0" bottom="0" percent="0" rank="0" text="" dxfId="3">
      <formula>"En retard"</formula>
    </cfRule>
    <cfRule type="cellIs" priority="3" operator="equal" aboveAverage="0" equalAverage="0" bottom="0" percent="0" rank="0" text="" dxfId="2">
      <formula>"À payer &lt; 7j"</formula>
    </cfRule>
    <cfRule type="cellIs" priority="4" operator="equal" aboveAverage="0" equalAverage="0" bottom="0" percent="0" rank="0" text="" dxfId="1">
      <formula>"Réglée"</formula>
    </cfRule>
    <cfRule type="cellIs" priority="5" operator="equal" aboveAverage="0" equalAverage="0" bottom="0" percent="0" rank="0" text="" dxfId="5">
      <formula>"À payer"</formula>
    </cfRule>
  </conditionalFormatting>
  <dataValidations count="3">
    <dataValidation allowBlank="true" errorStyle="stop" operator="between" showDropDown="false" showErrorMessage="false" showInputMessage="false" sqref="C7:C156" type="list">
      <formula1>L_Fourn</formula1>
      <formula2>0</formula2>
    </dataValidation>
    <dataValidation allowBlank="true" errorStyle="stop" operator="between" showDropDown="false" showErrorMessage="true" showInputMessage="false" sqref="D7:D156" type="list">
      <formula1>L_Lots</formula1>
      <formula2>0</formula2>
    </dataValidation>
    <dataValidation allowBlank="true" errorStyle="stop" operator="between" showDropDown="false" showErrorMessage="false" showInputMessage="false" sqref="F7:F156" type="list">
      <formula1>BC_Num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L2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22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9.5" hidden="false" customHeight="true" outlineLevel="0" collapsed="false">
      <c r="A2" s="20" t="s">
        <v>569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21" t="s">
        <v>570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6" customFormat="false" ht="31.5" hidden="false" customHeight="true" outlineLevel="0" collapsed="false">
      <c r="A6" s="23" t="s">
        <v>571</v>
      </c>
      <c r="B6" s="23" t="s">
        <v>572</v>
      </c>
      <c r="C6" s="23" t="s">
        <v>573</v>
      </c>
      <c r="D6" s="23" t="s">
        <v>574</v>
      </c>
      <c r="E6" s="23" t="s">
        <v>328</v>
      </c>
      <c r="F6" s="23" t="s">
        <v>319</v>
      </c>
      <c r="G6" s="23" t="s">
        <v>329</v>
      </c>
      <c r="H6" s="23" t="s">
        <v>575</v>
      </c>
      <c r="I6" s="23" t="s">
        <v>576</v>
      </c>
      <c r="J6" s="23" t="s">
        <v>577</v>
      </c>
      <c r="K6" s="23" t="s">
        <v>578</v>
      </c>
      <c r="L6" s="23" t="s">
        <v>579</v>
      </c>
    </row>
    <row r="7" customFormat="false" ht="23.85" hidden="false" customHeight="false" outlineLevel="0" collapsed="false">
      <c r="A7" s="69" t="n">
        <v>46310</v>
      </c>
      <c r="B7" s="68" t="s">
        <v>580</v>
      </c>
      <c r="C7" s="76" t="str">
        <f aca="false">IF(B7="","",IFERROR(INDEX(PE_Nom,MATCH(B7,PE_Mat,0)),"Matricule inconnu"))</f>
        <v>KOFFI Yao</v>
      </c>
      <c r="D7" s="76" t="str">
        <f aca="false">IF(B7="","",IFERROR(INDEX(PE_Fonction,MATCH(B7,PE_Mat,0)),""))</f>
        <v>Chef de chantier</v>
      </c>
      <c r="E7" s="76" t="str">
        <f aca="false">IF(B7="","",IFERROR(INDEX(PE_Equipe,MATCH(B7,PE_Mat,0)),""))</f>
        <v>Encadrement</v>
      </c>
      <c r="F7" s="25" t="s">
        <v>130</v>
      </c>
      <c r="G7" s="25" t="s">
        <v>392</v>
      </c>
      <c r="H7" s="68" t="s">
        <v>147</v>
      </c>
      <c r="I7" s="89" t="n">
        <v>8</v>
      </c>
      <c r="J7" s="31" t="n">
        <f aca="false">IF(B7="","",IFERROR(INDEX(PE_Taux,MATCH(B7,PE_Mat,0)),0))</f>
        <v>20000</v>
      </c>
      <c r="K7" s="31" t="n">
        <f aca="false">IF(B7="","",IF(H7="A",0,IFERROR(N(I7)/P_Heures*J7,0)))</f>
        <v>20000</v>
      </c>
      <c r="L7" s="25"/>
    </row>
    <row r="8" customFormat="false" ht="23.85" hidden="false" customHeight="false" outlineLevel="0" collapsed="false">
      <c r="A8" s="69" t="n">
        <v>46310</v>
      </c>
      <c r="B8" s="68" t="s">
        <v>581</v>
      </c>
      <c r="C8" s="76" t="str">
        <f aca="false">IF(B8="","",IFERROR(INDEX(PE_Nom,MATCH(B8,PE_Mat,0)),"Matricule inconnu"))</f>
        <v>TOURÉ Bakary</v>
      </c>
      <c r="D8" s="76" t="str">
        <f aca="false">IF(B8="","",IFERROR(INDEX(PE_Fonction,MATCH(B8,PE_Mat,0)),""))</f>
        <v>Topographe</v>
      </c>
      <c r="E8" s="76" t="str">
        <f aca="false">IF(B8="","",IFERROR(INDEX(PE_Equipe,MATCH(B8,PE_Mat,0)),""))</f>
        <v>Encadrement</v>
      </c>
      <c r="F8" s="25" t="s">
        <v>130</v>
      </c>
      <c r="G8" s="25" t="s">
        <v>392</v>
      </c>
      <c r="H8" s="68" t="s">
        <v>147</v>
      </c>
      <c r="I8" s="89" t="n">
        <v>8</v>
      </c>
      <c r="J8" s="31" t="n">
        <f aca="false">IF(B8="","",IFERROR(INDEX(PE_Taux,MATCH(B8,PE_Mat,0)),0))</f>
        <v>15000</v>
      </c>
      <c r="K8" s="31" t="n">
        <f aca="false">IF(B8="","",IF(H8="A",0,IFERROR(N(I8)/P_Heures*J8,0)))</f>
        <v>15000</v>
      </c>
      <c r="L8" s="25"/>
    </row>
    <row r="9" customFormat="false" ht="23.85" hidden="false" customHeight="false" outlineLevel="0" collapsed="false">
      <c r="A9" s="69" t="n">
        <v>46310</v>
      </c>
      <c r="B9" s="68" t="s">
        <v>582</v>
      </c>
      <c r="C9" s="76" t="str">
        <f aca="false">IF(B9="","",IFERROR(INDEX(PE_Nom,MATCH(B9,PE_Mat,0)),"Matricule inconnu"))</f>
        <v>KOUASSI Arsène</v>
      </c>
      <c r="D9" s="76" t="str">
        <f aca="false">IF(B9="","",IFERROR(INDEX(PE_Fonction,MATCH(B9,PE_Mat,0)),""))</f>
        <v>Laborantin</v>
      </c>
      <c r="E9" s="76" t="str">
        <f aca="false">IF(B9="","",IFERROR(INDEX(PE_Equipe,MATCH(B9,PE_Mat,0)),""))</f>
        <v>Labo / contrôle</v>
      </c>
      <c r="F9" s="25" t="s">
        <v>242</v>
      </c>
      <c r="G9" s="25" t="s">
        <v>418</v>
      </c>
      <c r="H9" s="68" t="s">
        <v>147</v>
      </c>
      <c r="I9" s="89" t="n">
        <v>8</v>
      </c>
      <c r="J9" s="31" t="n">
        <f aca="false">IF(B9="","",IFERROR(INDEX(PE_Taux,MATCH(B9,PE_Mat,0)),0))</f>
        <v>12000</v>
      </c>
      <c r="K9" s="31" t="n">
        <f aca="false">IF(B9="","",IF(H9="A",0,IFERROR(N(I9)/P_Heures*J9,0)))</f>
        <v>12000</v>
      </c>
      <c r="L9" s="25"/>
    </row>
    <row r="10" customFormat="false" ht="23.85" hidden="false" customHeight="false" outlineLevel="0" collapsed="false">
      <c r="A10" s="69" t="n">
        <v>46310</v>
      </c>
      <c r="B10" s="68" t="s">
        <v>583</v>
      </c>
      <c r="C10" s="76" t="str">
        <f aca="false">IF(B10="","",IFERROR(INDEX(PE_Nom,MATCH(B10,PE_Mat,0)),"Matricule inconnu"))</f>
        <v>GNAHORÉ Didier</v>
      </c>
      <c r="D10" s="76" t="str">
        <f aca="false">IF(B10="","",IFERROR(INDEX(PE_Fonction,MATCH(B10,PE_Mat,0)),""))</f>
        <v>Conducteur niveleuse</v>
      </c>
      <c r="E10" s="76" t="str">
        <f aca="false">IF(B10="","",IFERROR(INDEX(PE_Equipe,MATCH(B10,PE_Mat,0)),""))</f>
        <v>Équipe Route – terrassement</v>
      </c>
      <c r="F10" s="25" t="s">
        <v>151</v>
      </c>
      <c r="G10" s="25" t="s">
        <v>396</v>
      </c>
      <c r="H10" s="68" t="s">
        <v>147</v>
      </c>
      <c r="I10" s="89" t="n">
        <v>8</v>
      </c>
      <c r="J10" s="31" t="n">
        <f aca="false">IF(B10="","",IFERROR(INDEX(PE_Taux,MATCH(B10,PE_Mat,0)),0))</f>
        <v>12000</v>
      </c>
      <c r="K10" s="31" t="n">
        <f aca="false">IF(B10="","",IF(H10="A",0,IFERROR(N(I10)/P_Heures*J10,0)))</f>
        <v>12000</v>
      </c>
      <c r="L10" s="25"/>
    </row>
    <row r="11" customFormat="false" ht="23.85" hidden="false" customHeight="false" outlineLevel="0" collapsed="false">
      <c r="A11" s="69" t="n">
        <v>46310</v>
      </c>
      <c r="B11" s="68" t="s">
        <v>584</v>
      </c>
      <c r="C11" s="76" t="str">
        <f aca="false">IF(B11="","",IFERROR(INDEX(PE_Nom,MATCH(B11,PE_Mat,0)),"Matricule inconnu"))</f>
        <v>SANOGO Lamine</v>
      </c>
      <c r="D11" s="76" t="str">
        <f aca="false">IF(B11="","",IFERROR(INDEX(PE_Fonction,MATCH(B11,PE_Mat,0)),""))</f>
        <v>Conducteur compacteur</v>
      </c>
      <c r="E11" s="76" t="str">
        <f aca="false">IF(B11="","",IFERROR(INDEX(PE_Equipe,MATCH(B11,PE_Mat,0)),""))</f>
        <v>Équipe Route – terrassement</v>
      </c>
      <c r="F11" s="25" t="s">
        <v>151</v>
      </c>
      <c r="G11" s="25" t="s">
        <v>396</v>
      </c>
      <c r="H11" s="68" t="s">
        <v>147</v>
      </c>
      <c r="I11" s="89" t="n">
        <v>8</v>
      </c>
      <c r="J11" s="31" t="n">
        <f aca="false">IF(B11="","",IFERROR(INDEX(PE_Taux,MATCH(B11,PE_Mat,0)),0))</f>
        <v>10000</v>
      </c>
      <c r="K11" s="31" t="n">
        <f aca="false">IF(B11="","",IF(H11="A",0,IFERROR(N(I11)/P_Heures*J11,0)))</f>
        <v>10000</v>
      </c>
      <c r="L11" s="25"/>
    </row>
    <row r="12" customFormat="false" ht="23.85" hidden="false" customHeight="false" outlineLevel="0" collapsed="false">
      <c r="A12" s="69" t="n">
        <v>46310</v>
      </c>
      <c r="B12" s="68" t="s">
        <v>585</v>
      </c>
      <c r="C12" s="76" t="str">
        <f aca="false">IF(B12="","",IFERROR(INDEX(PE_Nom,MATCH(B12,PE_Mat,0)),"Matricule inconnu"))</f>
        <v>DIALLO Ousmane</v>
      </c>
      <c r="D12" s="76" t="str">
        <f aca="false">IF(B12="","",IFERROR(INDEX(PE_Fonction,MATCH(B12,PE_Mat,0)),""))</f>
        <v>Chauffeur camion benne</v>
      </c>
      <c r="E12" s="76" t="str">
        <f aca="false">IF(B12="","",IFERROR(INDEX(PE_Equipe,MATCH(B12,PE_Mat,0)),""))</f>
        <v>Équipe Route – terrassement</v>
      </c>
      <c r="F12" s="25" t="s">
        <v>151</v>
      </c>
      <c r="G12" s="25" t="s">
        <v>396</v>
      </c>
      <c r="H12" s="68" t="s">
        <v>147</v>
      </c>
      <c r="I12" s="89" t="n">
        <v>8</v>
      </c>
      <c r="J12" s="31" t="n">
        <f aca="false">IF(B12="","",IFERROR(INDEX(PE_Taux,MATCH(B12,PE_Mat,0)),0))</f>
        <v>8000</v>
      </c>
      <c r="K12" s="31" t="n">
        <f aca="false">IF(B12="","",IF(H12="A",0,IFERROR(N(I12)/P_Heures*J12,0)))</f>
        <v>8000</v>
      </c>
      <c r="L12" s="25"/>
    </row>
    <row r="13" customFormat="false" ht="23.85" hidden="false" customHeight="false" outlineLevel="0" collapsed="false">
      <c r="A13" s="69" t="n">
        <v>46310</v>
      </c>
      <c r="B13" s="68" t="s">
        <v>586</v>
      </c>
      <c r="C13" s="76" t="str">
        <f aca="false">IF(B13="","",IFERROR(INDEX(PE_Nom,MATCH(B13,PE_Mat,0)),"Matricule inconnu"))</f>
        <v>ZADI Martial</v>
      </c>
      <c r="D13" s="76" t="str">
        <f aca="false">IF(B13="","",IFERROR(INDEX(PE_Fonction,MATCH(B13,PE_Mat,0)),""))</f>
        <v>Manœuvre</v>
      </c>
      <c r="E13" s="76" t="str">
        <f aca="false">IF(B13="","",IFERROR(INDEX(PE_Equipe,MATCH(B13,PE_Mat,0)),""))</f>
        <v>Équipe Route – terrassement</v>
      </c>
      <c r="F13" s="25" t="s">
        <v>151</v>
      </c>
      <c r="G13" s="25" t="s">
        <v>396</v>
      </c>
      <c r="H13" s="68" t="s">
        <v>147</v>
      </c>
      <c r="I13" s="89" t="n">
        <v>8</v>
      </c>
      <c r="J13" s="31" t="n">
        <f aca="false">IF(B13="","",IFERROR(INDEX(PE_Taux,MATCH(B13,PE_Mat,0)),0))</f>
        <v>3500</v>
      </c>
      <c r="K13" s="31" t="n">
        <f aca="false">IF(B13="","",IF(H13="A",0,IFERROR(N(I13)/P_Heures*J13,0)))</f>
        <v>3500</v>
      </c>
      <c r="L13" s="25"/>
    </row>
    <row r="14" customFormat="false" ht="23.85" hidden="false" customHeight="false" outlineLevel="0" collapsed="false">
      <c r="A14" s="69" t="n">
        <v>46310</v>
      </c>
      <c r="B14" s="68" t="s">
        <v>587</v>
      </c>
      <c r="C14" s="76" t="str">
        <f aca="false">IF(B14="","",IFERROR(INDEX(PE_Nom,MATCH(B14,PE_Mat,0)),"Matricule inconnu"))</f>
        <v>KOUAMÉ Serge</v>
      </c>
      <c r="D14" s="76" t="str">
        <f aca="false">IF(B14="","",IFERROR(INDEX(PE_Fonction,MATCH(B14,PE_Mat,0)),""))</f>
        <v>Chef d'équipe OH</v>
      </c>
      <c r="E14" s="76" t="str">
        <f aca="false">IF(B14="","",IFERROR(INDEX(PE_Equipe,MATCH(B14,PE_Mat,0)),""))</f>
        <v>Équipe OH – ouvrages hydrauliques</v>
      </c>
      <c r="F14" s="25" t="s">
        <v>203</v>
      </c>
      <c r="G14" s="25" t="s">
        <v>403</v>
      </c>
      <c r="H14" s="68" t="s">
        <v>147</v>
      </c>
      <c r="I14" s="89" t="n">
        <v>8</v>
      </c>
      <c r="J14" s="31" t="n">
        <f aca="false">IF(B14="","",IFERROR(INDEX(PE_Taux,MATCH(B14,PE_Mat,0)),0))</f>
        <v>10000</v>
      </c>
      <c r="K14" s="31" t="n">
        <f aca="false">IF(B14="","",IF(H14="A",0,IFERROR(N(I14)/P_Heures*J14,0)))</f>
        <v>10000</v>
      </c>
      <c r="L14" s="25"/>
    </row>
    <row r="15" customFormat="false" ht="23.85" hidden="false" customHeight="false" outlineLevel="0" collapsed="false">
      <c r="A15" s="69" t="n">
        <v>46310</v>
      </c>
      <c r="B15" s="68" t="s">
        <v>588</v>
      </c>
      <c r="C15" s="76" t="str">
        <f aca="false">IF(B15="","",IFERROR(INDEX(PE_Nom,MATCH(B15,PE_Mat,0)),"Matricule inconnu"))</f>
        <v>BAMBA Seydou</v>
      </c>
      <c r="D15" s="76" t="str">
        <f aca="false">IF(B15="","",IFERROR(INDEX(PE_Fonction,MATCH(B15,PE_Mat,0)),""))</f>
        <v>Ferrailleur</v>
      </c>
      <c r="E15" s="76" t="str">
        <f aca="false">IF(B15="","",IFERROR(INDEX(PE_Equipe,MATCH(B15,PE_Mat,0)),""))</f>
        <v>Équipe OH – ouvrages hydrauliques</v>
      </c>
      <c r="F15" s="25" t="s">
        <v>203</v>
      </c>
      <c r="G15" s="25" t="s">
        <v>403</v>
      </c>
      <c r="H15" s="68" t="s">
        <v>147</v>
      </c>
      <c r="I15" s="89" t="n">
        <v>8</v>
      </c>
      <c r="J15" s="31" t="n">
        <f aca="false">IF(B15="","",IFERROR(INDEX(PE_Taux,MATCH(B15,PE_Mat,0)),0))</f>
        <v>7000</v>
      </c>
      <c r="K15" s="31" t="n">
        <f aca="false">IF(B15="","",IF(H15="A",0,IFERROR(N(I15)/P_Heures*J15,0)))</f>
        <v>7000</v>
      </c>
      <c r="L15" s="25"/>
    </row>
    <row r="16" customFormat="false" ht="23.85" hidden="false" customHeight="false" outlineLevel="0" collapsed="false">
      <c r="A16" s="69" t="n">
        <v>46310</v>
      </c>
      <c r="B16" s="68" t="s">
        <v>589</v>
      </c>
      <c r="C16" s="76" t="str">
        <f aca="false">IF(B16="","",IFERROR(INDEX(PE_Nom,MATCH(B16,PE_Mat,0)),"Matricule inconnu"))</f>
        <v>YAO Kouadio</v>
      </c>
      <c r="D16" s="76" t="str">
        <f aca="false">IF(B16="","",IFERROR(INDEX(PE_Fonction,MATCH(B16,PE_Mat,0)),""))</f>
        <v>Coffreur</v>
      </c>
      <c r="E16" s="76" t="str">
        <f aca="false">IF(B16="","",IFERROR(INDEX(PE_Equipe,MATCH(B16,PE_Mat,0)),""))</f>
        <v>Équipe OH – ouvrages hydrauliques</v>
      </c>
      <c r="F16" s="25" t="s">
        <v>203</v>
      </c>
      <c r="G16" s="25" t="s">
        <v>403</v>
      </c>
      <c r="H16" s="68" t="s">
        <v>147</v>
      </c>
      <c r="I16" s="89" t="n">
        <v>8</v>
      </c>
      <c r="J16" s="31" t="n">
        <f aca="false">IF(B16="","",IFERROR(INDEX(PE_Taux,MATCH(B16,PE_Mat,0)),0))</f>
        <v>7000</v>
      </c>
      <c r="K16" s="31" t="n">
        <f aca="false">IF(B16="","",IF(H16="A",0,IFERROR(N(I16)/P_Heures*J16,0)))</f>
        <v>7000</v>
      </c>
      <c r="L16" s="25"/>
    </row>
    <row r="17" customFormat="false" ht="23.85" hidden="false" customHeight="false" outlineLevel="0" collapsed="false">
      <c r="A17" s="69" t="n">
        <v>46310</v>
      </c>
      <c r="B17" s="68" t="s">
        <v>590</v>
      </c>
      <c r="C17" s="76" t="str">
        <f aca="false">IF(B17="","",IFERROR(INDEX(PE_Nom,MATCH(B17,PE_Mat,0)),"Matricule inconnu"))</f>
        <v>KONÉ Adama</v>
      </c>
      <c r="D17" s="76" t="str">
        <f aca="false">IF(B17="","",IFERROR(INDEX(PE_Fonction,MATCH(B17,PE_Mat,0)),""))</f>
        <v>Maçon</v>
      </c>
      <c r="E17" s="76" t="str">
        <f aca="false">IF(B17="","",IFERROR(INDEX(PE_Equipe,MATCH(B17,PE_Mat,0)),""))</f>
        <v>Équipe OH – ouvrages hydrauliques</v>
      </c>
      <c r="F17" s="25" t="s">
        <v>203</v>
      </c>
      <c r="G17" s="25" t="s">
        <v>403</v>
      </c>
      <c r="H17" s="68" t="s">
        <v>147</v>
      </c>
      <c r="I17" s="89" t="n">
        <v>8</v>
      </c>
      <c r="J17" s="31" t="n">
        <f aca="false">IF(B17="","",IFERROR(INDEX(PE_Taux,MATCH(B17,PE_Mat,0)),0))</f>
        <v>7000</v>
      </c>
      <c r="K17" s="31" t="n">
        <f aca="false">IF(B17="","",IF(H17="A",0,IFERROR(N(I17)/P_Heures*J17,0)))</f>
        <v>7000</v>
      </c>
      <c r="L17" s="25"/>
    </row>
    <row r="18" customFormat="false" ht="23.85" hidden="false" customHeight="false" outlineLevel="0" collapsed="false">
      <c r="A18" s="69" t="n">
        <v>46310</v>
      </c>
      <c r="B18" s="68" t="s">
        <v>591</v>
      </c>
      <c r="C18" s="76" t="str">
        <f aca="false">IF(B18="","",IFERROR(INDEX(PE_Nom,MATCH(B18,PE_Mat,0)),"Matricule inconnu"))</f>
        <v>SORO Nanga</v>
      </c>
      <c r="D18" s="76" t="str">
        <f aca="false">IF(B18="","",IFERROR(INDEX(PE_Fonction,MATCH(B18,PE_Mat,0)),""))</f>
        <v>Manœuvre</v>
      </c>
      <c r="E18" s="76" t="str">
        <f aca="false">IF(B18="","",IFERROR(INDEX(PE_Equipe,MATCH(B18,PE_Mat,0)),""))</f>
        <v>Équipe OH – ouvrages hydrauliques</v>
      </c>
      <c r="F18" s="25" t="s">
        <v>203</v>
      </c>
      <c r="G18" s="25" t="s">
        <v>403</v>
      </c>
      <c r="H18" s="68" t="s">
        <v>147</v>
      </c>
      <c r="I18" s="89" t="n">
        <v>8</v>
      </c>
      <c r="J18" s="31" t="n">
        <f aca="false">IF(B18="","",IFERROR(INDEX(PE_Taux,MATCH(B18,PE_Mat,0)),0))</f>
        <v>3500</v>
      </c>
      <c r="K18" s="31" t="n">
        <f aca="false">IF(B18="","",IF(H18="A",0,IFERROR(N(I18)/P_Heures*J18,0)))</f>
        <v>3500</v>
      </c>
      <c r="L18" s="25"/>
    </row>
    <row r="19" customFormat="false" ht="23.85" hidden="false" customHeight="false" outlineLevel="0" collapsed="false">
      <c r="A19" s="69" t="n">
        <v>46310</v>
      </c>
      <c r="B19" s="68" t="s">
        <v>592</v>
      </c>
      <c r="C19" s="76" t="str">
        <f aca="false">IF(B19="","",IFERROR(INDEX(PE_Nom,MATCH(B19,PE_Mat,0)),"Matricule inconnu"))</f>
        <v>DIABATÉ Moussa</v>
      </c>
      <c r="D19" s="76" t="str">
        <f aca="false">IF(B19="","",IFERROR(INDEX(PE_Fonction,MATCH(B19,PE_Mat,0)),""))</f>
        <v>Chef d'équipe bâtiment</v>
      </c>
      <c r="E19" s="76" t="str">
        <f aca="false">IF(B19="","",IFERROR(INDEX(PE_Equipe,MATCH(B19,PE_Mat,0)),""))</f>
        <v>Équipe Bâtiment / clôture</v>
      </c>
      <c r="F19" s="25" t="s">
        <v>215</v>
      </c>
      <c r="G19" s="25" t="s">
        <v>406</v>
      </c>
      <c r="H19" s="68" t="s">
        <v>147</v>
      </c>
      <c r="I19" s="89" t="n">
        <v>8</v>
      </c>
      <c r="J19" s="31" t="n">
        <f aca="false">IF(B19="","",IFERROR(INDEX(PE_Taux,MATCH(B19,PE_Mat,0)),0))</f>
        <v>10000</v>
      </c>
      <c r="K19" s="31" t="n">
        <f aca="false">IF(B19="","",IF(H19="A",0,IFERROR(N(I19)/P_Heures*J19,0)))</f>
        <v>10000</v>
      </c>
      <c r="L19" s="25"/>
    </row>
    <row r="20" customFormat="false" ht="23.85" hidden="false" customHeight="false" outlineLevel="0" collapsed="false">
      <c r="A20" s="69" t="n">
        <v>46310</v>
      </c>
      <c r="B20" s="68" t="s">
        <v>593</v>
      </c>
      <c r="C20" s="76" t="str">
        <f aca="false">IF(B20="","",IFERROR(INDEX(PE_Nom,MATCH(B20,PE_Mat,0)),"Matricule inconnu"))</f>
        <v>TRAORÉ Ibrahim</v>
      </c>
      <c r="D20" s="76" t="str">
        <f aca="false">IF(B20="","",IFERROR(INDEX(PE_Fonction,MATCH(B20,PE_Mat,0)),""))</f>
        <v>Maçon</v>
      </c>
      <c r="E20" s="76" t="str">
        <f aca="false">IF(B20="","",IFERROR(INDEX(PE_Equipe,MATCH(B20,PE_Mat,0)),""))</f>
        <v>Équipe Bâtiment / clôture</v>
      </c>
      <c r="F20" s="25" t="s">
        <v>215</v>
      </c>
      <c r="G20" s="25" t="s">
        <v>406</v>
      </c>
      <c r="H20" s="68" t="s">
        <v>147</v>
      </c>
      <c r="I20" s="89" t="n">
        <v>8</v>
      </c>
      <c r="J20" s="31" t="n">
        <f aca="false">IF(B20="","",IFERROR(INDEX(PE_Taux,MATCH(B20,PE_Mat,0)),0))</f>
        <v>7000</v>
      </c>
      <c r="K20" s="31" t="n">
        <f aca="false">IF(B20="","",IF(H20="A",0,IFERROR(N(I20)/P_Heures*J20,0)))</f>
        <v>7000</v>
      </c>
      <c r="L20" s="25"/>
    </row>
    <row r="21" customFormat="false" ht="23.85" hidden="false" customHeight="false" outlineLevel="0" collapsed="false">
      <c r="A21" s="69" t="n">
        <v>46310</v>
      </c>
      <c r="B21" s="68" t="s">
        <v>594</v>
      </c>
      <c r="C21" s="76" t="str">
        <f aca="false">IF(B21="","",IFERROR(INDEX(PE_Nom,MATCH(B21,PE_Mat,0)),"Matricule inconnu"))</f>
        <v>N'GUESSAN Paul</v>
      </c>
      <c r="D21" s="76" t="str">
        <f aca="false">IF(B21="","",IFERROR(INDEX(PE_Fonction,MATCH(B21,PE_Mat,0)),""))</f>
        <v>Manœuvre</v>
      </c>
      <c r="E21" s="76" t="str">
        <f aca="false">IF(B21="","",IFERROR(INDEX(PE_Equipe,MATCH(B21,PE_Mat,0)),""))</f>
        <v>Équipe Bâtiment / clôture</v>
      </c>
      <c r="F21" s="25" t="s">
        <v>215</v>
      </c>
      <c r="G21" s="25" t="s">
        <v>406</v>
      </c>
      <c r="H21" s="68" t="s">
        <v>147</v>
      </c>
      <c r="I21" s="89" t="n">
        <v>8</v>
      </c>
      <c r="J21" s="31" t="n">
        <f aca="false">IF(B21="","",IFERROR(INDEX(PE_Taux,MATCH(B21,PE_Mat,0)),0))</f>
        <v>3500</v>
      </c>
      <c r="K21" s="31" t="n">
        <f aca="false">IF(B21="","",IF(H21="A",0,IFERROR(N(I21)/P_Heures*J21,0)))</f>
        <v>3500</v>
      </c>
      <c r="L21" s="25"/>
    </row>
    <row r="22" customFormat="false" ht="23.85" hidden="false" customHeight="false" outlineLevel="0" collapsed="false">
      <c r="A22" s="69" t="n">
        <v>46310</v>
      </c>
      <c r="B22" s="68" t="s">
        <v>595</v>
      </c>
      <c r="C22" s="76" t="str">
        <f aca="false">IF(B22="","",IFERROR(INDEX(PE_Nom,MATCH(B22,PE_Mat,0)),"Matricule inconnu"))</f>
        <v>OUATTARA Lassina</v>
      </c>
      <c r="D22" s="76" t="str">
        <f aca="false">IF(B22="","",IFERROR(INDEX(PE_Fonction,MATCH(B22,PE_Mat,0)),""))</f>
        <v>Manœuvre</v>
      </c>
      <c r="E22" s="76" t="str">
        <f aca="false">IF(B22="","",IFERROR(INDEX(PE_Equipe,MATCH(B22,PE_Mat,0)),""))</f>
        <v>Équipe Bâtiment / clôture</v>
      </c>
      <c r="F22" s="25" t="s">
        <v>215</v>
      </c>
      <c r="G22" s="25" t="s">
        <v>406</v>
      </c>
      <c r="H22" s="68" t="s">
        <v>189</v>
      </c>
      <c r="I22" s="89" t="n">
        <v>4</v>
      </c>
      <c r="J22" s="31" t="n">
        <f aca="false">IF(B22="","",IFERROR(INDEX(PE_Taux,MATCH(B22,PE_Mat,0)),0))</f>
        <v>3500</v>
      </c>
      <c r="K22" s="31" t="n">
        <f aca="false">IF(B22="","",IF(H22="A",0,IFERROR(N(I22)/P_Heures*J22,0)))</f>
        <v>1750</v>
      </c>
      <c r="L22" s="25"/>
    </row>
    <row r="23" customFormat="false" ht="23.85" hidden="false" customHeight="false" outlineLevel="0" collapsed="false">
      <c r="A23" s="69" t="n">
        <v>46310</v>
      </c>
      <c r="B23" s="68" t="s">
        <v>596</v>
      </c>
      <c r="C23" s="76" t="str">
        <f aca="false">IF(B23="","",IFERROR(INDEX(PE_Nom,MATCH(B23,PE_Mat,0)),"Matricule inconnu"))</f>
        <v>ADOU Franck</v>
      </c>
      <c r="D23" s="76" t="str">
        <f aca="false">IF(B23="","",IFERROR(INDEX(PE_Fonction,MATCH(B23,PE_Mat,0)),""))</f>
        <v>Soudeur-monteur</v>
      </c>
      <c r="E23" s="76" t="str">
        <f aca="false">IF(B23="","",IFERROR(INDEX(PE_Equipe,MATCH(B23,PE_Mat,0)),""))</f>
        <v>Équipe Charpente métallique</v>
      </c>
      <c r="F23" s="25" t="s">
        <v>238</v>
      </c>
      <c r="G23" s="25" t="s">
        <v>416</v>
      </c>
      <c r="H23" s="68" t="s">
        <v>147</v>
      </c>
      <c r="I23" s="89" t="n">
        <v>8</v>
      </c>
      <c r="J23" s="31" t="n">
        <f aca="false">IF(B23="","",IFERROR(INDEX(PE_Taux,MATCH(B23,PE_Mat,0)),0))</f>
        <v>9000</v>
      </c>
      <c r="K23" s="31" t="n">
        <f aca="false">IF(B23="","",IF(H23="A",0,IFERROR(N(I23)/P_Heures*J23,0)))</f>
        <v>9000</v>
      </c>
      <c r="L23" s="25"/>
    </row>
    <row r="24" customFormat="false" ht="23.85" hidden="false" customHeight="false" outlineLevel="0" collapsed="false">
      <c r="A24" s="69" t="n">
        <v>46310</v>
      </c>
      <c r="B24" s="68" t="s">
        <v>597</v>
      </c>
      <c r="C24" s="76" t="str">
        <f aca="false">IF(B24="","",IFERROR(INDEX(PE_Nom,MATCH(B24,PE_Mat,0)),"Matricule inconnu"))</f>
        <v>AKA Jérôme</v>
      </c>
      <c r="D24" s="76" t="str">
        <f aca="false">IF(B24="","",IFERROR(INDEX(PE_Fonction,MATCH(B24,PE_Mat,0)),""))</f>
        <v>Aide-monteur</v>
      </c>
      <c r="E24" s="76" t="str">
        <f aca="false">IF(B24="","",IFERROR(INDEX(PE_Equipe,MATCH(B24,PE_Mat,0)),""))</f>
        <v>Équipe Charpente métallique</v>
      </c>
      <c r="F24" s="25" t="s">
        <v>238</v>
      </c>
      <c r="G24" s="25" t="s">
        <v>416</v>
      </c>
      <c r="H24" s="68" t="s">
        <v>147</v>
      </c>
      <c r="I24" s="89" t="n">
        <v>8</v>
      </c>
      <c r="J24" s="31" t="n">
        <f aca="false">IF(B24="","",IFERROR(INDEX(PE_Taux,MATCH(B24,PE_Mat,0)),0))</f>
        <v>5000</v>
      </c>
      <c r="K24" s="31" t="n">
        <f aca="false">IF(B24="","",IF(H24="A",0,IFERROR(N(I24)/P_Heures*J24,0)))</f>
        <v>5000</v>
      </c>
      <c r="L24" s="25"/>
    </row>
    <row r="25" customFormat="false" ht="23.85" hidden="false" customHeight="false" outlineLevel="0" collapsed="false">
      <c r="A25" s="69" t="n">
        <v>46311</v>
      </c>
      <c r="B25" s="68" t="s">
        <v>580</v>
      </c>
      <c r="C25" s="76" t="str">
        <f aca="false">IF(B25="","",IFERROR(INDEX(PE_Nom,MATCH(B25,PE_Mat,0)),"Matricule inconnu"))</f>
        <v>KOFFI Yao</v>
      </c>
      <c r="D25" s="76" t="str">
        <f aca="false">IF(B25="","",IFERROR(INDEX(PE_Fonction,MATCH(B25,PE_Mat,0)),""))</f>
        <v>Chef de chantier</v>
      </c>
      <c r="E25" s="76" t="str">
        <f aca="false">IF(B25="","",IFERROR(INDEX(PE_Equipe,MATCH(B25,PE_Mat,0)),""))</f>
        <v>Encadrement</v>
      </c>
      <c r="F25" s="25" t="s">
        <v>130</v>
      </c>
      <c r="G25" s="25" t="s">
        <v>392</v>
      </c>
      <c r="H25" s="68" t="s">
        <v>147</v>
      </c>
      <c r="I25" s="89" t="n">
        <v>8</v>
      </c>
      <c r="J25" s="31" t="n">
        <f aca="false">IF(B25="","",IFERROR(INDEX(PE_Taux,MATCH(B25,PE_Mat,0)),0))</f>
        <v>20000</v>
      </c>
      <c r="K25" s="31" t="n">
        <f aca="false">IF(B25="","",IF(H25="A",0,IFERROR(N(I25)/P_Heures*J25,0)))</f>
        <v>20000</v>
      </c>
      <c r="L25" s="25"/>
    </row>
    <row r="26" customFormat="false" ht="23.85" hidden="false" customHeight="false" outlineLevel="0" collapsed="false">
      <c r="A26" s="69" t="n">
        <v>46311</v>
      </c>
      <c r="B26" s="68" t="s">
        <v>581</v>
      </c>
      <c r="C26" s="76" t="str">
        <f aca="false">IF(B26="","",IFERROR(INDEX(PE_Nom,MATCH(B26,PE_Mat,0)),"Matricule inconnu"))</f>
        <v>TOURÉ Bakary</v>
      </c>
      <c r="D26" s="76" t="str">
        <f aca="false">IF(B26="","",IFERROR(INDEX(PE_Fonction,MATCH(B26,PE_Mat,0)),""))</f>
        <v>Topographe</v>
      </c>
      <c r="E26" s="76" t="str">
        <f aca="false">IF(B26="","",IFERROR(INDEX(PE_Equipe,MATCH(B26,PE_Mat,0)),""))</f>
        <v>Encadrement</v>
      </c>
      <c r="F26" s="25" t="s">
        <v>130</v>
      </c>
      <c r="G26" s="25" t="s">
        <v>392</v>
      </c>
      <c r="H26" s="68" t="s">
        <v>147</v>
      </c>
      <c r="I26" s="89" t="n">
        <v>8</v>
      </c>
      <c r="J26" s="31" t="n">
        <f aca="false">IF(B26="","",IFERROR(INDEX(PE_Taux,MATCH(B26,PE_Mat,0)),0))</f>
        <v>15000</v>
      </c>
      <c r="K26" s="31" t="n">
        <f aca="false">IF(B26="","",IF(H26="A",0,IFERROR(N(I26)/P_Heures*J26,0)))</f>
        <v>15000</v>
      </c>
      <c r="L26" s="25"/>
    </row>
    <row r="27" customFormat="false" ht="23.85" hidden="false" customHeight="false" outlineLevel="0" collapsed="false">
      <c r="A27" s="69" t="n">
        <v>46311</v>
      </c>
      <c r="B27" s="68" t="s">
        <v>582</v>
      </c>
      <c r="C27" s="76" t="str">
        <f aca="false">IF(B27="","",IFERROR(INDEX(PE_Nom,MATCH(B27,PE_Mat,0)),"Matricule inconnu"))</f>
        <v>KOUASSI Arsène</v>
      </c>
      <c r="D27" s="76" t="str">
        <f aca="false">IF(B27="","",IFERROR(INDEX(PE_Fonction,MATCH(B27,PE_Mat,0)),""))</f>
        <v>Laborantin</v>
      </c>
      <c r="E27" s="76" t="str">
        <f aca="false">IF(B27="","",IFERROR(INDEX(PE_Equipe,MATCH(B27,PE_Mat,0)),""))</f>
        <v>Labo / contrôle</v>
      </c>
      <c r="F27" s="25" t="s">
        <v>242</v>
      </c>
      <c r="G27" s="25" t="s">
        <v>418</v>
      </c>
      <c r="H27" s="68" t="s">
        <v>147</v>
      </c>
      <c r="I27" s="89" t="n">
        <v>8</v>
      </c>
      <c r="J27" s="31" t="n">
        <f aca="false">IF(B27="","",IFERROR(INDEX(PE_Taux,MATCH(B27,PE_Mat,0)),0))</f>
        <v>12000</v>
      </c>
      <c r="K27" s="31" t="n">
        <f aca="false">IF(B27="","",IF(H27="A",0,IFERROR(N(I27)/P_Heures*J27,0)))</f>
        <v>12000</v>
      </c>
      <c r="L27" s="25"/>
    </row>
    <row r="28" customFormat="false" ht="23.85" hidden="false" customHeight="false" outlineLevel="0" collapsed="false">
      <c r="A28" s="69" t="n">
        <v>46311</v>
      </c>
      <c r="B28" s="68" t="s">
        <v>583</v>
      </c>
      <c r="C28" s="76" t="str">
        <f aca="false">IF(B28="","",IFERROR(INDEX(PE_Nom,MATCH(B28,PE_Mat,0)),"Matricule inconnu"))</f>
        <v>GNAHORÉ Didier</v>
      </c>
      <c r="D28" s="76" t="str">
        <f aca="false">IF(B28="","",IFERROR(INDEX(PE_Fonction,MATCH(B28,PE_Mat,0)),""))</f>
        <v>Conducteur niveleuse</v>
      </c>
      <c r="E28" s="76" t="str">
        <f aca="false">IF(B28="","",IFERROR(INDEX(PE_Equipe,MATCH(B28,PE_Mat,0)),""))</f>
        <v>Équipe Route – terrassement</v>
      </c>
      <c r="F28" s="25" t="s">
        <v>151</v>
      </c>
      <c r="G28" s="25" t="s">
        <v>396</v>
      </c>
      <c r="H28" s="68" t="s">
        <v>147</v>
      </c>
      <c r="I28" s="89" t="n">
        <v>8</v>
      </c>
      <c r="J28" s="31" t="n">
        <f aca="false">IF(B28="","",IFERROR(INDEX(PE_Taux,MATCH(B28,PE_Mat,0)),0))</f>
        <v>12000</v>
      </c>
      <c r="K28" s="31" t="n">
        <f aca="false">IF(B28="","",IF(H28="A",0,IFERROR(N(I28)/P_Heures*J28,0)))</f>
        <v>12000</v>
      </c>
      <c r="L28" s="25"/>
    </row>
    <row r="29" customFormat="false" ht="23.85" hidden="false" customHeight="false" outlineLevel="0" collapsed="false">
      <c r="A29" s="69" t="n">
        <v>46311</v>
      </c>
      <c r="B29" s="68" t="s">
        <v>584</v>
      </c>
      <c r="C29" s="76" t="str">
        <f aca="false">IF(B29="","",IFERROR(INDEX(PE_Nom,MATCH(B29,PE_Mat,0)),"Matricule inconnu"))</f>
        <v>SANOGO Lamine</v>
      </c>
      <c r="D29" s="76" t="str">
        <f aca="false">IF(B29="","",IFERROR(INDEX(PE_Fonction,MATCH(B29,PE_Mat,0)),""))</f>
        <v>Conducteur compacteur</v>
      </c>
      <c r="E29" s="76" t="str">
        <f aca="false">IF(B29="","",IFERROR(INDEX(PE_Equipe,MATCH(B29,PE_Mat,0)),""))</f>
        <v>Équipe Route – terrassement</v>
      </c>
      <c r="F29" s="25" t="s">
        <v>151</v>
      </c>
      <c r="G29" s="25" t="s">
        <v>396</v>
      </c>
      <c r="H29" s="68" t="s">
        <v>147</v>
      </c>
      <c r="I29" s="89" t="n">
        <v>8</v>
      </c>
      <c r="J29" s="31" t="n">
        <f aca="false">IF(B29="","",IFERROR(INDEX(PE_Taux,MATCH(B29,PE_Mat,0)),0))</f>
        <v>10000</v>
      </c>
      <c r="K29" s="31" t="n">
        <f aca="false">IF(B29="","",IF(H29="A",0,IFERROR(N(I29)/P_Heures*J29,0)))</f>
        <v>10000</v>
      </c>
      <c r="L29" s="25"/>
    </row>
    <row r="30" customFormat="false" ht="23.85" hidden="false" customHeight="false" outlineLevel="0" collapsed="false">
      <c r="A30" s="69" t="n">
        <v>46311</v>
      </c>
      <c r="B30" s="68" t="s">
        <v>585</v>
      </c>
      <c r="C30" s="76" t="str">
        <f aca="false">IF(B30="","",IFERROR(INDEX(PE_Nom,MATCH(B30,PE_Mat,0)),"Matricule inconnu"))</f>
        <v>DIALLO Ousmane</v>
      </c>
      <c r="D30" s="76" t="str">
        <f aca="false">IF(B30="","",IFERROR(INDEX(PE_Fonction,MATCH(B30,PE_Mat,0)),""))</f>
        <v>Chauffeur camion benne</v>
      </c>
      <c r="E30" s="76" t="str">
        <f aca="false">IF(B30="","",IFERROR(INDEX(PE_Equipe,MATCH(B30,PE_Mat,0)),""))</f>
        <v>Équipe Route – terrassement</v>
      </c>
      <c r="F30" s="25" t="s">
        <v>151</v>
      </c>
      <c r="G30" s="25" t="s">
        <v>396</v>
      </c>
      <c r="H30" s="68" t="s">
        <v>147</v>
      </c>
      <c r="I30" s="89" t="n">
        <v>8</v>
      </c>
      <c r="J30" s="31" t="n">
        <f aca="false">IF(B30="","",IFERROR(INDEX(PE_Taux,MATCH(B30,PE_Mat,0)),0))</f>
        <v>8000</v>
      </c>
      <c r="K30" s="31" t="n">
        <f aca="false">IF(B30="","",IF(H30="A",0,IFERROR(N(I30)/P_Heures*J30,0)))</f>
        <v>8000</v>
      </c>
      <c r="L30" s="25"/>
    </row>
    <row r="31" customFormat="false" ht="23.85" hidden="false" customHeight="false" outlineLevel="0" collapsed="false">
      <c r="A31" s="69" t="n">
        <v>46311</v>
      </c>
      <c r="B31" s="68" t="s">
        <v>586</v>
      </c>
      <c r="C31" s="76" t="str">
        <f aca="false">IF(B31="","",IFERROR(INDEX(PE_Nom,MATCH(B31,PE_Mat,0)),"Matricule inconnu"))</f>
        <v>ZADI Martial</v>
      </c>
      <c r="D31" s="76" t="str">
        <f aca="false">IF(B31="","",IFERROR(INDEX(PE_Fonction,MATCH(B31,PE_Mat,0)),""))</f>
        <v>Manœuvre</v>
      </c>
      <c r="E31" s="76" t="str">
        <f aca="false">IF(B31="","",IFERROR(INDEX(PE_Equipe,MATCH(B31,PE_Mat,0)),""))</f>
        <v>Équipe Route – terrassement</v>
      </c>
      <c r="F31" s="25" t="s">
        <v>151</v>
      </c>
      <c r="G31" s="25" t="s">
        <v>396</v>
      </c>
      <c r="H31" s="68" t="s">
        <v>168</v>
      </c>
      <c r="I31" s="89" t="n">
        <v>0</v>
      </c>
      <c r="J31" s="31" t="n">
        <f aca="false">IF(B31="","",IFERROR(INDEX(PE_Taux,MATCH(B31,PE_Mat,0)),0))</f>
        <v>3500</v>
      </c>
      <c r="K31" s="31" t="n">
        <f aca="false">IF(B31="","",IF(H31="A",0,IFERROR(N(I31)/P_Heures*J31,0)))</f>
        <v>0</v>
      </c>
      <c r="L31" s="25"/>
    </row>
    <row r="32" customFormat="false" ht="23.85" hidden="false" customHeight="false" outlineLevel="0" collapsed="false">
      <c r="A32" s="69" t="n">
        <v>46311</v>
      </c>
      <c r="B32" s="68" t="s">
        <v>587</v>
      </c>
      <c r="C32" s="76" t="str">
        <f aca="false">IF(B32="","",IFERROR(INDEX(PE_Nom,MATCH(B32,PE_Mat,0)),"Matricule inconnu"))</f>
        <v>KOUAMÉ Serge</v>
      </c>
      <c r="D32" s="76" t="str">
        <f aca="false">IF(B32="","",IFERROR(INDEX(PE_Fonction,MATCH(B32,PE_Mat,0)),""))</f>
        <v>Chef d'équipe OH</v>
      </c>
      <c r="E32" s="76" t="str">
        <f aca="false">IF(B32="","",IFERROR(INDEX(PE_Equipe,MATCH(B32,PE_Mat,0)),""))</f>
        <v>Équipe OH – ouvrages hydrauliques</v>
      </c>
      <c r="F32" s="25" t="s">
        <v>203</v>
      </c>
      <c r="G32" s="25" t="s">
        <v>403</v>
      </c>
      <c r="H32" s="68" t="s">
        <v>147</v>
      </c>
      <c r="I32" s="89" t="n">
        <v>8</v>
      </c>
      <c r="J32" s="31" t="n">
        <f aca="false">IF(B32="","",IFERROR(INDEX(PE_Taux,MATCH(B32,PE_Mat,0)),0))</f>
        <v>10000</v>
      </c>
      <c r="K32" s="31" t="n">
        <f aca="false">IF(B32="","",IF(H32="A",0,IFERROR(N(I32)/P_Heures*J32,0)))</f>
        <v>10000</v>
      </c>
      <c r="L32" s="25"/>
    </row>
    <row r="33" customFormat="false" ht="23.85" hidden="false" customHeight="false" outlineLevel="0" collapsed="false">
      <c r="A33" s="69" t="n">
        <v>46311</v>
      </c>
      <c r="B33" s="68" t="s">
        <v>588</v>
      </c>
      <c r="C33" s="76" t="str">
        <f aca="false">IF(B33="","",IFERROR(INDEX(PE_Nom,MATCH(B33,PE_Mat,0)),"Matricule inconnu"))</f>
        <v>BAMBA Seydou</v>
      </c>
      <c r="D33" s="76" t="str">
        <f aca="false">IF(B33="","",IFERROR(INDEX(PE_Fonction,MATCH(B33,PE_Mat,0)),""))</f>
        <v>Ferrailleur</v>
      </c>
      <c r="E33" s="76" t="str">
        <f aca="false">IF(B33="","",IFERROR(INDEX(PE_Equipe,MATCH(B33,PE_Mat,0)),""))</f>
        <v>Équipe OH – ouvrages hydrauliques</v>
      </c>
      <c r="F33" s="25" t="s">
        <v>203</v>
      </c>
      <c r="G33" s="25" t="s">
        <v>403</v>
      </c>
      <c r="H33" s="68" t="s">
        <v>147</v>
      </c>
      <c r="I33" s="89" t="n">
        <v>8</v>
      </c>
      <c r="J33" s="31" t="n">
        <f aca="false">IF(B33="","",IFERROR(INDEX(PE_Taux,MATCH(B33,PE_Mat,0)),0))</f>
        <v>7000</v>
      </c>
      <c r="K33" s="31" t="n">
        <f aca="false">IF(B33="","",IF(H33="A",0,IFERROR(N(I33)/P_Heures*J33,0)))</f>
        <v>7000</v>
      </c>
      <c r="L33" s="25"/>
    </row>
    <row r="34" customFormat="false" ht="23.85" hidden="false" customHeight="false" outlineLevel="0" collapsed="false">
      <c r="A34" s="69" t="n">
        <v>46311</v>
      </c>
      <c r="B34" s="68" t="s">
        <v>589</v>
      </c>
      <c r="C34" s="76" t="str">
        <f aca="false">IF(B34="","",IFERROR(INDEX(PE_Nom,MATCH(B34,PE_Mat,0)),"Matricule inconnu"))</f>
        <v>YAO Kouadio</v>
      </c>
      <c r="D34" s="76" t="str">
        <f aca="false">IF(B34="","",IFERROR(INDEX(PE_Fonction,MATCH(B34,PE_Mat,0)),""))</f>
        <v>Coffreur</v>
      </c>
      <c r="E34" s="76" t="str">
        <f aca="false">IF(B34="","",IFERROR(INDEX(PE_Equipe,MATCH(B34,PE_Mat,0)),""))</f>
        <v>Équipe OH – ouvrages hydrauliques</v>
      </c>
      <c r="F34" s="25" t="s">
        <v>203</v>
      </c>
      <c r="G34" s="25" t="s">
        <v>403</v>
      </c>
      <c r="H34" s="68" t="s">
        <v>147</v>
      </c>
      <c r="I34" s="89" t="n">
        <v>8</v>
      </c>
      <c r="J34" s="31" t="n">
        <f aca="false">IF(B34="","",IFERROR(INDEX(PE_Taux,MATCH(B34,PE_Mat,0)),0))</f>
        <v>7000</v>
      </c>
      <c r="K34" s="31" t="n">
        <f aca="false">IF(B34="","",IF(H34="A",0,IFERROR(N(I34)/P_Heures*J34,0)))</f>
        <v>7000</v>
      </c>
      <c r="L34" s="25"/>
    </row>
    <row r="35" customFormat="false" ht="23.85" hidden="false" customHeight="false" outlineLevel="0" collapsed="false">
      <c r="A35" s="69" t="n">
        <v>46311</v>
      </c>
      <c r="B35" s="68" t="s">
        <v>590</v>
      </c>
      <c r="C35" s="76" t="str">
        <f aca="false">IF(B35="","",IFERROR(INDEX(PE_Nom,MATCH(B35,PE_Mat,0)),"Matricule inconnu"))</f>
        <v>KONÉ Adama</v>
      </c>
      <c r="D35" s="76" t="str">
        <f aca="false">IF(B35="","",IFERROR(INDEX(PE_Fonction,MATCH(B35,PE_Mat,0)),""))</f>
        <v>Maçon</v>
      </c>
      <c r="E35" s="76" t="str">
        <f aca="false">IF(B35="","",IFERROR(INDEX(PE_Equipe,MATCH(B35,PE_Mat,0)),""))</f>
        <v>Équipe OH – ouvrages hydrauliques</v>
      </c>
      <c r="F35" s="25" t="s">
        <v>203</v>
      </c>
      <c r="G35" s="25" t="s">
        <v>403</v>
      </c>
      <c r="H35" s="68" t="s">
        <v>147</v>
      </c>
      <c r="I35" s="89" t="n">
        <v>8</v>
      </c>
      <c r="J35" s="31" t="n">
        <f aca="false">IF(B35="","",IFERROR(INDEX(PE_Taux,MATCH(B35,PE_Mat,0)),0))</f>
        <v>7000</v>
      </c>
      <c r="K35" s="31" t="n">
        <f aca="false">IF(B35="","",IF(H35="A",0,IFERROR(N(I35)/P_Heures*J35,0)))</f>
        <v>7000</v>
      </c>
      <c r="L35" s="25"/>
    </row>
    <row r="36" customFormat="false" ht="23.85" hidden="false" customHeight="false" outlineLevel="0" collapsed="false">
      <c r="A36" s="69" t="n">
        <v>46311</v>
      </c>
      <c r="B36" s="68" t="s">
        <v>591</v>
      </c>
      <c r="C36" s="76" t="str">
        <f aca="false">IF(B36="","",IFERROR(INDEX(PE_Nom,MATCH(B36,PE_Mat,0)),"Matricule inconnu"))</f>
        <v>SORO Nanga</v>
      </c>
      <c r="D36" s="76" t="str">
        <f aca="false">IF(B36="","",IFERROR(INDEX(PE_Fonction,MATCH(B36,PE_Mat,0)),""))</f>
        <v>Manœuvre</v>
      </c>
      <c r="E36" s="76" t="str">
        <f aca="false">IF(B36="","",IFERROR(INDEX(PE_Equipe,MATCH(B36,PE_Mat,0)),""))</f>
        <v>Équipe OH – ouvrages hydrauliques</v>
      </c>
      <c r="F36" s="25" t="s">
        <v>203</v>
      </c>
      <c r="G36" s="25" t="s">
        <v>403</v>
      </c>
      <c r="H36" s="68" t="s">
        <v>147</v>
      </c>
      <c r="I36" s="89" t="n">
        <v>8</v>
      </c>
      <c r="J36" s="31" t="n">
        <f aca="false">IF(B36="","",IFERROR(INDEX(PE_Taux,MATCH(B36,PE_Mat,0)),0))</f>
        <v>3500</v>
      </c>
      <c r="K36" s="31" t="n">
        <f aca="false">IF(B36="","",IF(H36="A",0,IFERROR(N(I36)/P_Heures*J36,0)))</f>
        <v>3500</v>
      </c>
      <c r="L36" s="25"/>
    </row>
    <row r="37" customFormat="false" ht="23.85" hidden="false" customHeight="false" outlineLevel="0" collapsed="false">
      <c r="A37" s="69" t="n">
        <v>46311</v>
      </c>
      <c r="B37" s="68" t="s">
        <v>592</v>
      </c>
      <c r="C37" s="76" t="str">
        <f aca="false">IF(B37="","",IFERROR(INDEX(PE_Nom,MATCH(B37,PE_Mat,0)),"Matricule inconnu"))</f>
        <v>DIABATÉ Moussa</v>
      </c>
      <c r="D37" s="76" t="str">
        <f aca="false">IF(B37="","",IFERROR(INDEX(PE_Fonction,MATCH(B37,PE_Mat,0)),""))</f>
        <v>Chef d'équipe bâtiment</v>
      </c>
      <c r="E37" s="76" t="str">
        <f aca="false">IF(B37="","",IFERROR(INDEX(PE_Equipe,MATCH(B37,PE_Mat,0)),""))</f>
        <v>Équipe Bâtiment / clôture</v>
      </c>
      <c r="F37" s="25" t="s">
        <v>215</v>
      </c>
      <c r="G37" s="25" t="s">
        <v>406</v>
      </c>
      <c r="H37" s="68" t="s">
        <v>147</v>
      </c>
      <c r="I37" s="89" t="n">
        <v>8</v>
      </c>
      <c r="J37" s="31" t="n">
        <f aca="false">IF(B37="","",IFERROR(INDEX(PE_Taux,MATCH(B37,PE_Mat,0)),0))</f>
        <v>10000</v>
      </c>
      <c r="K37" s="31" t="n">
        <f aca="false">IF(B37="","",IF(H37="A",0,IFERROR(N(I37)/P_Heures*J37,0)))</f>
        <v>10000</v>
      </c>
      <c r="L37" s="25"/>
    </row>
    <row r="38" customFormat="false" ht="23.85" hidden="false" customHeight="false" outlineLevel="0" collapsed="false">
      <c r="A38" s="69" t="n">
        <v>46311</v>
      </c>
      <c r="B38" s="68" t="s">
        <v>593</v>
      </c>
      <c r="C38" s="76" t="str">
        <f aca="false">IF(B38="","",IFERROR(INDEX(PE_Nom,MATCH(B38,PE_Mat,0)),"Matricule inconnu"))</f>
        <v>TRAORÉ Ibrahim</v>
      </c>
      <c r="D38" s="76" t="str">
        <f aca="false">IF(B38="","",IFERROR(INDEX(PE_Fonction,MATCH(B38,PE_Mat,0)),""))</f>
        <v>Maçon</v>
      </c>
      <c r="E38" s="76" t="str">
        <f aca="false">IF(B38="","",IFERROR(INDEX(PE_Equipe,MATCH(B38,PE_Mat,0)),""))</f>
        <v>Équipe Bâtiment / clôture</v>
      </c>
      <c r="F38" s="25" t="s">
        <v>215</v>
      </c>
      <c r="G38" s="25" t="s">
        <v>406</v>
      </c>
      <c r="H38" s="68" t="s">
        <v>147</v>
      </c>
      <c r="I38" s="89" t="n">
        <v>8</v>
      </c>
      <c r="J38" s="31" t="n">
        <f aca="false">IF(B38="","",IFERROR(INDEX(PE_Taux,MATCH(B38,PE_Mat,0)),0))</f>
        <v>7000</v>
      </c>
      <c r="K38" s="31" t="n">
        <f aca="false">IF(B38="","",IF(H38="A",0,IFERROR(N(I38)/P_Heures*J38,0)))</f>
        <v>7000</v>
      </c>
      <c r="L38" s="25"/>
    </row>
    <row r="39" customFormat="false" ht="23.85" hidden="false" customHeight="false" outlineLevel="0" collapsed="false">
      <c r="A39" s="69" t="n">
        <v>46311</v>
      </c>
      <c r="B39" s="68" t="s">
        <v>594</v>
      </c>
      <c r="C39" s="76" t="str">
        <f aca="false">IF(B39="","",IFERROR(INDEX(PE_Nom,MATCH(B39,PE_Mat,0)),"Matricule inconnu"))</f>
        <v>N'GUESSAN Paul</v>
      </c>
      <c r="D39" s="76" t="str">
        <f aca="false">IF(B39="","",IFERROR(INDEX(PE_Fonction,MATCH(B39,PE_Mat,0)),""))</f>
        <v>Manœuvre</v>
      </c>
      <c r="E39" s="76" t="str">
        <f aca="false">IF(B39="","",IFERROR(INDEX(PE_Equipe,MATCH(B39,PE_Mat,0)),""))</f>
        <v>Équipe Bâtiment / clôture</v>
      </c>
      <c r="F39" s="25" t="s">
        <v>215</v>
      </c>
      <c r="G39" s="25" t="s">
        <v>406</v>
      </c>
      <c r="H39" s="68" t="s">
        <v>147</v>
      </c>
      <c r="I39" s="89" t="n">
        <v>8</v>
      </c>
      <c r="J39" s="31" t="n">
        <f aca="false">IF(B39="","",IFERROR(INDEX(PE_Taux,MATCH(B39,PE_Mat,0)),0))</f>
        <v>3500</v>
      </c>
      <c r="K39" s="31" t="n">
        <f aca="false">IF(B39="","",IF(H39="A",0,IFERROR(N(I39)/P_Heures*J39,0)))</f>
        <v>3500</v>
      </c>
      <c r="L39" s="25"/>
    </row>
    <row r="40" customFormat="false" ht="23.85" hidden="false" customHeight="false" outlineLevel="0" collapsed="false">
      <c r="A40" s="69" t="n">
        <v>46311</v>
      </c>
      <c r="B40" s="68" t="s">
        <v>595</v>
      </c>
      <c r="C40" s="76" t="str">
        <f aca="false">IF(B40="","",IFERROR(INDEX(PE_Nom,MATCH(B40,PE_Mat,0)),"Matricule inconnu"))</f>
        <v>OUATTARA Lassina</v>
      </c>
      <c r="D40" s="76" t="str">
        <f aca="false">IF(B40="","",IFERROR(INDEX(PE_Fonction,MATCH(B40,PE_Mat,0)),""))</f>
        <v>Manœuvre</v>
      </c>
      <c r="E40" s="76" t="str">
        <f aca="false">IF(B40="","",IFERROR(INDEX(PE_Equipe,MATCH(B40,PE_Mat,0)),""))</f>
        <v>Équipe Bâtiment / clôture</v>
      </c>
      <c r="F40" s="25" t="s">
        <v>215</v>
      </c>
      <c r="G40" s="25" t="s">
        <v>406</v>
      </c>
      <c r="H40" s="68" t="s">
        <v>147</v>
      </c>
      <c r="I40" s="89" t="n">
        <v>8</v>
      </c>
      <c r="J40" s="31" t="n">
        <f aca="false">IF(B40="","",IFERROR(INDEX(PE_Taux,MATCH(B40,PE_Mat,0)),0))</f>
        <v>3500</v>
      </c>
      <c r="K40" s="31" t="n">
        <f aca="false">IF(B40="","",IF(H40="A",0,IFERROR(N(I40)/P_Heures*J40,0)))</f>
        <v>3500</v>
      </c>
      <c r="L40" s="25"/>
    </row>
    <row r="41" customFormat="false" ht="23.85" hidden="false" customHeight="false" outlineLevel="0" collapsed="false">
      <c r="A41" s="69" t="n">
        <v>46311</v>
      </c>
      <c r="B41" s="68" t="s">
        <v>596</v>
      </c>
      <c r="C41" s="76" t="str">
        <f aca="false">IF(B41="","",IFERROR(INDEX(PE_Nom,MATCH(B41,PE_Mat,0)),"Matricule inconnu"))</f>
        <v>ADOU Franck</v>
      </c>
      <c r="D41" s="76" t="str">
        <f aca="false">IF(B41="","",IFERROR(INDEX(PE_Fonction,MATCH(B41,PE_Mat,0)),""))</f>
        <v>Soudeur-monteur</v>
      </c>
      <c r="E41" s="76" t="str">
        <f aca="false">IF(B41="","",IFERROR(INDEX(PE_Equipe,MATCH(B41,PE_Mat,0)),""))</f>
        <v>Équipe Charpente métallique</v>
      </c>
      <c r="F41" s="25" t="s">
        <v>238</v>
      </c>
      <c r="G41" s="25" t="s">
        <v>416</v>
      </c>
      <c r="H41" s="68" t="s">
        <v>147</v>
      </c>
      <c r="I41" s="89" t="n">
        <v>8</v>
      </c>
      <c r="J41" s="31" t="n">
        <f aca="false">IF(B41="","",IFERROR(INDEX(PE_Taux,MATCH(B41,PE_Mat,0)),0))</f>
        <v>9000</v>
      </c>
      <c r="K41" s="31" t="n">
        <f aca="false">IF(B41="","",IF(H41="A",0,IFERROR(N(I41)/P_Heures*J41,0)))</f>
        <v>9000</v>
      </c>
      <c r="L41" s="25"/>
    </row>
    <row r="42" customFormat="false" ht="23.85" hidden="false" customHeight="false" outlineLevel="0" collapsed="false">
      <c r="A42" s="69" t="n">
        <v>46311</v>
      </c>
      <c r="B42" s="68" t="s">
        <v>597</v>
      </c>
      <c r="C42" s="76" t="str">
        <f aca="false">IF(B42="","",IFERROR(INDEX(PE_Nom,MATCH(B42,PE_Mat,0)),"Matricule inconnu"))</f>
        <v>AKA Jérôme</v>
      </c>
      <c r="D42" s="76" t="str">
        <f aca="false">IF(B42="","",IFERROR(INDEX(PE_Fonction,MATCH(B42,PE_Mat,0)),""))</f>
        <v>Aide-monteur</v>
      </c>
      <c r="E42" s="76" t="str">
        <f aca="false">IF(B42="","",IFERROR(INDEX(PE_Equipe,MATCH(B42,PE_Mat,0)),""))</f>
        <v>Équipe Charpente métallique</v>
      </c>
      <c r="F42" s="25" t="s">
        <v>238</v>
      </c>
      <c r="G42" s="25" t="s">
        <v>416</v>
      </c>
      <c r="H42" s="68" t="s">
        <v>147</v>
      </c>
      <c r="I42" s="89" t="n">
        <v>8</v>
      </c>
      <c r="J42" s="31" t="n">
        <f aca="false">IF(B42="","",IFERROR(INDEX(PE_Taux,MATCH(B42,PE_Mat,0)),0))</f>
        <v>5000</v>
      </c>
      <c r="K42" s="31" t="n">
        <f aca="false">IF(B42="","",IF(H42="A",0,IFERROR(N(I42)/P_Heures*J42,0)))</f>
        <v>5000</v>
      </c>
      <c r="L42" s="25"/>
    </row>
    <row r="43" customFormat="false" ht="15" hidden="false" customHeight="false" outlineLevel="0" collapsed="false">
      <c r="A43" s="69"/>
      <c r="B43" s="68"/>
      <c r="C43" s="76" t="str">
        <f aca="false">IF(B43="","",IFERROR(INDEX(PE_Nom,MATCH(B43,PE_Mat,0)),"Matricule inconnu"))</f>
        <v/>
      </c>
      <c r="D43" s="76" t="str">
        <f aca="false">IF(B43="","",IFERROR(INDEX(PE_Fonction,MATCH(B43,PE_Mat,0)),""))</f>
        <v/>
      </c>
      <c r="E43" s="76" t="str">
        <f aca="false">IF(B43="","",IFERROR(INDEX(PE_Equipe,MATCH(B43,PE_Mat,0)),""))</f>
        <v/>
      </c>
      <c r="F43" s="25"/>
      <c r="G43" s="25"/>
      <c r="H43" s="68"/>
      <c r="I43" s="89"/>
      <c r="J43" s="31" t="str">
        <f aca="false">IF(B43="","",IFERROR(INDEX(PE_Taux,MATCH(B43,PE_Mat,0)),0))</f>
        <v/>
      </c>
      <c r="K43" s="31" t="str">
        <f aca="false">IF(B43="","",IF(H43="A",0,IFERROR(N(I43)/P_Heures*J43,0)))</f>
        <v/>
      </c>
      <c r="L43" s="25"/>
    </row>
    <row r="44" customFormat="false" ht="15" hidden="false" customHeight="false" outlineLevel="0" collapsed="false">
      <c r="A44" s="69"/>
      <c r="B44" s="68"/>
      <c r="C44" s="76" t="str">
        <f aca="false">IF(B44="","",IFERROR(INDEX(PE_Nom,MATCH(B44,PE_Mat,0)),"Matricule inconnu"))</f>
        <v/>
      </c>
      <c r="D44" s="76" t="str">
        <f aca="false">IF(B44="","",IFERROR(INDEX(PE_Fonction,MATCH(B44,PE_Mat,0)),""))</f>
        <v/>
      </c>
      <c r="E44" s="76" t="str">
        <f aca="false">IF(B44="","",IFERROR(INDEX(PE_Equipe,MATCH(B44,PE_Mat,0)),""))</f>
        <v/>
      </c>
      <c r="F44" s="25"/>
      <c r="G44" s="25"/>
      <c r="H44" s="68"/>
      <c r="I44" s="89"/>
      <c r="J44" s="31" t="str">
        <f aca="false">IF(B44="","",IFERROR(INDEX(PE_Taux,MATCH(B44,PE_Mat,0)),0))</f>
        <v/>
      </c>
      <c r="K44" s="31" t="str">
        <f aca="false">IF(B44="","",IF(H44="A",0,IFERROR(N(I44)/P_Heures*J44,0)))</f>
        <v/>
      </c>
      <c r="L44" s="25"/>
    </row>
    <row r="45" customFormat="false" ht="15" hidden="false" customHeight="false" outlineLevel="0" collapsed="false">
      <c r="A45" s="69"/>
      <c r="B45" s="68"/>
      <c r="C45" s="76" t="str">
        <f aca="false">IF(B45="","",IFERROR(INDEX(PE_Nom,MATCH(B45,PE_Mat,0)),"Matricule inconnu"))</f>
        <v/>
      </c>
      <c r="D45" s="76" t="str">
        <f aca="false">IF(B45="","",IFERROR(INDEX(PE_Fonction,MATCH(B45,PE_Mat,0)),""))</f>
        <v/>
      </c>
      <c r="E45" s="76" t="str">
        <f aca="false">IF(B45="","",IFERROR(INDEX(PE_Equipe,MATCH(B45,PE_Mat,0)),""))</f>
        <v/>
      </c>
      <c r="F45" s="25"/>
      <c r="G45" s="25"/>
      <c r="H45" s="68"/>
      <c r="I45" s="89"/>
      <c r="J45" s="31" t="str">
        <f aca="false">IF(B45="","",IFERROR(INDEX(PE_Taux,MATCH(B45,PE_Mat,0)),0))</f>
        <v/>
      </c>
      <c r="K45" s="31" t="str">
        <f aca="false">IF(B45="","",IF(H45="A",0,IFERROR(N(I45)/P_Heures*J45,0)))</f>
        <v/>
      </c>
      <c r="L45" s="25"/>
    </row>
    <row r="46" customFormat="false" ht="15" hidden="false" customHeight="false" outlineLevel="0" collapsed="false">
      <c r="A46" s="69"/>
      <c r="B46" s="68"/>
      <c r="C46" s="76" t="str">
        <f aca="false">IF(B46="","",IFERROR(INDEX(PE_Nom,MATCH(B46,PE_Mat,0)),"Matricule inconnu"))</f>
        <v/>
      </c>
      <c r="D46" s="76" t="str">
        <f aca="false">IF(B46="","",IFERROR(INDEX(PE_Fonction,MATCH(B46,PE_Mat,0)),""))</f>
        <v/>
      </c>
      <c r="E46" s="76" t="str">
        <f aca="false">IF(B46="","",IFERROR(INDEX(PE_Equipe,MATCH(B46,PE_Mat,0)),""))</f>
        <v/>
      </c>
      <c r="F46" s="25"/>
      <c r="G46" s="25"/>
      <c r="H46" s="68"/>
      <c r="I46" s="89"/>
      <c r="J46" s="31" t="str">
        <f aca="false">IF(B46="","",IFERROR(INDEX(PE_Taux,MATCH(B46,PE_Mat,0)),0))</f>
        <v/>
      </c>
      <c r="K46" s="31" t="str">
        <f aca="false">IF(B46="","",IF(H46="A",0,IFERROR(N(I46)/P_Heures*J46,0)))</f>
        <v/>
      </c>
      <c r="L46" s="25"/>
    </row>
    <row r="47" customFormat="false" ht="15" hidden="false" customHeight="false" outlineLevel="0" collapsed="false">
      <c r="A47" s="69"/>
      <c r="B47" s="68"/>
      <c r="C47" s="76" t="str">
        <f aca="false">IF(B47="","",IFERROR(INDEX(PE_Nom,MATCH(B47,PE_Mat,0)),"Matricule inconnu"))</f>
        <v/>
      </c>
      <c r="D47" s="76" t="str">
        <f aca="false">IF(B47="","",IFERROR(INDEX(PE_Fonction,MATCH(B47,PE_Mat,0)),""))</f>
        <v/>
      </c>
      <c r="E47" s="76" t="str">
        <f aca="false">IF(B47="","",IFERROR(INDEX(PE_Equipe,MATCH(B47,PE_Mat,0)),""))</f>
        <v/>
      </c>
      <c r="F47" s="25"/>
      <c r="G47" s="25"/>
      <c r="H47" s="68"/>
      <c r="I47" s="89"/>
      <c r="J47" s="31" t="str">
        <f aca="false">IF(B47="","",IFERROR(INDEX(PE_Taux,MATCH(B47,PE_Mat,0)),0))</f>
        <v/>
      </c>
      <c r="K47" s="31" t="str">
        <f aca="false">IF(B47="","",IF(H47="A",0,IFERROR(N(I47)/P_Heures*J47,0)))</f>
        <v/>
      </c>
      <c r="L47" s="25"/>
    </row>
    <row r="48" customFormat="false" ht="15" hidden="false" customHeight="false" outlineLevel="0" collapsed="false">
      <c r="A48" s="69"/>
      <c r="B48" s="68"/>
      <c r="C48" s="76" t="str">
        <f aca="false">IF(B48="","",IFERROR(INDEX(PE_Nom,MATCH(B48,PE_Mat,0)),"Matricule inconnu"))</f>
        <v/>
      </c>
      <c r="D48" s="76" t="str">
        <f aca="false">IF(B48="","",IFERROR(INDEX(PE_Fonction,MATCH(B48,PE_Mat,0)),""))</f>
        <v/>
      </c>
      <c r="E48" s="76" t="str">
        <f aca="false">IF(B48="","",IFERROR(INDEX(PE_Equipe,MATCH(B48,PE_Mat,0)),""))</f>
        <v/>
      </c>
      <c r="F48" s="25"/>
      <c r="G48" s="25"/>
      <c r="H48" s="68"/>
      <c r="I48" s="89"/>
      <c r="J48" s="31" t="str">
        <f aca="false">IF(B48="","",IFERROR(INDEX(PE_Taux,MATCH(B48,PE_Mat,0)),0))</f>
        <v/>
      </c>
      <c r="K48" s="31" t="str">
        <f aca="false">IF(B48="","",IF(H48="A",0,IFERROR(N(I48)/P_Heures*J48,0)))</f>
        <v/>
      </c>
      <c r="L48" s="25"/>
    </row>
    <row r="49" customFormat="false" ht="15" hidden="false" customHeight="false" outlineLevel="0" collapsed="false">
      <c r="A49" s="69"/>
      <c r="B49" s="68"/>
      <c r="C49" s="76" t="str">
        <f aca="false">IF(B49="","",IFERROR(INDEX(PE_Nom,MATCH(B49,PE_Mat,0)),"Matricule inconnu"))</f>
        <v/>
      </c>
      <c r="D49" s="76" t="str">
        <f aca="false">IF(B49="","",IFERROR(INDEX(PE_Fonction,MATCH(B49,PE_Mat,0)),""))</f>
        <v/>
      </c>
      <c r="E49" s="76" t="str">
        <f aca="false">IF(B49="","",IFERROR(INDEX(PE_Equipe,MATCH(B49,PE_Mat,0)),""))</f>
        <v/>
      </c>
      <c r="F49" s="25"/>
      <c r="G49" s="25"/>
      <c r="H49" s="68"/>
      <c r="I49" s="89"/>
      <c r="J49" s="31" t="str">
        <f aca="false">IF(B49="","",IFERROR(INDEX(PE_Taux,MATCH(B49,PE_Mat,0)),0))</f>
        <v/>
      </c>
      <c r="K49" s="31" t="str">
        <f aca="false">IF(B49="","",IF(H49="A",0,IFERROR(N(I49)/P_Heures*J49,0)))</f>
        <v/>
      </c>
      <c r="L49" s="25"/>
    </row>
    <row r="50" customFormat="false" ht="15" hidden="false" customHeight="false" outlineLevel="0" collapsed="false">
      <c r="A50" s="69"/>
      <c r="B50" s="68"/>
      <c r="C50" s="76" t="str">
        <f aca="false">IF(B50="","",IFERROR(INDEX(PE_Nom,MATCH(B50,PE_Mat,0)),"Matricule inconnu"))</f>
        <v/>
      </c>
      <c r="D50" s="76" t="str">
        <f aca="false">IF(B50="","",IFERROR(INDEX(PE_Fonction,MATCH(B50,PE_Mat,0)),""))</f>
        <v/>
      </c>
      <c r="E50" s="76" t="str">
        <f aca="false">IF(B50="","",IFERROR(INDEX(PE_Equipe,MATCH(B50,PE_Mat,0)),""))</f>
        <v/>
      </c>
      <c r="F50" s="25"/>
      <c r="G50" s="25"/>
      <c r="H50" s="68"/>
      <c r="I50" s="89"/>
      <c r="J50" s="31" t="str">
        <f aca="false">IF(B50="","",IFERROR(INDEX(PE_Taux,MATCH(B50,PE_Mat,0)),0))</f>
        <v/>
      </c>
      <c r="K50" s="31" t="str">
        <f aca="false">IF(B50="","",IF(H50="A",0,IFERROR(N(I50)/P_Heures*J50,0)))</f>
        <v/>
      </c>
      <c r="L50" s="25"/>
    </row>
    <row r="51" customFormat="false" ht="15" hidden="false" customHeight="false" outlineLevel="0" collapsed="false">
      <c r="A51" s="69"/>
      <c r="B51" s="68"/>
      <c r="C51" s="76" t="str">
        <f aca="false">IF(B51="","",IFERROR(INDEX(PE_Nom,MATCH(B51,PE_Mat,0)),"Matricule inconnu"))</f>
        <v/>
      </c>
      <c r="D51" s="76" t="str">
        <f aca="false">IF(B51="","",IFERROR(INDEX(PE_Fonction,MATCH(B51,PE_Mat,0)),""))</f>
        <v/>
      </c>
      <c r="E51" s="76" t="str">
        <f aca="false">IF(B51="","",IFERROR(INDEX(PE_Equipe,MATCH(B51,PE_Mat,0)),""))</f>
        <v/>
      </c>
      <c r="F51" s="25"/>
      <c r="G51" s="25"/>
      <c r="H51" s="68"/>
      <c r="I51" s="89"/>
      <c r="J51" s="31" t="str">
        <f aca="false">IF(B51="","",IFERROR(INDEX(PE_Taux,MATCH(B51,PE_Mat,0)),0))</f>
        <v/>
      </c>
      <c r="K51" s="31" t="str">
        <f aca="false">IF(B51="","",IF(H51="A",0,IFERROR(N(I51)/P_Heures*J51,0)))</f>
        <v/>
      </c>
      <c r="L51" s="25"/>
    </row>
    <row r="52" customFormat="false" ht="15" hidden="false" customHeight="false" outlineLevel="0" collapsed="false">
      <c r="A52" s="69"/>
      <c r="B52" s="68"/>
      <c r="C52" s="76" t="str">
        <f aca="false">IF(B52="","",IFERROR(INDEX(PE_Nom,MATCH(B52,PE_Mat,0)),"Matricule inconnu"))</f>
        <v/>
      </c>
      <c r="D52" s="76" t="str">
        <f aca="false">IF(B52="","",IFERROR(INDEX(PE_Fonction,MATCH(B52,PE_Mat,0)),""))</f>
        <v/>
      </c>
      <c r="E52" s="76" t="str">
        <f aca="false">IF(B52="","",IFERROR(INDEX(PE_Equipe,MATCH(B52,PE_Mat,0)),""))</f>
        <v/>
      </c>
      <c r="F52" s="25"/>
      <c r="G52" s="25"/>
      <c r="H52" s="68"/>
      <c r="I52" s="89"/>
      <c r="J52" s="31" t="str">
        <f aca="false">IF(B52="","",IFERROR(INDEX(PE_Taux,MATCH(B52,PE_Mat,0)),0))</f>
        <v/>
      </c>
      <c r="K52" s="31" t="str">
        <f aca="false">IF(B52="","",IF(H52="A",0,IFERROR(N(I52)/P_Heures*J52,0)))</f>
        <v/>
      </c>
      <c r="L52" s="25"/>
    </row>
    <row r="53" customFormat="false" ht="15" hidden="false" customHeight="false" outlineLevel="0" collapsed="false">
      <c r="A53" s="69"/>
      <c r="B53" s="68"/>
      <c r="C53" s="76" t="str">
        <f aca="false">IF(B53="","",IFERROR(INDEX(PE_Nom,MATCH(B53,PE_Mat,0)),"Matricule inconnu"))</f>
        <v/>
      </c>
      <c r="D53" s="76" t="str">
        <f aca="false">IF(B53="","",IFERROR(INDEX(PE_Fonction,MATCH(B53,PE_Mat,0)),""))</f>
        <v/>
      </c>
      <c r="E53" s="76" t="str">
        <f aca="false">IF(B53="","",IFERROR(INDEX(PE_Equipe,MATCH(B53,PE_Mat,0)),""))</f>
        <v/>
      </c>
      <c r="F53" s="25"/>
      <c r="G53" s="25"/>
      <c r="H53" s="68"/>
      <c r="I53" s="89"/>
      <c r="J53" s="31" t="str">
        <f aca="false">IF(B53="","",IFERROR(INDEX(PE_Taux,MATCH(B53,PE_Mat,0)),0))</f>
        <v/>
      </c>
      <c r="K53" s="31" t="str">
        <f aca="false">IF(B53="","",IF(H53="A",0,IFERROR(N(I53)/P_Heures*J53,0)))</f>
        <v/>
      </c>
      <c r="L53" s="25"/>
    </row>
    <row r="54" customFormat="false" ht="15" hidden="false" customHeight="false" outlineLevel="0" collapsed="false">
      <c r="A54" s="69"/>
      <c r="B54" s="68"/>
      <c r="C54" s="76" t="str">
        <f aca="false">IF(B54="","",IFERROR(INDEX(PE_Nom,MATCH(B54,PE_Mat,0)),"Matricule inconnu"))</f>
        <v/>
      </c>
      <c r="D54" s="76" t="str">
        <f aca="false">IF(B54="","",IFERROR(INDEX(PE_Fonction,MATCH(B54,PE_Mat,0)),""))</f>
        <v/>
      </c>
      <c r="E54" s="76" t="str">
        <f aca="false">IF(B54="","",IFERROR(INDEX(PE_Equipe,MATCH(B54,PE_Mat,0)),""))</f>
        <v/>
      </c>
      <c r="F54" s="25"/>
      <c r="G54" s="25"/>
      <c r="H54" s="68"/>
      <c r="I54" s="89"/>
      <c r="J54" s="31" t="str">
        <f aca="false">IF(B54="","",IFERROR(INDEX(PE_Taux,MATCH(B54,PE_Mat,0)),0))</f>
        <v/>
      </c>
      <c r="K54" s="31" t="str">
        <f aca="false">IF(B54="","",IF(H54="A",0,IFERROR(N(I54)/P_Heures*J54,0)))</f>
        <v/>
      </c>
      <c r="L54" s="25"/>
    </row>
    <row r="55" customFormat="false" ht="15" hidden="false" customHeight="false" outlineLevel="0" collapsed="false">
      <c r="A55" s="69"/>
      <c r="B55" s="68"/>
      <c r="C55" s="76" t="str">
        <f aca="false">IF(B55="","",IFERROR(INDEX(PE_Nom,MATCH(B55,PE_Mat,0)),"Matricule inconnu"))</f>
        <v/>
      </c>
      <c r="D55" s="76" t="str">
        <f aca="false">IF(B55="","",IFERROR(INDEX(PE_Fonction,MATCH(B55,PE_Mat,0)),""))</f>
        <v/>
      </c>
      <c r="E55" s="76" t="str">
        <f aca="false">IF(B55="","",IFERROR(INDEX(PE_Equipe,MATCH(B55,PE_Mat,0)),""))</f>
        <v/>
      </c>
      <c r="F55" s="25"/>
      <c r="G55" s="25"/>
      <c r="H55" s="68"/>
      <c r="I55" s="89"/>
      <c r="J55" s="31" t="str">
        <f aca="false">IF(B55="","",IFERROR(INDEX(PE_Taux,MATCH(B55,PE_Mat,0)),0))</f>
        <v/>
      </c>
      <c r="K55" s="31" t="str">
        <f aca="false">IF(B55="","",IF(H55="A",0,IFERROR(N(I55)/P_Heures*J55,0)))</f>
        <v/>
      </c>
      <c r="L55" s="25"/>
    </row>
    <row r="56" customFormat="false" ht="15" hidden="false" customHeight="false" outlineLevel="0" collapsed="false">
      <c r="A56" s="69"/>
      <c r="B56" s="68"/>
      <c r="C56" s="76" t="str">
        <f aca="false">IF(B56="","",IFERROR(INDEX(PE_Nom,MATCH(B56,PE_Mat,0)),"Matricule inconnu"))</f>
        <v/>
      </c>
      <c r="D56" s="76" t="str">
        <f aca="false">IF(B56="","",IFERROR(INDEX(PE_Fonction,MATCH(B56,PE_Mat,0)),""))</f>
        <v/>
      </c>
      <c r="E56" s="76" t="str">
        <f aca="false">IF(B56="","",IFERROR(INDEX(PE_Equipe,MATCH(B56,PE_Mat,0)),""))</f>
        <v/>
      </c>
      <c r="F56" s="25"/>
      <c r="G56" s="25"/>
      <c r="H56" s="68"/>
      <c r="I56" s="89"/>
      <c r="J56" s="31" t="str">
        <f aca="false">IF(B56="","",IFERROR(INDEX(PE_Taux,MATCH(B56,PE_Mat,0)),0))</f>
        <v/>
      </c>
      <c r="K56" s="31" t="str">
        <f aca="false">IF(B56="","",IF(H56="A",0,IFERROR(N(I56)/P_Heures*J56,0)))</f>
        <v/>
      </c>
      <c r="L56" s="25"/>
    </row>
    <row r="57" customFormat="false" ht="15" hidden="false" customHeight="false" outlineLevel="0" collapsed="false">
      <c r="A57" s="69"/>
      <c r="B57" s="68"/>
      <c r="C57" s="76" t="str">
        <f aca="false">IF(B57="","",IFERROR(INDEX(PE_Nom,MATCH(B57,PE_Mat,0)),"Matricule inconnu"))</f>
        <v/>
      </c>
      <c r="D57" s="76" t="str">
        <f aca="false">IF(B57="","",IFERROR(INDEX(PE_Fonction,MATCH(B57,PE_Mat,0)),""))</f>
        <v/>
      </c>
      <c r="E57" s="76" t="str">
        <f aca="false">IF(B57="","",IFERROR(INDEX(PE_Equipe,MATCH(B57,PE_Mat,0)),""))</f>
        <v/>
      </c>
      <c r="F57" s="25"/>
      <c r="G57" s="25"/>
      <c r="H57" s="68"/>
      <c r="I57" s="89"/>
      <c r="J57" s="31" t="str">
        <f aca="false">IF(B57="","",IFERROR(INDEX(PE_Taux,MATCH(B57,PE_Mat,0)),0))</f>
        <v/>
      </c>
      <c r="K57" s="31" t="str">
        <f aca="false">IF(B57="","",IF(H57="A",0,IFERROR(N(I57)/P_Heures*J57,0)))</f>
        <v/>
      </c>
      <c r="L57" s="25"/>
    </row>
    <row r="58" customFormat="false" ht="15" hidden="false" customHeight="false" outlineLevel="0" collapsed="false">
      <c r="A58" s="69"/>
      <c r="B58" s="68"/>
      <c r="C58" s="76" t="str">
        <f aca="false">IF(B58="","",IFERROR(INDEX(PE_Nom,MATCH(B58,PE_Mat,0)),"Matricule inconnu"))</f>
        <v/>
      </c>
      <c r="D58" s="76" t="str">
        <f aca="false">IF(B58="","",IFERROR(INDEX(PE_Fonction,MATCH(B58,PE_Mat,0)),""))</f>
        <v/>
      </c>
      <c r="E58" s="76" t="str">
        <f aca="false">IF(B58="","",IFERROR(INDEX(PE_Equipe,MATCH(B58,PE_Mat,0)),""))</f>
        <v/>
      </c>
      <c r="F58" s="25"/>
      <c r="G58" s="25"/>
      <c r="H58" s="68"/>
      <c r="I58" s="89"/>
      <c r="J58" s="31" t="str">
        <f aca="false">IF(B58="","",IFERROR(INDEX(PE_Taux,MATCH(B58,PE_Mat,0)),0))</f>
        <v/>
      </c>
      <c r="K58" s="31" t="str">
        <f aca="false">IF(B58="","",IF(H58="A",0,IFERROR(N(I58)/P_Heures*J58,0)))</f>
        <v/>
      </c>
      <c r="L58" s="25"/>
    </row>
    <row r="59" customFormat="false" ht="15" hidden="false" customHeight="false" outlineLevel="0" collapsed="false">
      <c r="A59" s="69"/>
      <c r="B59" s="68"/>
      <c r="C59" s="76" t="str">
        <f aca="false">IF(B59="","",IFERROR(INDEX(PE_Nom,MATCH(B59,PE_Mat,0)),"Matricule inconnu"))</f>
        <v/>
      </c>
      <c r="D59" s="76" t="str">
        <f aca="false">IF(B59="","",IFERROR(INDEX(PE_Fonction,MATCH(B59,PE_Mat,0)),""))</f>
        <v/>
      </c>
      <c r="E59" s="76" t="str">
        <f aca="false">IF(B59="","",IFERROR(INDEX(PE_Equipe,MATCH(B59,PE_Mat,0)),""))</f>
        <v/>
      </c>
      <c r="F59" s="25"/>
      <c r="G59" s="25"/>
      <c r="H59" s="68"/>
      <c r="I59" s="89"/>
      <c r="J59" s="31" t="str">
        <f aca="false">IF(B59="","",IFERROR(INDEX(PE_Taux,MATCH(B59,PE_Mat,0)),0))</f>
        <v/>
      </c>
      <c r="K59" s="31" t="str">
        <f aca="false">IF(B59="","",IF(H59="A",0,IFERROR(N(I59)/P_Heures*J59,0)))</f>
        <v/>
      </c>
      <c r="L59" s="25"/>
    </row>
    <row r="60" customFormat="false" ht="15" hidden="false" customHeight="false" outlineLevel="0" collapsed="false">
      <c r="A60" s="69"/>
      <c r="B60" s="68"/>
      <c r="C60" s="76" t="str">
        <f aca="false">IF(B60="","",IFERROR(INDEX(PE_Nom,MATCH(B60,PE_Mat,0)),"Matricule inconnu"))</f>
        <v/>
      </c>
      <c r="D60" s="76" t="str">
        <f aca="false">IF(B60="","",IFERROR(INDEX(PE_Fonction,MATCH(B60,PE_Mat,0)),""))</f>
        <v/>
      </c>
      <c r="E60" s="76" t="str">
        <f aca="false">IF(B60="","",IFERROR(INDEX(PE_Equipe,MATCH(B60,PE_Mat,0)),""))</f>
        <v/>
      </c>
      <c r="F60" s="25"/>
      <c r="G60" s="25"/>
      <c r="H60" s="68"/>
      <c r="I60" s="89"/>
      <c r="J60" s="31" t="str">
        <f aca="false">IF(B60="","",IFERROR(INDEX(PE_Taux,MATCH(B60,PE_Mat,0)),0))</f>
        <v/>
      </c>
      <c r="K60" s="31" t="str">
        <f aca="false">IF(B60="","",IF(H60="A",0,IFERROR(N(I60)/P_Heures*J60,0)))</f>
        <v/>
      </c>
      <c r="L60" s="25"/>
    </row>
    <row r="61" customFormat="false" ht="15" hidden="false" customHeight="false" outlineLevel="0" collapsed="false">
      <c r="A61" s="69"/>
      <c r="B61" s="68"/>
      <c r="C61" s="76" t="str">
        <f aca="false">IF(B61="","",IFERROR(INDEX(PE_Nom,MATCH(B61,PE_Mat,0)),"Matricule inconnu"))</f>
        <v/>
      </c>
      <c r="D61" s="76" t="str">
        <f aca="false">IF(B61="","",IFERROR(INDEX(PE_Fonction,MATCH(B61,PE_Mat,0)),""))</f>
        <v/>
      </c>
      <c r="E61" s="76" t="str">
        <f aca="false">IF(B61="","",IFERROR(INDEX(PE_Equipe,MATCH(B61,PE_Mat,0)),""))</f>
        <v/>
      </c>
      <c r="F61" s="25"/>
      <c r="G61" s="25"/>
      <c r="H61" s="68"/>
      <c r="I61" s="89"/>
      <c r="J61" s="31" t="str">
        <f aca="false">IF(B61="","",IFERROR(INDEX(PE_Taux,MATCH(B61,PE_Mat,0)),0))</f>
        <v/>
      </c>
      <c r="K61" s="31" t="str">
        <f aca="false">IF(B61="","",IF(H61="A",0,IFERROR(N(I61)/P_Heures*J61,0)))</f>
        <v/>
      </c>
      <c r="L61" s="25"/>
    </row>
    <row r="62" customFormat="false" ht="15" hidden="false" customHeight="false" outlineLevel="0" collapsed="false">
      <c r="A62" s="69"/>
      <c r="B62" s="68"/>
      <c r="C62" s="76" t="str">
        <f aca="false">IF(B62="","",IFERROR(INDEX(PE_Nom,MATCH(B62,PE_Mat,0)),"Matricule inconnu"))</f>
        <v/>
      </c>
      <c r="D62" s="76" t="str">
        <f aca="false">IF(B62="","",IFERROR(INDEX(PE_Fonction,MATCH(B62,PE_Mat,0)),""))</f>
        <v/>
      </c>
      <c r="E62" s="76" t="str">
        <f aca="false">IF(B62="","",IFERROR(INDEX(PE_Equipe,MATCH(B62,PE_Mat,0)),""))</f>
        <v/>
      </c>
      <c r="F62" s="25"/>
      <c r="G62" s="25"/>
      <c r="H62" s="68"/>
      <c r="I62" s="89"/>
      <c r="J62" s="31" t="str">
        <f aca="false">IF(B62="","",IFERROR(INDEX(PE_Taux,MATCH(B62,PE_Mat,0)),0))</f>
        <v/>
      </c>
      <c r="K62" s="31" t="str">
        <f aca="false">IF(B62="","",IF(H62="A",0,IFERROR(N(I62)/P_Heures*J62,0)))</f>
        <v/>
      </c>
      <c r="L62" s="25"/>
    </row>
    <row r="63" customFormat="false" ht="15" hidden="false" customHeight="false" outlineLevel="0" collapsed="false">
      <c r="A63" s="69"/>
      <c r="B63" s="68"/>
      <c r="C63" s="76" t="str">
        <f aca="false">IF(B63="","",IFERROR(INDEX(PE_Nom,MATCH(B63,PE_Mat,0)),"Matricule inconnu"))</f>
        <v/>
      </c>
      <c r="D63" s="76" t="str">
        <f aca="false">IF(B63="","",IFERROR(INDEX(PE_Fonction,MATCH(B63,PE_Mat,0)),""))</f>
        <v/>
      </c>
      <c r="E63" s="76" t="str">
        <f aca="false">IF(B63="","",IFERROR(INDEX(PE_Equipe,MATCH(B63,PE_Mat,0)),""))</f>
        <v/>
      </c>
      <c r="F63" s="25"/>
      <c r="G63" s="25"/>
      <c r="H63" s="68"/>
      <c r="I63" s="89"/>
      <c r="J63" s="31" t="str">
        <f aca="false">IF(B63="","",IFERROR(INDEX(PE_Taux,MATCH(B63,PE_Mat,0)),0))</f>
        <v/>
      </c>
      <c r="K63" s="31" t="str">
        <f aca="false">IF(B63="","",IF(H63="A",0,IFERROR(N(I63)/P_Heures*J63,0)))</f>
        <v/>
      </c>
      <c r="L63" s="25"/>
    </row>
    <row r="64" customFormat="false" ht="15" hidden="false" customHeight="false" outlineLevel="0" collapsed="false">
      <c r="A64" s="69"/>
      <c r="B64" s="68"/>
      <c r="C64" s="76" t="str">
        <f aca="false">IF(B64="","",IFERROR(INDEX(PE_Nom,MATCH(B64,PE_Mat,0)),"Matricule inconnu"))</f>
        <v/>
      </c>
      <c r="D64" s="76" t="str">
        <f aca="false">IF(B64="","",IFERROR(INDEX(PE_Fonction,MATCH(B64,PE_Mat,0)),""))</f>
        <v/>
      </c>
      <c r="E64" s="76" t="str">
        <f aca="false">IF(B64="","",IFERROR(INDEX(PE_Equipe,MATCH(B64,PE_Mat,0)),""))</f>
        <v/>
      </c>
      <c r="F64" s="25"/>
      <c r="G64" s="25"/>
      <c r="H64" s="68"/>
      <c r="I64" s="89"/>
      <c r="J64" s="31" t="str">
        <f aca="false">IF(B64="","",IFERROR(INDEX(PE_Taux,MATCH(B64,PE_Mat,0)),0))</f>
        <v/>
      </c>
      <c r="K64" s="31" t="str">
        <f aca="false">IF(B64="","",IF(H64="A",0,IFERROR(N(I64)/P_Heures*J64,0)))</f>
        <v/>
      </c>
      <c r="L64" s="25"/>
    </row>
    <row r="65" customFormat="false" ht="15" hidden="false" customHeight="false" outlineLevel="0" collapsed="false">
      <c r="A65" s="69"/>
      <c r="B65" s="68"/>
      <c r="C65" s="76" t="str">
        <f aca="false">IF(B65="","",IFERROR(INDEX(PE_Nom,MATCH(B65,PE_Mat,0)),"Matricule inconnu"))</f>
        <v/>
      </c>
      <c r="D65" s="76" t="str">
        <f aca="false">IF(B65="","",IFERROR(INDEX(PE_Fonction,MATCH(B65,PE_Mat,0)),""))</f>
        <v/>
      </c>
      <c r="E65" s="76" t="str">
        <f aca="false">IF(B65="","",IFERROR(INDEX(PE_Equipe,MATCH(B65,PE_Mat,0)),""))</f>
        <v/>
      </c>
      <c r="F65" s="25"/>
      <c r="G65" s="25"/>
      <c r="H65" s="68"/>
      <c r="I65" s="89"/>
      <c r="J65" s="31" t="str">
        <f aca="false">IF(B65="","",IFERROR(INDEX(PE_Taux,MATCH(B65,PE_Mat,0)),0))</f>
        <v/>
      </c>
      <c r="K65" s="31" t="str">
        <f aca="false">IF(B65="","",IF(H65="A",0,IFERROR(N(I65)/P_Heures*J65,0)))</f>
        <v/>
      </c>
      <c r="L65" s="25"/>
    </row>
    <row r="66" customFormat="false" ht="15" hidden="false" customHeight="false" outlineLevel="0" collapsed="false">
      <c r="A66" s="69"/>
      <c r="B66" s="68"/>
      <c r="C66" s="76" t="str">
        <f aca="false">IF(B66="","",IFERROR(INDEX(PE_Nom,MATCH(B66,PE_Mat,0)),"Matricule inconnu"))</f>
        <v/>
      </c>
      <c r="D66" s="76" t="str">
        <f aca="false">IF(B66="","",IFERROR(INDEX(PE_Fonction,MATCH(B66,PE_Mat,0)),""))</f>
        <v/>
      </c>
      <c r="E66" s="76" t="str">
        <f aca="false">IF(B66="","",IFERROR(INDEX(PE_Equipe,MATCH(B66,PE_Mat,0)),""))</f>
        <v/>
      </c>
      <c r="F66" s="25"/>
      <c r="G66" s="25"/>
      <c r="H66" s="68"/>
      <c r="I66" s="89"/>
      <c r="J66" s="31" t="str">
        <f aca="false">IF(B66="","",IFERROR(INDEX(PE_Taux,MATCH(B66,PE_Mat,0)),0))</f>
        <v/>
      </c>
      <c r="K66" s="31" t="str">
        <f aca="false">IF(B66="","",IF(H66="A",0,IFERROR(N(I66)/P_Heures*J66,0)))</f>
        <v/>
      </c>
      <c r="L66" s="25"/>
    </row>
    <row r="67" customFormat="false" ht="15" hidden="false" customHeight="false" outlineLevel="0" collapsed="false">
      <c r="A67" s="69"/>
      <c r="B67" s="68"/>
      <c r="C67" s="76" t="str">
        <f aca="false">IF(B67="","",IFERROR(INDEX(PE_Nom,MATCH(B67,PE_Mat,0)),"Matricule inconnu"))</f>
        <v/>
      </c>
      <c r="D67" s="76" t="str">
        <f aca="false">IF(B67="","",IFERROR(INDEX(PE_Fonction,MATCH(B67,PE_Mat,0)),""))</f>
        <v/>
      </c>
      <c r="E67" s="76" t="str">
        <f aca="false">IF(B67="","",IFERROR(INDEX(PE_Equipe,MATCH(B67,PE_Mat,0)),""))</f>
        <v/>
      </c>
      <c r="F67" s="25"/>
      <c r="G67" s="25"/>
      <c r="H67" s="68"/>
      <c r="I67" s="89"/>
      <c r="J67" s="31" t="str">
        <f aca="false">IF(B67="","",IFERROR(INDEX(PE_Taux,MATCH(B67,PE_Mat,0)),0))</f>
        <v/>
      </c>
      <c r="K67" s="31" t="str">
        <f aca="false">IF(B67="","",IF(H67="A",0,IFERROR(N(I67)/P_Heures*J67,0)))</f>
        <v/>
      </c>
      <c r="L67" s="25"/>
    </row>
    <row r="68" customFormat="false" ht="15" hidden="false" customHeight="false" outlineLevel="0" collapsed="false">
      <c r="A68" s="69"/>
      <c r="B68" s="68"/>
      <c r="C68" s="76" t="str">
        <f aca="false">IF(B68="","",IFERROR(INDEX(PE_Nom,MATCH(B68,PE_Mat,0)),"Matricule inconnu"))</f>
        <v/>
      </c>
      <c r="D68" s="76" t="str">
        <f aca="false">IF(B68="","",IFERROR(INDEX(PE_Fonction,MATCH(B68,PE_Mat,0)),""))</f>
        <v/>
      </c>
      <c r="E68" s="76" t="str">
        <f aca="false">IF(B68="","",IFERROR(INDEX(PE_Equipe,MATCH(B68,PE_Mat,0)),""))</f>
        <v/>
      </c>
      <c r="F68" s="25"/>
      <c r="G68" s="25"/>
      <c r="H68" s="68"/>
      <c r="I68" s="89"/>
      <c r="J68" s="31" t="str">
        <f aca="false">IF(B68="","",IFERROR(INDEX(PE_Taux,MATCH(B68,PE_Mat,0)),0))</f>
        <v/>
      </c>
      <c r="K68" s="31" t="str">
        <f aca="false">IF(B68="","",IF(H68="A",0,IFERROR(N(I68)/P_Heures*J68,0)))</f>
        <v/>
      </c>
      <c r="L68" s="25"/>
    </row>
    <row r="69" customFormat="false" ht="15" hidden="false" customHeight="false" outlineLevel="0" collapsed="false">
      <c r="A69" s="69"/>
      <c r="B69" s="68"/>
      <c r="C69" s="76" t="str">
        <f aca="false">IF(B69="","",IFERROR(INDEX(PE_Nom,MATCH(B69,PE_Mat,0)),"Matricule inconnu"))</f>
        <v/>
      </c>
      <c r="D69" s="76" t="str">
        <f aca="false">IF(B69="","",IFERROR(INDEX(PE_Fonction,MATCH(B69,PE_Mat,0)),""))</f>
        <v/>
      </c>
      <c r="E69" s="76" t="str">
        <f aca="false">IF(B69="","",IFERROR(INDEX(PE_Equipe,MATCH(B69,PE_Mat,0)),""))</f>
        <v/>
      </c>
      <c r="F69" s="25"/>
      <c r="G69" s="25"/>
      <c r="H69" s="68"/>
      <c r="I69" s="89"/>
      <c r="J69" s="31" t="str">
        <f aca="false">IF(B69="","",IFERROR(INDEX(PE_Taux,MATCH(B69,PE_Mat,0)),0))</f>
        <v/>
      </c>
      <c r="K69" s="31" t="str">
        <f aca="false">IF(B69="","",IF(H69="A",0,IFERROR(N(I69)/P_Heures*J69,0)))</f>
        <v/>
      </c>
      <c r="L69" s="25"/>
    </row>
    <row r="70" customFormat="false" ht="15" hidden="false" customHeight="false" outlineLevel="0" collapsed="false">
      <c r="A70" s="69"/>
      <c r="B70" s="68"/>
      <c r="C70" s="76" t="str">
        <f aca="false">IF(B70="","",IFERROR(INDEX(PE_Nom,MATCH(B70,PE_Mat,0)),"Matricule inconnu"))</f>
        <v/>
      </c>
      <c r="D70" s="76" t="str">
        <f aca="false">IF(B70="","",IFERROR(INDEX(PE_Fonction,MATCH(B70,PE_Mat,0)),""))</f>
        <v/>
      </c>
      <c r="E70" s="76" t="str">
        <f aca="false">IF(B70="","",IFERROR(INDEX(PE_Equipe,MATCH(B70,PE_Mat,0)),""))</f>
        <v/>
      </c>
      <c r="F70" s="25"/>
      <c r="G70" s="25"/>
      <c r="H70" s="68"/>
      <c r="I70" s="89"/>
      <c r="J70" s="31" t="str">
        <f aca="false">IF(B70="","",IFERROR(INDEX(PE_Taux,MATCH(B70,PE_Mat,0)),0))</f>
        <v/>
      </c>
      <c r="K70" s="31" t="str">
        <f aca="false">IF(B70="","",IF(H70="A",0,IFERROR(N(I70)/P_Heures*J70,0)))</f>
        <v/>
      </c>
      <c r="L70" s="25"/>
    </row>
    <row r="71" customFormat="false" ht="15" hidden="false" customHeight="false" outlineLevel="0" collapsed="false">
      <c r="A71" s="69"/>
      <c r="B71" s="68"/>
      <c r="C71" s="76" t="str">
        <f aca="false">IF(B71="","",IFERROR(INDEX(PE_Nom,MATCH(B71,PE_Mat,0)),"Matricule inconnu"))</f>
        <v/>
      </c>
      <c r="D71" s="76" t="str">
        <f aca="false">IF(B71="","",IFERROR(INDEX(PE_Fonction,MATCH(B71,PE_Mat,0)),""))</f>
        <v/>
      </c>
      <c r="E71" s="76" t="str">
        <f aca="false">IF(B71="","",IFERROR(INDEX(PE_Equipe,MATCH(B71,PE_Mat,0)),""))</f>
        <v/>
      </c>
      <c r="F71" s="25"/>
      <c r="G71" s="25"/>
      <c r="H71" s="68"/>
      <c r="I71" s="89"/>
      <c r="J71" s="31" t="str">
        <f aca="false">IF(B71="","",IFERROR(INDEX(PE_Taux,MATCH(B71,PE_Mat,0)),0))</f>
        <v/>
      </c>
      <c r="K71" s="31" t="str">
        <f aca="false">IF(B71="","",IF(H71="A",0,IFERROR(N(I71)/P_Heures*J71,0)))</f>
        <v/>
      </c>
      <c r="L71" s="25"/>
    </row>
    <row r="72" customFormat="false" ht="15" hidden="false" customHeight="false" outlineLevel="0" collapsed="false">
      <c r="A72" s="69"/>
      <c r="B72" s="68"/>
      <c r="C72" s="76" t="str">
        <f aca="false">IF(B72="","",IFERROR(INDEX(PE_Nom,MATCH(B72,PE_Mat,0)),"Matricule inconnu"))</f>
        <v/>
      </c>
      <c r="D72" s="76" t="str">
        <f aca="false">IF(B72="","",IFERROR(INDEX(PE_Fonction,MATCH(B72,PE_Mat,0)),""))</f>
        <v/>
      </c>
      <c r="E72" s="76" t="str">
        <f aca="false">IF(B72="","",IFERROR(INDEX(PE_Equipe,MATCH(B72,PE_Mat,0)),""))</f>
        <v/>
      </c>
      <c r="F72" s="25"/>
      <c r="G72" s="25"/>
      <c r="H72" s="68"/>
      <c r="I72" s="89"/>
      <c r="J72" s="31" t="str">
        <f aca="false">IF(B72="","",IFERROR(INDEX(PE_Taux,MATCH(B72,PE_Mat,0)),0))</f>
        <v/>
      </c>
      <c r="K72" s="31" t="str">
        <f aca="false">IF(B72="","",IF(H72="A",0,IFERROR(N(I72)/P_Heures*J72,0)))</f>
        <v/>
      </c>
      <c r="L72" s="25"/>
    </row>
    <row r="73" customFormat="false" ht="15" hidden="false" customHeight="false" outlineLevel="0" collapsed="false">
      <c r="A73" s="69"/>
      <c r="B73" s="68"/>
      <c r="C73" s="76" t="str">
        <f aca="false">IF(B73="","",IFERROR(INDEX(PE_Nom,MATCH(B73,PE_Mat,0)),"Matricule inconnu"))</f>
        <v/>
      </c>
      <c r="D73" s="76" t="str">
        <f aca="false">IF(B73="","",IFERROR(INDEX(PE_Fonction,MATCH(B73,PE_Mat,0)),""))</f>
        <v/>
      </c>
      <c r="E73" s="76" t="str">
        <f aca="false">IF(B73="","",IFERROR(INDEX(PE_Equipe,MATCH(B73,PE_Mat,0)),""))</f>
        <v/>
      </c>
      <c r="F73" s="25"/>
      <c r="G73" s="25"/>
      <c r="H73" s="68"/>
      <c r="I73" s="89"/>
      <c r="J73" s="31" t="str">
        <f aca="false">IF(B73="","",IFERROR(INDEX(PE_Taux,MATCH(B73,PE_Mat,0)),0))</f>
        <v/>
      </c>
      <c r="K73" s="31" t="str">
        <f aca="false">IF(B73="","",IF(H73="A",0,IFERROR(N(I73)/P_Heures*J73,0)))</f>
        <v/>
      </c>
      <c r="L73" s="25"/>
    </row>
    <row r="74" customFormat="false" ht="15" hidden="false" customHeight="false" outlineLevel="0" collapsed="false">
      <c r="A74" s="69"/>
      <c r="B74" s="68"/>
      <c r="C74" s="76" t="str">
        <f aca="false">IF(B74="","",IFERROR(INDEX(PE_Nom,MATCH(B74,PE_Mat,0)),"Matricule inconnu"))</f>
        <v/>
      </c>
      <c r="D74" s="76" t="str">
        <f aca="false">IF(B74="","",IFERROR(INDEX(PE_Fonction,MATCH(B74,PE_Mat,0)),""))</f>
        <v/>
      </c>
      <c r="E74" s="76" t="str">
        <f aca="false">IF(B74="","",IFERROR(INDEX(PE_Equipe,MATCH(B74,PE_Mat,0)),""))</f>
        <v/>
      </c>
      <c r="F74" s="25"/>
      <c r="G74" s="25"/>
      <c r="H74" s="68"/>
      <c r="I74" s="89"/>
      <c r="J74" s="31" t="str">
        <f aca="false">IF(B74="","",IFERROR(INDEX(PE_Taux,MATCH(B74,PE_Mat,0)),0))</f>
        <v/>
      </c>
      <c r="K74" s="31" t="str">
        <f aca="false">IF(B74="","",IF(H74="A",0,IFERROR(N(I74)/P_Heures*J74,0)))</f>
        <v/>
      </c>
      <c r="L74" s="25"/>
    </row>
    <row r="75" customFormat="false" ht="15" hidden="false" customHeight="false" outlineLevel="0" collapsed="false">
      <c r="A75" s="69"/>
      <c r="B75" s="68"/>
      <c r="C75" s="76" t="str">
        <f aca="false">IF(B75="","",IFERROR(INDEX(PE_Nom,MATCH(B75,PE_Mat,0)),"Matricule inconnu"))</f>
        <v/>
      </c>
      <c r="D75" s="76" t="str">
        <f aca="false">IF(B75="","",IFERROR(INDEX(PE_Fonction,MATCH(B75,PE_Mat,0)),""))</f>
        <v/>
      </c>
      <c r="E75" s="76" t="str">
        <f aca="false">IF(B75="","",IFERROR(INDEX(PE_Equipe,MATCH(B75,PE_Mat,0)),""))</f>
        <v/>
      </c>
      <c r="F75" s="25"/>
      <c r="G75" s="25"/>
      <c r="H75" s="68"/>
      <c r="I75" s="89"/>
      <c r="J75" s="31" t="str">
        <f aca="false">IF(B75="","",IFERROR(INDEX(PE_Taux,MATCH(B75,PE_Mat,0)),0))</f>
        <v/>
      </c>
      <c r="K75" s="31" t="str">
        <f aca="false">IF(B75="","",IF(H75="A",0,IFERROR(N(I75)/P_Heures*J75,0)))</f>
        <v/>
      </c>
      <c r="L75" s="25"/>
    </row>
    <row r="76" customFormat="false" ht="15" hidden="false" customHeight="false" outlineLevel="0" collapsed="false">
      <c r="A76" s="69"/>
      <c r="B76" s="68"/>
      <c r="C76" s="76" t="str">
        <f aca="false">IF(B76="","",IFERROR(INDEX(PE_Nom,MATCH(B76,PE_Mat,0)),"Matricule inconnu"))</f>
        <v/>
      </c>
      <c r="D76" s="76" t="str">
        <f aca="false">IF(B76="","",IFERROR(INDEX(PE_Fonction,MATCH(B76,PE_Mat,0)),""))</f>
        <v/>
      </c>
      <c r="E76" s="76" t="str">
        <f aca="false">IF(B76="","",IFERROR(INDEX(PE_Equipe,MATCH(B76,PE_Mat,0)),""))</f>
        <v/>
      </c>
      <c r="F76" s="25"/>
      <c r="G76" s="25"/>
      <c r="H76" s="68"/>
      <c r="I76" s="89"/>
      <c r="J76" s="31" t="str">
        <f aca="false">IF(B76="","",IFERROR(INDEX(PE_Taux,MATCH(B76,PE_Mat,0)),0))</f>
        <v/>
      </c>
      <c r="K76" s="31" t="str">
        <f aca="false">IF(B76="","",IF(H76="A",0,IFERROR(N(I76)/P_Heures*J76,0)))</f>
        <v/>
      </c>
      <c r="L76" s="25"/>
    </row>
    <row r="77" customFormat="false" ht="15" hidden="false" customHeight="false" outlineLevel="0" collapsed="false">
      <c r="A77" s="69"/>
      <c r="B77" s="68"/>
      <c r="C77" s="76" t="str">
        <f aca="false">IF(B77="","",IFERROR(INDEX(PE_Nom,MATCH(B77,PE_Mat,0)),"Matricule inconnu"))</f>
        <v/>
      </c>
      <c r="D77" s="76" t="str">
        <f aca="false">IF(B77="","",IFERROR(INDEX(PE_Fonction,MATCH(B77,PE_Mat,0)),""))</f>
        <v/>
      </c>
      <c r="E77" s="76" t="str">
        <f aca="false">IF(B77="","",IFERROR(INDEX(PE_Equipe,MATCH(B77,PE_Mat,0)),""))</f>
        <v/>
      </c>
      <c r="F77" s="25"/>
      <c r="G77" s="25"/>
      <c r="H77" s="68"/>
      <c r="I77" s="89"/>
      <c r="J77" s="31" t="str">
        <f aca="false">IF(B77="","",IFERROR(INDEX(PE_Taux,MATCH(B77,PE_Mat,0)),0))</f>
        <v/>
      </c>
      <c r="K77" s="31" t="str">
        <f aca="false">IF(B77="","",IF(H77="A",0,IFERROR(N(I77)/P_Heures*J77,0)))</f>
        <v/>
      </c>
      <c r="L77" s="25"/>
    </row>
    <row r="78" customFormat="false" ht="15" hidden="false" customHeight="false" outlineLevel="0" collapsed="false">
      <c r="A78" s="69"/>
      <c r="B78" s="68"/>
      <c r="C78" s="76" t="str">
        <f aca="false">IF(B78="","",IFERROR(INDEX(PE_Nom,MATCH(B78,PE_Mat,0)),"Matricule inconnu"))</f>
        <v/>
      </c>
      <c r="D78" s="76" t="str">
        <f aca="false">IF(B78="","",IFERROR(INDEX(PE_Fonction,MATCH(B78,PE_Mat,0)),""))</f>
        <v/>
      </c>
      <c r="E78" s="76" t="str">
        <f aca="false">IF(B78="","",IFERROR(INDEX(PE_Equipe,MATCH(B78,PE_Mat,0)),""))</f>
        <v/>
      </c>
      <c r="F78" s="25"/>
      <c r="G78" s="25"/>
      <c r="H78" s="68"/>
      <c r="I78" s="89"/>
      <c r="J78" s="31" t="str">
        <f aca="false">IF(B78="","",IFERROR(INDEX(PE_Taux,MATCH(B78,PE_Mat,0)),0))</f>
        <v/>
      </c>
      <c r="K78" s="31" t="str">
        <f aca="false">IF(B78="","",IF(H78="A",0,IFERROR(N(I78)/P_Heures*J78,0)))</f>
        <v/>
      </c>
      <c r="L78" s="25"/>
    </row>
    <row r="79" customFormat="false" ht="15" hidden="false" customHeight="false" outlineLevel="0" collapsed="false">
      <c r="A79" s="69"/>
      <c r="B79" s="68"/>
      <c r="C79" s="76" t="str">
        <f aca="false">IF(B79="","",IFERROR(INDEX(PE_Nom,MATCH(B79,PE_Mat,0)),"Matricule inconnu"))</f>
        <v/>
      </c>
      <c r="D79" s="76" t="str">
        <f aca="false">IF(B79="","",IFERROR(INDEX(PE_Fonction,MATCH(B79,PE_Mat,0)),""))</f>
        <v/>
      </c>
      <c r="E79" s="76" t="str">
        <f aca="false">IF(B79="","",IFERROR(INDEX(PE_Equipe,MATCH(B79,PE_Mat,0)),""))</f>
        <v/>
      </c>
      <c r="F79" s="25"/>
      <c r="G79" s="25"/>
      <c r="H79" s="68"/>
      <c r="I79" s="89"/>
      <c r="J79" s="31" t="str">
        <f aca="false">IF(B79="","",IFERROR(INDEX(PE_Taux,MATCH(B79,PE_Mat,0)),0))</f>
        <v/>
      </c>
      <c r="K79" s="31" t="str">
        <f aca="false">IF(B79="","",IF(H79="A",0,IFERROR(N(I79)/P_Heures*J79,0)))</f>
        <v/>
      </c>
      <c r="L79" s="25"/>
    </row>
    <row r="80" customFormat="false" ht="15" hidden="false" customHeight="false" outlineLevel="0" collapsed="false">
      <c r="A80" s="69"/>
      <c r="B80" s="68"/>
      <c r="C80" s="76" t="str">
        <f aca="false">IF(B80="","",IFERROR(INDEX(PE_Nom,MATCH(B80,PE_Mat,0)),"Matricule inconnu"))</f>
        <v/>
      </c>
      <c r="D80" s="76" t="str">
        <f aca="false">IF(B80="","",IFERROR(INDEX(PE_Fonction,MATCH(B80,PE_Mat,0)),""))</f>
        <v/>
      </c>
      <c r="E80" s="76" t="str">
        <f aca="false">IF(B80="","",IFERROR(INDEX(PE_Equipe,MATCH(B80,PE_Mat,0)),""))</f>
        <v/>
      </c>
      <c r="F80" s="25"/>
      <c r="G80" s="25"/>
      <c r="H80" s="68"/>
      <c r="I80" s="89"/>
      <c r="J80" s="31" t="str">
        <f aca="false">IF(B80="","",IFERROR(INDEX(PE_Taux,MATCH(B80,PE_Mat,0)),0))</f>
        <v/>
      </c>
      <c r="K80" s="31" t="str">
        <f aca="false">IF(B80="","",IF(H80="A",0,IFERROR(N(I80)/P_Heures*J80,0)))</f>
        <v/>
      </c>
      <c r="L80" s="25"/>
    </row>
    <row r="81" customFormat="false" ht="15" hidden="false" customHeight="false" outlineLevel="0" collapsed="false">
      <c r="A81" s="69"/>
      <c r="B81" s="68"/>
      <c r="C81" s="76" t="str">
        <f aca="false">IF(B81="","",IFERROR(INDEX(PE_Nom,MATCH(B81,PE_Mat,0)),"Matricule inconnu"))</f>
        <v/>
      </c>
      <c r="D81" s="76" t="str">
        <f aca="false">IF(B81="","",IFERROR(INDEX(PE_Fonction,MATCH(B81,PE_Mat,0)),""))</f>
        <v/>
      </c>
      <c r="E81" s="76" t="str">
        <f aca="false">IF(B81="","",IFERROR(INDEX(PE_Equipe,MATCH(B81,PE_Mat,0)),""))</f>
        <v/>
      </c>
      <c r="F81" s="25"/>
      <c r="G81" s="25"/>
      <c r="H81" s="68"/>
      <c r="I81" s="89"/>
      <c r="J81" s="31" t="str">
        <f aca="false">IF(B81="","",IFERROR(INDEX(PE_Taux,MATCH(B81,PE_Mat,0)),0))</f>
        <v/>
      </c>
      <c r="K81" s="31" t="str">
        <f aca="false">IF(B81="","",IF(H81="A",0,IFERROR(N(I81)/P_Heures*J81,0)))</f>
        <v/>
      </c>
      <c r="L81" s="25"/>
    </row>
    <row r="82" customFormat="false" ht="15" hidden="false" customHeight="false" outlineLevel="0" collapsed="false">
      <c r="A82" s="69"/>
      <c r="B82" s="68"/>
      <c r="C82" s="76" t="str">
        <f aca="false">IF(B82="","",IFERROR(INDEX(PE_Nom,MATCH(B82,PE_Mat,0)),"Matricule inconnu"))</f>
        <v/>
      </c>
      <c r="D82" s="76" t="str">
        <f aca="false">IF(B82="","",IFERROR(INDEX(PE_Fonction,MATCH(B82,PE_Mat,0)),""))</f>
        <v/>
      </c>
      <c r="E82" s="76" t="str">
        <f aca="false">IF(B82="","",IFERROR(INDEX(PE_Equipe,MATCH(B82,PE_Mat,0)),""))</f>
        <v/>
      </c>
      <c r="F82" s="25"/>
      <c r="G82" s="25"/>
      <c r="H82" s="68"/>
      <c r="I82" s="89"/>
      <c r="J82" s="31" t="str">
        <f aca="false">IF(B82="","",IFERROR(INDEX(PE_Taux,MATCH(B82,PE_Mat,0)),0))</f>
        <v/>
      </c>
      <c r="K82" s="31" t="str">
        <f aca="false">IF(B82="","",IF(H82="A",0,IFERROR(N(I82)/P_Heures*J82,0)))</f>
        <v/>
      </c>
      <c r="L82" s="25"/>
    </row>
    <row r="83" customFormat="false" ht="15" hidden="false" customHeight="false" outlineLevel="0" collapsed="false">
      <c r="A83" s="69"/>
      <c r="B83" s="68"/>
      <c r="C83" s="76" t="str">
        <f aca="false">IF(B83="","",IFERROR(INDEX(PE_Nom,MATCH(B83,PE_Mat,0)),"Matricule inconnu"))</f>
        <v/>
      </c>
      <c r="D83" s="76" t="str">
        <f aca="false">IF(B83="","",IFERROR(INDEX(PE_Fonction,MATCH(B83,PE_Mat,0)),""))</f>
        <v/>
      </c>
      <c r="E83" s="76" t="str">
        <f aca="false">IF(B83="","",IFERROR(INDEX(PE_Equipe,MATCH(B83,PE_Mat,0)),""))</f>
        <v/>
      </c>
      <c r="F83" s="25"/>
      <c r="G83" s="25"/>
      <c r="H83" s="68"/>
      <c r="I83" s="89"/>
      <c r="J83" s="31" t="str">
        <f aca="false">IF(B83="","",IFERROR(INDEX(PE_Taux,MATCH(B83,PE_Mat,0)),0))</f>
        <v/>
      </c>
      <c r="K83" s="31" t="str">
        <f aca="false">IF(B83="","",IF(H83="A",0,IFERROR(N(I83)/P_Heures*J83,0)))</f>
        <v/>
      </c>
      <c r="L83" s="25"/>
    </row>
    <row r="84" customFormat="false" ht="15" hidden="false" customHeight="false" outlineLevel="0" collapsed="false">
      <c r="A84" s="69"/>
      <c r="B84" s="68"/>
      <c r="C84" s="76" t="str">
        <f aca="false">IF(B84="","",IFERROR(INDEX(PE_Nom,MATCH(B84,PE_Mat,0)),"Matricule inconnu"))</f>
        <v/>
      </c>
      <c r="D84" s="76" t="str">
        <f aca="false">IF(B84="","",IFERROR(INDEX(PE_Fonction,MATCH(B84,PE_Mat,0)),""))</f>
        <v/>
      </c>
      <c r="E84" s="76" t="str">
        <f aca="false">IF(B84="","",IFERROR(INDEX(PE_Equipe,MATCH(B84,PE_Mat,0)),""))</f>
        <v/>
      </c>
      <c r="F84" s="25"/>
      <c r="G84" s="25"/>
      <c r="H84" s="68"/>
      <c r="I84" s="89"/>
      <c r="J84" s="31" t="str">
        <f aca="false">IF(B84="","",IFERROR(INDEX(PE_Taux,MATCH(B84,PE_Mat,0)),0))</f>
        <v/>
      </c>
      <c r="K84" s="31" t="str">
        <f aca="false">IF(B84="","",IF(H84="A",0,IFERROR(N(I84)/P_Heures*J84,0)))</f>
        <v/>
      </c>
      <c r="L84" s="25"/>
    </row>
    <row r="85" customFormat="false" ht="15" hidden="false" customHeight="false" outlineLevel="0" collapsed="false">
      <c r="A85" s="69"/>
      <c r="B85" s="68"/>
      <c r="C85" s="76" t="str">
        <f aca="false">IF(B85="","",IFERROR(INDEX(PE_Nom,MATCH(B85,PE_Mat,0)),"Matricule inconnu"))</f>
        <v/>
      </c>
      <c r="D85" s="76" t="str">
        <f aca="false">IF(B85="","",IFERROR(INDEX(PE_Fonction,MATCH(B85,PE_Mat,0)),""))</f>
        <v/>
      </c>
      <c r="E85" s="76" t="str">
        <f aca="false">IF(B85="","",IFERROR(INDEX(PE_Equipe,MATCH(B85,PE_Mat,0)),""))</f>
        <v/>
      </c>
      <c r="F85" s="25"/>
      <c r="G85" s="25"/>
      <c r="H85" s="68"/>
      <c r="I85" s="89"/>
      <c r="J85" s="31" t="str">
        <f aca="false">IF(B85="","",IFERROR(INDEX(PE_Taux,MATCH(B85,PE_Mat,0)),0))</f>
        <v/>
      </c>
      <c r="K85" s="31" t="str">
        <f aca="false">IF(B85="","",IF(H85="A",0,IFERROR(N(I85)/P_Heures*J85,0)))</f>
        <v/>
      </c>
      <c r="L85" s="25"/>
    </row>
    <row r="86" customFormat="false" ht="15" hidden="false" customHeight="false" outlineLevel="0" collapsed="false">
      <c r="A86" s="69"/>
      <c r="B86" s="68"/>
      <c r="C86" s="76" t="str">
        <f aca="false">IF(B86="","",IFERROR(INDEX(PE_Nom,MATCH(B86,PE_Mat,0)),"Matricule inconnu"))</f>
        <v/>
      </c>
      <c r="D86" s="76" t="str">
        <f aca="false">IF(B86="","",IFERROR(INDEX(PE_Fonction,MATCH(B86,PE_Mat,0)),""))</f>
        <v/>
      </c>
      <c r="E86" s="76" t="str">
        <f aca="false">IF(B86="","",IFERROR(INDEX(PE_Equipe,MATCH(B86,PE_Mat,0)),""))</f>
        <v/>
      </c>
      <c r="F86" s="25"/>
      <c r="G86" s="25"/>
      <c r="H86" s="68"/>
      <c r="I86" s="89"/>
      <c r="J86" s="31" t="str">
        <f aca="false">IF(B86="","",IFERROR(INDEX(PE_Taux,MATCH(B86,PE_Mat,0)),0))</f>
        <v/>
      </c>
      <c r="K86" s="31" t="str">
        <f aca="false">IF(B86="","",IF(H86="A",0,IFERROR(N(I86)/P_Heures*J86,0)))</f>
        <v/>
      </c>
      <c r="L86" s="25"/>
    </row>
    <row r="87" customFormat="false" ht="15" hidden="false" customHeight="false" outlineLevel="0" collapsed="false">
      <c r="A87" s="69"/>
      <c r="B87" s="68"/>
      <c r="C87" s="76" t="str">
        <f aca="false">IF(B87="","",IFERROR(INDEX(PE_Nom,MATCH(B87,PE_Mat,0)),"Matricule inconnu"))</f>
        <v/>
      </c>
      <c r="D87" s="76" t="str">
        <f aca="false">IF(B87="","",IFERROR(INDEX(PE_Fonction,MATCH(B87,PE_Mat,0)),""))</f>
        <v/>
      </c>
      <c r="E87" s="76" t="str">
        <f aca="false">IF(B87="","",IFERROR(INDEX(PE_Equipe,MATCH(B87,PE_Mat,0)),""))</f>
        <v/>
      </c>
      <c r="F87" s="25"/>
      <c r="G87" s="25"/>
      <c r="H87" s="68"/>
      <c r="I87" s="89"/>
      <c r="J87" s="31" t="str">
        <f aca="false">IF(B87="","",IFERROR(INDEX(PE_Taux,MATCH(B87,PE_Mat,0)),0))</f>
        <v/>
      </c>
      <c r="K87" s="31" t="str">
        <f aca="false">IF(B87="","",IF(H87="A",0,IFERROR(N(I87)/P_Heures*J87,0)))</f>
        <v/>
      </c>
      <c r="L87" s="25"/>
    </row>
    <row r="88" customFormat="false" ht="15" hidden="false" customHeight="false" outlineLevel="0" collapsed="false">
      <c r="A88" s="69"/>
      <c r="B88" s="68"/>
      <c r="C88" s="76" t="str">
        <f aca="false">IF(B88="","",IFERROR(INDEX(PE_Nom,MATCH(B88,PE_Mat,0)),"Matricule inconnu"))</f>
        <v/>
      </c>
      <c r="D88" s="76" t="str">
        <f aca="false">IF(B88="","",IFERROR(INDEX(PE_Fonction,MATCH(B88,PE_Mat,0)),""))</f>
        <v/>
      </c>
      <c r="E88" s="76" t="str">
        <f aca="false">IF(B88="","",IFERROR(INDEX(PE_Equipe,MATCH(B88,PE_Mat,0)),""))</f>
        <v/>
      </c>
      <c r="F88" s="25"/>
      <c r="G88" s="25"/>
      <c r="H88" s="68"/>
      <c r="I88" s="89"/>
      <c r="J88" s="31" t="str">
        <f aca="false">IF(B88="","",IFERROR(INDEX(PE_Taux,MATCH(B88,PE_Mat,0)),0))</f>
        <v/>
      </c>
      <c r="K88" s="31" t="str">
        <f aca="false">IF(B88="","",IF(H88="A",0,IFERROR(N(I88)/P_Heures*J88,0)))</f>
        <v/>
      </c>
      <c r="L88" s="25"/>
    </row>
    <row r="89" customFormat="false" ht="15" hidden="false" customHeight="false" outlineLevel="0" collapsed="false">
      <c r="A89" s="69"/>
      <c r="B89" s="68"/>
      <c r="C89" s="76" t="str">
        <f aca="false">IF(B89="","",IFERROR(INDEX(PE_Nom,MATCH(B89,PE_Mat,0)),"Matricule inconnu"))</f>
        <v/>
      </c>
      <c r="D89" s="76" t="str">
        <f aca="false">IF(B89="","",IFERROR(INDEX(PE_Fonction,MATCH(B89,PE_Mat,0)),""))</f>
        <v/>
      </c>
      <c r="E89" s="76" t="str">
        <f aca="false">IF(B89="","",IFERROR(INDEX(PE_Equipe,MATCH(B89,PE_Mat,0)),""))</f>
        <v/>
      </c>
      <c r="F89" s="25"/>
      <c r="G89" s="25"/>
      <c r="H89" s="68"/>
      <c r="I89" s="89"/>
      <c r="J89" s="31" t="str">
        <f aca="false">IF(B89="","",IFERROR(INDEX(PE_Taux,MATCH(B89,PE_Mat,0)),0))</f>
        <v/>
      </c>
      <c r="K89" s="31" t="str">
        <f aca="false">IF(B89="","",IF(H89="A",0,IFERROR(N(I89)/P_Heures*J89,0)))</f>
        <v/>
      </c>
      <c r="L89" s="25"/>
    </row>
    <row r="90" customFormat="false" ht="15" hidden="false" customHeight="false" outlineLevel="0" collapsed="false">
      <c r="A90" s="69"/>
      <c r="B90" s="68"/>
      <c r="C90" s="76" t="str">
        <f aca="false">IF(B90="","",IFERROR(INDEX(PE_Nom,MATCH(B90,PE_Mat,0)),"Matricule inconnu"))</f>
        <v/>
      </c>
      <c r="D90" s="76" t="str">
        <f aca="false">IF(B90="","",IFERROR(INDEX(PE_Fonction,MATCH(B90,PE_Mat,0)),""))</f>
        <v/>
      </c>
      <c r="E90" s="76" t="str">
        <f aca="false">IF(B90="","",IFERROR(INDEX(PE_Equipe,MATCH(B90,PE_Mat,0)),""))</f>
        <v/>
      </c>
      <c r="F90" s="25"/>
      <c r="G90" s="25"/>
      <c r="H90" s="68"/>
      <c r="I90" s="89"/>
      <c r="J90" s="31" t="str">
        <f aca="false">IF(B90="","",IFERROR(INDEX(PE_Taux,MATCH(B90,PE_Mat,0)),0))</f>
        <v/>
      </c>
      <c r="K90" s="31" t="str">
        <f aca="false">IF(B90="","",IF(H90="A",0,IFERROR(N(I90)/P_Heures*J90,0)))</f>
        <v/>
      </c>
      <c r="L90" s="25"/>
    </row>
    <row r="91" customFormat="false" ht="15" hidden="false" customHeight="false" outlineLevel="0" collapsed="false">
      <c r="A91" s="69"/>
      <c r="B91" s="68"/>
      <c r="C91" s="76" t="str">
        <f aca="false">IF(B91="","",IFERROR(INDEX(PE_Nom,MATCH(B91,PE_Mat,0)),"Matricule inconnu"))</f>
        <v/>
      </c>
      <c r="D91" s="76" t="str">
        <f aca="false">IF(B91="","",IFERROR(INDEX(PE_Fonction,MATCH(B91,PE_Mat,0)),""))</f>
        <v/>
      </c>
      <c r="E91" s="76" t="str">
        <f aca="false">IF(B91="","",IFERROR(INDEX(PE_Equipe,MATCH(B91,PE_Mat,0)),""))</f>
        <v/>
      </c>
      <c r="F91" s="25"/>
      <c r="G91" s="25"/>
      <c r="H91" s="68"/>
      <c r="I91" s="89"/>
      <c r="J91" s="31" t="str">
        <f aca="false">IF(B91="","",IFERROR(INDEX(PE_Taux,MATCH(B91,PE_Mat,0)),0))</f>
        <v/>
      </c>
      <c r="K91" s="31" t="str">
        <f aca="false">IF(B91="","",IF(H91="A",0,IFERROR(N(I91)/P_Heures*J91,0)))</f>
        <v/>
      </c>
      <c r="L91" s="25"/>
    </row>
    <row r="92" customFormat="false" ht="15" hidden="false" customHeight="false" outlineLevel="0" collapsed="false">
      <c r="A92" s="69"/>
      <c r="B92" s="68"/>
      <c r="C92" s="76" t="str">
        <f aca="false">IF(B92="","",IFERROR(INDEX(PE_Nom,MATCH(B92,PE_Mat,0)),"Matricule inconnu"))</f>
        <v/>
      </c>
      <c r="D92" s="76" t="str">
        <f aca="false">IF(B92="","",IFERROR(INDEX(PE_Fonction,MATCH(B92,PE_Mat,0)),""))</f>
        <v/>
      </c>
      <c r="E92" s="76" t="str">
        <f aca="false">IF(B92="","",IFERROR(INDEX(PE_Equipe,MATCH(B92,PE_Mat,0)),""))</f>
        <v/>
      </c>
      <c r="F92" s="25"/>
      <c r="G92" s="25"/>
      <c r="H92" s="68"/>
      <c r="I92" s="89"/>
      <c r="J92" s="31" t="str">
        <f aca="false">IF(B92="","",IFERROR(INDEX(PE_Taux,MATCH(B92,PE_Mat,0)),0))</f>
        <v/>
      </c>
      <c r="K92" s="31" t="str">
        <f aca="false">IF(B92="","",IF(H92="A",0,IFERROR(N(I92)/P_Heures*J92,0)))</f>
        <v/>
      </c>
      <c r="L92" s="25"/>
    </row>
    <row r="93" customFormat="false" ht="15" hidden="false" customHeight="false" outlineLevel="0" collapsed="false">
      <c r="A93" s="69"/>
      <c r="B93" s="68"/>
      <c r="C93" s="76" t="str">
        <f aca="false">IF(B93="","",IFERROR(INDEX(PE_Nom,MATCH(B93,PE_Mat,0)),"Matricule inconnu"))</f>
        <v/>
      </c>
      <c r="D93" s="76" t="str">
        <f aca="false">IF(B93="","",IFERROR(INDEX(PE_Fonction,MATCH(B93,PE_Mat,0)),""))</f>
        <v/>
      </c>
      <c r="E93" s="76" t="str">
        <f aca="false">IF(B93="","",IFERROR(INDEX(PE_Equipe,MATCH(B93,PE_Mat,0)),""))</f>
        <v/>
      </c>
      <c r="F93" s="25"/>
      <c r="G93" s="25"/>
      <c r="H93" s="68"/>
      <c r="I93" s="89"/>
      <c r="J93" s="31" t="str">
        <f aca="false">IF(B93="","",IFERROR(INDEX(PE_Taux,MATCH(B93,PE_Mat,0)),0))</f>
        <v/>
      </c>
      <c r="K93" s="31" t="str">
        <f aca="false">IF(B93="","",IF(H93="A",0,IFERROR(N(I93)/P_Heures*J93,0)))</f>
        <v/>
      </c>
      <c r="L93" s="25"/>
    </row>
    <row r="94" customFormat="false" ht="15" hidden="false" customHeight="false" outlineLevel="0" collapsed="false">
      <c r="A94" s="69"/>
      <c r="B94" s="68"/>
      <c r="C94" s="76" t="str">
        <f aca="false">IF(B94="","",IFERROR(INDEX(PE_Nom,MATCH(B94,PE_Mat,0)),"Matricule inconnu"))</f>
        <v/>
      </c>
      <c r="D94" s="76" t="str">
        <f aca="false">IF(B94="","",IFERROR(INDEX(PE_Fonction,MATCH(B94,PE_Mat,0)),""))</f>
        <v/>
      </c>
      <c r="E94" s="76" t="str">
        <f aca="false">IF(B94="","",IFERROR(INDEX(PE_Equipe,MATCH(B94,PE_Mat,0)),""))</f>
        <v/>
      </c>
      <c r="F94" s="25"/>
      <c r="G94" s="25"/>
      <c r="H94" s="68"/>
      <c r="I94" s="89"/>
      <c r="J94" s="31" t="str">
        <f aca="false">IF(B94="","",IFERROR(INDEX(PE_Taux,MATCH(B94,PE_Mat,0)),0))</f>
        <v/>
      </c>
      <c r="K94" s="31" t="str">
        <f aca="false">IF(B94="","",IF(H94="A",0,IFERROR(N(I94)/P_Heures*J94,0)))</f>
        <v/>
      </c>
      <c r="L94" s="25"/>
    </row>
    <row r="95" customFormat="false" ht="15" hidden="false" customHeight="false" outlineLevel="0" collapsed="false">
      <c r="A95" s="69"/>
      <c r="B95" s="68"/>
      <c r="C95" s="76" t="str">
        <f aca="false">IF(B95="","",IFERROR(INDEX(PE_Nom,MATCH(B95,PE_Mat,0)),"Matricule inconnu"))</f>
        <v/>
      </c>
      <c r="D95" s="76" t="str">
        <f aca="false">IF(B95="","",IFERROR(INDEX(PE_Fonction,MATCH(B95,PE_Mat,0)),""))</f>
        <v/>
      </c>
      <c r="E95" s="76" t="str">
        <f aca="false">IF(B95="","",IFERROR(INDEX(PE_Equipe,MATCH(B95,PE_Mat,0)),""))</f>
        <v/>
      </c>
      <c r="F95" s="25"/>
      <c r="G95" s="25"/>
      <c r="H95" s="68"/>
      <c r="I95" s="89"/>
      <c r="J95" s="31" t="str">
        <f aca="false">IF(B95="","",IFERROR(INDEX(PE_Taux,MATCH(B95,PE_Mat,0)),0))</f>
        <v/>
      </c>
      <c r="K95" s="31" t="str">
        <f aca="false">IF(B95="","",IF(H95="A",0,IFERROR(N(I95)/P_Heures*J95,0)))</f>
        <v/>
      </c>
      <c r="L95" s="25"/>
    </row>
    <row r="96" customFormat="false" ht="15" hidden="false" customHeight="false" outlineLevel="0" collapsed="false">
      <c r="A96" s="69"/>
      <c r="B96" s="68"/>
      <c r="C96" s="76" t="str">
        <f aca="false">IF(B96="","",IFERROR(INDEX(PE_Nom,MATCH(B96,PE_Mat,0)),"Matricule inconnu"))</f>
        <v/>
      </c>
      <c r="D96" s="76" t="str">
        <f aca="false">IF(B96="","",IFERROR(INDEX(PE_Fonction,MATCH(B96,PE_Mat,0)),""))</f>
        <v/>
      </c>
      <c r="E96" s="76" t="str">
        <f aca="false">IF(B96="","",IFERROR(INDEX(PE_Equipe,MATCH(B96,PE_Mat,0)),""))</f>
        <v/>
      </c>
      <c r="F96" s="25"/>
      <c r="G96" s="25"/>
      <c r="H96" s="68"/>
      <c r="I96" s="89"/>
      <c r="J96" s="31" t="str">
        <f aca="false">IF(B96="","",IFERROR(INDEX(PE_Taux,MATCH(B96,PE_Mat,0)),0))</f>
        <v/>
      </c>
      <c r="K96" s="31" t="str">
        <f aca="false">IF(B96="","",IF(H96="A",0,IFERROR(N(I96)/P_Heures*J96,0)))</f>
        <v/>
      </c>
      <c r="L96" s="25"/>
    </row>
    <row r="97" customFormat="false" ht="15" hidden="false" customHeight="false" outlineLevel="0" collapsed="false">
      <c r="A97" s="69"/>
      <c r="B97" s="68"/>
      <c r="C97" s="76" t="str">
        <f aca="false">IF(B97="","",IFERROR(INDEX(PE_Nom,MATCH(B97,PE_Mat,0)),"Matricule inconnu"))</f>
        <v/>
      </c>
      <c r="D97" s="76" t="str">
        <f aca="false">IF(B97="","",IFERROR(INDEX(PE_Fonction,MATCH(B97,PE_Mat,0)),""))</f>
        <v/>
      </c>
      <c r="E97" s="76" t="str">
        <f aca="false">IF(B97="","",IFERROR(INDEX(PE_Equipe,MATCH(B97,PE_Mat,0)),""))</f>
        <v/>
      </c>
      <c r="F97" s="25"/>
      <c r="G97" s="25"/>
      <c r="H97" s="68"/>
      <c r="I97" s="89"/>
      <c r="J97" s="31" t="str">
        <f aca="false">IF(B97="","",IFERROR(INDEX(PE_Taux,MATCH(B97,PE_Mat,0)),0))</f>
        <v/>
      </c>
      <c r="K97" s="31" t="str">
        <f aca="false">IF(B97="","",IF(H97="A",0,IFERROR(N(I97)/P_Heures*J97,0)))</f>
        <v/>
      </c>
      <c r="L97" s="25"/>
    </row>
    <row r="98" customFormat="false" ht="15" hidden="false" customHeight="false" outlineLevel="0" collapsed="false">
      <c r="A98" s="69"/>
      <c r="B98" s="68"/>
      <c r="C98" s="76" t="str">
        <f aca="false">IF(B98="","",IFERROR(INDEX(PE_Nom,MATCH(B98,PE_Mat,0)),"Matricule inconnu"))</f>
        <v/>
      </c>
      <c r="D98" s="76" t="str">
        <f aca="false">IF(B98="","",IFERROR(INDEX(PE_Fonction,MATCH(B98,PE_Mat,0)),""))</f>
        <v/>
      </c>
      <c r="E98" s="76" t="str">
        <f aca="false">IF(B98="","",IFERROR(INDEX(PE_Equipe,MATCH(B98,PE_Mat,0)),""))</f>
        <v/>
      </c>
      <c r="F98" s="25"/>
      <c r="G98" s="25"/>
      <c r="H98" s="68"/>
      <c r="I98" s="89"/>
      <c r="J98" s="31" t="str">
        <f aca="false">IF(B98="","",IFERROR(INDEX(PE_Taux,MATCH(B98,PE_Mat,0)),0))</f>
        <v/>
      </c>
      <c r="K98" s="31" t="str">
        <f aca="false">IF(B98="","",IF(H98="A",0,IFERROR(N(I98)/P_Heures*J98,0)))</f>
        <v/>
      </c>
      <c r="L98" s="25"/>
    </row>
    <row r="99" customFormat="false" ht="15" hidden="false" customHeight="false" outlineLevel="0" collapsed="false">
      <c r="A99" s="69"/>
      <c r="B99" s="68"/>
      <c r="C99" s="76" t="str">
        <f aca="false">IF(B99="","",IFERROR(INDEX(PE_Nom,MATCH(B99,PE_Mat,0)),"Matricule inconnu"))</f>
        <v/>
      </c>
      <c r="D99" s="76" t="str">
        <f aca="false">IF(B99="","",IFERROR(INDEX(PE_Fonction,MATCH(B99,PE_Mat,0)),""))</f>
        <v/>
      </c>
      <c r="E99" s="76" t="str">
        <f aca="false">IF(B99="","",IFERROR(INDEX(PE_Equipe,MATCH(B99,PE_Mat,0)),""))</f>
        <v/>
      </c>
      <c r="F99" s="25"/>
      <c r="G99" s="25"/>
      <c r="H99" s="68"/>
      <c r="I99" s="89"/>
      <c r="J99" s="31" t="str">
        <f aca="false">IF(B99="","",IFERROR(INDEX(PE_Taux,MATCH(B99,PE_Mat,0)),0))</f>
        <v/>
      </c>
      <c r="K99" s="31" t="str">
        <f aca="false">IF(B99="","",IF(H99="A",0,IFERROR(N(I99)/P_Heures*J99,0)))</f>
        <v/>
      </c>
      <c r="L99" s="25"/>
    </row>
    <row r="100" customFormat="false" ht="15" hidden="false" customHeight="false" outlineLevel="0" collapsed="false">
      <c r="A100" s="69"/>
      <c r="B100" s="68"/>
      <c r="C100" s="76" t="str">
        <f aca="false">IF(B100="","",IFERROR(INDEX(PE_Nom,MATCH(B100,PE_Mat,0)),"Matricule inconnu"))</f>
        <v/>
      </c>
      <c r="D100" s="76" t="str">
        <f aca="false">IF(B100="","",IFERROR(INDEX(PE_Fonction,MATCH(B100,PE_Mat,0)),""))</f>
        <v/>
      </c>
      <c r="E100" s="76" t="str">
        <f aca="false">IF(B100="","",IFERROR(INDEX(PE_Equipe,MATCH(B100,PE_Mat,0)),""))</f>
        <v/>
      </c>
      <c r="F100" s="25"/>
      <c r="G100" s="25"/>
      <c r="H100" s="68"/>
      <c r="I100" s="89"/>
      <c r="J100" s="31" t="str">
        <f aca="false">IF(B100="","",IFERROR(INDEX(PE_Taux,MATCH(B100,PE_Mat,0)),0))</f>
        <v/>
      </c>
      <c r="K100" s="31" t="str">
        <f aca="false">IF(B100="","",IF(H100="A",0,IFERROR(N(I100)/P_Heures*J100,0)))</f>
        <v/>
      </c>
      <c r="L100" s="25"/>
    </row>
    <row r="101" customFormat="false" ht="15" hidden="false" customHeight="false" outlineLevel="0" collapsed="false">
      <c r="A101" s="69"/>
      <c r="B101" s="68"/>
      <c r="C101" s="76" t="str">
        <f aca="false">IF(B101="","",IFERROR(INDEX(PE_Nom,MATCH(B101,PE_Mat,0)),"Matricule inconnu"))</f>
        <v/>
      </c>
      <c r="D101" s="76" t="str">
        <f aca="false">IF(B101="","",IFERROR(INDEX(PE_Fonction,MATCH(B101,PE_Mat,0)),""))</f>
        <v/>
      </c>
      <c r="E101" s="76" t="str">
        <f aca="false">IF(B101="","",IFERROR(INDEX(PE_Equipe,MATCH(B101,PE_Mat,0)),""))</f>
        <v/>
      </c>
      <c r="F101" s="25"/>
      <c r="G101" s="25"/>
      <c r="H101" s="68"/>
      <c r="I101" s="89"/>
      <c r="J101" s="31" t="str">
        <f aca="false">IF(B101="","",IFERROR(INDEX(PE_Taux,MATCH(B101,PE_Mat,0)),0))</f>
        <v/>
      </c>
      <c r="K101" s="31" t="str">
        <f aca="false">IF(B101="","",IF(H101="A",0,IFERROR(N(I101)/P_Heures*J101,0)))</f>
        <v/>
      </c>
      <c r="L101" s="25"/>
    </row>
    <row r="102" customFormat="false" ht="15" hidden="false" customHeight="false" outlineLevel="0" collapsed="false">
      <c r="A102" s="69"/>
      <c r="B102" s="68"/>
      <c r="C102" s="76" t="str">
        <f aca="false">IF(B102="","",IFERROR(INDEX(PE_Nom,MATCH(B102,PE_Mat,0)),"Matricule inconnu"))</f>
        <v/>
      </c>
      <c r="D102" s="76" t="str">
        <f aca="false">IF(B102="","",IFERROR(INDEX(PE_Fonction,MATCH(B102,PE_Mat,0)),""))</f>
        <v/>
      </c>
      <c r="E102" s="76" t="str">
        <f aca="false">IF(B102="","",IFERROR(INDEX(PE_Equipe,MATCH(B102,PE_Mat,0)),""))</f>
        <v/>
      </c>
      <c r="F102" s="25"/>
      <c r="G102" s="25"/>
      <c r="H102" s="68"/>
      <c r="I102" s="89"/>
      <c r="J102" s="31" t="str">
        <f aca="false">IF(B102="","",IFERROR(INDEX(PE_Taux,MATCH(B102,PE_Mat,0)),0))</f>
        <v/>
      </c>
      <c r="K102" s="31" t="str">
        <f aca="false">IF(B102="","",IF(H102="A",0,IFERROR(N(I102)/P_Heures*J102,0)))</f>
        <v/>
      </c>
      <c r="L102" s="25"/>
    </row>
    <row r="103" customFormat="false" ht="15" hidden="false" customHeight="false" outlineLevel="0" collapsed="false">
      <c r="A103" s="69"/>
      <c r="B103" s="68"/>
      <c r="C103" s="76" t="str">
        <f aca="false">IF(B103="","",IFERROR(INDEX(PE_Nom,MATCH(B103,PE_Mat,0)),"Matricule inconnu"))</f>
        <v/>
      </c>
      <c r="D103" s="76" t="str">
        <f aca="false">IF(B103="","",IFERROR(INDEX(PE_Fonction,MATCH(B103,PE_Mat,0)),""))</f>
        <v/>
      </c>
      <c r="E103" s="76" t="str">
        <f aca="false">IF(B103="","",IFERROR(INDEX(PE_Equipe,MATCH(B103,PE_Mat,0)),""))</f>
        <v/>
      </c>
      <c r="F103" s="25"/>
      <c r="G103" s="25"/>
      <c r="H103" s="68"/>
      <c r="I103" s="89"/>
      <c r="J103" s="31" t="str">
        <f aca="false">IF(B103="","",IFERROR(INDEX(PE_Taux,MATCH(B103,PE_Mat,0)),0))</f>
        <v/>
      </c>
      <c r="K103" s="31" t="str">
        <f aca="false">IF(B103="","",IF(H103="A",0,IFERROR(N(I103)/P_Heures*J103,0)))</f>
        <v/>
      </c>
      <c r="L103" s="25"/>
    </row>
    <row r="104" customFormat="false" ht="15" hidden="false" customHeight="false" outlineLevel="0" collapsed="false">
      <c r="A104" s="69"/>
      <c r="B104" s="68"/>
      <c r="C104" s="76" t="str">
        <f aca="false">IF(B104="","",IFERROR(INDEX(PE_Nom,MATCH(B104,PE_Mat,0)),"Matricule inconnu"))</f>
        <v/>
      </c>
      <c r="D104" s="76" t="str">
        <f aca="false">IF(B104="","",IFERROR(INDEX(PE_Fonction,MATCH(B104,PE_Mat,0)),""))</f>
        <v/>
      </c>
      <c r="E104" s="76" t="str">
        <f aca="false">IF(B104="","",IFERROR(INDEX(PE_Equipe,MATCH(B104,PE_Mat,0)),""))</f>
        <v/>
      </c>
      <c r="F104" s="25"/>
      <c r="G104" s="25"/>
      <c r="H104" s="68"/>
      <c r="I104" s="89"/>
      <c r="J104" s="31" t="str">
        <f aca="false">IF(B104="","",IFERROR(INDEX(PE_Taux,MATCH(B104,PE_Mat,0)),0))</f>
        <v/>
      </c>
      <c r="K104" s="31" t="str">
        <f aca="false">IF(B104="","",IF(H104="A",0,IFERROR(N(I104)/P_Heures*J104,0)))</f>
        <v/>
      </c>
      <c r="L104" s="25"/>
    </row>
    <row r="105" customFormat="false" ht="15" hidden="false" customHeight="false" outlineLevel="0" collapsed="false">
      <c r="A105" s="69"/>
      <c r="B105" s="68"/>
      <c r="C105" s="76" t="str">
        <f aca="false">IF(B105="","",IFERROR(INDEX(PE_Nom,MATCH(B105,PE_Mat,0)),"Matricule inconnu"))</f>
        <v/>
      </c>
      <c r="D105" s="76" t="str">
        <f aca="false">IF(B105="","",IFERROR(INDEX(PE_Fonction,MATCH(B105,PE_Mat,0)),""))</f>
        <v/>
      </c>
      <c r="E105" s="76" t="str">
        <f aca="false">IF(B105="","",IFERROR(INDEX(PE_Equipe,MATCH(B105,PE_Mat,0)),""))</f>
        <v/>
      </c>
      <c r="F105" s="25"/>
      <c r="G105" s="25"/>
      <c r="H105" s="68"/>
      <c r="I105" s="89"/>
      <c r="J105" s="31" t="str">
        <f aca="false">IF(B105="","",IFERROR(INDEX(PE_Taux,MATCH(B105,PE_Mat,0)),0))</f>
        <v/>
      </c>
      <c r="K105" s="31" t="str">
        <f aca="false">IF(B105="","",IF(H105="A",0,IFERROR(N(I105)/P_Heures*J105,0)))</f>
        <v/>
      </c>
      <c r="L105" s="25"/>
    </row>
    <row r="106" customFormat="false" ht="15" hidden="false" customHeight="false" outlineLevel="0" collapsed="false">
      <c r="A106" s="69"/>
      <c r="B106" s="68"/>
      <c r="C106" s="76" t="str">
        <f aca="false">IF(B106="","",IFERROR(INDEX(PE_Nom,MATCH(B106,PE_Mat,0)),"Matricule inconnu"))</f>
        <v/>
      </c>
      <c r="D106" s="76" t="str">
        <f aca="false">IF(B106="","",IFERROR(INDEX(PE_Fonction,MATCH(B106,PE_Mat,0)),""))</f>
        <v/>
      </c>
      <c r="E106" s="76" t="str">
        <f aca="false">IF(B106="","",IFERROR(INDEX(PE_Equipe,MATCH(B106,PE_Mat,0)),""))</f>
        <v/>
      </c>
      <c r="F106" s="25"/>
      <c r="G106" s="25"/>
      <c r="H106" s="68"/>
      <c r="I106" s="89"/>
      <c r="J106" s="31" t="str">
        <f aca="false">IF(B106="","",IFERROR(INDEX(PE_Taux,MATCH(B106,PE_Mat,0)),0))</f>
        <v/>
      </c>
      <c r="K106" s="31" t="str">
        <f aca="false">IF(B106="","",IF(H106="A",0,IFERROR(N(I106)/P_Heures*J106,0)))</f>
        <v/>
      </c>
      <c r="L106" s="25"/>
    </row>
    <row r="107" customFormat="false" ht="15" hidden="false" customHeight="false" outlineLevel="0" collapsed="false">
      <c r="A107" s="69"/>
      <c r="B107" s="68"/>
      <c r="C107" s="76" t="str">
        <f aca="false">IF(B107="","",IFERROR(INDEX(PE_Nom,MATCH(B107,PE_Mat,0)),"Matricule inconnu"))</f>
        <v/>
      </c>
      <c r="D107" s="76" t="str">
        <f aca="false">IF(B107="","",IFERROR(INDEX(PE_Fonction,MATCH(B107,PE_Mat,0)),""))</f>
        <v/>
      </c>
      <c r="E107" s="76" t="str">
        <f aca="false">IF(B107="","",IFERROR(INDEX(PE_Equipe,MATCH(B107,PE_Mat,0)),""))</f>
        <v/>
      </c>
      <c r="F107" s="25"/>
      <c r="G107" s="25"/>
      <c r="H107" s="68"/>
      <c r="I107" s="89"/>
      <c r="J107" s="31" t="str">
        <f aca="false">IF(B107="","",IFERROR(INDEX(PE_Taux,MATCH(B107,PE_Mat,0)),0))</f>
        <v/>
      </c>
      <c r="K107" s="31" t="str">
        <f aca="false">IF(B107="","",IF(H107="A",0,IFERROR(N(I107)/P_Heures*J107,0)))</f>
        <v/>
      </c>
      <c r="L107" s="25"/>
    </row>
    <row r="108" customFormat="false" ht="15" hidden="false" customHeight="false" outlineLevel="0" collapsed="false">
      <c r="A108" s="69"/>
      <c r="B108" s="68"/>
      <c r="C108" s="76" t="str">
        <f aca="false">IF(B108="","",IFERROR(INDEX(PE_Nom,MATCH(B108,PE_Mat,0)),"Matricule inconnu"))</f>
        <v/>
      </c>
      <c r="D108" s="76" t="str">
        <f aca="false">IF(B108="","",IFERROR(INDEX(PE_Fonction,MATCH(B108,PE_Mat,0)),""))</f>
        <v/>
      </c>
      <c r="E108" s="76" t="str">
        <f aca="false">IF(B108="","",IFERROR(INDEX(PE_Equipe,MATCH(B108,PE_Mat,0)),""))</f>
        <v/>
      </c>
      <c r="F108" s="25"/>
      <c r="G108" s="25"/>
      <c r="H108" s="68"/>
      <c r="I108" s="89"/>
      <c r="J108" s="31" t="str">
        <f aca="false">IF(B108="","",IFERROR(INDEX(PE_Taux,MATCH(B108,PE_Mat,0)),0))</f>
        <v/>
      </c>
      <c r="K108" s="31" t="str">
        <f aca="false">IF(B108="","",IF(H108="A",0,IFERROR(N(I108)/P_Heures*J108,0)))</f>
        <v/>
      </c>
      <c r="L108" s="25"/>
    </row>
    <row r="109" customFormat="false" ht="15" hidden="false" customHeight="false" outlineLevel="0" collapsed="false">
      <c r="A109" s="69"/>
      <c r="B109" s="68"/>
      <c r="C109" s="76" t="str">
        <f aca="false">IF(B109="","",IFERROR(INDEX(PE_Nom,MATCH(B109,PE_Mat,0)),"Matricule inconnu"))</f>
        <v/>
      </c>
      <c r="D109" s="76" t="str">
        <f aca="false">IF(B109="","",IFERROR(INDEX(PE_Fonction,MATCH(B109,PE_Mat,0)),""))</f>
        <v/>
      </c>
      <c r="E109" s="76" t="str">
        <f aca="false">IF(B109="","",IFERROR(INDEX(PE_Equipe,MATCH(B109,PE_Mat,0)),""))</f>
        <v/>
      </c>
      <c r="F109" s="25"/>
      <c r="G109" s="25"/>
      <c r="H109" s="68"/>
      <c r="I109" s="89"/>
      <c r="J109" s="31" t="str">
        <f aca="false">IF(B109="","",IFERROR(INDEX(PE_Taux,MATCH(B109,PE_Mat,0)),0))</f>
        <v/>
      </c>
      <c r="K109" s="31" t="str">
        <f aca="false">IF(B109="","",IF(H109="A",0,IFERROR(N(I109)/P_Heures*J109,0)))</f>
        <v/>
      </c>
      <c r="L109" s="25"/>
    </row>
    <row r="110" customFormat="false" ht="15" hidden="false" customHeight="false" outlineLevel="0" collapsed="false">
      <c r="A110" s="69"/>
      <c r="B110" s="68"/>
      <c r="C110" s="76" t="str">
        <f aca="false">IF(B110="","",IFERROR(INDEX(PE_Nom,MATCH(B110,PE_Mat,0)),"Matricule inconnu"))</f>
        <v/>
      </c>
      <c r="D110" s="76" t="str">
        <f aca="false">IF(B110="","",IFERROR(INDEX(PE_Fonction,MATCH(B110,PE_Mat,0)),""))</f>
        <v/>
      </c>
      <c r="E110" s="76" t="str">
        <f aca="false">IF(B110="","",IFERROR(INDEX(PE_Equipe,MATCH(B110,PE_Mat,0)),""))</f>
        <v/>
      </c>
      <c r="F110" s="25"/>
      <c r="G110" s="25"/>
      <c r="H110" s="68"/>
      <c r="I110" s="89"/>
      <c r="J110" s="31" t="str">
        <f aca="false">IF(B110="","",IFERROR(INDEX(PE_Taux,MATCH(B110,PE_Mat,0)),0))</f>
        <v/>
      </c>
      <c r="K110" s="31" t="str">
        <f aca="false">IF(B110="","",IF(H110="A",0,IFERROR(N(I110)/P_Heures*J110,0)))</f>
        <v/>
      </c>
      <c r="L110" s="25"/>
    </row>
    <row r="111" customFormat="false" ht="15" hidden="false" customHeight="false" outlineLevel="0" collapsed="false">
      <c r="A111" s="69"/>
      <c r="B111" s="68"/>
      <c r="C111" s="76" t="str">
        <f aca="false">IF(B111="","",IFERROR(INDEX(PE_Nom,MATCH(B111,PE_Mat,0)),"Matricule inconnu"))</f>
        <v/>
      </c>
      <c r="D111" s="76" t="str">
        <f aca="false">IF(B111="","",IFERROR(INDEX(PE_Fonction,MATCH(B111,PE_Mat,0)),""))</f>
        <v/>
      </c>
      <c r="E111" s="76" t="str">
        <f aca="false">IF(B111="","",IFERROR(INDEX(PE_Equipe,MATCH(B111,PE_Mat,0)),""))</f>
        <v/>
      </c>
      <c r="F111" s="25"/>
      <c r="G111" s="25"/>
      <c r="H111" s="68"/>
      <c r="I111" s="89"/>
      <c r="J111" s="31" t="str">
        <f aca="false">IF(B111="","",IFERROR(INDEX(PE_Taux,MATCH(B111,PE_Mat,0)),0))</f>
        <v/>
      </c>
      <c r="K111" s="31" t="str">
        <f aca="false">IF(B111="","",IF(H111="A",0,IFERROR(N(I111)/P_Heures*J111,0)))</f>
        <v/>
      </c>
      <c r="L111" s="25"/>
    </row>
    <row r="112" customFormat="false" ht="15" hidden="false" customHeight="false" outlineLevel="0" collapsed="false">
      <c r="A112" s="69"/>
      <c r="B112" s="68"/>
      <c r="C112" s="76" t="str">
        <f aca="false">IF(B112="","",IFERROR(INDEX(PE_Nom,MATCH(B112,PE_Mat,0)),"Matricule inconnu"))</f>
        <v/>
      </c>
      <c r="D112" s="76" t="str">
        <f aca="false">IF(B112="","",IFERROR(INDEX(PE_Fonction,MATCH(B112,PE_Mat,0)),""))</f>
        <v/>
      </c>
      <c r="E112" s="76" t="str">
        <f aca="false">IF(B112="","",IFERROR(INDEX(PE_Equipe,MATCH(B112,PE_Mat,0)),""))</f>
        <v/>
      </c>
      <c r="F112" s="25"/>
      <c r="G112" s="25"/>
      <c r="H112" s="68"/>
      <c r="I112" s="89"/>
      <c r="J112" s="31" t="str">
        <f aca="false">IF(B112="","",IFERROR(INDEX(PE_Taux,MATCH(B112,PE_Mat,0)),0))</f>
        <v/>
      </c>
      <c r="K112" s="31" t="str">
        <f aca="false">IF(B112="","",IF(H112="A",0,IFERROR(N(I112)/P_Heures*J112,0)))</f>
        <v/>
      </c>
      <c r="L112" s="25"/>
    </row>
    <row r="113" customFormat="false" ht="15" hidden="false" customHeight="false" outlineLevel="0" collapsed="false">
      <c r="A113" s="69"/>
      <c r="B113" s="68"/>
      <c r="C113" s="76" t="str">
        <f aca="false">IF(B113="","",IFERROR(INDEX(PE_Nom,MATCH(B113,PE_Mat,0)),"Matricule inconnu"))</f>
        <v/>
      </c>
      <c r="D113" s="76" t="str">
        <f aca="false">IF(B113="","",IFERROR(INDEX(PE_Fonction,MATCH(B113,PE_Mat,0)),""))</f>
        <v/>
      </c>
      <c r="E113" s="76" t="str">
        <f aca="false">IF(B113="","",IFERROR(INDEX(PE_Equipe,MATCH(B113,PE_Mat,0)),""))</f>
        <v/>
      </c>
      <c r="F113" s="25"/>
      <c r="G113" s="25"/>
      <c r="H113" s="68"/>
      <c r="I113" s="89"/>
      <c r="J113" s="31" t="str">
        <f aca="false">IF(B113="","",IFERROR(INDEX(PE_Taux,MATCH(B113,PE_Mat,0)),0))</f>
        <v/>
      </c>
      <c r="K113" s="31" t="str">
        <f aca="false">IF(B113="","",IF(H113="A",0,IFERROR(N(I113)/P_Heures*J113,0)))</f>
        <v/>
      </c>
      <c r="L113" s="25"/>
    </row>
    <row r="114" customFormat="false" ht="15" hidden="false" customHeight="false" outlineLevel="0" collapsed="false">
      <c r="A114" s="69"/>
      <c r="B114" s="68"/>
      <c r="C114" s="76" t="str">
        <f aca="false">IF(B114="","",IFERROR(INDEX(PE_Nom,MATCH(B114,PE_Mat,0)),"Matricule inconnu"))</f>
        <v/>
      </c>
      <c r="D114" s="76" t="str">
        <f aca="false">IF(B114="","",IFERROR(INDEX(PE_Fonction,MATCH(B114,PE_Mat,0)),""))</f>
        <v/>
      </c>
      <c r="E114" s="76" t="str">
        <f aca="false">IF(B114="","",IFERROR(INDEX(PE_Equipe,MATCH(B114,PE_Mat,0)),""))</f>
        <v/>
      </c>
      <c r="F114" s="25"/>
      <c r="G114" s="25"/>
      <c r="H114" s="68"/>
      <c r="I114" s="89"/>
      <c r="J114" s="31" t="str">
        <f aca="false">IF(B114="","",IFERROR(INDEX(PE_Taux,MATCH(B114,PE_Mat,0)),0))</f>
        <v/>
      </c>
      <c r="K114" s="31" t="str">
        <f aca="false">IF(B114="","",IF(H114="A",0,IFERROR(N(I114)/P_Heures*J114,0)))</f>
        <v/>
      </c>
      <c r="L114" s="25"/>
    </row>
    <row r="115" customFormat="false" ht="15" hidden="false" customHeight="false" outlineLevel="0" collapsed="false">
      <c r="A115" s="69"/>
      <c r="B115" s="68"/>
      <c r="C115" s="76" t="str">
        <f aca="false">IF(B115="","",IFERROR(INDEX(PE_Nom,MATCH(B115,PE_Mat,0)),"Matricule inconnu"))</f>
        <v/>
      </c>
      <c r="D115" s="76" t="str">
        <f aca="false">IF(B115="","",IFERROR(INDEX(PE_Fonction,MATCH(B115,PE_Mat,0)),""))</f>
        <v/>
      </c>
      <c r="E115" s="76" t="str">
        <f aca="false">IF(B115="","",IFERROR(INDEX(PE_Equipe,MATCH(B115,PE_Mat,0)),""))</f>
        <v/>
      </c>
      <c r="F115" s="25"/>
      <c r="G115" s="25"/>
      <c r="H115" s="68"/>
      <c r="I115" s="89"/>
      <c r="J115" s="31" t="str">
        <f aca="false">IF(B115="","",IFERROR(INDEX(PE_Taux,MATCH(B115,PE_Mat,0)),0))</f>
        <v/>
      </c>
      <c r="K115" s="31" t="str">
        <f aca="false">IF(B115="","",IF(H115="A",0,IFERROR(N(I115)/P_Heures*J115,0)))</f>
        <v/>
      </c>
      <c r="L115" s="25"/>
    </row>
    <row r="116" customFormat="false" ht="15" hidden="false" customHeight="false" outlineLevel="0" collapsed="false">
      <c r="A116" s="69"/>
      <c r="B116" s="68"/>
      <c r="C116" s="76" t="str">
        <f aca="false">IF(B116="","",IFERROR(INDEX(PE_Nom,MATCH(B116,PE_Mat,0)),"Matricule inconnu"))</f>
        <v/>
      </c>
      <c r="D116" s="76" t="str">
        <f aca="false">IF(B116="","",IFERROR(INDEX(PE_Fonction,MATCH(B116,PE_Mat,0)),""))</f>
        <v/>
      </c>
      <c r="E116" s="76" t="str">
        <f aca="false">IF(B116="","",IFERROR(INDEX(PE_Equipe,MATCH(B116,PE_Mat,0)),""))</f>
        <v/>
      </c>
      <c r="F116" s="25"/>
      <c r="G116" s="25"/>
      <c r="H116" s="68"/>
      <c r="I116" s="89"/>
      <c r="J116" s="31" t="str">
        <f aca="false">IF(B116="","",IFERROR(INDEX(PE_Taux,MATCH(B116,PE_Mat,0)),0))</f>
        <v/>
      </c>
      <c r="K116" s="31" t="str">
        <f aca="false">IF(B116="","",IF(H116="A",0,IFERROR(N(I116)/P_Heures*J116,0)))</f>
        <v/>
      </c>
      <c r="L116" s="25"/>
    </row>
    <row r="117" customFormat="false" ht="15" hidden="false" customHeight="false" outlineLevel="0" collapsed="false">
      <c r="A117" s="69"/>
      <c r="B117" s="68"/>
      <c r="C117" s="76" t="str">
        <f aca="false">IF(B117="","",IFERROR(INDEX(PE_Nom,MATCH(B117,PE_Mat,0)),"Matricule inconnu"))</f>
        <v/>
      </c>
      <c r="D117" s="76" t="str">
        <f aca="false">IF(B117="","",IFERROR(INDEX(PE_Fonction,MATCH(B117,PE_Mat,0)),""))</f>
        <v/>
      </c>
      <c r="E117" s="76" t="str">
        <f aca="false">IF(B117="","",IFERROR(INDEX(PE_Equipe,MATCH(B117,PE_Mat,0)),""))</f>
        <v/>
      </c>
      <c r="F117" s="25"/>
      <c r="G117" s="25"/>
      <c r="H117" s="68"/>
      <c r="I117" s="89"/>
      <c r="J117" s="31" t="str">
        <f aca="false">IF(B117="","",IFERROR(INDEX(PE_Taux,MATCH(B117,PE_Mat,0)),0))</f>
        <v/>
      </c>
      <c r="K117" s="31" t="str">
        <f aca="false">IF(B117="","",IF(H117="A",0,IFERROR(N(I117)/P_Heures*J117,0)))</f>
        <v/>
      </c>
      <c r="L117" s="25"/>
    </row>
    <row r="118" customFormat="false" ht="15" hidden="false" customHeight="false" outlineLevel="0" collapsed="false">
      <c r="A118" s="69"/>
      <c r="B118" s="68"/>
      <c r="C118" s="76" t="str">
        <f aca="false">IF(B118="","",IFERROR(INDEX(PE_Nom,MATCH(B118,PE_Mat,0)),"Matricule inconnu"))</f>
        <v/>
      </c>
      <c r="D118" s="76" t="str">
        <f aca="false">IF(B118="","",IFERROR(INDEX(PE_Fonction,MATCH(B118,PE_Mat,0)),""))</f>
        <v/>
      </c>
      <c r="E118" s="76" t="str">
        <f aca="false">IF(B118="","",IFERROR(INDEX(PE_Equipe,MATCH(B118,PE_Mat,0)),""))</f>
        <v/>
      </c>
      <c r="F118" s="25"/>
      <c r="G118" s="25"/>
      <c r="H118" s="68"/>
      <c r="I118" s="89"/>
      <c r="J118" s="31" t="str">
        <f aca="false">IF(B118="","",IFERROR(INDEX(PE_Taux,MATCH(B118,PE_Mat,0)),0))</f>
        <v/>
      </c>
      <c r="K118" s="31" t="str">
        <f aca="false">IF(B118="","",IF(H118="A",0,IFERROR(N(I118)/P_Heures*J118,0)))</f>
        <v/>
      </c>
      <c r="L118" s="25"/>
    </row>
    <row r="119" customFormat="false" ht="15" hidden="false" customHeight="false" outlineLevel="0" collapsed="false">
      <c r="A119" s="69"/>
      <c r="B119" s="68"/>
      <c r="C119" s="76" t="str">
        <f aca="false">IF(B119="","",IFERROR(INDEX(PE_Nom,MATCH(B119,PE_Mat,0)),"Matricule inconnu"))</f>
        <v/>
      </c>
      <c r="D119" s="76" t="str">
        <f aca="false">IF(B119="","",IFERROR(INDEX(PE_Fonction,MATCH(B119,PE_Mat,0)),""))</f>
        <v/>
      </c>
      <c r="E119" s="76" t="str">
        <f aca="false">IF(B119="","",IFERROR(INDEX(PE_Equipe,MATCH(B119,PE_Mat,0)),""))</f>
        <v/>
      </c>
      <c r="F119" s="25"/>
      <c r="G119" s="25"/>
      <c r="H119" s="68"/>
      <c r="I119" s="89"/>
      <c r="J119" s="31" t="str">
        <f aca="false">IF(B119="","",IFERROR(INDEX(PE_Taux,MATCH(B119,PE_Mat,0)),0))</f>
        <v/>
      </c>
      <c r="K119" s="31" t="str">
        <f aca="false">IF(B119="","",IF(H119="A",0,IFERROR(N(I119)/P_Heures*J119,0)))</f>
        <v/>
      </c>
      <c r="L119" s="25"/>
    </row>
    <row r="120" customFormat="false" ht="15" hidden="false" customHeight="false" outlineLevel="0" collapsed="false">
      <c r="A120" s="69"/>
      <c r="B120" s="68"/>
      <c r="C120" s="76" t="str">
        <f aca="false">IF(B120="","",IFERROR(INDEX(PE_Nom,MATCH(B120,PE_Mat,0)),"Matricule inconnu"))</f>
        <v/>
      </c>
      <c r="D120" s="76" t="str">
        <f aca="false">IF(B120="","",IFERROR(INDEX(PE_Fonction,MATCH(B120,PE_Mat,0)),""))</f>
        <v/>
      </c>
      <c r="E120" s="76" t="str">
        <f aca="false">IF(B120="","",IFERROR(INDEX(PE_Equipe,MATCH(B120,PE_Mat,0)),""))</f>
        <v/>
      </c>
      <c r="F120" s="25"/>
      <c r="G120" s="25"/>
      <c r="H120" s="68"/>
      <c r="I120" s="89"/>
      <c r="J120" s="31" t="str">
        <f aca="false">IF(B120="","",IFERROR(INDEX(PE_Taux,MATCH(B120,PE_Mat,0)),0))</f>
        <v/>
      </c>
      <c r="K120" s="31" t="str">
        <f aca="false">IF(B120="","",IF(H120="A",0,IFERROR(N(I120)/P_Heures*J120,0)))</f>
        <v/>
      </c>
      <c r="L120" s="25"/>
    </row>
    <row r="121" customFormat="false" ht="15" hidden="false" customHeight="false" outlineLevel="0" collapsed="false">
      <c r="A121" s="69"/>
      <c r="B121" s="68"/>
      <c r="C121" s="76" t="str">
        <f aca="false">IF(B121="","",IFERROR(INDEX(PE_Nom,MATCH(B121,PE_Mat,0)),"Matricule inconnu"))</f>
        <v/>
      </c>
      <c r="D121" s="76" t="str">
        <f aca="false">IF(B121="","",IFERROR(INDEX(PE_Fonction,MATCH(B121,PE_Mat,0)),""))</f>
        <v/>
      </c>
      <c r="E121" s="76" t="str">
        <f aca="false">IF(B121="","",IFERROR(INDEX(PE_Equipe,MATCH(B121,PE_Mat,0)),""))</f>
        <v/>
      </c>
      <c r="F121" s="25"/>
      <c r="G121" s="25"/>
      <c r="H121" s="68"/>
      <c r="I121" s="89"/>
      <c r="J121" s="31" t="str">
        <f aca="false">IF(B121="","",IFERROR(INDEX(PE_Taux,MATCH(B121,PE_Mat,0)),0))</f>
        <v/>
      </c>
      <c r="K121" s="31" t="str">
        <f aca="false">IF(B121="","",IF(H121="A",0,IFERROR(N(I121)/P_Heures*J121,0)))</f>
        <v/>
      </c>
      <c r="L121" s="25"/>
    </row>
    <row r="122" customFormat="false" ht="15" hidden="false" customHeight="false" outlineLevel="0" collapsed="false">
      <c r="A122" s="69"/>
      <c r="B122" s="68"/>
      <c r="C122" s="76" t="str">
        <f aca="false">IF(B122="","",IFERROR(INDEX(PE_Nom,MATCH(B122,PE_Mat,0)),"Matricule inconnu"))</f>
        <v/>
      </c>
      <c r="D122" s="76" t="str">
        <f aca="false">IF(B122="","",IFERROR(INDEX(PE_Fonction,MATCH(B122,PE_Mat,0)),""))</f>
        <v/>
      </c>
      <c r="E122" s="76" t="str">
        <f aca="false">IF(B122="","",IFERROR(INDEX(PE_Equipe,MATCH(B122,PE_Mat,0)),""))</f>
        <v/>
      </c>
      <c r="F122" s="25"/>
      <c r="G122" s="25"/>
      <c r="H122" s="68"/>
      <c r="I122" s="89"/>
      <c r="J122" s="31" t="str">
        <f aca="false">IF(B122="","",IFERROR(INDEX(PE_Taux,MATCH(B122,PE_Mat,0)),0))</f>
        <v/>
      </c>
      <c r="K122" s="31" t="str">
        <f aca="false">IF(B122="","",IF(H122="A",0,IFERROR(N(I122)/P_Heures*J122,0)))</f>
        <v/>
      </c>
      <c r="L122" s="25"/>
    </row>
    <row r="123" customFormat="false" ht="15" hidden="false" customHeight="false" outlineLevel="0" collapsed="false">
      <c r="A123" s="69"/>
      <c r="B123" s="68"/>
      <c r="C123" s="76" t="str">
        <f aca="false">IF(B123="","",IFERROR(INDEX(PE_Nom,MATCH(B123,PE_Mat,0)),"Matricule inconnu"))</f>
        <v/>
      </c>
      <c r="D123" s="76" t="str">
        <f aca="false">IF(B123="","",IFERROR(INDEX(PE_Fonction,MATCH(B123,PE_Mat,0)),""))</f>
        <v/>
      </c>
      <c r="E123" s="76" t="str">
        <f aca="false">IF(B123="","",IFERROR(INDEX(PE_Equipe,MATCH(B123,PE_Mat,0)),""))</f>
        <v/>
      </c>
      <c r="F123" s="25"/>
      <c r="G123" s="25"/>
      <c r="H123" s="68"/>
      <c r="I123" s="89"/>
      <c r="J123" s="31" t="str">
        <f aca="false">IF(B123="","",IFERROR(INDEX(PE_Taux,MATCH(B123,PE_Mat,0)),0))</f>
        <v/>
      </c>
      <c r="K123" s="31" t="str">
        <f aca="false">IF(B123="","",IF(H123="A",0,IFERROR(N(I123)/P_Heures*J123,0)))</f>
        <v/>
      </c>
      <c r="L123" s="25"/>
    </row>
    <row r="124" customFormat="false" ht="15" hidden="false" customHeight="false" outlineLevel="0" collapsed="false">
      <c r="A124" s="69"/>
      <c r="B124" s="68"/>
      <c r="C124" s="76" t="str">
        <f aca="false">IF(B124="","",IFERROR(INDEX(PE_Nom,MATCH(B124,PE_Mat,0)),"Matricule inconnu"))</f>
        <v/>
      </c>
      <c r="D124" s="76" t="str">
        <f aca="false">IF(B124="","",IFERROR(INDEX(PE_Fonction,MATCH(B124,PE_Mat,0)),""))</f>
        <v/>
      </c>
      <c r="E124" s="76" t="str">
        <f aca="false">IF(B124="","",IFERROR(INDEX(PE_Equipe,MATCH(B124,PE_Mat,0)),""))</f>
        <v/>
      </c>
      <c r="F124" s="25"/>
      <c r="G124" s="25"/>
      <c r="H124" s="68"/>
      <c r="I124" s="89"/>
      <c r="J124" s="31" t="str">
        <f aca="false">IF(B124="","",IFERROR(INDEX(PE_Taux,MATCH(B124,PE_Mat,0)),0))</f>
        <v/>
      </c>
      <c r="K124" s="31" t="str">
        <f aca="false">IF(B124="","",IF(H124="A",0,IFERROR(N(I124)/P_Heures*J124,0)))</f>
        <v/>
      </c>
      <c r="L124" s="25"/>
    </row>
    <row r="125" customFormat="false" ht="15" hidden="false" customHeight="false" outlineLevel="0" collapsed="false">
      <c r="A125" s="69"/>
      <c r="B125" s="68"/>
      <c r="C125" s="76" t="str">
        <f aca="false">IF(B125="","",IFERROR(INDEX(PE_Nom,MATCH(B125,PE_Mat,0)),"Matricule inconnu"))</f>
        <v/>
      </c>
      <c r="D125" s="76" t="str">
        <f aca="false">IF(B125="","",IFERROR(INDEX(PE_Fonction,MATCH(B125,PE_Mat,0)),""))</f>
        <v/>
      </c>
      <c r="E125" s="76" t="str">
        <f aca="false">IF(B125="","",IFERROR(INDEX(PE_Equipe,MATCH(B125,PE_Mat,0)),""))</f>
        <v/>
      </c>
      <c r="F125" s="25"/>
      <c r="G125" s="25"/>
      <c r="H125" s="68"/>
      <c r="I125" s="89"/>
      <c r="J125" s="31" t="str">
        <f aca="false">IF(B125="","",IFERROR(INDEX(PE_Taux,MATCH(B125,PE_Mat,0)),0))</f>
        <v/>
      </c>
      <c r="K125" s="31" t="str">
        <f aca="false">IF(B125="","",IF(H125="A",0,IFERROR(N(I125)/P_Heures*J125,0)))</f>
        <v/>
      </c>
      <c r="L125" s="25"/>
    </row>
    <row r="126" customFormat="false" ht="15" hidden="false" customHeight="false" outlineLevel="0" collapsed="false">
      <c r="A126" s="69"/>
      <c r="B126" s="68"/>
      <c r="C126" s="76" t="str">
        <f aca="false">IF(B126="","",IFERROR(INDEX(PE_Nom,MATCH(B126,PE_Mat,0)),"Matricule inconnu"))</f>
        <v/>
      </c>
      <c r="D126" s="76" t="str">
        <f aca="false">IF(B126="","",IFERROR(INDEX(PE_Fonction,MATCH(B126,PE_Mat,0)),""))</f>
        <v/>
      </c>
      <c r="E126" s="76" t="str">
        <f aca="false">IF(B126="","",IFERROR(INDEX(PE_Equipe,MATCH(B126,PE_Mat,0)),""))</f>
        <v/>
      </c>
      <c r="F126" s="25"/>
      <c r="G126" s="25"/>
      <c r="H126" s="68"/>
      <c r="I126" s="89"/>
      <c r="J126" s="31" t="str">
        <f aca="false">IF(B126="","",IFERROR(INDEX(PE_Taux,MATCH(B126,PE_Mat,0)),0))</f>
        <v/>
      </c>
      <c r="K126" s="31" t="str">
        <f aca="false">IF(B126="","",IF(H126="A",0,IFERROR(N(I126)/P_Heures*J126,0)))</f>
        <v/>
      </c>
      <c r="L126" s="25"/>
    </row>
    <row r="127" customFormat="false" ht="15" hidden="false" customHeight="false" outlineLevel="0" collapsed="false">
      <c r="A127" s="69"/>
      <c r="B127" s="68"/>
      <c r="C127" s="76" t="str">
        <f aca="false">IF(B127="","",IFERROR(INDEX(PE_Nom,MATCH(B127,PE_Mat,0)),"Matricule inconnu"))</f>
        <v/>
      </c>
      <c r="D127" s="76" t="str">
        <f aca="false">IF(B127="","",IFERROR(INDEX(PE_Fonction,MATCH(B127,PE_Mat,0)),""))</f>
        <v/>
      </c>
      <c r="E127" s="76" t="str">
        <f aca="false">IF(B127="","",IFERROR(INDEX(PE_Equipe,MATCH(B127,PE_Mat,0)),""))</f>
        <v/>
      </c>
      <c r="F127" s="25"/>
      <c r="G127" s="25"/>
      <c r="H127" s="68"/>
      <c r="I127" s="89"/>
      <c r="J127" s="31" t="str">
        <f aca="false">IF(B127="","",IFERROR(INDEX(PE_Taux,MATCH(B127,PE_Mat,0)),0))</f>
        <v/>
      </c>
      <c r="K127" s="31" t="str">
        <f aca="false">IF(B127="","",IF(H127="A",0,IFERROR(N(I127)/P_Heures*J127,0)))</f>
        <v/>
      </c>
      <c r="L127" s="25"/>
    </row>
    <row r="128" customFormat="false" ht="15" hidden="false" customHeight="false" outlineLevel="0" collapsed="false">
      <c r="A128" s="69"/>
      <c r="B128" s="68"/>
      <c r="C128" s="76" t="str">
        <f aca="false">IF(B128="","",IFERROR(INDEX(PE_Nom,MATCH(B128,PE_Mat,0)),"Matricule inconnu"))</f>
        <v/>
      </c>
      <c r="D128" s="76" t="str">
        <f aca="false">IF(B128="","",IFERROR(INDEX(PE_Fonction,MATCH(B128,PE_Mat,0)),""))</f>
        <v/>
      </c>
      <c r="E128" s="76" t="str">
        <f aca="false">IF(B128="","",IFERROR(INDEX(PE_Equipe,MATCH(B128,PE_Mat,0)),""))</f>
        <v/>
      </c>
      <c r="F128" s="25"/>
      <c r="G128" s="25"/>
      <c r="H128" s="68"/>
      <c r="I128" s="89"/>
      <c r="J128" s="31" t="str">
        <f aca="false">IF(B128="","",IFERROR(INDEX(PE_Taux,MATCH(B128,PE_Mat,0)),0))</f>
        <v/>
      </c>
      <c r="K128" s="31" t="str">
        <f aca="false">IF(B128="","",IF(H128="A",0,IFERROR(N(I128)/P_Heures*J128,0)))</f>
        <v/>
      </c>
      <c r="L128" s="25"/>
    </row>
    <row r="129" customFormat="false" ht="15" hidden="false" customHeight="false" outlineLevel="0" collapsed="false">
      <c r="A129" s="69"/>
      <c r="B129" s="68"/>
      <c r="C129" s="76" t="str">
        <f aca="false">IF(B129="","",IFERROR(INDEX(PE_Nom,MATCH(B129,PE_Mat,0)),"Matricule inconnu"))</f>
        <v/>
      </c>
      <c r="D129" s="76" t="str">
        <f aca="false">IF(B129="","",IFERROR(INDEX(PE_Fonction,MATCH(B129,PE_Mat,0)),""))</f>
        <v/>
      </c>
      <c r="E129" s="76" t="str">
        <f aca="false">IF(B129="","",IFERROR(INDEX(PE_Equipe,MATCH(B129,PE_Mat,0)),""))</f>
        <v/>
      </c>
      <c r="F129" s="25"/>
      <c r="G129" s="25"/>
      <c r="H129" s="68"/>
      <c r="I129" s="89"/>
      <c r="J129" s="31" t="str">
        <f aca="false">IF(B129="","",IFERROR(INDEX(PE_Taux,MATCH(B129,PE_Mat,0)),0))</f>
        <v/>
      </c>
      <c r="K129" s="31" t="str">
        <f aca="false">IF(B129="","",IF(H129="A",0,IFERROR(N(I129)/P_Heures*J129,0)))</f>
        <v/>
      </c>
      <c r="L129" s="25"/>
    </row>
    <row r="130" customFormat="false" ht="15" hidden="false" customHeight="false" outlineLevel="0" collapsed="false">
      <c r="A130" s="69"/>
      <c r="B130" s="68"/>
      <c r="C130" s="76" t="str">
        <f aca="false">IF(B130="","",IFERROR(INDEX(PE_Nom,MATCH(B130,PE_Mat,0)),"Matricule inconnu"))</f>
        <v/>
      </c>
      <c r="D130" s="76" t="str">
        <f aca="false">IF(B130="","",IFERROR(INDEX(PE_Fonction,MATCH(B130,PE_Mat,0)),""))</f>
        <v/>
      </c>
      <c r="E130" s="76" t="str">
        <f aca="false">IF(B130="","",IFERROR(INDEX(PE_Equipe,MATCH(B130,PE_Mat,0)),""))</f>
        <v/>
      </c>
      <c r="F130" s="25"/>
      <c r="G130" s="25"/>
      <c r="H130" s="68"/>
      <c r="I130" s="89"/>
      <c r="J130" s="31" t="str">
        <f aca="false">IF(B130="","",IFERROR(INDEX(PE_Taux,MATCH(B130,PE_Mat,0)),0))</f>
        <v/>
      </c>
      <c r="K130" s="31" t="str">
        <f aca="false">IF(B130="","",IF(H130="A",0,IFERROR(N(I130)/P_Heures*J130,0)))</f>
        <v/>
      </c>
      <c r="L130" s="25"/>
    </row>
    <row r="131" customFormat="false" ht="15" hidden="false" customHeight="false" outlineLevel="0" collapsed="false">
      <c r="A131" s="69"/>
      <c r="B131" s="68"/>
      <c r="C131" s="76" t="str">
        <f aca="false">IF(B131="","",IFERROR(INDEX(PE_Nom,MATCH(B131,PE_Mat,0)),"Matricule inconnu"))</f>
        <v/>
      </c>
      <c r="D131" s="76" t="str">
        <f aca="false">IF(B131="","",IFERROR(INDEX(PE_Fonction,MATCH(B131,PE_Mat,0)),""))</f>
        <v/>
      </c>
      <c r="E131" s="76" t="str">
        <f aca="false">IF(B131="","",IFERROR(INDEX(PE_Equipe,MATCH(B131,PE_Mat,0)),""))</f>
        <v/>
      </c>
      <c r="F131" s="25"/>
      <c r="G131" s="25"/>
      <c r="H131" s="68"/>
      <c r="I131" s="89"/>
      <c r="J131" s="31" t="str">
        <f aca="false">IF(B131="","",IFERROR(INDEX(PE_Taux,MATCH(B131,PE_Mat,0)),0))</f>
        <v/>
      </c>
      <c r="K131" s="31" t="str">
        <f aca="false">IF(B131="","",IF(H131="A",0,IFERROR(N(I131)/P_Heures*J131,0)))</f>
        <v/>
      </c>
      <c r="L131" s="25"/>
    </row>
    <row r="132" customFormat="false" ht="15" hidden="false" customHeight="false" outlineLevel="0" collapsed="false">
      <c r="A132" s="69"/>
      <c r="B132" s="68"/>
      <c r="C132" s="76" t="str">
        <f aca="false">IF(B132="","",IFERROR(INDEX(PE_Nom,MATCH(B132,PE_Mat,0)),"Matricule inconnu"))</f>
        <v/>
      </c>
      <c r="D132" s="76" t="str">
        <f aca="false">IF(B132="","",IFERROR(INDEX(PE_Fonction,MATCH(B132,PE_Mat,0)),""))</f>
        <v/>
      </c>
      <c r="E132" s="76" t="str">
        <f aca="false">IF(B132="","",IFERROR(INDEX(PE_Equipe,MATCH(B132,PE_Mat,0)),""))</f>
        <v/>
      </c>
      <c r="F132" s="25"/>
      <c r="G132" s="25"/>
      <c r="H132" s="68"/>
      <c r="I132" s="89"/>
      <c r="J132" s="31" t="str">
        <f aca="false">IF(B132="","",IFERROR(INDEX(PE_Taux,MATCH(B132,PE_Mat,0)),0))</f>
        <v/>
      </c>
      <c r="K132" s="31" t="str">
        <f aca="false">IF(B132="","",IF(H132="A",0,IFERROR(N(I132)/P_Heures*J132,0)))</f>
        <v/>
      </c>
      <c r="L132" s="25"/>
    </row>
    <row r="133" customFormat="false" ht="15" hidden="false" customHeight="false" outlineLevel="0" collapsed="false">
      <c r="A133" s="69"/>
      <c r="B133" s="68"/>
      <c r="C133" s="76" t="str">
        <f aca="false">IF(B133="","",IFERROR(INDEX(PE_Nom,MATCH(B133,PE_Mat,0)),"Matricule inconnu"))</f>
        <v/>
      </c>
      <c r="D133" s="76" t="str">
        <f aca="false">IF(B133="","",IFERROR(INDEX(PE_Fonction,MATCH(B133,PE_Mat,0)),""))</f>
        <v/>
      </c>
      <c r="E133" s="76" t="str">
        <f aca="false">IF(B133="","",IFERROR(INDEX(PE_Equipe,MATCH(B133,PE_Mat,0)),""))</f>
        <v/>
      </c>
      <c r="F133" s="25"/>
      <c r="G133" s="25"/>
      <c r="H133" s="68"/>
      <c r="I133" s="89"/>
      <c r="J133" s="31" t="str">
        <f aca="false">IF(B133="","",IFERROR(INDEX(PE_Taux,MATCH(B133,PE_Mat,0)),0))</f>
        <v/>
      </c>
      <c r="K133" s="31" t="str">
        <f aca="false">IF(B133="","",IF(H133="A",0,IFERROR(N(I133)/P_Heures*J133,0)))</f>
        <v/>
      </c>
      <c r="L133" s="25"/>
    </row>
    <row r="134" customFormat="false" ht="15" hidden="false" customHeight="false" outlineLevel="0" collapsed="false">
      <c r="A134" s="69"/>
      <c r="B134" s="68"/>
      <c r="C134" s="76" t="str">
        <f aca="false">IF(B134="","",IFERROR(INDEX(PE_Nom,MATCH(B134,PE_Mat,0)),"Matricule inconnu"))</f>
        <v/>
      </c>
      <c r="D134" s="76" t="str">
        <f aca="false">IF(B134="","",IFERROR(INDEX(PE_Fonction,MATCH(B134,PE_Mat,0)),""))</f>
        <v/>
      </c>
      <c r="E134" s="76" t="str">
        <f aca="false">IF(B134="","",IFERROR(INDEX(PE_Equipe,MATCH(B134,PE_Mat,0)),""))</f>
        <v/>
      </c>
      <c r="F134" s="25"/>
      <c r="G134" s="25"/>
      <c r="H134" s="68"/>
      <c r="I134" s="89"/>
      <c r="J134" s="31" t="str">
        <f aca="false">IF(B134="","",IFERROR(INDEX(PE_Taux,MATCH(B134,PE_Mat,0)),0))</f>
        <v/>
      </c>
      <c r="K134" s="31" t="str">
        <f aca="false">IF(B134="","",IF(H134="A",0,IFERROR(N(I134)/P_Heures*J134,0)))</f>
        <v/>
      </c>
      <c r="L134" s="25"/>
    </row>
    <row r="135" customFormat="false" ht="15" hidden="false" customHeight="false" outlineLevel="0" collapsed="false">
      <c r="A135" s="69"/>
      <c r="B135" s="68"/>
      <c r="C135" s="76" t="str">
        <f aca="false">IF(B135="","",IFERROR(INDEX(PE_Nom,MATCH(B135,PE_Mat,0)),"Matricule inconnu"))</f>
        <v/>
      </c>
      <c r="D135" s="76" t="str">
        <f aca="false">IF(B135="","",IFERROR(INDEX(PE_Fonction,MATCH(B135,PE_Mat,0)),""))</f>
        <v/>
      </c>
      <c r="E135" s="76" t="str">
        <f aca="false">IF(B135="","",IFERROR(INDEX(PE_Equipe,MATCH(B135,PE_Mat,0)),""))</f>
        <v/>
      </c>
      <c r="F135" s="25"/>
      <c r="G135" s="25"/>
      <c r="H135" s="68"/>
      <c r="I135" s="89"/>
      <c r="J135" s="31" t="str">
        <f aca="false">IF(B135="","",IFERROR(INDEX(PE_Taux,MATCH(B135,PE_Mat,0)),0))</f>
        <v/>
      </c>
      <c r="K135" s="31" t="str">
        <f aca="false">IF(B135="","",IF(H135="A",0,IFERROR(N(I135)/P_Heures*J135,0)))</f>
        <v/>
      </c>
      <c r="L135" s="25"/>
    </row>
    <row r="136" customFormat="false" ht="15" hidden="false" customHeight="false" outlineLevel="0" collapsed="false">
      <c r="A136" s="69"/>
      <c r="B136" s="68"/>
      <c r="C136" s="76" t="str">
        <f aca="false">IF(B136="","",IFERROR(INDEX(PE_Nom,MATCH(B136,PE_Mat,0)),"Matricule inconnu"))</f>
        <v/>
      </c>
      <c r="D136" s="76" t="str">
        <f aca="false">IF(B136="","",IFERROR(INDEX(PE_Fonction,MATCH(B136,PE_Mat,0)),""))</f>
        <v/>
      </c>
      <c r="E136" s="76" t="str">
        <f aca="false">IF(B136="","",IFERROR(INDEX(PE_Equipe,MATCH(B136,PE_Mat,0)),""))</f>
        <v/>
      </c>
      <c r="F136" s="25"/>
      <c r="G136" s="25"/>
      <c r="H136" s="68"/>
      <c r="I136" s="89"/>
      <c r="J136" s="31" t="str">
        <f aca="false">IF(B136="","",IFERROR(INDEX(PE_Taux,MATCH(B136,PE_Mat,0)),0))</f>
        <v/>
      </c>
      <c r="K136" s="31" t="str">
        <f aca="false">IF(B136="","",IF(H136="A",0,IFERROR(N(I136)/P_Heures*J136,0)))</f>
        <v/>
      </c>
      <c r="L136" s="25"/>
    </row>
    <row r="137" customFormat="false" ht="15" hidden="false" customHeight="false" outlineLevel="0" collapsed="false">
      <c r="A137" s="69"/>
      <c r="B137" s="68"/>
      <c r="C137" s="76" t="str">
        <f aca="false">IF(B137="","",IFERROR(INDEX(PE_Nom,MATCH(B137,PE_Mat,0)),"Matricule inconnu"))</f>
        <v/>
      </c>
      <c r="D137" s="76" t="str">
        <f aca="false">IF(B137="","",IFERROR(INDEX(PE_Fonction,MATCH(B137,PE_Mat,0)),""))</f>
        <v/>
      </c>
      <c r="E137" s="76" t="str">
        <f aca="false">IF(B137="","",IFERROR(INDEX(PE_Equipe,MATCH(B137,PE_Mat,0)),""))</f>
        <v/>
      </c>
      <c r="F137" s="25"/>
      <c r="G137" s="25"/>
      <c r="H137" s="68"/>
      <c r="I137" s="89"/>
      <c r="J137" s="31" t="str">
        <f aca="false">IF(B137="","",IFERROR(INDEX(PE_Taux,MATCH(B137,PE_Mat,0)),0))</f>
        <v/>
      </c>
      <c r="K137" s="31" t="str">
        <f aca="false">IF(B137="","",IF(H137="A",0,IFERROR(N(I137)/P_Heures*J137,0)))</f>
        <v/>
      </c>
      <c r="L137" s="25"/>
    </row>
    <row r="138" customFormat="false" ht="15" hidden="false" customHeight="false" outlineLevel="0" collapsed="false">
      <c r="A138" s="69"/>
      <c r="B138" s="68"/>
      <c r="C138" s="76" t="str">
        <f aca="false">IF(B138="","",IFERROR(INDEX(PE_Nom,MATCH(B138,PE_Mat,0)),"Matricule inconnu"))</f>
        <v/>
      </c>
      <c r="D138" s="76" t="str">
        <f aca="false">IF(B138="","",IFERROR(INDEX(PE_Fonction,MATCH(B138,PE_Mat,0)),""))</f>
        <v/>
      </c>
      <c r="E138" s="76" t="str">
        <f aca="false">IF(B138="","",IFERROR(INDEX(PE_Equipe,MATCH(B138,PE_Mat,0)),""))</f>
        <v/>
      </c>
      <c r="F138" s="25"/>
      <c r="G138" s="25"/>
      <c r="H138" s="68"/>
      <c r="I138" s="89"/>
      <c r="J138" s="31" t="str">
        <f aca="false">IF(B138="","",IFERROR(INDEX(PE_Taux,MATCH(B138,PE_Mat,0)),0))</f>
        <v/>
      </c>
      <c r="K138" s="31" t="str">
        <f aca="false">IF(B138="","",IF(H138="A",0,IFERROR(N(I138)/P_Heures*J138,0)))</f>
        <v/>
      </c>
      <c r="L138" s="25"/>
    </row>
    <row r="139" customFormat="false" ht="15" hidden="false" customHeight="false" outlineLevel="0" collapsed="false">
      <c r="A139" s="69"/>
      <c r="B139" s="68"/>
      <c r="C139" s="76" t="str">
        <f aca="false">IF(B139="","",IFERROR(INDEX(PE_Nom,MATCH(B139,PE_Mat,0)),"Matricule inconnu"))</f>
        <v/>
      </c>
      <c r="D139" s="76" t="str">
        <f aca="false">IF(B139="","",IFERROR(INDEX(PE_Fonction,MATCH(B139,PE_Mat,0)),""))</f>
        <v/>
      </c>
      <c r="E139" s="76" t="str">
        <f aca="false">IF(B139="","",IFERROR(INDEX(PE_Equipe,MATCH(B139,PE_Mat,0)),""))</f>
        <v/>
      </c>
      <c r="F139" s="25"/>
      <c r="G139" s="25"/>
      <c r="H139" s="68"/>
      <c r="I139" s="89"/>
      <c r="J139" s="31" t="str">
        <f aca="false">IF(B139="","",IFERROR(INDEX(PE_Taux,MATCH(B139,PE_Mat,0)),0))</f>
        <v/>
      </c>
      <c r="K139" s="31" t="str">
        <f aca="false">IF(B139="","",IF(H139="A",0,IFERROR(N(I139)/P_Heures*J139,0)))</f>
        <v/>
      </c>
      <c r="L139" s="25"/>
    </row>
    <row r="140" customFormat="false" ht="15" hidden="false" customHeight="false" outlineLevel="0" collapsed="false">
      <c r="A140" s="69"/>
      <c r="B140" s="68"/>
      <c r="C140" s="76" t="str">
        <f aca="false">IF(B140="","",IFERROR(INDEX(PE_Nom,MATCH(B140,PE_Mat,0)),"Matricule inconnu"))</f>
        <v/>
      </c>
      <c r="D140" s="76" t="str">
        <f aca="false">IF(B140="","",IFERROR(INDEX(PE_Fonction,MATCH(B140,PE_Mat,0)),""))</f>
        <v/>
      </c>
      <c r="E140" s="76" t="str">
        <f aca="false">IF(B140="","",IFERROR(INDEX(PE_Equipe,MATCH(B140,PE_Mat,0)),""))</f>
        <v/>
      </c>
      <c r="F140" s="25"/>
      <c r="G140" s="25"/>
      <c r="H140" s="68"/>
      <c r="I140" s="89"/>
      <c r="J140" s="31" t="str">
        <f aca="false">IF(B140="","",IFERROR(INDEX(PE_Taux,MATCH(B140,PE_Mat,0)),0))</f>
        <v/>
      </c>
      <c r="K140" s="31" t="str">
        <f aca="false">IF(B140="","",IF(H140="A",0,IFERROR(N(I140)/P_Heures*J140,0)))</f>
        <v/>
      </c>
      <c r="L140" s="25"/>
    </row>
    <row r="141" customFormat="false" ht="15" hidden="false" customHeight="false" outlineLevel="0" collapsed="false">
      <c r="A141" s="69"/>
      <c r="B141" s="68"/>
      <c r="C141" s="76" t="str">
        <f aca="false">IF(B141="","",IFERROR(INDEX(PE_Nom,MATCH(B141,PE_Mat,0)),"Matricule inconnu"))</f>
        <v/>
      </c>
      <c r="D141" s="76" t="str">
        <f aca="false">IF(B141="","",IFERROR(INDEX(PE_Fonction,MATCH(B141,PE_Mat,0)),""))</f>
        <v/>
      </c>
      <c r="E141" s="76" t="str">
        <f aca="false">IF(B141="","",IFERROR(INDEX(PE_Equipe,MATCH(B141,PE_Mat,0)),""))</f>
        <v/>
      </c>
      <c r="F141" s="25"/>
      <c r="G141" s="25"/>
      <c r="H141" s="68"/>
      <c r="I141" s="89"/>
      <c r="J141" s="31" t="str">
        <f aca="false">IF(B141="","",IFERROR(INDEX(PE_Taux,MATCH(B141,PE_Mat,0)),0))</f>
        <v/>
      </c>
      <c r="K141" s="31" t="str">
        <f aca="false">IF(B141="","",IF(H141="A",0,IFERROR(N(I141)/P_Heures*J141,0)))</f>
        <v/>
      </c>
      <c r="L141" s="25"/>
    </row>
    <row r="142" customFormat="false" ht="15" hidden="false" customHeight="false" outlineLevel="0" collapsed="false">
      <c r="A142" s="69"/>
      <c r="B142" s="68"/>
      <c r="C142" s="76" t="str">
        <f aca="false">IF(B142="","",IFERROR(INDEX(PE_Nom,MATCH(B142,PE_Mat,0)),"Matricule inconnu"))</f>
        <v/>
      </c>
      <c r="D142" s="76" t="str">
        <f aca="false">IF(B142="","",IFERROR(INDEX(PE_Fonction,MATCH(B142,PE_Mat,0)),""))</f>
        <v/>
      </c>
      <c r="E142" s="76" t="str">
        <f aca="false">IF(B142="","",IFERROR(INDEX(PE_Equipe,MATCH(B142,PE_Mat,0)),""))</f>
        <v/>
      </c>
      <c r="F142" s="25"/>
      <c r="G142" s="25"/>
      <c r="H142" s="68"/>
      <c r="I142" s="89"/>
      <c r="J142" s="31" t="str">
        <f aca="false">IF(B142="","",IFERROR(INDEX(PE_Taux,MATCH(B142,PE_Mat,0)),0))</f>
        <v/>
      </c>
      <c r="K142" s="31" t="str">
        <f aca="false">IF(B142="","",IF(H142="A",0,IFERROR(N(I142)/P_Heures*J142,0)))</f>
        <v/>
      </c>
      <c r="L142" s="25"/>
    </row>
    <row r="143" customFormat="false" ht="15" hidden="false" customHeight="false" outlineLevel="0" collapsed="false">
      <c r="A143" s="69"/>
      <c r="B143" s="68"/>
      <c r="C143" s="76" t="str">
        <f aca="false">IF(B143="","",IFERROR(INDEX(PE_Nom,MATCH(B143,PE_Mat,0)),"Matricule inconnu"))</f>
        <v/>
      </c>
      <c r="D143" s="76" t="str">
        <f aca="false">IF(B143="","",IFERROR(INDEX(PE_Fonction,MATCH(B143,PE_Mat,0)),""))</f>
        <v/>
      </c>
      <c r="E143" s="76" t="str">
        <f aca="false">IF(B143="","",IFERROR(INDEX(PE_Equipe,MATCH(B143,PE_Mat,0)),""))</f>
        <v/>
      </c>
      <c r="F143" s="25"/>
      <c r="G143" s="25"/>
      <c r="H143" s="68"/>
      <c r="I143" s="89"/>
      <c r="J143" s="31" t="str">
        <f aca="false">IF(B143="","",IFERROR(INDEX(PE_Taux,MATCH(B143,PE_Mat,0)),0))</f>
        <v/>
      </c>
      <c r="K143" s="31" t="str">
        <f aca="false">IF(B143="","",IF(H143="A",0,IFERROR(N(I143)/P_Heures*J143,0)))</f>
        <v/>
      </c>
      <c r="L143" s="25"/>
    </row>
    <row r="144" customFormat="false" ht="15" hidden="false" customHeight="false" outlineLevel="0" collapsed="false">
      <c r="A144" s="69"/>
      <c r="B144" s="68"/>
      <c r="C144" s="76" t="str">
        <f aca="false">IF(B144="","",IFERROR(INDEX(PE_Nom,MATCH(B144,PE_Mat,0)),"Matricule inconnu"))</f>
        <v/>
      </c>
      <c r="D144" s="76" t="str">
        <f aca="false">IF(B144="","",IFERROR(INDEX(PE_Fonction,MATCH(B144,PE_Mat,0)),""))</f>
        <v/>
      </c>
      <c r="E144" s="76" t="str">
        <f aca="false">IF(B144="","",IFERROR(INDEX(PE_Equipe,MATCH(B144,PE_Mat,0)),""))</f>
        <v/>
      </c>
      <c r="F144" s="25"/>
      <c r="G144" s="25"/>
      <c r="H144" s="68"/>
      <c r="I144" s="89"/>
      <c r="J144" s="31" t="str">
        <f aca="false">IF(B144="","",IFERROR(INDEX(PE_Taux,MATCH(B144,PE_Mat,0)),0))</f>
        <v/>
      </c>
      <c r="K144" s="31" t="str">
        <f aca="false">IF(B144="","",IF(H144="A",0,IFERROR(N(I144)/P_Heures*J144,0)))</f>
        <v/>
      </c>
      <c r="L144" s="25"/>
    </row>
    <row r="145" customFormat="false" ht="15" hidden="false" customHeight="false" outlineLevel="0" collapsed="false">
      <c r="A145" s="69"/>
      <c r="B145" s="68"/>
      <c r="C145" s="76" t="str">
        <f aca="false">IF(B145="","",IFERROR(INDEX(PE_Nom,MATCH(B145,PE_Mat,0)),"Matricule inconnu"))</f>
        <v/>
      </c>
      <c r="D145" s="76" t="str">
        <f aca="false">IF(B145="","",IFERROR(INDEX(PE_Fonction,MATCH(B145,PE_Mat,0)),""))</f>
        <v/>
      </c>
      <c r="E145" s="76" t="str">
        <f aca="false">IF(B145="","",IFERROR(INDEX(PE_Equipe,MATCH(B145,PE_Mat,0)),""))</f>
        <v/>
      </c>
      <c r="F145" s="25"/>
      <c r="G145" s="25"/>
      <c r="H145" s="68"/>
      <c r="I145" s="89"/>
      <c r="J145" s="31" t="str">
        <f aca="false">IF(B145="","",IFERROR(INDEX(PE_Taux,MATCH(B145,PE_Mat,0)),0))</f>
        <v/>
      </c>
      <c r="K145" s="31" t="str">
        <f aca="false">IF(B145="","",IF(H145="A",0,IFERROR(N(I145)/P_Heures*J145,0)))</f>
        <v/>
      </c>
      <c r="L145" s="25"/>
    </row>
    <row r="146" customFormat="false" ht="15" hidden="false" customHeight="false" outlineLevel="0" collapsed="false">
      <c r="A146" s="69"/>
      <c r="B146" s="68"/>
      <c r="C146" s="76" t="str">
        <f aca="false">IF(B146="","",IFERROR(INDEX(PE_Nom,MATCH(B146,PE_Mat,0)),"Matricule inconnu"))</f>
        <v/>
      </c>
      <c r="D146" s="76" t="str">
        <f aca="false">IF(B146="","",IFERROR(INDEX(PE_Fonction,MATCH(B146,PE_Mat,0)),""))</f>
        <v/>
      </c>
      <c r="E146" s="76" t="str">
        <f aca="false">IF(B146="","",IFERROR(INDEX(PE_Equipe,MATCH(B146,PE_Mat,0)),""))</f>
        <v/>
      </c>
      <c r="F146" s="25"/>
      <c r="G146" s="25"/>
      <c r="H146" s="68"/>
      <c r="I146" s="89"/>
      <c r="J146" s="31" t="str">
        <f aca="false">IF(B146="","",IFERROR(INDEX(PE_Taux,MATCH(B146,PE_Mat,0)),0))</f>
        <v/>
      </c>
      <c r="K146" s="31" t="str">
        <f aca="false">IF(B146="","",IF(H146="A",0,IFERROR(N(I146)/P_Heures*J146,0)))</f>
        <v/>
      </c>
      <c r="L146" s="25"/>
    </row>
    <row r="147" customFormat="false" ht="15" hidden="false" customHeight="false" outlineLevel="0" collapsed="false">
      <c r="A147" s="69"/>
      <c r="B147" s="68"/>
      <c r="C147" s="76" t="str">
        <f aca="false">IF(B147="","",IFERROR(INDEX(PE_Nom,MATCH(B147,PE_Mat,0)),"Matricule inconnu"))</f>
        <v/>
      </c>
      <c r="D147" s="76" t="str">
        <f aca="false">IF(B147="","",IFERROR(INDEX(PE_Fonction,MATCH(B147,PE_Mat,0)),""))</f>
        <v/>
      </c>
      <c r="E147" s="76" t="str">
        <f aca="false">IF(B147="","",IFERROR(INDEX(PE_Equipe,MATCH(B147,PE_Mat,0)),""))</f>
        <v/>
      </c>
      <c r="F147" s="25"/>
      <c r="G147" s="25"/>
      <c r="H147" s="68"/>
      <c r="I147" s="89"/>
      <c r="J147" s="31" t="str">
        <f aca="false">IF(B147="","",IFERROR(INDEX(PE_Taux,MATCH(B147,PE_Mat,0)),0))</f>
        <v/>
      </c>
      <c r="K147" s="31" t="str">
        <f aca="false">IF(B147="","",IF(H147="A",0,IFERROR(N(I147)/P_Heures*J147,0)))</f>
        <v/>
      </c>
      <c r="L147" s="25"/>
    </row>
    <row r="148" customFormat="false" ht="15" hidden="false" customHeight="false" outlineLevel="0" collapsed="false">
      <c r="A148" s="69"/>
      <c r="B148" s="68"/>
      <c r="C148" s="76" t="str">
        <f aca="false">IF(B148="","",IFERROR(INDEX(PE_Nom,MATCH(B148,PE_Mat,0)),"Matricule inconnu"))</f>
        <v/>
      </c>
      <c r="D148" s="76" t="str">
        <f aca="false">IF(B148="","",IFERROR(INDEX(PE_Fonction,MATCH(B148,PE_Mat,0)),""))</f>
        <v/>
      </c>
      <c r="E148" s="76" t="str">
        <f aca="false">IF(B148="","",IFERROR(INDEX(PE_Equipe,MATCH(B148,PE_Mat,0)),""))</f>
        <v/>
      </c>
      <c r="F148" s="25"/>
      <c r="G148" s="25"/>
      <c r="H148" s="68"/>
      <c r="I148" s="89"/>
      <c r="J148" s="31" t="str">
        <f aca="false">IF(B148="","",IFERROR(INDEX(PE_Taux,MATCH(B148,PE_Mat,0)),0))</f>
        <v/>
      </c>
      <c r="K148" s="31" t="str">
        <f aca="false">IF(B148="","",IF(H148="A",0,IFERROR(N(I148)/P_Heures*J148,0)))</f>
        <v/>
      </c>
      <c r="L148" s="25"/>
    </row>
    <row r="149" customFormat="false" ht="15" hidden="false" customHeight="false" outlineLevel="0" collapsed="false">
      <c r="A149" s="69"/>
      <c r="B149" s="68"/>
      <c r="C149" s="76" t="str">
        <f aca="false">IF(B149="","",IFERROR(INDEX(PE_Nom,MATCH(B149,PE_Mat,0)),"Matricule inconnu"))</f>
        <v/>
      </c>
      <c r="D149" s="76" t="str">
        <f aca="false">IF(B149="","",IFERROR(INDEX(PE_Fonction,MATCH(B149,PE_Mat,0)),""))</f>
        <v/>
      </c>
      <c r="E149" s="76" t="str">
        <f aca="false">IF(B149="","",IFERROR(INDEX(PE_Equipe,MATCH(B149,PE_Mat,0)),""))</f>
        <v/>
      </c>
      <c r="F149" s="25"/>
      <c r="G149" s="25"/>
      <c r="H149" s="68"/>
      <c r="I149" s="89"/>
      <c r="J149" s="31" t="str">
        <f aca="false">IF(B149="","",IFERROR(INDEX(PE_Taux,MATCH(B149,PE_Mat,0)),0))</f>
        <v/>
      </c>
      <c r="K149" s="31" t="str">
        <f aca="false">IF(B149="","",IF(H149="A",0,IFERROR(N(I149)/P_Heures*J149,0)))</f>
        <v/>
      </c>
      <c r="L149" s="25"/>
    </row>
    <row r="150" customFormat="false" ht="15" hidden="false" customHeight="false" outlineLevel="0" collapsed="false">
      <c r="A150" s="69"/>
      <c r="B150" s="68"/>
      <c r="C150" s="76" t="str">
        <f aca="false">IF(B150="","",IFERROR(INDEX(PE_Nom,MATCH(B150,PE_Mat,0)),"Matricule inconnu"))</f>
        <v/>
      </c>
      <c r="D150" s="76" t="str">
        <f aca="false">IF(B150="","",IFERROR(INDEX(PE_Fonction,MATCH(B150,PE_Mat,0)),""))</f>
        <v/>
      </c>
      <c r="E150" s="76" t="str">
        <f aca="false">IF(B150="","",IFERROR(INDEX(PE_Equipe,MATCH(B150,PE_Mat,0)),""))</f>
        <v/>
      </c>
      <c r="F150" s="25"/>
      <c r="G150" s="25"/>
      <c r="H150" s="68"/>
      <c r="I150" s="89"/>
      <c r="J150" s="31" t="str">
        <f aca="false">IF(B150="","",IFERROR(INDEX(PE_Taux,MATCH(B150,PE_Mat,0)),0))</f>
        <v/>
      </c>
      <c r="K150" s="31" t="str">
        <f aca="false">IF(B150="","",IF(H150="A",0,IFERROR(N(I150)/P_Heures*J150,0)))</f>
        <v/>
      </c>
      <c r="L150" s="25"/>
    </row>
    <row r="151" customFormat="false" ht="15" hidden="false" customHeight="false" outlineLevel="0" collapsed="false">
      <c r="A151" s="69"/>
      <c r="B151" s="68"/>
      <c r="C151" s="76" t="str">
        <f aca="false">IF(B151="","",IFERROR(INDEX(PE_Nom,MATCH(B151,PE_Mat,0)),"Matricule inconnu"))</f>
        <v/>
      </c>
      <c r="D151" s="76" t="str">
        <f aca="false">IF(B151="","",IFERROR(INDEX(PE_Fonction,MATCH(B151,PE_Mat,0)),""))</f>
        <v/>
      </c>
      <c r="E151" s="76" t="str">
        <f aca="false">IF(B151="","",IFERROR(INDEX(PE_Equipe,MATCH(B151,PE_Mat,0)),""))</f>
        <v/>
      </c>
      <c r="F151" s="25"/>
      <c r="G151" s="25"/>
      <c r="H151" s="68"/>
      <c r="I151" s="89"/>
      <c r="J151" s="31" t="str">
        <f aca="false">IF(B151="","",IFERROR(INDEX(PE_Taux,MATCH(B151,PE_Mat,0)),0))</f>
        <v/>
      </c>
      <c r="K151" s="31" t="str">
        <f aca="false">IF(B151="","",IF(H151="A",0,IFERROR(N(I151)/P_Heures*J151,0)))</f>
        <v/>
      </c>
      <c r="L151" s="25"/>
    </row>
    <row r="152" customFormat="false" ht="15" hidden="false" customHeight="false" outlineLevel="0" collapsed="false">
      <c r="A152" s="69"/>
      <c r="B152" s="68"/>
      <c r="C152" s="76" t="str">
        <f aca="false">IF(B152="","",IFERROR(INDEX(PE_Nom,MATCH(B152,PE_Mat,0)),"Matricule inconnu"))</f>
        <v/>
      </c>
      <c r="D152" s="76" t="str">
        <f aca="false">IF(B152="","",IFERROR(INDEX(PE_Fonction,MATCH(B152,PE_Mat,0)),""))</f>
        <v/>
      </c>
      <c r="E152" s="76" t="str">
        <f aca="false">IF(B152="","",IFERROR(INDEX(PE_Equipe,MATCH(B152,PE_Mat,0)),""))</f>
        <v/>
      </c>
      <c r="F152" s="25"/>
      <c r="G152" s="25"/>
      <c r="H152" s="68"/>
      <c r="I152" s="89"/>
      <c r="J152" s="31" t="str">
        <f aca="false">IF(B152="","",IFERROR(INDEX(PE_Taux,MATCH(B152,PE_Mat,0)),0))</f>
        <v/>
      </c>
      <c r="K152" s="31" t="str">
        <f aca="false">IF(B152="","",IF(H152="A",0,IFERROR(N(I152)/P_Heures*J152,0)))</f>
        <v/>
      </c>
      <c r="L152" s="25"/>
    </row>
    <row r="153" customFormat="false" ht="15" hidden="false" customHeight="false" outlineLevel="0" collapsed="false">
      <c r="A153" s="69"/>
      <c r="B153" s="68"/>
      <c r="C153" s="76" t="str">
        <f aca="false">IF(B153="","",IFERROR(INDEX(PE_Nom,MATCH(B153,PE_Mat,0)),"Matricule inconnu"))</f>
        <v/>
      </c>
      <c r="D153" s="76" t="str">
        <f aca="false">IF(B153="","",IFERROR(INDEX(PE_Fonction,MATCH(B153,PE_Mat,0)),""))</f>
        <v/>
      </c>
      <c r="E153" s="76" t="str">
        <f aca="false">IF(B153="","",IFERROR(INDEX(PE_Equipe,MATCH(B153,PE_Mat,0)),""))</f>
        <v/>
      </c>
      <c r="F153" s="25"/>
      <c r="G153" s="25"/>
      <c r="H153" s="68"/>
      <c r="I153" s="89"/>
      <c r="J153" s="31" t="str">
        <f aca="false">IF(B153="","",IFERROR(INDEX(PE_Taux,MATCH(B153,PE_Mat,0)),0))</f>
        <v/>
      </c>
      <c r="K153" s="31" t="str">
        <f aca="false">IF(B153="","",IF(H153="A",0,IFERROR(N(I153)/P_Heures*J153,0)))</f>
        <v/>
      </c>
      <c r="L153" s="25"/>
    </row>
    <row r="154" customFormat="false" ht="15" hidden="false" customHeight="false" outlineLevel="0" collapsed="false">
      <c r="A154" s="69"/>
      <c r="B154" s="68"/>
      <c r="C154" s="76" t="str">
        <f aca="false">IF(B154="","",IFERROR(INDEX(PE_Nom,MATCH(B154,PE_Mat,0)),"Matricule inconnu"))</f>
        <v/>
      </c>
      <c r="D154" s="76" t="str">
        <f aca="false">IF(B154="","",IFERROR(INDEX(PE_Fonction,MATCH(B154,PE_Mat,0)),""))</f>
        <v/>
      </c>
      <c r="E154" s="76" t="str">
        <f aca="false">IF(B154="","",IFERROR(INDEX(PE_Equipe,MATCH(B154,PE_Mat,0)),""))</f>
        <v/>
      </c>
      <c r="F154" s="25"/>
      <c r="G154" s="25"/>
      <c r="H154" s="68"/>
      <c r="I154" s="89"/>
      <c r="J154" s="31" t="str">
        <f aca="false">IF(B154="","",IFERROR(INDEX(PE_Taux,MATCH(B154,PE_Mat,0)),0))</f>
        <v/>
      </c>
      <c r="K154" s="31" t="str">
        <f aca="false">IF(B154="","",IF(H154="A",0,IFERROR(N(I154)/P_Heures*J154,0)))</f>
        <v/>
      </c>
      <c r="L154" s="25"/>
    </row>
    <row r="155" customFormat="false" ht="15" hidden="false" customHeight="false" outlineLevel="0" collapsed="false">
      <c r="A155" s="69"/>
      <c r="B155" s="68"/>
      <c r="C155" s="76" t="str">
        <f aca="false">IF(B155="","",IFERROR(INDEX(PE_Nom,MATCH(B155,PE_Mat,0)),"Matricule inconnu"))</f>
        <v/>
      </c>
      <c r="D155" s="76" t="str">
        <f aca="false">IF(B155="","",IFERROR(INDEX(PE_Fonction,MATCH(B155,PE_Mat,0)),""))</f>
        <v/>
      </c>
      <c r="E155" s="76" t="str">
        <f aca="false">IF(B155="","",IFERROR(INDEX(PE_Equipe,MATCH(B155,PE_Mat,0)),""))</f>
        <v/>
      </c>
      <c r="F155" s="25"/>
      <c r="G155" s="25"/>
      <c r="H155" s="68"/>
      <c r="I155" s="89"/>
      <c r="J155" s="31" t="str">
        <f aca="false">IF(B155="","",IFERROR(INDEX(PE_Taux,MATCH(B155,PE_Mat,0)),0))</f>
        <v/>
      </c>
      <c r="K155" s="31" t="str">
        <f aca="false">IF(B155="","",IF(H155="A",0,IFERROR(N(I155)/P_Heures*J155,0)))</f>
        <v/>
      </c>
      <c r="L155" s="25"/>
    </row>
    <row r="156" customFormat="false" ht="15" hidden="false" customHeight="false" outlineLevel="0" collapsed="false">
      <c r="A156" s="69"/>
      <c r="B156" s="68"/>
      <c r="C156" s="76" t="str">
        <f aca="false">IF(B156="","",IFERROR(INDEX(PE_Nom,MATCH(B156,PE_Mat,0)),"Matricule inconnu"))</f>
        <v/>
      </c>
      <c r="D156" s="76" t="str">
        <f aca="false">IF(B156="","",IFERROR(INDEX(PE_Fonction,MATCH(B156,PE_Mat,0)),""))</f>
        <v/>
      </c>
      <c r="E156" s="76" t="str">
        <f aca="false">IF(B156="","",IFERROR(INDEX(PE_Equipe,MATCH(B156,PE_Mat,0)),""))</f>
        <v/>
      </c>
      <c r="F156" s="25"/>
      <c r="G156" s="25"/>
      <c r="H156" s="68"/>
      <c r="I156" s="89"/>
      <c r="J156" s="31" t="str">
        <f aca="false">IF(B156="","",IFERROR(INDEX(PE_Taux,MATCH(B156,PE_Mat,0)),0))</f>
        <v/>
      </c>
      <c r="K156" s="31" t="str">
        <f aca="false">IF(B156="","",IF(H156="A",0,IFERROR(N(I156)/P_Heures*J156,0)))</f>
        <v/>
      </c>
      <c r="L156" s="25"/>
    </row>
    <row r="157" customFormat="false" ht="15" hidden="false" customHeight="false" outlineLevel="0" collapsed="false">
      <c r="A157" s="69"/>
      <c r="B157" s="68"/>
      <c r="C157" s="76" t="str">
        <f aca="false">IF(B157="","",IFERROR(INDEX(PE_Nom,MATCH(B157,PE_Mat,0)),"Matricule inconnu"))</f>
        <v/>
      </c>
      <c r="D157" s="76" t="str">
        <f aca="false">IF(B157="","",IFERROR(INDEX(PE_Fonction,MATCH(B157,PE_Mat,0)),""))</f>
        <v/>
      </c>
      <c r="E157" s="76" t="str">
        <f aca="false">IF(B157="","",IFERROR(INDEX(PE_Equipe,MATCH(B157,PE_Mat,0)),""))</f>
        <v/>
      </c>
      <c r="F157" s="25"/>
      <c r="G157" s="25"/>
      <c r="H157" s="68"/>
      <c r="I157" s="89"/>
      <c r="J157" s="31" t="str">
        <f aca="false">IF(B157="","",IFERROR(INDEX(PE_Taux,MATCH(B157,PE_Mat,0)),0))</f>
        <v/>
      </c>
      <c r="K157" s="31" t="str">
        <f aca="false">IF(B157="","",IF(H157="A",0,IFERROR(N(I157)/P_Heures*J157,0)))</f>
        <v/>
      </c>
      <c r="L157" s="25"/>
    </row>
    <row r="158" customFormat="false" ht="15" hidden="false" customHeight="false" outlineLevel="0" collapsed="false">
      <c r="A158" s="69"/>
      <c r="B158" s="68"/>
      <c r="C158" s="76" t="str">
        <f aca="false">IF(B158="","",IFERROR(INDEX(PE_Nom,MATCH(B158,PE_Mat,0)),"Matricule inconnu"))</f>
        <v/>
      </c>
      <c r="D158" s="76" t="str">
        <f aca="false">IF(B158="","",IFERROR(INDEX(PE_Fonction,MATCH(B158,PE_Mat,0)),""))</f>
        <v/>
      </c>
      <c r="E158" s="76" t="str">
        <f aca="false">IF(B158="","",IFERROR(INDEX(PE_Equipe,MATCH(B158,PE_Mat,0)),""))</f>
        <v/>
      </c>
      <c r="F158" s="25"/>
      <c r="G158" s="25"/>
      <c r="H158" s="68"/>
      <c r="I158" s="89"/>
      <c r="J158" s="31" t="str">
        <f aca="false">IF(B158="","",IFERROR(INDEX(PE_Taux,MATCH(B158,PE_Mat,0)),0))</f>
        <v/>
      </c>
      <c r="K158" s="31" t="str">
        <f aca="false">IF(B158="","",IF(H158="A",0,IFERROR(N(I158)/P_Heures*J158,0)))</f>
        <v/>
      </c>
      <c r="L158" s="25"/>
    </row>
    <row r="159" customFormat="false" ht="15" hidden="false" customHeight="false" outlineLevel="0" collapsed="false">
      <c r="A159" s="69"/>
      <c r="B159" s="68"/>
      <c r="C159" s="76" t="str">
        <f aca="false">IF(B159="","",IFERROR(INDEX(PE_Nom,MATCH(B159,PE_Mat,0)),"Matricule inconnu"))</f>
        <v/>
      </c>
      <c r="D159" s="76" t="str">
        <f aca="false">IF(B159="","",IFERROR(INDEX(PE_Fonction,MATCH(B159,PE_Mat,0)),""))</f>
        <v/>
      </c>
      <c r="E159" s="76" t="str">
        <f aca="false">IF(B159="","",IFERROR(INDEX(PE_Equipe,MATCH(B159,PE_Mat,0)),""))</f>
        <v/>
      </c>
      <c r="F159" s="25"/>
      <c r="G159" s="25"/>
      <c r="H159" s="68"/>
      <c r="I159" s="89"/>
      <c r="J159" s="31" t="str">
        <f aca="false">IF(B159="","",IFERROR(INDEX(PE_Taux,MATCH(B159,PE_Mat,0)),0))</f>
        <v/>
      </c>
      <c r="K159" s="31" t="str">
        <f aca="false">IF(B159="","",IF(H159="A",0,IFERROR(N(I159)/P_Heures*J159,0)))</f>
        <v/>
      </c>
      <c r="L159" s="25"/>
    </row>
    <row r="160" customFormat="false" ht="15" hidden="false" customHeight="false" outlineLevel="0" collapsed="false">
      <c r="A160" s="69"/>
      <c r="B160" s="68"/>
      <c r="C160" s="76" t="str">
        <f aca="false">IF(B160="","",IFERROR(INDEX(PE_Nom,MATCH(B160,PE_Mat,0)),"Matricule inconnu"))</f>
        <v/>
      </c>
      <c r="D160" s="76" t="str">
        <f aca="false">IF(B160="","",IFERROR(INDEX(PE_Fonction,MATCH(B160,PE_Mat,0)),""))</f>
        <v/>
      </c>
      <c r="E160" s="76" t="str">
        <f aca="false">IF(B160="","",IFERROR(INDEX(PE_Equipe,MATCH(B160,PE_Mat,0)),""))</f>
        <v/>
      </c>
      <c r="F160" s="25"/>
      <c r="G160" s="25"/>
      <c r="H160" s="68"/>
      <c r="I160" s="89"/>
      <c r="J160" s="31" t="str">
        <f aca="false">IF(B160="","",IFERROR(INDEX(PE_Taux,MATCH(B160,PE_Mat,0)),0))</f>
        <v/>
      </c>
      <c r="K160" s="31" t="str">
        <f aca="false">IF(B160="","",IF(H160="A",0,IFERROR(N(I160)/P_Heures*J160,0)))</f>
        <v/>
      </c>
      <c r="L160" s="25"/>
    </row>
    <row r="161" customFormat="false" ht="15" hidden="false" customHeight="false" outlineLevel="0" collapsed="false">
      <c r="A161" s="69"/>
      <c r="B161" s="68"/>
      <c r="C161" s="76" t="str">
        <f aca="false">IF(B161="","",IFERROR(INDEX(PE_Nom,MATCH(B161,PE_Mat,0)),"Matricule inconnu"))</f>
        <v/>
      </c>
      <c r="D161" s="76" t="str">
        <f aca="false">IF(B161="","",IFERROR(INDEX(PE_Fonction,MATCH(B161,PE_Mat,0)),""))</f>
        <v/>
      </c>
      <c r="E161" s="76" t="str">
        <f aca="false">IF(B161="","",IFERROR(INDEX(PE_Equipe,MATCH(B161,PE_Mat,0)),""))</f>
        <v/>
      </c>
      <c r="F161" s="25"/>
      <c r="G161" s="25"/>
      <c r="H161" s="68"/>
      <c r="I161" s="89"/>
      <c r="J161" s="31" t="str">
        <f aca="false">IF(B161="","",IFERROR(INDEX(PE_Taux,MATCH(B161,PE_Mat,0)),0))</f>
        <v/>
      </c>
      <c r="K161" s="31" t="str">
        <f aca="false">IF(B161="","",IF(H161="A",0,IFERROR(N(I161)/P_Heures*J161,0)))</f>
        <v/>
      </c>
      <c r="L161" s="25"/>
    </row>
    <row r="162" customFormat="false" ht="15" hidden="false" customHeight="false" outlineLevel="0" collapsed="false">
      <c r="A162" s="69"/>
      <c r="B162" s="68"/>
      <c r="C162" s="76" t="str">
        <f aca="false">IF(B162="","",IFERROR(INDEX(PE_Nom,MATCH(B162,PE_Mat,0)),"Matricule inconnu"))</f>
        <v/>
      </c>
      <c r="D162" s="76" t="str">
        <f aca="false">IF(B162="","",IFERROR(INDEX(PE_Fonction,MATCH(B162,PE_Mat,0)),""))</f>
        <v/>
      </c>
      <c r="E162" s="76" t="str">
        <f aca="false">IF(B162="","",IFERROR(INDEX(PE_Equipe,MATCH(B162,PE_Mat,0)),""))</f>
        <v/>
      </c>
      <c r="F162" s="25"/>
      <c r="G162" s="25"/>
      <c r="H162" s="68"/>
      <c r="I162" s="89"/>
      <c r="J162" s="31" t="str">
        <f aca="false">IF(B162="","",IFERROR(INDEX(PE_Taux,MATCH(B162,PE_Mat,0)),0))</f>
        <v/>
      </c>
      <c r="K162" s="31" t="str">
        <f aca="false">IF(B162="","",IF(H162="A",0,IFERROR(N(I162)/P_Heures*J162,0)))</f>
        <v/>
      </c>
      <c r="L162" s="25"/>
    </row>
    <row r="163" customFormat="false" ht="15" hidden="false" customHeight="false" outlineLevel="0" collapsed="false">
      <c r="A163" s="69"/>
      <c r="B163" s="68"/>
      <c r="C163" s="76" t="str">
        <f aca="false">IF(B163="","",IFERROR(INDEX(PE_Nom,MATCH(B163,PE_Mat,0)),"Matricule inconnu"))</f>
        <v/>
      </c>
      <c r="D163" s="76" t="str">
        <f aca="false">IF(B163="","",IFERROR(INDEX(PE_Fonction,MATCH(B163,PE_Mat,0)),""))</f>
        <v/>
      </c>
      <c r="E163" s="76" t="str">
        <f aca="false">IF(B163="","",IFERROR(INDEX(PE_Equipe,MATCH(B163,PE_Mat,0)),""))</f>
        <v/>
      </c>
      <c r="F163" s="25"/>
      <c r="G163" s="25"/>
      <c r="H163" s="68"/>
      <c r="I163" s="89"/>
      <c r="J163" s="31" t="str">
        <f aca="false">IF(B163="","",IFERROR(INDEX(PE_Taux,MATCH(B163,PE_Mat,0)),0))</f>
        <v/>
      </c>
      <c r="K163" s="31" t="str">
        <f aca="false">IF(B163="","",IF(H163="A",0,IFERROR(N(I163)/P_Heures*J163,0)))</f>
        <v/>
      </c>
      <c r="L163" s="25"/>
    </row>
    <row r="164" customFormat="false" ht="15" hidden="false" customHeight="false" outlineLevel="0" collapsed="false">
      <c r="A164" s="69"/>
      <c r="B164" s="68"/>
      <c r="C164" s="76" t="str">
        <f aca="false">IF(B164="","",IFERROR(INDEX(PE_Nom,MATCH(B164,PE_Mat,0)),"Matricule inconnu"))</f>
        <v/>
      </c>
      <c r="D164" s="76" t="str">
        <f aca="false">IF(B164="","",IFERROR(INDEX(PE_Fonction,MATCH(B164,PE_Mat,0)),""))</f>
        <v/>
      </c>
      <c r="E164" s="76" t="str">
        <f aca="false">IF(B164="","",IFERROR(INDEX(PE_Equipe,MATCH(B164,PE_Mat,0)),""))</f>
        <v/>
      </c>
      <c r="F164" s="25"/>
      <c r="G164" s="25"/>
      <c r="H164" s="68"/>
      <c r="I164" s="89"/>
      <c r="J164" s="31" t="str">
        <f aca="false">IF(B164="","",IFERROR(INDEX(PE_Taux,MATCH(B164,PE_Mat,0)),0))</f>
        <v/>
      </c>
      <c r="K164" s="31" t="str">
        <f aca="false">IF(B164="","",IF(H164="A",0,IFERROR(N(I164)/P_Heures*J164,0)))</f>
        <v/>
      </c>
      <c r="L164" s="25"/>
    </row>
    <row r="165" customFormat="false" ht="15" hidden="false" customHeight="false" outlineLevel="0" collapsed="false">
      <c r="A165" s="69"/>
      <c r="B165" s="68"/>
      <c r="C165" s="76" t="str">
        <f aca="false">IF(B165="","",IFERROR(INDEX(PE_Nom,MATCH(B165,PE_Mat,0)),"Matricule inconnu"))</f>
        <v/>
      </c>
      <c r="D165" s="76" t="str">
        <f aca="false">IF(B165="","",IFERROR(INDEX(PE_Fonction,MATCH(B165,PE_Mat,0)),""))</f>
        <v/>
      </c>
      <c r="E165" s="76" t="str">
        <f aca="false">IF(B165="","",IFERROR(INDEX(PE_Equipe,MATCH(B165,PE_Mat,0)),""))</f>
        <v/>
      </c>
      <c r="F165" s="25"/>
      <c r="G165" s="25"/>
      <c r="H165" s="68"/>
      <c r="I165" s="89"/>
      <c r="J165" s="31" t="str">
        <f aca="false">IF(B165="","",IFERROR(INDEX(PE_Taux,MATCH(B165,PE_Mat,0)),0))</f>
        <v/>
      </c>
      <c r="K165" s="31" t="str">
        <f aca="false">IF(B165="","",IF(H165="A",0,IFERROR(N(I165)/P_Heures*J165,0)))</f>
        <v/>
      </c>
      <c r="L165" s="25"/>
    </row>
    <row r="166" customFormat="false" ht="15" hidden="false" customHeight="false" outlineLevel="0" collapsed="false">
      <c r="A166" s="69"/>
      <c r="B166" s="68"/>
      <c r="C166" s="76" t="str">
        <f aca="false">IF(B166="","",IFERROR(INDEX(PE_Nom,MATCH(B166,PE_Mat,0)),"Matricule inconnu"))</f>
        <v/>
      </c>
      <c r="D166" s="76" t="str">
        <f aca="false">IF(B166="","",IFERROR(INDEX(PE_Fonction,MATCH(B166,PE_Mat,0)),""))</f>
        <v/>
      </c>
      <c r="E166" s="76" t="str">
        <f aca="false">IF(B166="","",IFERROR(INDEX(PE_Equipe,MATCH(B166,PE_Mat,0)),""))</f>
        <v/>
      </c>
      <c r="F166" s="25"/>
      <c r="G166" s="25"/>
      <c r="H166" s="68"/>
      <c r="I166" s="89"/>
      <c r="J166" s="31" t="str">
        <f aca="false">IF(B166="","",IFERROR(INDEX(PE_Taux,MATCH(B166,PE_Mat,0)),0))</f>
        <v/>
      </c>
      <c r="K166" s="31" t="str">
        <f aca="false">IF(B166="","",IF(H166="A",0,IFERROR(N(I166)/P_Heures*J166,0)))</f>
        <v/>
      </c>
      <c r="L166" s="25"/>
    </row>
    <row r="167" customFormat="false" ht="15" hidden="false" customHeight="false" outlineLevel="0" collapsed="false">
      <c r="A167" s="69"/>
      <c r="B167" s="68"/>
      <c r="C167" s="76" t="str">
        <f aca="false">IF(B167="","",IFERROR(INDEX(PE_Nom,MATCH(B167,PE_Mat,0)),"Matricule inconnu"))</f>
        <v/>
      </c>
      <c r="D167" s="76" t="str">
        <f aca="false">IF(B167="","",IFERROR(INDEX(PE_Fonction,MATCH(B167,PE_Mat,0)),""))</f>
        <v/>
      </c>
      <c r="E167" s="76" t="str">
        <f aca="false">IF(B167="","",IFERROR(INDEX(PE_Equipe,MATCH(B167,PE_Mat,0)),""))</f>
        <v/>
      </c>
      <c r="F167" s="25"/>
      <c r="G167" s="25"/>
      <c r="H167" s="68"/>
      <c r="I167" s="89"/>
      <c r="J167" s="31" t="str">
        <f aca="false">IF(B167="","",IFERROR(INDEX(PE_Taux,MATCH(B167,PE_Mat,0)),0))</f>
        <v/>
      </c>
      <c r="K167" s="31" t="str">
        <f aca="false">IF(B167="","",IF(H167="A",0,IFERROR(N(I167)/P_Heures*J167,0)))</f>
        <v/>
      </c>
      <c r="L167" s="25"/>
    </row>
    <row r="168" customFormat="false" ht="15" hidden="false" customHeight="false" outlineLevel="0" collapsed="false">
      <c r="A168" s="69"/>
      <c r="B168" s="68"/>
      <c r="C168" s="76" t="str">
        <f aca="false">IF(B168="","",IFERROR(INDEX(PE_Nom,MATCH(B168,PE_Mat,0)),"Matricule inconnu"))</f>
        <v/>
      </c>
      <c r="D168" s="76" t="str">
        <f aca="false">IF(B168="","",IFERROR(INDEX(PE_Fonction,MATCH(B168,PE_Mat,0)),""))</f>
        <v/>
      </c>
      <c r="E168" s="76" t="str">
        <f aca="false">IF(B168="","",IFERROR(INDEX(PE_Equipe,MATCH(B168,PE_Mat,0)),""))</f>
        <v/>
      </c>
      <c r="F168" s="25"/>
      <c r="G168" s="25"/>
      <c r="H168" s="68"/>
      <c r="I168" s="89"/>
      <c r="J168" s="31" t="str">
        <f aca="false">IF(B168="","",IFERROR(INDEX(PE_Taux,MATCH(B168,PE_Mat,0)),0))</f>
        <v/>
      </c>
      <c r="K168" s="31" t="str">
        <f aca="false">IF(B168="","",IF(H168="A",0,IFERROR(N(I168)/P_Heures*J168,0)))</f>
        <v/>
      </c>
      <c r="L168" s="25"/>
    </row>
    <row r="169" customFormat="false" ht="15" hidden="false" customHeight="false" outlineLevel="0" collapsed="false">
      <c r="A169" s="69"/>
      <c r="B169" s="68"/>
      <c r="C169" s="76" t="str">
        <f aca="false">IF(B169="","",IFERROR(INDEX(PE_Nom,MATCH(B169,PE_Mat,0)),"Matricule inconnu"))</f>
        <v/>
      </c>
      <c r="D169" s="76" t="str">
        <f aca="false">IF(B169="","",IFERROR(INDEX(PE_Fonction,MATCH(B169,PE_Mat,0)),""))</f>
        <v/>
      </c>
      <c r="E169" s="76" t="str">
        <f aca="false">IF(B169="","",IFERROR(INDEX(PE_Equipe,MATCH(B169,PE_Mat,0)),""))</f>
        <v/>
      </c>
      <c r="F169" s="25"/>
      <c r="G169" s="25"/>
      <c r="H169" s="68"/>
      <c r="I169" s="89"/>
      <c r="J169" s="31" t="str">
        <f aca="false">IF(B169="","",IFERROR(INDEX(PE_Taux,MATCH(B169,PE_Mat,0)),0))</f>
        <v/>
      </c>
      <c r="K169" s="31" t="str">
        <f aca="false">IF(B169="","",IF(H169="A",0,IFERROR(N(I169)/P_Heures*J169,0)))</f>
        <v/>
      </c>
      <c r="L169" s="25"/>
    </row>
    <row r="170" customFormat="false" ht="15" hidden="false" customHeight="false" outlineLevel="0" collapsed="false">
      <c r="A170" s="69"/>
      <c r="B170" s="68"/>
      <c r="C170" s="76" t="str">
        <f aca="false">IF(B170="","",IFERROR(INDEX(PE_Nom,MATCH(B170,PE_Mat,0)),"Matricule inconnu"))</f>
        <v/>
      </c>
      <c r="D170" s="76" t="str">
        <f aca="false">IF(B170="","",IFERROR(INDEX(PE_Fonction,MATCH(B170,PE_Mat,0)),""))</f>
        <v/>
      </c>
      <c r="E170" s="76" t="str">
        <f aca="false">IF(B170="","",IFERROR(INDEX(PE_Equipe,MATCH(B170,PE_Mat,0)),""))</f>
        <v/>
      </c>
      <c r="F170" s="25"/>
      <c r="G170" s="25"/>
      <c r="H170" s="68"/>
      <c r="I170" s="89"/>
      <c r="J170" s="31" t="str">
        <f aca="false">IF(B170="","",IFERROR(INDEX(PE_Taux,MATCH(B170,PE_Mat,0)),0))</f>
        <v/>
      </c>
      <c r="K170" s="31" t="str">
        <f aca="false">IF(B170="","",IF(H170="A",0,IFERROR(N(I170)/P_Heures*J170,0)))</f>
        <v/>
      </c>
      <c r="L170" s="25"/>
    </row>
    <row r="171" customFormat="false" ht="15" hidden="false" customHeight="false" outlineLevel="0" collapsed="false">
      <c r="A171" s="69"/>
      <c r="B171" s="68"/>
      <c r="C171" s="76" t="str">
        <f aca="false">IF(B171="","",IFERROR(INDEX(PE_Nom,MATCH(B171,PE_Mat,0)),"Matricule inconnu"))</f>
        <v/>
      </c>
      <c r="D171" s="76" t="str">
        <f aca="false">IF(B171="","",IFERROR(INDEX(PE_Fonction,MATCH(B171,PE_Mat,0)),""))</f>
        <v/>
      </c>
      <c r="E171" s="76" t="str">
        <f aca="false">IF(B171="","",IFERROR(INDEX(PE_Equipe,MATCH(B171,PE_Mat,0)),""))</f>
        <v/>
      </c>
      <c r="F171" s="25"/>
      <c r="G171" s="25"/>
      <c r="H171" s="68"/>
      <c r="I171" s="89"/>
      <c r="J171" s="31" t="str">
        <f aca="false">IF(B171="","",IFERROR(INDEX(PE_Taux,MATCH(B171,PE_Mat,0)),0))</f>
        <v/>
      </c>
      <c r="K171" s="31" t="str">
        <f aca="false">IF(B171="","",IF(H171="A",0,IFERROR(N(I171)/P_Heures*J171,0)))</f>
        <v/>
      </c>
      <c r="L171" s="25"/>
    </row>
    <row r="172" customFormat="false" ht="15" hidden="false" customHeight="false" outlineLevel="0" collapsed="false">
      <c r="A172" s="69"/>
      <c r="B172" s="68"/>
      <c r="C172" s="76" t="str">
        <f aca="false">IF(B172="","",IFERROR(INDEX(PE_Nom,MATCH(B172,PE_Mat,0)),"Matricule inconnu"))</f>
        <v/>
      </c>
      <c r="D172" s="76" t="str">
        <f aca="false">IF(B172="","",IFERROR(INDEX(PE_Fonction,MATCH(B172,PE_Mat,0)),""))</f>
        <v/>
      </c>
      <c r="E172" s="76" t="str">
        <f aca="false">IF(B172="","",IFERROR(INDEX(PE_Equipe,MATCH(B172,PE_Mat,0)),""))</f>
        <v/>
      </c>
      <c r="F172" s="25"/>
      <c r="G172" s="25"/>
      <c r="H172" s="68"/>
      <c r="I172" s="89"/>
      <c r="J172" s="31" t="str">
        <f aca="false">IF(B172="","",IFERROR(INDEX(PE_Taux,MATCH(B172,PE_Mat,0)),0))</f>
        <v/>
      </c>
      <c r="K172" s="31" t="str">
        <f aca="false">IF(B172="","",IF(H172="A",0,IFERROR(N(I172)/P_Heures*J172,0)))</f>
        <v/>
      </c>
      <c r="L172" s="25"/>
    </row>
    <row r="173" customFormat="false" ht="15" hidden="false" customHeight="false" outlineLevel="0" collapsed="false">
      <c r="A173" s="69"/>
      <c r="B173" s="68"/>
      <c r="C173" s="76" t="str">
        <f aca="false">IF(B173="","",IFERROR(INDEX(PE_Nom,MATCH(B173,PE_Mat,0)),"Matricule inconnu"))</f>
        <v/>
      </c>
      <c r="D173" s="76" t="str">
        <f aca="false">IF(B173="","",IFERROR(INDEX(PE_Fonction,MATCH(B173,PE_Mat,0)),""))</f>
        <v/>
      </c>
      <c r="E173" s="76" t="str">
        <f aca="false">IF(B173="","",IFERROR(INDEX(PE_Equipe,MATCH(B173,PE_Mat,0)),""))</f>
        <v/>
      </c>
      <c r="F173" s="25"/>
      <c r="G173" s="25"/>
      <c r="H173" s="68"/>
      <c r="I173" s="89"/>
      <c r="J173" s="31" t="str">
        <f aca="false">IF(B173="","",IFERROR(INDEX(PE_Taux,MATCH(B173,PE_Mat,0)),0))</f>
        <v/>
      </c>
      <c r="K173" s="31" t="str">
        <f aca="false">IF(B173="","",IF(H173="A",0,IFERROR(N(I173)/P_Heures*J173,0)))</f>
        <v/>
      </c>
      <c r="L173" s="25"/>
    </row>
    <row r="174" customFormat="false" ht="15" hidden="false" customHeight="false" outlineLevel="0" collapsed="false">
      <c r="A174" s="69"/>
      <c r="B174" s="68"/>
      <c r="C174" s="76" t="str">
        <f aca="false">IF(B174="","",IFERROR(INDEX(PE_Nom,MATCH(B174,PE_Mat,0)),"Matricule inconnu"))</f>
        <v/>
      </c>
      <c r="D174" s="76" t="str">
        <f aca="false">IF(B174="","",IFERROR(INDEX(PE_Fonction,MATCH(B174,PE_Mat,0)),""))</f>
        <v/>
      </c>
      <c r="E174" s="76" t="str">
        <f aca="false">IF(B174="","",IFERROR(INDEX(PE_Equipe,MATCH(B174,PE_Mat,0)),""))</f>
        <v/>
      </c>
      <c r="F174" s="25"/>
      <c r="G174" s="25"/>
      <c r="H174" s="68"/>
      <c r="I174" s="89"/>
      <c r="J174" s="31" t="str">
        <f aca="false">IF(B174="","",IFERROR(INDEX(PE_Taux,MATCH(B174,PE_Mat,0)),0))</f>
        <v/>
      </c>
      <c r="K174" s="31" t="str">
        <f aca="false">IF(B174="","",IF(H174="A",0,IFERROR(N(I174)/P_Heures*J174,0)))</f>
        <v/>
      </c>
      <c r="L174" s="25"/>
    </row>
    <row r="175" customFormat="false" ht="15" hidden="false" customHeight="false" outlineLevel="0" collapsed="false">
      <c r="A175" s="69"/>
      <c r="B175" s="68"/>
      <c r="C175" s="76" t="str">
        <f aca="false">IF(B175="","",IFERROR(INDEX(PE_Nom,MATCH(B175,PE_Mat,0)),"Matricule inconnu"))</f>
        <v/>
      </c>
      <c r="D175" s="76" t="str">
        <f aca="false">IF(B175="","",IFERROR(INDEX(PE_Fonction,MATCH(B175,PE_Mat,0)),""))</f>
        <v/>
      </c>
      <c r="E175" s="76" t="str">
        <f aca="false">IF(B175="","",IFERROR(INDEX(PE_Equipe,MATCH(B175,PE_Mat,0)),""))</f>
        <v/>
      </c>
      <c r="F175" s="25"/>
      <c r="G175" s="25"/>
      <c r="H175" s="68"/>
      <c r="I175" s="89"/>
      <c r="J175" s="31" t="str">
        <f aca="false">IF(B175="","",IFERROR(INDEX(PE_Taux,MATCH(B175,PE_Mat,0)),0))</f>
        <v/>
      </c>
      <c r="K175" s="31" t="str">
        <f aca="false">IF(B175="","",IF(H175="A",0,IFERROR(N(I175)/P_Heures*J175,0)))</f>
        <v/>
      </c>
      <c r="L175" s="25"/>
    </row>
    <row r="176" customFormat="false" ht="15" hidden="false" customHeight="false" outlineLevel="0" collapsed="false">
      <c r="A176" s="69"/>
      <c r="B176" s="68"/>
      <c r="C176" s="76" t="str">
        <f aca="false">IF(B176="","",IFERROR(INDEX(PE_Nom,MATCH(B176,PE_Mat,0)),"Matricule inconnu"))</f>
        <v/>
      </c>
      <c r="D176" s="76" t="str">
        <f aca="false">IF(B176="","",IFERROR(INDEX(PE_Fonction,MATCH(B176,PE_Mat,0)),""))</f>
        <v/>
      </c>
      <c r="E176" s="76" t="str">
        <f aca="false">IF(B176="","",IFERROR(INDEX(PE_Equipe,MATCH(B176,PE_Mat,0)),""))</f>
        <v/>
      </c>
      <c r="F176" s="25"/>
      <c r="G176" s="25"/>
      <c r="H176" s="68"/>
      <c r="I176" s="89"/>
      <c r="J176" s="31" t="str">
        <f aca="false">IF(B176="","",IFERROR(INDEX(PE_Taux,MATCH(B176,PE_Mat,0)),0))</f>
        <v/>
      </c>
      <c r="K176" s="31" t="str">
        <f aca="false">IF(B176="","",IF(H176="A",0,IFERROR(N(I176)/P_Heures*J176,0)))</f>
        <v/>
      </c>
      <c r="L176" s="25"/>
    </row>
    <row r="177" customFormat="false" ht="15" hidden="false" customHeight="false" outlineLevel="0" collapsed="false">
      <c r="A177" s="69"/>
      <c r="B177" s="68"/>
      <c r="C177" s="76" t="str">
        <f aca="false">IF(B177="","",IFERROR(INDEX(PE_Nom,MATCH(B177,PE_Mat,0)),"Matricule inconnu"))</f>
        <v/>
      </c>
      <c r="D177" s="76" t="str">
        <f aca="false">IF(B177="","",IFERROR(INDEX(PE_Fonction,MATCH(B177,PE_Mat,0)),""))</f>
        <v/>
      </c>
      <c r="E177" s="76" t="str">
        <f aca="false">IF(B177="","",IFERROR(INDEX(PE_Equipe,MATCH(B177,PE_Mat,0)),""))</f>
        <v/>
      </c>
      <c r="F177" s="25"/>
      <c r="G177" s="25"/>
      <c r="H177" s="68"/>
      <c r="I177" s="89"/>
      <c r="J177" s="31" t="str">
        <f aca="false">IF(B177="","",IFERROR(INDEX(PE_Taux,MATCH(B177,PE_Mat,0)),0))</f>
        <v/>
      </c>
      <c r="K177" s="31" t="str">
        <f aca="false">IF(B177="","",IF(H177="A",0,IFERROR(N(I177)/P_Heures*J177,0)))</f>
        <v/>
      </c>
      <c r="L177" s="25"/>
    </row>
    <row r="178" customFormat="false" ht="15" hidden="false" customHeight="false" outlineLevel="0" collapsed="false">
      <c r="A178" s="69"/>
      <c r="B178" s="68"/>
      <c r="C178" s="76" t="str">
        <f aca="false">IF(B178="","",IFERROR(INDEX(PE_Nom,MATCH(B178,PE_Mat,0)),"Matricule inconnu"))</f>
        <v/>
      </c>
      <c r="D178" s="76" t="str">
        <f aca="false">IF(B178="","",IFERROR(INDEX(PE_Fonction,MATCH(B178,PE_Mat,0)),""))</f>
        <v/>
      </c>
      <c r="E178" s="76" t="str">
        <f aca="false">IF(B178="","",IFERROR(INDEX(PE_Equipe,MATCH(B178,PE_Mat,0)),""))</f>
        <v/>
      </c>
      <c r="F178" s="25"/>
      <c r="G178" s="25"/>
      <c r="H178" s="68"/>
      <c r="I178" s="89"/>
      <c r="J178" s="31" t="str">
        <f aca="false">IF(B178="","",IFERROR(INDEX(PE_Taux,MATCH(B178,PE_Mat,0)),0))</f>
        <v/>
      </c>
      <c r="K178" s="31" t="str">
        <f aca="false">IF(B178="","",IF(H178="A",0,IFERROR(N(I178)/P_Heures*J178,0)))</f>
        <v/>
      </c>
      <c r="L178" s="25"/>
    </row>
    <row r="179" customFormat="false" ht="15" hidden="false" customHeight="false" outlineLevel="0" collapsed="false">
      <c r="A179" s="69"/>
      <c r="B179" s="68"/>
      <c r="C179" s="76" t="str">
        <f aca="false">IF(B179="","",IFERROR(INDEX(PE_Nom,MATCH(B179,PE_Mat,0)),"Matricule inconnu"))</f>
        <v/>
      </c>
      <c r="D179" s="76" t="str">
        <f aca="false">IF(B179="","",IFERROR(INDEX(PE_Fonction,MATCH(B179,PE_Mat,0)),""))</f>
        <v/>
      </c>
      <c r="E179" s="76" t="str">
        <f aca="false">IF(B179="","",IFERROR(INDEX(PE_Equipe,MATCH(B179,PE_Mat,0)),""))</f>
        <v/>
      </c>
      <c r="F179" s="25"/>
      <c r="G179" s="25"/>
      <c r="H179" s="68"/>
      <c r="I179" s="89"/>
      <c r="J179" s="31" t="str">
        <f aca="false">IF(B179="","",IFERROR(INDEX(PE_Taux,MATCH(B179,PE_Mat,0)),0))</f>
        <v/>
      </c>
      <c r="K179" s="31" t="str">
        <f aca="false">IF(B179="","",IF(H179="A",0,IFERROR(N(I179)/P_Heures*J179,0)))</f>
        <v/>
      </c>
      <c r="L179" s="25"/>
    </row>
    <row r="180" customFormat="false" ht="15" hidden="false" customHeight="false" outlineLevel="0" collapsed="false">
      <c r="A180" s="69"/>
      <c r="B180" s="68"/>
      <c r="C180" s="76" t="str">
        <f aca="false">IF(B180="","",IFERROR(INDEX(PE_Nom,MATCH(B180,PE_Mat,0)),"Matricule inconnu"))</f>
        <v/>
      </c>
      <c r="D180" s="76" t="str">
        <f aca="false">IF(B180="","",IFERROR(INDEX(PE_Fonction,MATCH(B180,PE_Mat,0)),""))</f>
        <v/>
      </c>
      <c r="E180" s="76" t="str">
        <f aca="false">IF(B180="","",IFERROR(INDEX(PE_Equipe,MATCH(B180,PE_Mat,0)),""))</f>
        <v/>
      </c>
      <c r="F180" s="25"/>
      <c r="G180" s="25"/>
      <c r="H180" s="68"/>
      <c r="I180" s="89"/>
      <c r="J180" s="31" t="str">
        <f aca="false">IF(B180="","",IFERROR(INDEX(PE_Taux,MATCH(B180,PE_Mat,0)),0))</f>
        <v/>
      </c>
      <c r="K180" s="31" t="str">
        <f aca="false">IF(B180="","",IF(H180="A",0,IFERROR(N(I180)/P_Heures*J180,0)))</f>
        <v/>
      </c>
      <c r="L180" s="25"/>
    </row>
    <row r="181" customFormat="false" ht="15" hidden="false" customHeight="false" outlineLevel="0" collapsed="false">
      <c r="A181" s="69"/>
      <c r="B181" s="68"/>
      <c r="C181" s="76" t="str">
        <f aca="false">IF(B181="","",IFERROR(INDEX(PE_Nom,MATCH(B181,PE_Mat,0)),"Matricule inconnu"))</f>
        <v/>
      </c>
      <c r="D181" s="76" t="str">
        <f aca="false">IF(B181="","",IFERROR(INDEX(PE_Fonction,MATCH(B181,PE_Mat,0)),""))</f>
        <v/>
      </c>
      <c r="E181" s="76" t="str">
        <f aca="false">IF(B181="","",IFERROR(INDEX(PE_Equipe,MATCH(B181,PE_Mat,0)),""))</f>
        <v/>
      </c>
      <c r="F181" s="25"/>
      <c r="G181" s="25"/>
      <c r="H181" s="68"/>
      <c r="I181" s="89"/>
      <c r="J181" s="31" t="str">
        <f aca="false">IF(B181="","",IFERROR(INDEX(PE_Taux,MATCH(B181,PE_Mat,0)),0))</f>
        <v/>
      </c>
      <c r="K181" s="31" t="str">
        <f aca="false">IF(B181="","",IF(H181="A",0,IFERROR(N(I181)/P_Heures*J181,0)))</f>
        <v/>
      </c>
      <c r="L181" s="25"/>
    </row>
    <row r="182" customFormat="false" ht="15" hidden="false" customHeight="false" outlineLevel="0" collapsed="false">
      <c r="A182" s="69"/>
      <c r="B182" s="68"/>
      <c r="C182" s="76" t="str">
        <f aca="false">IF(B182="","",IFERROR(INDEX(PE_Nom,MATCH(B182,PE_Mat,0)),"Matricule inconnu"))</f>
        <v/>
      </c>
      <c r="D182" s="76" t="str">
        <f aca="false">IF(B182="","",IFERROR(INDEX(PE_Fonction,MATCH(B182,PE_Mat,0)),""))</f>
        <v/>
      </c>
      <c r="E182" s="76" t="str">
        <f aca="false">IF(B182="","",IFERROR(INDEX(PE_Equipe,MATCH(B182,PE_Mat,0)),""))</f>
        <v/>
      </c>
      <c r="F182" s="25"/>
      <c r="G182" s="25"/>
      <c r="H182" s="68"/>
      <c r="I182" s="89"/>
      <c r="J182" s="31" t="str">
        <f aca="false">IF(B182="","",IFERROR(INDEX(PE_Taux,MATCH(B182,PE_Mat,0)),0))</f>
        <v/>
      </c>
      <c r="K182" s="31" t="str">
        <f aca="false">IF(B182="","",IF(H182="A",0,IFERROR(N(I182)/P_Heures*J182,0)))</f>
        <v/>
      </c>
      <c r="L182" s="25"/>
    </row>
    <row r="183" customFormat="false" ht="15" hidden="false" customHeight="false" outlineLevel="0" collapsed="false">
      <c r="A183" s="69"/>
      <c r="B183" s="68"/>
      <c r="C183" s="76" t="str">
        <f aca="false">IF(B183="","",IFERROR(INDEX(PE_Nom,MATCH(B183,PE_Mat,0)),"Matricule inconnu"))</f>
        <v/>
      </c>
      <c r="D183" s="76" t="str">
        <f aca="false">IF(B183="","",IFERROR(INDEX(PE_Fonction,MATCH(B183,PE_Mat,0)),""))</f>
        <v/>
      </c>
      <c r="E183" s="76" t="str">
        <f aca="false">IF(B183="","",IFERROR(INDEX(PE_Equipe,MATCH(B183,PE_Mat,0)),""))</f>
        <v/>
      </c>
      <c r="F183" s="25"/>
      <c r="G183" s="25"/>
      <c r="H183" s="68"/>
      <c r="I183" s="89"/>
      <c r="J183" s="31" t="str">
        <f aca="false">IF(B183="","",IFERROR(INDEX(PE_Taux,MATCH(B183,PE_Mat,0)),0))</f>
        <v/>
      </c>
      <c r="K183" s="31" t="str">
        <f aca="false">IF(B183="","",IF(H183="A",0,IFERROR(N(I183)/P_Heures*J183,0)))</f>
        <v/>
      </c>
      <c r="L183" s="25"/>
    </row>
    <row r="184" customFormat="false" ht="15" hidden="false" customHeight="false" outlineLevel="0" collapsed="false">
      <c r="A184" s="69"/>
      <c r="B184" s="68"/>
      <c r="C184" s="76" t="str">
        <f aca="false">IF(B184="","",IFERROR(INDEX(PE_Nom,MATCH(B184,PE_Mat,0)),"Matricule inconnu"))</f>
        <v/>
      </c>
      <c r="D184" s="76" t="str">
        <f aca="false">IF(B184="","",IFERROR(INDEX(PE_Fonction,MATCH(B184,PE_Mat,0)),""))</f>
        <v/>
      </c>
      <c r="E184" s="76" t="str">
        <f aca="false">IF(B184="","",IFERROR(INDEX(PE_Equipe,MATCH(B184,PE_Mat,0)),""))</f>
        <v/>
      </c>
      <c r="F184" s="25"/>
      <c r="G184" s="25"/>
      <c r="H184" s="68"/>
      <c r="I184" s="89"/>
      <c r="J184" s="31" t="str">
        <f aca="false">IF(B184="","",IFERROR(INDEX(PE_Taux,MATCH(B184,PE_Mat,0)),0))</f>
        <v/>
      </c>
      <c r="K184" s="31" t="str">
        <f aca="false">IF(B184="","",IF(H184="A",0,IFERROR(N(I184)/P_Heures*J184,0)))</f>
        <v/>
      </c>
      <c r="L184" s="25"/>
    </row>
    <row r="185" customFormat="false" ht="15" hidden="false" customHeight="false" outlineLevel="0" collapsed="false">
      <c r="A185" s="69"/>
      <c r="B185" s="68"/>
      <c r="C185" s="76" t="str">
        <f aca="false">IF(B185="","",IFERROR(INDEX(PE_Nom,MATCH(B185,PE_Mat,0)),"Matricule inconnu"))</f>
        <v/>
      </c>
      <c r="D185" s="76" t="str">
        <f aca="false">IF(B185="","",IFERROR(INDEX(PE_Fonction,MATCH(B185,PE_Mat,0)),""))</f>
        <v/>
      </c>
      <c r="E185" s="76" t="str">
        <f aca="false">IF(B185="","",IFERROR(INDEX(PE_Equipe,MATCH(B185,PE_Mat,0)),""))</f>
        <v/>
      </c>
      <c r="F185" s="25"/>
      <c r="G185" s="25"/>
      <c r="H185" s="68"/>
      <c r="I185" s="89"/>
      <c r="J185" s="31" t="str">
        <f aca="false">IF(B185="","",IFERROR(INDEX(PE_Taux,MATCH(B185,PE_Mat,0)),0))</f>
        <v/>
      </c>
      <c r="K185" s="31" t="str">
        <f aca="false">IF(B185="","",IF(H185="A",0,IFERROR(N(I185)/P_Heures*J185,0)))</f>
        <v/>
      </c>
      <c r="L185" s="25"/>
    </row>
    <row r="186" customFormat="false" ht="15" hidden="false" customHeight="false" outlineLevel="0" collapsed="false">
      <c r="A186" s="69"/>
      <c r="B186" s="68"/>
      <c r="C186" s="76" t="str">
        <f aca="false">IF(B186="","",IFERROR(INDEX(PE_Nom,MATCH(B186,PE_Mat,0)),"Matricule inconnu"))</f>
        <v/>
      </c>
      <c r="D186" s="76" t="str">
        <f aca="false">IF(B186="","",IFERROR(INDEX(PE_Fonction,MATCH(B186,PE_Mat,0)),""))</f>
        <v/>
      </c>
      <c r="E186" s="76" t="str">
        <f aca="false">IF(B186="","",IFERROR(INDEX(PE_Equipe,MATCH(B186,PE_Mat,0)),""))</f>
        <v/>
      </c>
      <c r="F186" s="25"/>
      <c r="G186" s="25"/>
      <c r="H186" s="68"/>
      <c r="I186" s="89"/>
      <c r="J186" s="31" t="str">
        <f aca="false">IF(B186="","",IFERROR(INDEX(PE_Taux,MATCH(B186,PE_Mat,0)),0))</f>
        <v/>
      </c>
      <c r="K186" s="31" t="str">
        <f aca="false">IF(B186="","",IF(H186="A",0,IFERROR(N(I186)/P_Heures*J186,0)))</f>
        <v/>
      </c>
      <c r="L186" s="25"/>
    </row>
    <row r="187" customFormat="false" ht="15" hidden="false" customHeight="false" outlineLevel="0" collapsed="false">
      <c r="A187" s="69"/>
      <c r="B187" s="68"/>
      <c r="C187" s="76" t="str">
        <f aca="false">IF(B187="","",IFERROR(INDEX(PE_Nom,MATCH(B187,PE_Mat,0)),"Matricule inconnu"))</f>
        <v/>
      </c>
      <c r="D187" s="76" t="str">
        <f aca="false">IF(B187="","",IFERROR(INDEX(PE_Fonction,MATCH(B187,PE_Mat,0)),""))</f>
        <v/>
      </c>
      <c r="E187" s="76" t="str">
        <f aca="false">IF(B187="","",IFERROR(INDEX(PE_Equipe,MATCH(B187,PE_Mat,0)),""))</f>
        <v/>
      </c>
      <c r="F187" s="25"/>
      <c r="G187" s="25"/>
      <c r="H187" s="68"/>
      <c r="I187" s="89"/>
      <c r="J187" s="31" t="str">
        <f aca="false">IF(B187="","",IFERROR(INDEX(PE_Taux,MATCH(B187,PE_Mat,0)),0))</f>
        <v/>
      </c>
      <c r="K187" s="31" t="str">
        <f aca="false">IF(B187="","",IF(H187="A",0,IFERROR(N(I187)/P_Heures*J187,0)))</f>
        <v/>
      </c>
      <c r="L187" s="25"/>
    </row>
    <row r="188" customFormat="false" ht="15" hidden="false" customHeight="false" outlineLevel="0" collapsed="false">
      <c r="A188" s="69"/>
      <c r="B188" s="68"/>
      <c r="C188" s="76" t="str">
        <f aca="false">IF(B188="","",IFERROR(INDEX(PE_Nom,MATCH(B188,PE_Mat,0)),"Matricule inconnu"))</f>
        <v/>
      </c>
      <c r="D188" s="76" t="str">
        <f aca="false">IF(B188="","",IFERROR(INDEX(PE_Fonction,MATCH(B188,PE_Mat,0)),""))</f>
        <v/>
      </c>
      <c r="E188" s="76" t="str">
        <f aca="false">IF(B188="","",IFERROR(INDEX(PE_Equipe,MATCH(B188,PE_Mat,0)),""))</f>
        <v/>
      </c>
      <c r="F188" s="25"/>
      <c r="G188" s="25"/>
      <c r="H188" s="68"/>
      <c r="I188" s="89"/>
      <c r="J188" s="31" t="str">
        <f aca="false">IF(B188="","",IFERROR(INDEX(PE_Taux,MATCH(B188,PE_Mat,0)),0))</f>
        <v/>
      </c>
      <c r="K188" s="31" t="str">
        <f aca="false">IF(B188="","",IF(H188="A",0,IFERROR(N(I188)/P_Heures*J188,0)))</f>
        <v/>
      </c>
      <c r="L188" s="25"/>
    </row>
    <row r="189" customFormat="false" ht="15" hidden="false" customHeight="false" outlineLevel="0" collapsed="false">
      <c r="A189" s="69"/>
      <c r="B189" s="68"/>
      <c r="C189" s="76" t="str">
        <f aca="false">IF(B189="","",IFERROR(INDEX(PE_Nom,MATCH(B189,PE_Mat,0)),"Matricule inconnu"))</f>
        <v/>
      </c>
      <c r="D189" s="76" t="str">
        <f aca="false">IF(B189="","",IFERROR(INDEX(PE_Fonction,MATCH(B189,PE_Mat,0)),""))</f>
        <v/>
      </c>
      <c r="E189" s="76" t="str">
        <f aca="false">IF(B189="","",IFERROR(INDEX(PE_Equipe,MATCH(B189,PE_Mat,0)),""))</f>
        <v/>
      </c>
      <c r="F189" s="25"/>
      <c r="G189" s="25"/>
      <c r="H189" s="68"/>
      <c r="I189" s="89"/>
      <c r="J189" s="31" t="str">
        <f aca="false">IF(B189="","",IFERROR(INDEX(PE_Taux,MATCH(B189,PE_Mat,0)),0))</f>
        <v/>
      </c>
      <c r="K189" s="31" t="str">
        <f aca="false">IF(B189="","",IF(H189="A",0,IFERROR(N(I189)/P_Heures*J189,0)))</f>
        <v/>
      </c>
      <c r="L189" s="25"/>
    </row>
    <row r="190" customFormat="false" ht="15" hidden="false" customHeight="false" outlineLevel="0" collapsed="false">
      <c r="A190" s="69"/>
      <c r="B190" s="68"/>
      <c r="C190" s="76" t="str">
        <f aca="false">IF(B190="","",IFERROR(INDEX(PE_Nom,MATCH(B190,PE_Mat,0)),"Matricule inconnu"))</f>
        <v/>
      </c>
      <c r="D190" s="76" t="str">
        <f aca="false">IF(B190="","",IFERROR(INDEX(PE_Fonction,MATCH(B190,PE_Mat,0)),""))</f>
        <v/>
      </c>
      <c r="E190" s="76" t="str">
        <f aca="false">IF(B190="","",IFERROR(INDEX(PE_Equipe,MATCH(B190,PE_Mat,0)),""))</f>
        <v/>
      </c>
      <c r="F190" s="25"/>
      <c r="G190" s="25"/>
      <c r="H190" s="68"/>
      <c r="I190" s="89"/>
      <c r="J190" s="31" t="str">
        <f aca="false">IF(B190="","",IFERROR(INDEX(PE_Taux,MATCH(B190,PE_Mat,0)),0))</f>
        <v/>
      </c>
      <c r="K190" s="31" t="str">
        <f aca="false">IF(B190="","",IF(H190="A",0,IFERROR(N(I190)/P_Heures*J190,0)))</f>
        <v/>
      </c>
      <c r="L190" s="25"/>
    </row>
    <row r="191" customFormat="false" ht="15" hidden="false" customHeight="false" outlineLevel="0" collapsed="false">
      <c r="A191" s="69"/>
      <c r="B191" s="68"/>
      <c r="C191" s="76" t="str">
        <f aca="false">IF(B191="","",IFERROR(INDEX(PE_Nom,MATCH(B191,PE_Mat,0)),"Matricule inconnu"))</f>
        <v/>
      </c>
      <c r="D191" s="76" t="str">
        <f aca="false">IF(B191="","",IFERROR(INDEX(PE_Fonction,MATCH(B191,PE_Mat,0)),""))</f>
        <v/>
      </c>
      <c r="E191" s="76" t="str">
        <f aca="false">IF(B191="","",IFERROR(INDEX(PE_Equipe,MATCH(B191,PE_Mat,0)),""))</f>
        <v/>
      </c>
      <c r="F191" s="25"/>
      <c r="G191" s="25"/>
      <c r="H191" s="68"/>
      <c r="I191" s="89"/>
      <c r="J191" s="31" t="str">
        <f aca="false">IF(B191="","",IFERROR(INDEX(PE_Taux,MATCH(B191,PE_Mat,0)),0))</f>
        <v/>
      </c>
      <c r="K191" s="31" t="str">
        <f aca="false">IF(B191="","",IF(H191="A",0,IFERROR(N(I191)/P_Heures*J191,0)))</f>
        <v/>
      </c>
      <c r="L191" s="25"/>
    </row>
    <row r="192" customFormat="false" ht="15" hidden="false" customHeight="false" outlineLevel="0" collapsed="false">
      <c r="A192" s="69"/>
      <c r="B192" s="68"/>
      <c r="C192" s="76" t="str">
        <f aca="false">IF(B192="","",IFERROR(INDEX(PE_Nom,MATCH(B192,PE_Mat,0)),"Matricule inconnu"))</f>
        <v/>
      </c>
      <c r="D192" s="76" t="str">
        <f aca="false">IF(B192="","",IFERROR(INDEX(PE_Fonction,MATCH(B192,PE_Mat,0)),""))</f>
        <v/>
      </c>
      <c r="E192" s="76" t="str">
        <f aca="false">IF(B192="","",IFERROR(INDEX(PE_Equipe,MATCH(B192,PE_Mat,0)),""))</f>
        <v/>
      </c>
      <c r="F192" s="25"/>
      <c r="G192" s="25"/>
      <c r="H192" s="68"/>
      <c r="I192" s="89"/>
      <c r="J192" s="31" t="str">
        <f aca="false">IF(B192="","",IFERROR(INDEX(PE_Taux,MATCH(B192,PE_Mat,0)),0))</f>
        <v/>
      </c>
      <c r="K192" s="31" t="str">
        <f aca="false">IF(B192="","",IF(H192="A",0,IFERROR(N(I192)/P_Heures*J192,0)))</f>
        <v/>
      </c>
      <c r="L192" s="25"/>
    </row>
    <row r="193" customFormat="false" ht="15" hidden="false" customHeight="false" outlineLevel="0" collapsed="false">
      <c r="A193" s="69"/>
      <c r="B193" s="68"/>
      <c r="C193" s="76" t="str">
        <f aca="false">IF(B193="","",IFERROR(INDEX(PE_Nom,MATCH(B193,PE_Mat,0)),"Matricule inconnu"))</f>
        <v/>
      </c>
      <c r="D193" s="76" t="str">
        <f aca="false">IF(B193="","",IFERROR(INDEX(PE_Fonction,MATCH(B193,PE_Mat,0)),""))</f>
        <v/>
      </c>
      <c r="E193" s="76" t="str">
        <f aca="false">IF(B193="","",IFERROR(INDEX(PE_Equipe,MATCH(B193,PE_Mat,0)),""))</f>
        <v/>
      </c>
      <c r="F193" s="25"/>
      <c r="G193" s="25"/>
      <c r="H193" s="68"/>
      <c r="I193" s="89"/>
      <c r="J193" s="31" t="str">
        <f aca="false">IF(B193="","",IFERROR(INDEX(PE_Taux,MATCH(B193,PE_Mat,0)),0))</f>
        <v/>
      </c>
      <c r="K193" s="31" t="str">
        <f aca="false">IF(B193="","",IF(H193="A",0,IFERROR(N(I193)/P_Heures*J193,0)))</f>
        <v/>
      </c>
      <c r="L193" s="25"/>
    </row>
    <row r="194" customFormat="false" ht="15" hidden="false" customHeight="false" outlineLevel="0" collapsed="false">
      <c r="A194" s="69"/>
      <c r="B194" s="68"/>
      <c r="C194" s="76" t="str">
        <f aca="false">IF(B194="","",IFERROR(INDEX(PE_Nom,MATCH(B194,PE_Mat,0)),"Matricule inconnu"))</f>
        <v/>
      </c>
      <c r="D194" s="76" t="str">
        <f aca="false">IF(B194="","",IFERROR(INDEX(PE_Fonction,MATCH(B194,PE_Mat,0)),""))</f>
        <v/>
      </c>
      <c r="E194" s="76" t="str">
        <f aca="false">IF(B194="","",IFERROR(INDEX(PE_Equipe,MATCH(B194,PE_Mat,0)),""))</f>
        <v/>
      </c>
      <c r="F194" s="25"/>
      <c r="G194" s="25"/>
      <c r="H194" s="68"/>
      <c r="I194" s="89"/>
      <c r="J194" s="31" t="str">
        <f aca="false">IF(B194="","",IFERROR(INDEX(PE_Taux,MATCH(B194,PE_Mat,0)),0))</f>
        <v/>
      </c>
      <c r="K194" s="31" t="str">
        <f aca="false">IF(B194="","",IF(H194="A",0,IFERROR(N(I194)/P_Heures*J194,0)))</f>
        <v/>
      </c>
      <c r="L194" s="25"/>
    </row>
    <row r="195" customFormat="false" ht="15" hidden="false" customHeight="false" outlineLevel="0" collapsed="false">
      <c r="A195" s="69"/>
      <c r="B195" s="68"/>
      <c r="C195" s="76" t="str">
        <f aca="false">IF(B195="","",IFERROR(INDEX(PE_Nom,MATCH(B195,PE_Mat,0)),"Matricule inconnu"))</f>
        <v/>
      </c>
      <c r="D195" s="76" t="str">
        <f aca="false">IF(B195="","",IFERROR(INDEX(PE_Fonction,MATCH(B195,PE_Mat,0)),""))</f>
        <v/>
      </c>
      <c r="E195" s="76" t="str">
        <f aca="false">IF(B195="","",IFERROR(INDEX(PE_Equipe,MATCH(B195,PE_Mat,0)),""))</f>
        <v/>
      </c>
      <c r="F195" s="25"/>
      <c r="G195" s="25"/>
      <c r="H195" s="68"/>
      <c r="I195" s="89"/>
      <c r="J195" s="31" t="str">
        <f aca="false">IF(B195="","",IFERROR(INDEX(PE_Taux,MATCH(B195,PE_Mat,0)),0))</f>
        <v/>
      </c>
      <c r="K195" s="31" t="str">
        <f aca="false">IF(B195="","",IF(H195="A",0,IFERROR(N(I195)/P_Heures*J195,0)))</f>
        <v/>
      </c>
      <c r="L195" s="25"/>
    </row>
    <row r="196" customFormat="false" ht="15" hidden="false" customHeight="false" outlineLevel="0" collapsed="false">
      <c r="A196" s="69"/>
      <c r="B196" s="68"/>
      <c r="C196" s="76" t="str">
        <f aca="false">IF(B196="","",IFERROR(INDEX(PE_Nom,MATCH(B196,PE_Mat,0)),"Matricule inconnu"))</f>
        <v/>
      </c>
      <c r="D196" s="76" t="str">
        <f aca="false">IF(B196="","",IFERROR(INDEX(PE_Fonction,MATCH(B196,PE_Mat,0)),""))</f>
        <v/>
      </c>
      <c r="E196" s="76" t="str">
        <f aca="false">IF(B196="","",IFERROR(INDEX(PE_Equipe,MATCH(B196,PE_Mat,0)),""))</f>
        <v/>
      </c>
      <c r="F196" s="25"/>
      <c r="G196" s="25"/>
      <c r="H196" s="68"/>
      <c r="I196" s="89"/>
      <c r="J196" s="31" t="str">
        <f aca="false">IF(B196="","",IFERROR(INDEX(PE_Taux,MATCH(B196,PE_Mat,0)),0))</f>
        <v/>
      </c>
      <c r="K196" s="31" t="str">
        <f aca="false">IF(B196="","",IF(H196="A",0,IFERROR(N(I196)/P_Heures*J196,0)))</f>
        <v/>
      </c>
      <c r="L196" s="25"/>
    </row>
    <row r="197" customFormat="false" ht="15" hidden="false" customHeight="false" outlineLevel="0" collapsed="false">
      <c r="A197" s="69"/>
      <c r="B197" s="68"/>
      <c r="C197" s="76" t="str">
        <f aca="false">IF(B197="","",IFERROR(INDEX(PE_Nom,MATCH(B197,PE_Mat,0)),"Matricule inconnu"))</f>
        <v/>
      </c>
      <c r="D197" s="76" t="str">
        <f aca="false">IF(B197="","",IFERROR(INDEX(PE_Fonction,MATCH(B197,PE_Mat,0)),""))</f>
        <v/>
      </c>
      <c r="E197" s="76" t="str">
        <f aca="false">IF(B197="","",IFERROR(INDEX(PE_Equipe,MATCH(B197,PE_Mat,0)),""))</f>
        <v/>
      </c>
      <c r="F197" s="25"/>
      <c r="G197" s="25"/>
      <c r="H197" s="68"/>
      <c r="I197" s="89"/>
      <c r="J197" s="31" t="str">
        <f aca="false">IF(B197="","",IFERROR(INDEX(PE_Taux,MATCH(B197,PE_Mat,0)),0))</f>
        <v/>
      </c>
      <c r="K197" s="31" t="str">
        <f aca="false">IF(B197="","",IF(H197="A",0,IFERROR(N(I197)/P_Heures*J197,0)))</f>
        <v/>
      </c>
      <c r="L197" s="25"/>
    </row>
    <row r="198" customFormat="false" ht="15" hidden="false" customHeight="false" outlineLevel="0" collapsed="false">
      <c r="A198" s="69"/>
      <c r="B198" s="68"/>
      <c r="C198" s="76" t="str">
        <f aca="false">IF(B198="","",IFERROR(INDEX(PE_Nom,MATCH(B198,PE_Mat,0)),"Matricule inconnu"))</f>
        <v/>
      </c>
      <c r="D198" s="76" t="str">
        <f aca="false">IF(B198="","",IFERROR(INDEX(PE_Fonction,MATCH(B198,PE_Mat,0)),""))</f>
        <v/>
      </c>
      <c r="E198" s="76" t="str">
        <f aca="false">IF(B198="","",IFERROR(INDEX(PE_Equipe,MATCH(B198,PE_Mat,0)),""))</f>
        <v/>
      </c>
      <c r="F198" s="25"/>
      <c r="G198" s="25"/>
      <c r="H198" s="68"/>
      <c r="I198" s="89"/>
      <c r="J198" s="31" t="str">
        <f aca="false">IF(B198="","",IFERROR(INDEX(PE_Taux,MATCH(B198,PE_Mat,0)),0))</f>
        <v/>
      </c>
      <c r="K198" s="31" t="str">
        <f aca="false">IF(B198="","",IF(H198="A",0,IFERROR(N(I198)/P_Heures*J198,0)))</f>
        <v/>
      </c>
      <c r="L198" s="25"/>
    </row>
    <row r="199" customFormat="false" ht="15" hidden="false" customHeight="false" outlineLevel="0" collapsed="false">
      <c r="A199" s="69"/>
      <c r="B199" s="68"/>
      <c r="C199" s="76" t="str">
        <f aca="false">IF(B199="","",IFERROR(INDEX(PE_Nom,MATCH(B199,PE_Mat,0)),"Matricule inconnu"))</f>
        <v/>
      </c>
      <c r="D199" s="76" t="str">
        <f aca="false">IF(B199="","",IFERROR(INDEX(PE_Fonction,MATCH(B199,PE_Mat,0)),""))</f>
        <v/>
      </c>
      <c r="E199" s="76" t="str">
        <f aca="false">IF(B199="","",IFERROR(INDEX(PE_Equipe,MATCH(B199,PE_Mat,0)),""))</f>
        <v/>
      </c>
      <c r="F199" s="25"/>
      <c r="G199" s="25"/>
      <c r="H199" s="68"/>
      <c r="I199" s="89"/>
      <c r="J199" s="31" t="str">
        <f aca="false">IF(B199="","",IFERROR(INDEX(PE_Taux,MATCH(B199,PE_Mat,0)),0))</f>
        <v/>
      </c>
      <c r="K199" s="31" t="str">
        <f aca="false">IF(B199="","",IF(H199="A",0,IFERROR(N(I199)/P_Heures*J199,0)))</f>
        <v/>
      </c>
      <c r="L199" s="25"/>
    </row>
    <row r="200" customFormat="false" ht="15" hidden="false" customHeight="false" outlineLevel="0" collapsed="false">
      <c r="A200" s="69"/>
      <c r="B200" s="68"/>
      <c r="C200" s="76" t="str">
        <f aca="false">IF(B200="","",IFERROR(INDEX(PE_Nom,MATCH(B200,PE_Mat,0)),"Matricule inconnu"))</f>
        <v/>
      </c>
      <c r="D200" s="76" t="str">
        <f aca="false">IF(B200="","",IFERROR(INDEX(PE_Fonction,MATCH(B200,PE_Mat,0)),""))</f>
        <v/>
      </c>
      <c r="E200" s="76" t="str">
        <f aca="false">IF(B200="","",IFERROR(INDEX(PE_Equipe,MATCH(B200,PE_Mat,0)),""))</f>
        <v/>
      </c>
      <c r="F200" s="25"/>
      <c r="G200" s="25"/>
      <c r="H200" s="68"/>
      <c r="I200" s="89"/>
      <c r="J200" s="31" t="str">
        <f aca="false">IF(B200="","",IFERROR(INDEX(PE_Taux,MATCH(B200,PE_Mat,0)),0))</f>
        <v/>
      </c>
      <c r="K200" s="31" t="str">
        <f aca="false">IF(B200="","",IF(H200="A",0,IFERROR(N(I200)/P_Heures*J200,0)))</f>
        <v/>
      </c>
      <c r="L200" s="25"/>
    </row>
    <row r="201" customFormat="false" ht="15" hidden="false" customHeight="false" outlineLevel="0" collapsed="false">
      <c r="A201" s="69"/>
      <c r="B201" s="68"/>
      <c r="C201" s="76" t="str">
        <f aca="false">IF(B201="","",IFERROR(INDEX(PE_Nom,MATCH(B201,PE_Mat,0)),"Matricule inconnu"))</f>
        <v/>
      </c>
      <c r="D201" s="76" t="str">
        <f aca="false">IF(B201="","",IFERROR(INDEX(PE_Fonction,MATCH(B201,PE_Mat,0)),""))</f>
        <v/>
      </c>
      <c r="E201" s="76" t="str">
        <f aca="false">IF(B201="","",IFERROR(INDEX(PE_Equipe,MATCH(B201,PE_Mat,0)),""))</f>
        <v/>
      </c>
      <c r="F201" s="25"/>
      <c r="G201" s="25"/>
      <c r="H201" s="68"/>
      <c r="I201" s="89"/>
      <c r="J201" s="31" t="str">
        <f aca="false">IF(B201="","",IFERROR(INDEX(PE_Taux,MATCH(B201,PE_Mat,0)),0))</f>
        <v/>
      </c>
      <c r="K201" s="31" t="str">
        <f aca="false">IF(B201="","",IF(H201="A",0,IFERROR(N(I201)/P_Heures*J201,0)))</f>
        <v/>
      </c>
      <c r="L201" s="25"/>
    </row>
    <row r="202" customFormat="false" ht="15" hidden="false" customHeight="false" outlineLevel="0" collapsed="false">
      <c r="A202" s="69"/>
      <c r="B202" s="68"/>
      <c r="C202" s="76" t="str">
        <f aca="false">IF(B202="","",IFERROR(INDEX(PE_Nom,MATCH(B202,PE_Mat,0)),"Matricule inconnu"))</f>
        <v/>
      </c>
      <c r="D202" s="76" t="str">
        <f aca="false">IF(B202="","",IFERROR(INDEX(PE_Fonction,MATCH(B202,PE_Mat,0)),""))</f>
        <v/>
      </c>
      <c r="E202" s="76" t="str">
        <f aca="false">IF(B202="","",IFERROR(INDEX(PE_Equipe,MATCH(B202,PE_Mat,0)),""))</f>
        <v/>
      </c>
      <c r="F202" s="25"/>
      <c r="G202" s="25"/>
      <c r="H202" s="68"/>
      <c r="I202" s="89"/>
      <c r="J202" s="31" t="str">
        <f aca="false">IF(B202="","",IFERROR(INDEX(PE_Taux,MATCH(B202,PE_Mat,0)),0))</f>
        <v/>
      </c>
      <c r="K202" s="31" t="str">
        <f aca="false">IF(B202="","",IF(H202="A",0,IFERROR(N(I202)/P_Heures*J202,0)))</f>
        <v/>
      </c>
      <c r="L202" s="25"/>
    </row>
    <row r="203" customFormat="false" ht="15" hidden="false" customHeight="false" outlineLevel="0" collapsed="false">
      <c r="A203" s="69"/>
      <c r="B203" s="68"/>
      <c r="C203" s="76" t="str">
        <f aca="false">IF(B203="","",IFERROR(INDEX(PE_Nom,MATCH(B203,PE_Mat,0)),"Matricule inconnu"))</f>
        <v/>
      </c>
      <c r="D203" s="76" t="str">
        <f aca="false">IF(B203="","",IFERROR(INDEX(PE_Fonction,MATCH(B203,PE_Mat,0)),""))</f>
        <v/>
      </c>
      <c r="E203" s="76" t="str">
        <f aca="false">IF(B203="","",IFERROR(INDEX(PE_Equipe,MATCH(B203,PE_Mat,0)),""))</f>
        <v/>
      </c>
      <c r="F203" s="25"/>
      <c r="G203" s="25"/>
      <c r="H203" s="68"/>
      <c r="I203" s="89"/>
      <c r="J203" s="31" t="str">
        <f aca="false">IF(B203="","",IFERROR(INDEX(PE_Taux,MATCH(B203,PE_Mat,0)),0))</f>
        <v/>
      </c>
      <c r="K203" s="31" t="str">
        <f aca="false">IF(B203="","",IF(H203="A",0,IFERROR(N(I203)/P_Heures*J203,0)))</f>
        <v/>
      </c>
      <c r="L203" s="25"/>
    </row>
    <row r="204" customFormat="false" ht="15" hidden="false" customHeight="false" outlineLevel="0" collapsed="false">
      <c r="A204" s="69"/>
      <c r="B204" s="68"/>
      <c r="C204" s="76" t="str">
        <f aca="false">IF(B204="","",IFERROR(INDEX(PE_Nom,MATCH(B204,PE_Mat,0)),"Matricule inconnu"))</f>
        <v/>
      </c>
      <c r="D204" s="76" t="str">
        <f aca="false">IF(B204="","",IFERROR(INDEX(PE_Fonction,MATCH(B204,PE_Mat,0)),""))</f>
        <v/>
      </c>
      <c r="E204" s="76" t="str">
        <f aca="false">IF(B204="","",IFERROR(INDEX(PE_Equipe,MATCH(B204,PE_Mat,0)),""))</f>
        <v/>
      </c>
      <c r="F204" s="25"/>
      <c r="G204" s="25"/>
      <c r="H204" s="68"/>
      <c r="I204" s="89"/>
      <c r="J204" s="31" t="str">
        <f aca="false">IF(B204="","",IFERROR(INDEX(PE_Taux,MATCH(B204,PE_Mat,0)),0))</f>
        <v/>
      </c>
      <c r="K204" s="31" t="str">
        <f aca="false">IF(B204="","",IF(H204="A",0,IFERROR(N(I204)/P_Heures*J204,0)))</f>
        <v/>
      </c>
      <c r="L204" s="25"/>
    </row>
    <row r="205" customFormat="false" ht="15" hidden="false" customHeight="false" outlineLevel="0" collapsed="false">
      <c r="A205" s="69"/>
      <c r="B205" s="68"/>
      <c r="C205" s="76" t="str">
        <f aca="false">IF(B205="","",IFERROR(INDEX(PE_Nom,MATCH(B205,PE_Mat,0)),"Matricule inconnu"))</f>
        <v/>
      </c>
      <c r="D205" s="76" t="str">
        <f aca="false">IF(B205="","",IFERROR(INDEX(PE_Fonction,MATCH(B205,PE_Mat,0)),""))</f>
        <v/>
      </c>
      <c r="E205" s="76" t="str">
        <f aca="false">IF(B205="","",IFERROR(INDEX(PE_Equipe,MATCH(B205,PE_Mat,0)),""))</f>
        <v/>
      </c>
      <c r="F205" s="25"/>
      <c r="G205" s="25"/>
      <c r="H205" s="68"/>
      <c r="I205" s="89"/>
      <c r="J205" s="31" t="str">
        <f aca="false">IF(B205="","",IFERROR(INDEX(PE_Taux,MATCH(B205,PE_Mat,0)),0))</f>
        <v/>
      </c>
      <c r="K205" s="31" t="str">
        <f aca="false">IF(B205="","",IF(H205="A",0,IFERROR(N(I205)/P_Heures*J205,0)))</f>
        <v/>
      </c>
      <c r="L205" s="25"/>
    </row>
    <row r="206" customFormat="false" ht="15" hidden="false" customHeight="false" outlineLevel="0" collapsed="false">
      <c r="A206" s="69"/>
      <c r="B206" s="68"/>
      <c r="C206" s="76" t="str">
        <f aca="false">IF(B206="","",IFERROR(INDEX(PE_Nom,MATCH(B206,PE_Mat,0)),"Matricule inconnu"))</f>
        <v/>
      </c>
      <c r="D206" s="76" t="str">
        <f aca="false">IF(B206="","",IFERROR(INDEX(PE_Fonction,MATCH(B206,PE_Mat,0)),""))</f>
        <v/>
      </c>
      <c r="E206" s="76" t="str">
        <f aca="false">IF(B206="","",IFERROR(INDEX(PE_Equipe,MATCH(B206,PE_Mat,0)),""))</f>
        <v/>
      </c>
      <c r="F206" s="25"/>
      <c r="G206" s="25"/>
      <c r="H206" s="68"/>
      <c r="I206" s="89"/>
      <c r="J206" s="31" t="str">
        <f aca="false">IF(B206="","",IFERROR(INDEX(PE_Taux,MATCH(B206,PE_Mat,0)),0))</f>
        <v/>
      </c>
      <c r="K206" s="31" t="str">
        <f aca="false">IF(B206="","",IF(H206="A",0,IFERROR(N(I206)/P_Heures*J206,0)))</f>
        <v/>
      </c>
      <c r="L206" s="25"/>
    </row>
    <row r="207" customFormat="false" ht="15" hidden="false" customHeight="false" outlineLevel="0" collapsed="false">
      <c r="A207" s="69"/>
      <c r="B207" s="68"/>
      <c r="C207" s="76" t="str">
        <f aca="false">IF(B207="","",IFERROR(INDEX(PE_Nom,MATCH(B207,PE_Mat,0)),"Matricule inconnu"))</f>
        <v/>
      </c>
      <c r="D207" s="76" t="str">
        <f aca="false">IF(B207="","",IFERROR(INDEX(PE_Fonction,MATCH(B207,PE_Mat,0)),""))</f>
        <v/>
      </c>
      <c r="E207" s="76" t="str">
        <f aca="false">IF(B207="","",IFERROR(INDEX(PE_Equipe,MATCH(B207,PE_Mat,0)),""))</f>
        <v/>
      </c>
      <c r="F207" s="25"/>
      <c r="G207" s="25"/>
      <c r="H207" s="68"/>
      <c r="I207" s="89"/>
      <c r="J207" s="31" t="str">
        <f aca="false">IF(B207="","",IFERROR(INDEX(PE_Taux,MATCH(B207,PE_Mat,0)),0))</f>
        <v/>
      </c>
      <c r="K207" s="31" t="str">
        <f aca="false">IF(B207="","",IF(H207="A",0,IFERROR(N(I207)/P_Heures*J207,0)))</f>
        <v/>
      </c>
      <c r="L207" s="25"/>
    </row>
    <row r="208" customFormat="false" ht="15" hidden="false" customHeight="false" outlineLevel="0" collapsed="false">
      <c r="A208" s="69"/>
      <c r="B208" s="68"/>
      <c r="C208" s="76" t="str">
        <f aca="false">IF(B208="","",IFERROR(INDEX(PE_Nom,MATCH(B208,PE_Mat,0)),"Matricule inconnu"))</f>
        <v/>
      </c>
      <c r="D208" s="76" t="str">
        <f aca="false">IF(B208="","",IFERROR(INDEX(PE_Fonction,MATCH(B208,PE_Mat,0)),""))</f>
        <v/>
      </c>
      <c r="E208" s="76" t="str">
        <f aca="false">IF(B208="","",IFERROR(INDEX(PE_Equipe,MATCH(B208,PE_Mat,0)),""))</f>
        <v/>
      </c>
      <c r="F208" s="25"/>
      <c r="G208" s="25"/>
      <c r="H208" s="68"/>
      <c r="I208" s="89"/>
      <c r="J208" s="31" t="str">
        <f aca="false">IF(B208="","",IFERROR(INDEX(PE_Taux,MATCH(B208,PE_Mat,0)),0))</f>
        <v/>
      </c>
      <c r="K208" s="31" t="str">
        <f aca="false">IF(B208="","",IF(H208="A",0,IFERROR(N(I208)/P_Heures*J208,0)))</f>
        <v/>
      </c>
      <c r="L208" s="25"/>
    </row>
    <row r="209" customFormat="false" ht="15" hidden="false" customHeight="false" outlineLevel="0" collapsed="false">
      <c r="A209" s="69"/>
      <c r="B209" s="68"/>
      <c r="C209" s="76" t="str">
        <f aca="false">IF(B209="","",IFERROR(INDEX(PE_Nom,MATCH(B209,PE_Mat,0)),"Matricule inconnu"))</f>
        <v/>
      </c>
      <c r="D209" s="76" t="str">
        <f aca="false">IF(B209="","",IFERROR(INDEX(PE_Fonction,MATCH(B209,PE_Mat,0)),""))</f>
        <v/>
      </c>
      <c r="E209" s="76" t="str">
        <f aca="false">IF(B209="","",IFERROR(INDEX(PE_Equipe,MATCH(B209,PE_Mat,0)),""))</f>
        <v/>
      </c>
      <c r="F209" s="25"/>
      <c r="G209" s="25"/>
      <c r="H209" s="68"/>
      <c r="I209" s="89"/>
      <c r="J209" s="31" t="str">
        <f aca="false">IF(B209="","",IFERROR(INDEX(PE_Taux,MATCH(B209,PE_Mat,0)),0))</f>
        <v/>
      </c>
      <c r="K209" s="31" t="str">
        <f aca="false">IF(B209="","",IF(H209="A",0,IFERROR(N(I209)/P_Heures*J209,0)))</f>
        <v/>
      </c>
      <c r="L209" s="25"/>
    </row>
    <row r="210" customFormat="false" ht="15" hidden="false" customHeight="false" outlineLevel="0" collapsed="false">
      <c r="A210" s="69"/>
      <c r="B210" s="68"/>
      <c r="C210" s="76" t="str">
        <f aca="false">IF(B210="","",IFERROR(INDEX(PE_Nom,MATCH(B210,PE_Mat,0)),"Matricule inconnu"))</f>
        <v/>
      </c>
      <c r="D210" s="76" t="str">
        <f aca="false">IF(B210="","",IFERROR(INDEX(PE_Fonction,MATCH(B210,PE_Mat,0)),""))</f>
        <v/>
      </c>
      <c r="E210" s="76" t="str">
        <f aca="false">IF(B210="","",IFERROR(INDEX(PE_Equipe,MATCH(B210,PE_Mat,0)),""))</f>
        <v/>
      </c>
      <c r="F210" s="25"/>
      <c r="G210" s="25"/>
      <c r="H210" s="68"/>
      <c r="I210" s="89"/>
      <c r="J210" s="31" t="str">
        <f aca="false">IF(B210="","",IFERROR(INDEX(PE_Taux,MATCH(B210,PE_Mat,0)),0))</f>
        <v/>
      </c>
      <c r="K210" s="31" t="str">
        <f aca="false">IF(B210="","",IF(H210="A",0,IFERROR(N(I210)/P_Heures*J210,0)))</f>
        <v/>
      </c>
      <c r="L210" s="25"/>
    </row>
    <row r="211" customFormat="false" ht="15" hidden="false" customHeight="false" outlineLevel="0" collapsed="false">
      <c r="A211" s="69"/>
      <c r="B211" s="68"/>
      <c r="C211" s="76" t="str">
        <f aca="false">IF(B211="","",IFERROR(INDEX(PE_Nom,MATCH(B211,PE_Mat,0)),"Matricule inconnu"))</f>
        <v/>
      </c>
      <c r="D211" s="76" t="str">
        <f aca="false">IF(B211="","",IFERROR(INDEX(PE_Fonction,MATCH(B211,PE_Mat,0)),""))</f>
        <v/>
      </c>
      <c r="E211" s="76" t="str">
        <f aca="false">IF(B211="","",IFERROR(INDEX(PE_Equipe,MATCH(B211,PE_Mat,0)),""))</f>
        <v/>
      </c>
      <c r="F211" s="25"/>
      <c r="G211" s="25"/>
      <c r="H211" s="68"/>
      <c r="I211" s="89"/>
      <c r="J211" s="31" t="str">
        <f aca="false">IF(B211="","",IFERROR(INDEX(PE_Taux,MATCH(B211,PE_Mat,0)),0))</f>
        <v/>
      </c>
      <c r="K211" s="31" t="str">
        <f aca="false">IF(B211="","",IF(H211="A",0,IFERROR(N(I211)/P_Heures*J211,0)))</f>
        <v/>
      </c>
      <c r="L211" s="25"/>
    </row>
    <row r="212" customFormat="false" ht="15" hidden="false" customHeight="false" outlineLevel="0" collapsed="false">
      <c r="A212" s="69"/>
      <c r="B212" s="68"/>
      <c r="C212" s="76" t="str">
        <f aca="false">IF(B212="","",IFERROR(INDEX(PE_Nom,MATCH(B212,PE_Mat,0)),"Matricule inconnu"))</f>
        <v/>
      </c>
      <c r="D212" s="76" t="str">
        <f aca="false">IF(B212="","",IFERROR(INDEX(PE_Fonction,MATCH(B212,PE_Mat,0)),""))</f>
        <v/>
      </c>
      <c r="E212" s="76" t="str">
        <f aca="false">IF(B212="","",IFERROR(INDEX(PE_Equipe,MATCH(B212,PE_Mat,0)),""))</f>
        <v/>
      </c>
      <c r="F212" s="25"/>
      <c r="G212" s="25"/>
      <c r="H212" s="68"/>
      <c r="I212" s="89"/>
      <c r="J212" s="31" t="str">
        <f aca="false">IF(B212="","",IFERROR(INDEX(PE_Taux,MATCH(B212,PE_Mat,0)),0))</f>
        <v/>
      </c>
      <c r="K212" s="31" t="str">
        <f aca="false">IF(B212="","",IF(H212="A",0,IFERROR(N(I212)/P_Heures*J212,0)))</f>
        <v/>
      </c>
      <c r="L212" s="25"/>
    </row>
    <row r="213" customFormat="false" ht="15" hidden="false" customHeight="false" outlineLevel="0" collapsed="false">
      <c r="A213" s="69"/>
      <c r="B213" s="68"/>
      <c r="C213" s="76" t="str">
        <f aca="false">IF(B213="","",IFERROR(INDEX(PE_Nom,MATCH(B213,PE_Mat,0)),"Matricule inconnu"))</f>
        <v/>
      </c>
      <c r="D213" s="76" t="str">
        <f aca="false">IF(B213="","",IFERROR(INDEX(PE_Fonction,MATCH(B213,PE_Mat,0)),""))</f>
        <v/>
      </c>
      <c r="E213" s="76" t="str">
        <f aca="false">IF(B213="","",IFERROR(INDEX(PE_Equipe,MATCH(B213,PE_Mat,0)),""))</f>
        <v/>
      </c>
      <c r="F213" s="25"/>
      <c r="G213" s="25"/>
      <c r="H213" s="68"/>
      <c r="I213" s="89"/>
      <c r="J213" s="31" t="str">
        <f aca="false">IF(B213="","",IFERROR(INDEX(PE_Taux,MATCH(B213,PE_Mat,0)),0))</f>
        <v/>
      </c>
      <c r="K213" s="31" t="str">
        <f aca="false">IF(B213="","",IF(H213="A",0,IFERROR(N(I213)/P_Heures*J213,0)))</f>
        <v/>
      </c>
      <c r="L213" s="25"/>
    </row>
    <row r="214" customFormat="false" ht="15" hidden="false" customHeight="false" outlineLevel="0" collapsed="false">
      <c r="A214" s="69"/>
      <c r="B214" s="68"/>
      <c r="C214" s="76" t="str">
        <f aca="false">IF(B214="","",IFERROR(INDEX(PE_Nom,MATCH(B214,PE_Mat,0)),"Matricule inconnu"))</f>
        <v/>
      </c>
      <c r="D214" s="76" t="str">
        <f aca="false">IF(B214="","",IFERROR(INDEX(PE_Fonction,MATCH(B214,PE_Mat,0)),""))</f>
        <v/>
      </c>
      <c r="E214" s="76" t="str">
        <f aca="false">IF(B214="","",IFERROR(INDEX(PE_Equipe,MATCH(B214,PE_Mat,0)),""))</f>
        <v/>
      </c>
      <c r="F214" s="25"/>
      <c r="G214" s="25"/>
      <c r="H214" s="68"/>
      <c r="I214" s="89"/>
      <c r="J214" s="31" t="str">
        <f aca="false">IF(B214="","",IFERROR(INDEX(PE_Taux,MATCH(B214,PE_Mat,0)),0))</f>
        <v/>
      </c>
      <c r="K214" s="31" t="str">
        <f aca="false">IF(B214="","",IF(H214="A",0,IFERROR(N(I214)/P_Heures*J214,0)))</f>
        <v/>
      </c>
      <c r="L214" s="25"/>
    </row>
    <row r="215" customFormat="false" ht="15" hidden="false" customHeight="false" outlineLevel="0" collapsed="false">
      <c r="A215" s="69"/>
      <c r="B215" s="68"/>
      <c r="C215" s="76" t="str">
        <f aca="false">IF(B215="","",IFERROR(INDEX(PE_Nom,MATCH(B215,PE_Mat,0)),"Matricule inconnu"))</f>
        <v/>
      </c>
      <c r="D215" s="76" t="str">
        <f aca="false">IF(B215="","",IFERROR(INDEX(PE_Fonction,MATCH(B215,PE_Mat,0)),""))</f>
        <v/>
      </c>
      <c r="E215" s="76" t="str">
        <f aca="false">IF(B215="","",IFERROR(INDEX(PE_Equipe,MATCH(B215,PE_Mat,0)),""))</f>
        <v/>
      </c>
      <c r="F215" s="25"/>
      <c r="G215" s="25"/>
      <c r="H215" s="68"/>
      <c r="I215" s="89"/>
      <c r="J215" s="31" t="str">
        <f aca="false">IF(B215="","",IFERROR(INDEX(PE_Taux,MATCH(B215,PE_Mat,0)),0))</f>
        <v/>
      </c>
      <c r="K215" s="31" t="str">
        <f aca="false">IF(B215="","",IF(H215="A",0,IFERROR(N(I215)/P_Heures*J215,0)))</f>
        <v/>
      </c>
      <c r="L215" s="25"/>
    </row>
    <row r="216" customFormat="false" ht="15" hidden="false" customHeight="false" outlineLevel="0" collapsed="false">
      <c r="A216" s="69"/>
      <c r="B216" s="68"/>
      <c r="C216" s="76" t="str">
        <f aca="false">IF(B216="","",IFERROR(INDEX(PE_Nom,MATCH(B216,PE_Mat,0)),"Matricule inconnu"))</f>
        <v/>
      </c>
      <c r="D216" s="76" t="str">
        <f aca="false">IF(B216="","",IFERROR(INDEX(PE_Fonction,MATCH(B216,PE_Mat,0)),""))</f>
        <v/>
      </c>
      <c r="E216" s="76" t="str">
        <f aca="false">IF(B216="","",IFERROR(INDEX(PE_Equipe,MATCH(B216,PE_Mat,0)),""))</f>
        <v/>
      </c>
      <c r="F216" s="25"/>
      <c r="G216" s="25"/>
      <c r="H216" s="68"/>
      <c r="I216" s="89"/>
      <c r="J216" s="31" t="str">
        <f aca="false">IF(B216="","",IFERROR(INDEX(PE_Taux,MATCH(B216,PE_Mat,0)),0))</f>
        <v/>
      </c>
      <c r="K216" s="31" t="str">
        <f aca="false">IF(B216="","",IF(H216="A",0,IFERROR(N(I216)/P_Heures*J216,0)))</f>
        <v/>
      </c>
      <c r="L216" s="25"/>
    </row>
    <row r="217" customFormat="false" ht="15" hidden="false" customHeight="false" outlineLevel="0" collapsed="false">
      <c r="A217" s="69"/>
      <c r="B217" s="68"/>
      <c r="C217" s="76" t="str">
        <f aca="false">IF(B217="","",IFERROR(INDEX(PE_Nom,MATCH(B217,PE_Mat,0)),"Matricule inconnu"))</f>
        <v/>
      </c>
      <c r="D217" s="76" t="str">
        <f aca="false">IF(B217="","",IFERROR(INDEX(PE_Fonction,MATCH(B217,PE_Mat,0)),""))</f>
        <v/>
      </c>
      <c r="E217" s="76" t="str">
        <f aca="false">IF(B217="","",IFERROR(INDEX(PE_Equipe,MATCH(B217,PE_Mat,0)),""))</f>
        <v/>
      </c>
      <c r="F217" s="25"/>
      <c r="G217" s="25"/>
      <c r="H217" s="68"/>
      <c r="I217" s="89"/>
      <c r="J217" s="31" t="str">
        <f aca="false">IF(B217="","",IFERROR(INDEX(PE_Taux,MATCH(B217,PE_Mat,0)),0))</f>
        <v/>
      </c>
      <c r="K217" s="31" t="str">
        <f aca="false">IF(B217="","",IF(H217="A",0,IFERROR(N(I217)/P_Heures*J217,0)))</f>
        <v/>
      </c>
      <c r="L217" s="25"/>
    </row>
    <row r="218" customFormat="false" ht="15" hidden="false" customHeight="false" outlineLevel="0" collapsed="false">
      <c r="A218" s="69"/>
      <c r="B218" s="68"/>
      <c r="C218" s="76" t="str">
        <f aca="false">IF(B218="","",IFERROR(INDEX(PE_Nom,MATCH(B218,PE_Mat,0)),"Matricule inconnu"))</f>
        <v/>
      </c>
      <c r="D218" s="76" t="str">
        <f aca="false">IF(B218="","",IFERROR(INDEX(PE_Fonction,MATCH(B218,PE_Mat,0)),""))</f>
        <v/>
      </c>
      <c r="E218" s="76" t="str">
        <f aca="false">IF(B218="","",IFERROR(INDEX(PE_Equipe,MATCH(B218,PE_Mat,0)),""))</f>
        <v/>
      </c>
      <c r="F218" s="25"/>
      <c r="G218" s="25"/>
      <c r="H218" s="68"/>
      <c r="I218" s="89"/>
      <c r="J218" s="31" t="str">
        <f aca="false">IF(B218="","",IFERROR(INDEX(PE_Taux,MATCH(B218,PE_Mat,0)),0))</f>
        <v/>
      </c>
      <c r="K218" s="31" t="str">
        <f aca="false">IF(B218="","",IF(H218="A",0,IFERROR(N(I218)/P_Heures*J218,0)))</f>
        <v/>
      </c>
      <c r="L218" s="25"/>
    </row>
    <row r="219" customFormat="false" ht="15" hidden="false" customHeight="false" outlineLevel="0" collapsed="false">
      <c r="A219" s="69"/>
      <c r="B219" s="68"/>
      <c r="C219" s="76" t="str">
        <f aca="false">IF(B219="","",IFERROR(INDEX(PE_Nom,MATCH(B219,PE_Mat,0)),"Matricule inconnu"))</f>
        <v/>
      </c>
      <c r="D219" s="76" t="str">
        <f aca="false">IF(B219="","",IFERROR(INDEX(PE_Fonction,MATCH(B219,PE_Mat,0)),""))</f>
        <v/>
      </c>
      <c r="E219" s="76" t="str">
        <f aca="false">IF(B219="","",IFERROR(INDEX(PE_Equipe,MATCH(B219,PE_Mat,0)),""))</f>
        <v/>
      </c>
      <c r="F219" s="25"/>
      <c r="G219" s="25"/>
      <c r="H219" s="68"/>
      <c r="I219" s="89"/>
      <c r="J219" s="31" t="str">
        <f aca="false">IF(B219="","",IFERROR(INDEX(PE_Taux,MATCH(B219,PE_Mat,0)),0))</f>
        <v/>
      </c>
      <c r="K219" s="31" t="str">
        <f aca="false">IF(B219="","",IF(H219="A",0,IFERROR(N(I219)/P_Heures*J219,0)))</f>
        <v/>
      </c>
      <c r="L219" s="25"/>
    </row>
    <row r="220" customFormat="false" ht="15" hidden="false" customHeight="false" outlineLevel="0" collapsed="false">
      <c r="A220" s="69"/>
      <c r="B220" s="68"/>
      <c r="C220" s="76" t="str">
        <f aca="false">IF(B220="","",IFERROR(INDEX(PE_Nom,MATCH(B220,PE_Mat,0)),"Matricule inconnu"))</f>
        <v/>
      </c>
      <c r="D220" s="76" t="str">
        <f aca="false">IF(B220="","",IFERROR(INDEX(PE_Fonction,MATCH(B220,PE_Mat,0)),""))</f>
        <v/>
      </c>
      <c r="E220" s="76" t="str">
        <f aca="false">IF(B220="","",IFERROR(INDEX(PE_Equipe,MATCH(B220,PE_Mat,0)),""))</f>
        <v/>
      </c>
      <c r="F220" s="25"/>
      <c r="G220" s="25"/>
      <c r="H220" s="68"/>
      <c r="I220" s="89"/>
      <c r="J220" s="31" t="str">
        <f aca="false">IF(B220="","",IFERROR(INDEX(PE_Taux,MATCH(B220,PE_Mat,0)),0))</f>
        <v/>
      </c>
      <c r="K220" s="31" t="str">
        <f aca="false">IF(B220="","",IF(H220="A",0,IFERROR(N(I220)/P_Heures*J220,0)))</f>
        <v/>
      </c>
      <c r="L220" s="25"/>
    </row>
    <row r="221" customFormat="false" ht="15" hidden="false" customHeight="false" outlineLevel="0" collapsed="false">
      <c r="A221" s="69"/>
      <c r="B221" s="68"/>
      <c r="C221" s="76" t="str">
        <f aca="false">IF(B221="","",IFERROR(INDEX(PE_Nom,MATCH(B221,PE_Mat,0)),"Matricule inconnu"))</f>
        <v/>
      </c>
      <c r="D221" s="76" t="str">
        <f aca="false">IF(B221="","",IFERROR(INDEX(PE_Fonction,MATCH(B221,PE_Mat,0)),""))</f>
        <v/>
      </c>
      <c r="E221" s="76" t="str">
        <f aca="false">IF(B221="","",IFERROR(INDEX(PE_Equipe,MATCH(B221,PE_Mat,0)),""))</f>
        <v/>
      </c>
      <c r="F221" s="25"/>
      <c r="G221" s="25"/>
      <c r="H221" s="68"/>
      <c r="I221" s="89"/>
      <c r="J221" s="31" t="str">
        <f aca="false">IF(B221="","",IFERROR(INDEX(PE_Taux,MATCH(B221,PE_Mat,0)),0))</f>
        <v/>
      </c>
      <c r="K221" s="31" t="str">
        <f aca="false">IF(B221="","",IF(H221="A",0,IFERROR(N(I221)/P_Heures*J221,0)))</f>
        <v/>
      </c>
      <c r="L221" s="25"/>
    </row>
    <row r="222" customFormat="false" ht="15" hidden="false" customHeight="false" outlineLevel="0" collapsed="false">
      <c r="A222" s="69"/>
      <c r="B222" s="68"/>
      <c r="C222" s="76" t="str">
        <f aca="false">IF(B222="","",IFERROR(INDEX(PE_Nom,MATCH(B222,PE_Mat,0)),"Matricule inconnu"))</f>
        <v/>
      </c>
      <c r="D222" s="76" t="str">
        <f aca="false">IF(B222="","",IFERROR(INDEX(PE_Fonction,MATCH(B222,PE_Mat,0)),""))</f>
        <v/>
      </c>
      <c r="E222" s="76" t="str">
        <f aca="false">IF(B222="","",IFERROR(INDEX(PE_Equipe,MATCH(B222,PE_Mat,0)),""))</f>
        <v/>
      </c>
      <c r="F222" s="25"/>
      <c r="G222" s="25"/>
      <c r="H222" s="68"/>
      <c r="I222" s="89"/>
      <c r="J222" s="31" t="str">
        <f aca="false">IF(B222="","",IFERROR(INDEX(PE_Taux,MATCH(B222,PE_Mat,0)),0))</f>
        <v/>
      </c>
      <c r="K222" s="31" t="str">
        <f aca="false">IF(B222="","",IF(H222="A",0,IFERROR(N(I222)/P_Heures*J222,0)))</f>
        <v/>
      </c>
      <c r="L222" s="25"/>
    </row>
    <row r="223" customFormat="false" ht="15" hidden="false" customHeight="false" outlineLevel="0" collapsed="false">
      <c r="A223" s="69"/>
      <c r="B223" s="68"/>
      <c r="C223" s="76" t="str">
        <f aca="false">IF(B223="","",IFERROR(INDEX(PE_Nom,MATCH(B223,PE_Mat,0)),"Matricule inconnu"))</f>
        <v/>
      </c>
      <c r="D223" s="76" t="str">
        <f aca="false">IF(B223="","",IFERROR(INDEX(PE_Fonction,MATCH(B223,PE_Mat,0)),""))</f>
        <v/>
      </c>
      <c r="E223" s="76" t="str">
        <f aca="false">IF(B223="","",IFERROR(INDEX(PE_Equipe,MATCH(B223,PE_Mat,0)),""))</f>
        <v/>
      </c>
      <c r="F223" s="25"/>
      <c r="G223" s="25"/>
      <c r="H223" s="68"/>
      <c r="I223" s="89"/>
      <c r="J223" s="31" t="str">
        <f aca="false">IF(B223="","",IFERROR(INDEX(PE_Taux,MATCH(B223,PE_Mat,0)),0))</f>
        <v/>
      </c>
      <c r="K223" s="31" t="str">
        <f aca="false">IF(B223="","",IF(H223="A",0,IFERROR(N(I223)/P_Heures*J223,0)))</f>
        <v/>
      </c>
      <c r="L223" s="25"/>
    </row>
    <row r="224" customFormat="false" ht="15" hidden="false" customHeight="false" outlineLevel="0" collapsed="false">
      <c r="A224" s="69"/>
      <c r="B224" s="68"/>
      <c r="C224" s="76" t="str">
        <f aca="false">IF(B224="","",IFERROR(INDEX(PE_Nom,MATCH(B224,PE_Mat,0)),"Matricule inconnu"))</f>
        <v/>
      </c>
      <c r="D224" s="76" t="str">
        <f aca="false">IF(B224="","",IFERROR(INDEX(PE_Fonction,MATCH(B224,PE_Mat,0)),""))</f>
        <v/>
      </c>
      <c r="E224" s="76" t="str">
        <f aca="false">IF(B224="","",IFERROR(INDEX(PE_Equipe,MATCH(B224,PE_Mat,0)),""))</f>
        <v/>
      </c>
      <c r="F224" s="25"/>
      <c r="G224" s="25"/>
      <c r="H224" s="68"/>
      <c r="I224" s="89"/>
      <c r="J224" s="31" t="str">
        <f aca="false">IF(B224="","",IFERROR(INDEX(PE_Taux,MATCH(B224,PE_Mat,0)),0))</f>
        <v/>
      </c>
      <c r="K224" s="31" t="str">
        <f aca="false">IF(B224="","",IF(H224="A",0,IFERROR(N(I224)/P_Heures*J224,0)))</f>
        <v/>
      </c>
      <c r="L224" s="25"/>
    </row>
    <row r="225" customFormat="false" ht="15" hidden="false" customHeight="false" outlineLevel="0" collapsed="false">
      <c r="A225" s="69"/>
      <c r="B225" s="68"/>
      <c r="C225" s="76" t="str">
        <f aca="false">IF(B225="","",IFERROR(INDEX(PE_Nom,MATCH(B225,PE_Mat,0)),"Matricule inconnu"))</f>
        <v/>
      </c>
      <c r="D225" s="76" t="str">
        <f aca="false">IF(B225="","",IFERROR(INDEX(PE_Fonction,MATCH(B225,PE_Mat,0)),""))</f>
        <v/>
      </c>
      <c r="E225" s="76" t="str">
        <f aca="false">IF(B225="","",IFERROR(INDEX(PE_Equipe,MATCH(B225,PE_Mat,0)),""))</f>
        <v/>
      </c>
      <c r="F225" s="25"/>
      <c r="G225" s="25"/>
      <c r="H225" s="68"/>
      <c r="I225" s="89"/>
      <c r="J225" s="31" t="str">
        <f aca="false">IF(B225="","",IFERROR(INDEX(PE_Taux,MATCH(B225,PE_Mat,0)),0))</f>
        <v/>
      </c>
      <c r="K225" s="31" t="str">
        <f aca="false">IF(B225="","",IF(H225="A",0,IFERROR(N(I225)/P_Heures*J225,0)))</f>
        <v/>
      </c>
      <c r="L225" s="25"/>
    </row>
    <row r="226" customFormat="false" ht="15" hidden="false" customHeight="false" outlineLevel="0" collapsed="false">
      <c r="A226" s="69"/>
      <c r="B226" s="68"/>
      <c r="C226" s="76" t="str">
        <f aca="false">IF(B226="","",IFERROR(INDEX(PE_Nom,MATCH(B226,PE_Mat,0)),"Matricule inconnu"))</f>
        <v/>
      </c>
      <c r="D226" s="76" t="str">
        <f aca="false">IF(B226="","",IFERROR(INDEX(PE_Fonction,MATCH(B226,PE_Mat,0)),""))</f>
        <v/>
      </c>
      <c r="E226" s="76" t="str">
        <f aca="false">IF(B226="","",IFERROR(INDEX(PE_Equipe,MATCH(B226,PE_Mat,0)),""))</f>
        <v/>
      </c>
      <c r="F226" s="25"/>
      <c r="G226" s="25"/>
      <c r="H226" s="68"/>
      <c r="I226" s="89"/>
      <c r="J226" s="31" t="str">
        <f aca="false">IF(B226="","",IFERROR(INDEX(PE_Taux,MATCH(B226,PE_Mat,0)),0))</f>
        <v/>
      </c>
      <c r="K226" s="31" t="str">
        <f aca="false">IF(B226="","",IF(H226="A",0,IFERROR(N(I226)/P_Heures*J226,0)))</f>
        <v/>
      </c>
      <c r="L226" s="25"/>
    </row>
    <row r="227" customFormat="false" ht="15" hidden="false" customHeight="false" outlineLevel="0" collapsed="false">
      <c r="A227" s="69"/>
      <c r="B227" s="68"/>
      <c r="C227" s="76" t="str">
        <f aca="false">IF(B227="","",IFERROR(INDEX(PE_Nom,MATCH(B227,PE_Mat,0)),"Matricule inconnu"))</f>
        <v/>
      </c>
      <c r="D227" s="76" t="str">
        <f aca="false">IF(B227="","",IFERROR(INDEX(PE_Fonction,MATCH(B227,PE_Mat,0)),""))</f>
        <v/>
      </c>
      <c r="E227" s="76" t="str">
        <f aca="false">IF(B227="","",IFERROR(INDEX(PE_Equipe,MATCH(B227,PE_Mat,0)),""))</f>
        <v/>
      </c>
      <c r="F227" s="25"/>
      <c r="G227" s="25"/>
      <c r="H227" s="68"/>
      <c r="I227" s="89"/>
      <c r="J227" s="31" t="str">
        <f aca="false">IF(B227="","",IFERROR(INDEX(PE_Taux,MATCH(B227,PE_Mat,0)),0))</f>
        <v/>
      </c>
      <c r="K227" s="31" t="str">
        <f aca="false">IF(B227="","",IF(H227="A",0,IFERROR(N(I227)/P_Heures*J227,0)))</f>
        <v/>
      </c>
      <c r="L227" s="25"/>
    </row>
    <row r="228" customFormat="false" ht="15" hidden="false" customHeight="false" outlineLevel="0" collapsed="false">
      <c r="A228" s="69"/>
      <c r="B228" s="68"/>
      <c r="C228" s="76" t="str">
        <f aca="false">IF(B228="","",IFERROR(INDEX(PE_Nom,MATCH(B228,PE_Mat,0)),"Matricule inconnu"))</f>
        <v/>
      </c>
      <c r="D228" s="76" t="str">
        <f aca="false">IF(B228="","",IFERROR(INDEX(PE_Fonction,MATCH(B228,PE_Mat,0)),""))</f>
        <v/>
      </c>
      <c r="E228" s="76" t="str">
        <f aca="false">IF(B228="","",IFERROR(INDEX(PE_Equipe,MATCH(B228,PE_Mat,0)),""))</f>
        <v/>
      </c>
      <c r="F228" s="25"/>
      <c r="G228" s="25"/>
      <c r="H228" s="68"/>
      <c r="I228" s="89"/>
      <c r="J228" s="31" t="str">
        <f aca="false">IF(B228="","",IFERROR(INDEX(PE_Taux,MATCH(B228,PE_Mat,0)),0))</f>
        <v/>
      </c>
      <c r="K228" s="31" t="str">
        <f aca="false">IF(B228="","",IF(H228="A",0,IFERROR(N(I228)/P_Heures*J228,0)))</f>
        <v/>
      </c>
      <c r="L228" s="25"/>
    </row>
    <row r="229" customFormat="false" ht="15" hidden="false" customHeight="false" outlineLevel="0" collapsed="false">
      <c r="A229" s="69"/>
      <c r="B229" s="68"/>
      <c r="C229" s="76" t="str">
        <f aca="false">IF(B229="","",IFERROR(INDEX(PE_Nom,MATCH(B229,PE_Mat,0)),"Matricule inconnu"))</f>
        <v/>
      </c>
      <c r="D229" s="76" t="str">
        <f aca="false">IF(B229="","",IFERROR(INDEX(PE_Fonction,MATCH(B229,PE_Mat,0)),""))</f>
        <v/>
      </c>
      <c r="E229" s="76" t="str">
        <f aca="false">IF(B229="","",IFERROR(INDEX(PE_Equipe,MATCH(B229,PE_Mat,0)),""))</f>
        <v/>
      </c>
      <c r="F229" s="25"/>
      <c r="G229" s="25"/>
      <c r="H229" s="68"/>
      <c r="I229" s="89"/>
      <c r="J229" s="31" t="str">
        <f aca="false">IF(B229="","",IFERROR(INDEX(PE_Taux,MATCH(B229,PE_Mat,0)),0))</f>
        <v/>
      </c>
      <c r="K229" s="31" t="str">
        <f aca="false">IF(B229="","",IF(H229="A",0,IFERROR(N(I229)/P_Heures*J229,0)))</f>
        <v/>
      </c>
      <c r="L229" s="25"/>
    </row>
    <row r="230" customFormat="false" ht="15" hidden="false" customHeight="false" outlineLevel="0" collapsed="false">
      <c r="A230" s="69"/>
      <c r="B230" s="68"/>
      <c r="C230" s="76" t="str">
        <f aca="false">IF(B230="","",IFERROR(INDEX(PE_Nom,MATCH(B230,PE_Mat,0)),"Matricule inconnu"))</f>
        <v/>
      </c>
      <c r="D230" s="76" t="str">
        <f aca="false">IF(B230="","",IFERROR(INDEX(PE_Fonction,MATCH(B230,PE_Mat,0)),""))</f>
        <v/>
      </c>
      <c r="E230" s="76" t="str">
        <f aca="false">IF(B230="","",IFERROR(INDEX(PE_Equipe,MATCH(B230,PE_Mat,0)),""))</f>
        <v/>
      </c>
      <c r="F230" s="25"/>
      <c r="G230" s="25"/>
      <c r="H230" s="68"/>
      <c r="I230" s="89"/>
      <c r="J230" s="31" t="str">
        <f aca="false">IF(B230="","",IFERROR(INDEX(PE_Taux,MATCH(B230,PE_Mat,0)),0))</f>
        <v/>
      </c>
      <c r="K230" s="31" t="str">
        <f aca="false">IF(B230="","",IF(H230="A",0,IFERROR(N(I230)/P_Heures*J230,0)))</f>
        <v/>
      </c>
      <c r="L230" s="25"/>
    </row>
    <row r="231" customFormat="false" ht="15" hidden="false" customHeight="false" outlineLevel="0" collapsed="false">
      <c r="A231" s="69"/>
      <c r="B231" s="68"/>
      <c r="C231" s="76" t="str">
        <f aca="false">IF(B231="","",IFERROR(INDEX(PE_Nom,MATCH(B231,PE_Mat,0)),"Matricule inconnu"))</f>
        <v/>
      </c>
      <c r="D231" s="76" t="str">
        <f aca="false">IF(B231="","",IFERROR(INDEX(PE_Fonction,MATCH(B231,PE_Mat,0)),""))</f>
        <v/>
      </c>
      <c r="E231" s="76" t="str">
        <f aca="false">IF(B231="","",IFERROR(INDEX(PE_Equipe,MATCH(B231,PE_Mat,0)),""))</f>
        <v/>
      </c>
      <c r="F231" s="25"/>
      <c r="G231" s="25"/>
      <c r="H231" s="68"/>
      <c r="I231" s="89"/>
      <c r="J231" s="31" t="str">
        <f aca="false">IF(B231="","",IFERROR(INDEX(PE_Taux,MATCH(B231,PE_Mat,0)),0))</f>
        <v/>
      </c>
      <c r="K231" s="31" t="str">
        <f aca="false">IF(B231="","",IF(H231="A",0,IFERROR(N(I231)/P_Heures*J231,0)))</f>
        <v/>
      </c>
      <c r="L231" s="25"/>
    </row>
    <row r="232" customFormat="false" ht="15" hidden="false" customHeight="false" outlineLevel="0" collapsed="false">
      <c r="A232" s="69"/>
      <c r="B232" s="68"/>
      <c r="C232" s="76" t="str">
        <f aca="false">IF(B232="","",IFERROR(INDEX(PE_Nom,MATCH(B232,PE_Mat,0)),"Matricule inconnu"))</f>
        <v/>
      </c>
      <c r="D232" s="76" t="str">
        <f aca="false">IF(B232="","",IFERROR(INDEX(PE_Fonction,MATCH(B232,PE_Mat,0)),""))</f>
        <v/>
      </c>
      <c r="E232" s="76" t="str">
        <f aca="false">IF(B232="","",IFERROR(INDEX(PE_Equipe,MATCH(B232,PE_Mat,0)),""))</f>
        <v/>
      </c>
      <c r="F232" s="25"/>
      <c r="G232" s="25"/>
      <c r="H232" s="68"/>
      <c r="I232" s="89"/>
      <c r="J232" s="31" t="str">
        <f aca="false">IF(B232="","",IFERROR(INDEX(PE_Taux,MATCH(B232,PE_Mat,0)),0))</f>
        <v/>
      </c>
      <c r="K232" s="31" t="str">
        <f aca="false">IF(B232="","",IF(H232="A",0,IFERROR(N(I232)/P_Heures*J232,0)))</f>
        <v/>
      </c>
      <c r="L232" s="25"/>
    </row>
    <row r="233" customFormat="false" ht="15" hidden="false" customHeight="false" outlineLevel="0" collapsed="false">
      <c r="A233" s="69"/>
      <c r="B233" s="68"/>
      <c r="C233" s="76" t="str">
        <f aca="false">IF(B233="","",IFERROR(INDEX(PE_Nom,MATCH(B233,PE_Mat,0)),"Matricule inconnu"))</f>
        <v/>
      </c>
      <c r="D233" s="76" t="str">
        <f aca="false">IF(B233="","",IFERROR(INDEX(PE_Fonction,MATCH(B233,PE_Mat,0)),""))</f>
        <v/>
      </c>
      <c r="E233" s="76" t="str">
        <f aca="false">IF(B233="","",IFERROR(INDEX(PE_Equipe,MATCH(B233,PE_Mat,0)),""))</f>
        <v/>
      </c>
      <c r="F233" s="25"/>
      <c r="G233" s="25"/>
      <c r="H233" s="68"/>
      <c r="I233" s="89"/>
      <c r="J233" s="31" t="str">
        <f aca="false">IF(B233="","",IFERROR(INDEX(PE_Taux,MATCH(B233,PE_Mat,0)),0))</f>
        <v/>
      </c>
      <c r="K233" s="31" t="str">
        <f aca="false">IF(B233="","",IF(H233="A",0,IFERROR(N(I233)/P_Heures*J233,0)))</f>
        <v/>
      </c>
      <c r="L233" s="25"/>
    </row>
    <row r="234" customFormat="false" ht="15" hidden="false" customHeight="false" outlineLevel="0" collapsed="false">
      <c r="A234" s="69"/>
      <c r="B234" s="68"/>
      <c r="C234" s="76" t="str">
        <f aca="false">IF(B234="","",IFERROR(INDEX(PE_Nom,MATCH(B234,PE_Mat,0)),"Matricule inconnu"))</f>
        <v/>
      </c>
      <c r="D234" s="76" t="str">
        <f aca="false">IF(B234="","",IFERROR(INDEX(PE_Fonction,MATCH(B234,PE_Mat,0)),""))</f>
        <v/>
      </c>
      <c r="E234" s="76" t="str">
        <f aca="false">IF(B234="","",IFERROR(INDEX(PE_Equipe,MATCH(B234,PE_Mat,0)),""))</f>
        <v/>
      </c>
      <c r="F234" s="25"/>
      <c r="G234" s="25"/>
      <c r="H234" s="68"/>
      <c r="I234" s="89"/>
      <c r="J234" s="31" t="str">
        <f aca="false">IF(B234="","",IFERROR(INDEX(PE_Taux,MATCH(B234,PE_Mat,0)),0))</f>
        <v/>
      </c>
      <c r="K234" s="31" t="str">
        <f aca="false">IF(B234="","",IF(H234="A",0,IFERROR(N(I234)/P_Heures*J234,0)))</f>
        <v/>
      </c>
      <c r="L234" s="25"/>
    </row>
    <row r="235" customFormat="false" ht="15" hidden="false" customHeight="false" outlineLevel="0" collapsed="false">
      <c r="A235" s="69"/>
      <c r="B235" s="68"/>
      <c r="C235" s="76" t="str">
        <f aca="false">IF(B235="","",IFERROR(INDEX(PE_Nom,MATCH(B235,PE_Mat,0)),"Matricule inconnu"))</f>
        <v/>
      </c>
      <c r="D235" s="76" t="str">
        <f aca="false">IF(B235="","",IFERROR(INDEX(PE_Fonction,MATCH(B235,PE_Mat,0)),""))</f>
        <v/>
      </c>
      <c r="E235" s="76" t="str">
        <f aca="false">IF(B235="","",IFERROR(INDEX(PE_Equipe,MATCH(B235,PE_Mat,0)),""))</f>
        <v/>
      </c>
      <c r="F235" s="25"/>
      <c r="G235" s="25"/>
      <c r="H235" s="68"/>
      <c r="I235" s="89"/>
      <c r="J235" s="31" t="str">
        <f aca="false">IF(B235="","",IFERROR(INDEX(PE_Taux,MATCH(B235,PE_Mat,0)),0))</f>
        <v/>
      </c>
      <c r="K235" s="31" t="str">
        <f aca="false">IF(B235="","",IF(H235="A",0,IFERROR(N(I235)/P_Heures*J235,0)))</f>
        <v/>
      </c>
      <c r="L235" s="25"/>
    </row>
    <row r="236" customFormat="false" ht="15" hidden="false" customHeight="false" outlineLevel="0" collapsed="false">
      <c r="A236" s="69"/>
      <c r="B236" s="68"/>
      <c r="C236" s="76" t="str">
        <f aca="false">IF(B236="","",IFERROR(INDEX(PE_Nom,MATCH(B236,PE_Mat,0)),"Matricule inconnu"))</f>
        <v/>
      </c>
      <c r="D236" s="76" t="str">
        <f aca="false">IF(B236="","",IFERROR(INDEX(PE_Fonction,MATCH(B236,PE_Mat,0)),""))</f>
        <v/>
      </c>
      <c r="E236" s="76" t="str">
        <f aca="false">IF(B236="","",IFERROR(INDEX(PE_Equipe,MATCH(B236,PE_Mat,0)),""))</f>
        <v/>
      </c>
      <c r="F236" s="25"/>
      <c r="G236" s="25"/>
      <c r="H236" s="68"/>
      <c r="I236" s="89"/>
      <c r="J236" s="31" t="str">
        <f aca="false">IF(B236="","",IFERROR(INDEX(PE_Taux,MATCH(B236,PE_Mat,0)),0))</f>
        <v/>
      </c>
      <c r="K236" s="31" t="str">
        <f aca="false">IF(B236="","",IF(H236="A",0,IFERROR(N(I236)/P_Heures*J236,0)))</f>
        <v/>
      </c>
      <c r="L236" s="25"/>
    </row>
    <row r="237" customFormat="false" ht="15" hidden="false" customHeight="false" outlineLevel="0" collapsed="false">
      <c r="A237" s="69"/>
      <c r="B237" s="68"/>
      <c r="C237" s="76" t="str">
        <f aca="false">IF(B237="","",IFERROR(INDEX(PE_Nom,MATCH(B237,PE_Mat,0)),"Matricule inconnu"))</f>
        <v/>
      </c>
      <c r="D237" s="76" t="str">
        <f aca="false">IF(B237="","",IFERROR(INDEX(PE_Fonction,MATCH(B237,PE_Mat,0)),""))</f>
        <v/>
      </c>
      <c r="E237" s="76" t="str">
        <f aca="false">IF(B237="","",IFERROR(INDEX(PE_Equipe,MATCH(B237,PE_Mat,0)),""))</f>
        <v/>
      </c>
      <c r="F237" s="25"/>
      <c r="G237" s="25"/>
      <c r="H237" s="68"/>
      <c r="I237" s="89"/>
      <c r="J237" s="31" t="str">
        <f aca="false">IF(B237="","",IFERROR(INDEX(PE_Taux,MATCH(B237,PE_Mat,0)),0))</f>
        <v/>
      </c>
      <c r="K237" s="31" t="str">
        <f aca="false">IF(B237="","",IF(H237="A",0,IFERROR(N(I237)/P_Heures*J237,0)))</f>
        <v/>
      </c>
      <c r="L237" s="25"/>
    </row>
    <row r="238" customFormat="false" ht="15" hidden="false" customHeight="false" outlineLevel="0" collapsed="false">
      <c r="A238" s="69"/>
      <c r="B238" s="68"/>
      <c r="C238" s="76" t="str">
        <f aca="false">IF(B238="","",IFERROR(INDEX(PE_Nom,MATCH(B238,PE_Mat,0)),"Matricule inconnu"))</f>
        <v/>
      </c>
      <c r="D238" s="76" t="str">
        <f aca="false">IF(B238="","",IFERROR(INDEX(PE_Fonction,MATCH(B238,PE_Mat,0)),""))</f>
        <v/>
      </c>
      <c r="E238" s="76" t="str">
        <f aca="false">IF(B238="","",IFERROR(INDEX(PE_Equipe,MATCH(B238,PE_Mat,0)),""))</f>
        <v/>
      </c>
      <c r="F238" s="25"/>
      <c r="G238" s="25"/>
      <c r="H238" s="68"/>
      <c r="I238" s="89"/>
      <c r="J238" s="31" t="str">
        <f aca="false">IF(B238="","",IFERROR(INDEX(PE_Taux,MATCH(B238,PE_Mat,0)),0))</f>
        <v/>
      </c>
      <c r="K238" s="31" t="str">
        <f aca="false">IF(B238="","",IF(H238="A",0,IFERROR(N(I238)/P_Heures*J238,0)))</f>
        <v/>
      </c>
      <c r="L238" s="25"/>
    </row>
    <row r="239" customFormat="false" ht="15" hidden="false" customHeight="false" outlineLevel="0" collapsed="false">
      <c r="A239" s="69"/>
      <c r="B239" s="68"/>
      <c r="C239" s="76" t="str">
        <f aca="false">IF(B239="","",IFERROR(INDEX(PE_Nom,MATCH(B239,PE_Mat,0)),"Matricule inconnu"))</f>
        <v/>
      </c>
      <c r="D239" s="76" t="str">
        <f aca="false">IF(B239="","",IFERROR(INDEX(PE_Fonction,MATCH(B239,PE_Mat,0)),""))</f>
        <v/>
      </c>
      <c r="E239" s="76" t="str">
        <f aca="false">IF(B239="","",IFERROR(INDEX(PE_Equipe,MATCH(B239,PE_Mat,0)),""))</f>
        <v/>
      </c>
      <c r="F239" s="25"/>
      <c r="G239" s="25"/>
      <c r="H239" s="68"/>
      <c r="I239" s="89"/>
      <c r="J239" s="31" t="str">
        <f aca="false">IF(B239="","",IFERROR(INDEX(PE_Taux,MATCH(B239,PE_Mat,0)),0))</f>
        <v/>
      </c>
      <c r="K239" s="31" t="str">
        <f aca="false">IF(B239="","",IF(H239="A",0,IFERROR(N(I239)/P_Heures*J239,0)))</f>
        <v/>
      </c>
      <c r="L239" s="25"/>
    </row>
    <row r="240" customFormat="false" ht="15" hidden="false" customHeight="false" outlineLevel="0" collapsed="false">
      <c r="A240" s="69"/>
      <c r="B240" s="68"/>
      <c r="C240" s="76" t="str">
        <f aca="false">IF(B240="","",IFERROR(INDEX(PE_Nom,MATCH(B240,PE_Mat,0)),"Matricule inconnu"))</f>
        <v/>
      </c>
      <c r="D240" s="76" t="str">
        <f aca="false">IF(B240="","",IFERROR(INDEX(PE_Fonction,MATCH(B240,PE_Mat,0)),""))</f>
        <v/>
      </c>
      <c r="E240" s="76" t="str">
        <f aca="false">IF(B240="","",IFERROR(INDEX(PE_Equipe,MATCH(B240,PE_Mat,0)),""))</f>
        <v/>
      </c>
      <c r="F240" s="25"/>
      <c r="G240" s="25"/>
      <c r="H240" s="68"/>
      <c r="I240" s="89"/>
      <c r="J240" s="31" t="str">
        <f aca="false">IF(B240="","",IFERROR(INDEX(PE_Taux,MATCH(B240,PE_Mat,0)),0))</f>
        <v/>
      </c>
      <c r="K240" s="31" t="str">
        <f aca="false">IF(B240="","",IF(H240="A",0,IFERROR(N(I240)/P_Heures*J240,0)))</f>
        <v/>
      </c>
      <c r="L240" s="25"/>
    </row>
    <row r="241" customFormat="false" ht="15" hidden="false" customHeight="false" outlineLevel="0" collapsed="false">
      <c r="A241" s="69"/>
      <c r="B241" s="68"/>
      <c r="C241" s="76" t="str">
        <f aca="false">IF(B241="","",IFERROR(INDEX(PE_Nom,MATCH(B241,PE_Mat,0)),"Matricule inconnu"))</f>
        <v/>
      </c>
      <c r="D241" s="76" t="str">
        <f aca="false">IF(B241="","",IFERROR(INDEX(PE_Fonction,MATCH(B241,PE_Mat,0)),""))</f>
        <v/>
      </c>
      <c r="E241" s="76" t="str">
        <f aca="false">IF(B241="","",IFERROR(INDEX(PE_Equipe,MATCH(B241,PE_Mat,0)),""))</f>
        <v/>
      </c>
      <c r="F241" s="25"/>
      <c r="G241" s="25"/>
      <c r="H241" s="68"/>
      <c r="I241" s="89"/>
      <c r="J241" s="31" t="str">
        <f aca="false">IF(B241="","",IFERROR(INDEX(PE_Taux,MATCH(B241,PE_Mat,0)),0))</f>
        <v/>
      </c>
      <c r="K241" s="31" t="str">
        <f aca="false">IF(B241="","",IF(H241="A",0,IFERROR(N(I241)/P_Heures*J241,0)))</f>
        <v/>
      </c>
      <c r="L241" s="25"/>
    </row>
    <row r="242" customFormat="false" ht="15" hidden="false" customHeight="false" outlineLevel="0" collapsed="false">
      <c r="A242" s="69"/>
      <c r="B242" s="68"/>
      <c r="C242" s="76" t="str">
        <f aca="false">IF(B242="","",IFERROR(INDEX(PE_Nom,MATCH(B242,PE_Mat,0)),"Matricule inconnu"))</f>
        <v/>
      </c>
      <c r="D242" s="76" t="str">
        <f aca="false">IF(B242="","",IFERROR(INDEX(PE_Fonction,MATCH(B242,PE_Mat,0)),""))</f>
        <v/>
      </c>
      <c r="E242" s="76" t="str">
        <f aca="false">IF(B242="","",IFERROR(INDEX(PE_Equipe,MATCH(B242,PE_Mat,0)),""))</f>
        <v/>
      </c>
      <c r="F242" s="25"/>
      <c r="G242" s="25"/>
      <c r="H242" s="68"/>
      <c r="I242" s="89"/>
      <c r="J242" s="31" t="str">
        <f aca="false">IF(B242="","",IFERROR(INDEX(PE_Taux,MATCH(B242,PE_Mat,0)),0))</f>
        <v/>
      </c>
      <c r="K242" s="31" t="str">
        <f aca="false">IF(B242="","",IF(H242="A",0,IFERROR(N(I242)/P_Heures*J242,0)))</f>
        <v/>
      </c>
      <c r="L242" s="25"/>
    </row>
    <row r="243" customFormat="false" ht="15" hidden="false" customHeight="false" outlineLevel="0" collapsed="false">
      <c r="A243" s="69"/>
      <c r="B243" s="68"/>
      <c r="C243" s="76" t="str">
        <f aca="false">IF(B243="","",IFERROR(INDEX(PE_Nom,MATCH(B243,PE_Mat,0)),"Matricule inconnu"))</f>
        <v/>
      </c>
      <c r="D243" s="76" t="str">
        <f aca="false">IF(B243="","",IFERROR(INDEX(PE_Fonction,MATCH(B243,PE_Mat,0)),""))</f>
        <v/>
      </c>
      <c r="E243" s="76" t="str">
        <f aca="false">IF(B243="","",IFERROR(INDEX(PE_Equipe,MATCH(B243,PE_Mat,0)),""))</f>
        <v/>
      </c>
      <c r="F243" s="25"/>
      <c r="G243" s="25"/>
      <c r="H243" s="68"/>
      <c r="I243" s="89"/>
      <c r="J243" s="31" t="str">
        <f aca="false">IF(B243="","",IFERROR(INDEX(PE_Taux,MATCH(B243,PE_Mat,0)),0))</f>
        <v/>
      </c>
      <c r="K243" s="31" t="str">
        <f aca="false">IF(B243="","",IF(H243="A",0,IFERROR(N(I243)/P_Heures*J243,0)))</f>
        <v/>
      </c>
      <c r="L243" s="25"/>
    </row>
    <row r="244" customFormat="false" ht="15" hidden="false" customHeight="false" outlineLevel="0" collapsed="false">
      <c r="A244" s="69"/>
      <c r="B244" s="68"/>
      <c r="C244" s="76" t="str">
        <f aca="false">IF(B244="","",IFERROR(INDEX(PE_Nom,MATCH(B244,PE_Mat,0)),"Matricule inconnu"))</f>
        <v/>
      </c>
      <c r="D244" s="76" t="str">
        <f aca="false">IF(B244="","",IFERROR(INDEX(PE_Fonction,MATCH(B244,PE_Mat,0)),""))</f>
        <v/>
      </c>
      <c r="E244" s="76" t="str">
        <f aca="false">IF(B244="","",IFERROR(INDEX(PE_Equipe,MATCH(B244,PE_Mat,0)),""))</f>
        <v/>
      </c>
      <c r="F244" s="25"/>
      <c r="G244" s="25"/>
      <c r="H244" s="68"/>
      <c r="I244" s="89"/>
      <c r="J244" s="31" t="str">
        <f aca="false">IF(B244="","",IFERROR(INDEX(PE_Taux,MATCH(B244,PE_Mat,0)),0))</f>
        <v/>
      </c>
      <c r="K244" s="31" t="str">
        <f aca="false">IF(B244="","",IF(H244="A",0,IFERROR(N(I244)/P_Heures*J244,0)))</f>
        <v/>
      </c>
      <c r="L244" s="25"/>
    </row>
    <row r="245" customFormat="false" ht="15" hidden="false" customHeight="false" outlineLevel="0" collapsed="false">
      <c r="A245" s="69"/>
      <c r="B245" s="68"/>
      <c r="C245" s="76" t="str">
        <f aca="false">IF(B245="","",IFERROR(INDEX(PE_Nom,MATCH(B245,PE_Mat,0)),"Matricule inconnu"))</f>
        <v/>
      </c>
      <c r="D245" s="76" t="str">
        <f aca="false">IF(B245="","",IFERROR(INDEX(PE_Fonction,MATCH(B245,PE_Mat,0)),""))</f>
        <v/>
      </c>
      <c r="E245" s="76" t="str">
        <f aca="false">IF(B245="","",IFERROR(INDEX(PE_Equipe,MATCH(B245,PE_Mat,0)),""))</f>
        <v/>
      </c>
      <c r="F245" s="25"/>
      <c r="G245" s="25"/>
      <c r="H245" s="68"/>
      <c r="I245" s="89"/>
      <c r="J245" s="31" t="str">
        <f aca="false">IF(B245="","",IFERROR(INDEX(PE_Taux,MATCH(B245,PE_Mat,0)),0))</f>
        <v/>
      </c>
      <c r="K245" s="31" t="str">
        <f aca="false">IF(B245="","",IF(H245="A",0,IFERROR(N(I245)/P_Heures*J245,0)))</f>
        <v/>
      </c>
      <c r="L245" s="25"/>
    </row>
    <row r="246" customFormat="false" ht="15" hidden="false" customHeight="false" outlineLevel="0" collapsed="false">
      <c r="A246" s="69"/>
      <c r="B246" s="68"/>
      <c r="C246" s="76" t="str">
        <f aca="false">IF(B246="","",IFERROR(INDEX(PE_Nom,MATCH(B246,PE_Mat,0)),"Matricule inconnu"))</f>
        <v/>
      </c>
      <c r="D246" s="76" t="str">
        <f aca="false">IF(B246="","",IFERROR(INDEX(PE_Fonction,MATCH(B246,PE_Mat,0)),""))</f>
        <v/>
      </c>
      <c r="E246" s="76" t="str">
        <f aca="false">IF(B246="","",IFERROR(INDEX(PE_Equipe,MATCH(B246,PE_Mat,0)),""))</f>
        <v/>
      </c>
      <c r="F246" s="25"/>
      <c r="G246" s="25"/>
      <c r="H246" s="68"/>
      <c r="I246" s="89"/>
      <c r="J246" s="31" t="str">
        <f aca="false">IF(B246="","",IFERROR(INDEX(PE_Taux,MATCH(B246,PE_Mat,0)),0))</f>
        <v/>
      </c>
      <c r="K246" s="31" t="str">
        <f aca="false">IF(B246="","",IF(H246="A",0,IFERROR(N(I246)/P_Heures*J246,0)))</f>
        <v/>
      </c>
      <c r="L246" s="25"/>
    </row>
    <row r="247" customFormat="false" ht="15" hidden="false" customHeight="false" outlineLevel="0" collapsed="false">
      <c r="A247" s="69"/>
      <c r="B247" s="68"/>
      <c r="C247" s="76" t="str">
        <f aca="false">IF(B247="","",IFERROR(INDEX(PE_Nom,MATCH(B247,PE_Mat,0)),"Matricule inconnu"))</f>
        <v/>
      </c>
      <c r="D247" s="76" t="str">
        <f aca="false">IF(B247="","",IFERROR(INDEX(PE_Fonction,MATCH(B247,PE_Mat,0)),""))</f>
        <v/>
      </c>
      <c r="E247" s="76" t="str">
        <f aca="false">IF(B247="","",IFERROR(INDEX(PE_Equipe,MATCH(B247,PE_Mat,0)),""))</f>
        <v/>
      </c>
      <c r="F247" s="25"/>
      <c r="G247" s="25"/>
      <c r="H247" s="68"/>
      <c r="I247" s="89"/>
      <c r="J247" s="31" t="str">
        <f aca="false">IF(B247="","",IFERROR(INDEX(PE_Taux,MATCH(B247,PE_Mat,0)),0))</f>
        <v/>
      </c>
      <c r="K247" s="31" t="str">
        <f aca="false">IF(B247="","",IF(H247="A",0,IFERROR(N(I247)/P_Heures*J247,0)))</f>
        <v/>
      </c>
      <c r="L247" s="25"/>
    </row>
    <row r="248" customFormat="false" ht="15" hidden="false" customHeight="false" outlineLevel="0" collapsed="false">
      <c r="A248" s="69"/>
      <c r="B248" s="68"/>
      <c r="C248" s="76" t="str">
        <f aca="false">IF(B248="","",IFERROR(INDEX(PE_Nom,MATCH(B248,PE_Mat,0)),"Matricule inconnu"))</f>
        <v/>
      </c>
      <c r="D248" s="76" t="str">
        <f aca="false">IF(B248="","",IFERROR(INDEX(PE_Fonction,MATCH(B248,PE_Mat,0)),""))</f>
        <v/>
      </c>
      <c r="E248" s="76" t="str">
        <f aca="false">IF(B248="","",IFERROR(INDEX(PE_Equipe,MATCH(B248,PE_Mat,0)),""))</f>
        <v/>
      </c>
      <c r="F248" s="25"/>
      <c r="G248" s="25"/>
      <c r="H248" s="68"/>
      <c r="I248" s="89"/>
      <c r="J248" s="31" t="str">
        <f aca="false">IF(B248="","",IFERROR(INDEX(PE_Taux,MATCH(B248,PE_Mat,0)),0))</f>
        <v/>
      </c>
      <c r="K248" s="31" t="str">
        <f aca="false">IF(B248="","",IF(H248="A",0,IFERROR(N(I248)/P_Heures*J248,0)))</f>
        <v/>
      </c>
      <c r="L248" s="25"/>
    </row>
    <row r="249" customFormat="false" ht="15" hidden="false" customHeight="false" outlineLevel="0" collapsed="false">
      <c r="A249" s="69"/>
      <c r="B249" s="68"/>
      <c r="C249" s="76" t="str">
        <f aca="false">IF(B249="","",IFERROR(INDEX(PE_Nom,MATCH(B249,PE_Mat,0)),"Matricule inconnu"))</f>
        <v/>
      </c>
      <c r="D249" s="76" t="str">
        <f aca="false">IF(B249="","",IFERROR(INDEX(PE_Fonction,MATCH(B249,PE_Mat,0)),""))</f>
        <v/>
      </c>
      <c r="E249" s="76" t="str">
        <f aca="false">IF(B249="","",IFERROR(INDEX(PE_Equipe,MATCH(B249,PE_Mat,0)),""))</f>
        <v/>
      </c>
      <c r="F249" s="25"/>
      <c r="G249" s="25"/>
      <c r="H249" s="68"/>
      <c r="I249" s="89"/>
      <c r="J249" s="31" t="str">
        <f aca="false">IF(B249="","",IFERROR(INDEX(PE_Taux,MATCH(B249,PE_Mat,0)),0))</f>
        <v/>
      </c>
      <c r="K249" s="31" t="str">
        <f aca="false">IF(B249="","",IF(H249="A",0,IFERROR(N(I249)/P_Heures*J249,0)))</f>
        <v/>
      </c>
      <c r="L249" s="25"/>
    </row>
    <row r="250" customFormat="false" ht="15" hidden="false" customHeight="false" outlineLevel="0" collapsed="false">
      <c r="A250" s="69"/>
      <c r="B250" s="68"/>
      <c r="C250" s="76" t="str">
        <f aca="false">IF(B250="","",IFERROR(INDEX(PE_Nom,MATCH(B250,PE_Mat,0)),"Matricule inconnu"))</f>
        <v/>
      </c>
      <c r="D250" s="76" t="str">
        <f aca="false">IF(B250="","",IFERROR(INDEX(PE_Fonction,MATCH(B250,PE_Mat,0)),""))</f>
        <v/>
      </c>
      <c r="E250" s="76" t="str">
        <f aca="false">IF(B250="","",IFERROR(INDEX(PE_Equipe,MATCH(B250,PE_Mat,0)),""))</f>
        <v/>
      </c>
      <c r="F250" s="25"/>
      <c r="G250" s="25"/>
      <c r="H250" s="68"/>
      <c r="I250" s="89"/>
      <c r="J250" s="31" t="str">
        <f aca="false">IF(B250="","",IFERROR(INDEX(PE_Taux,MATCH(B250,PE_Mat,0)),0))</f>
        <v/>
      </c>
      <c r="K250" s="31" t="str">
        <f aca="false">IF(B250="","",IF(H250="A",0,IFERROR(N(I250)/P_Heures*J250,0)))</f>
        <v/>
      </c>
      <c r="L250" s="25"/>
    </row>
    <row r="251" customFormat="false" ht="15" hidden="false" customHeight="false" outlineLevel="0" collapsed="false">
      <c r="A251" s="69"/>
      <c r="B251" s="68"/>
      <c r="C251" s="76" t="str">
        <f aca="false">IF(B251="","",IFERROR(INDEX(PE_Nom,MATCH(B251,PE_Mat,0)),"Matricule inconnu"))</f>
        <v/>
      </c>
      <c r="D251" s="76" t="str">
        <f aca="false">IF(B251="","",IFERROR(INDEX(PE_Fonction,MATCH(B251,PE_Mat,0)),""))</f>
        <v/>
      </c>
      <c r="E251" s="76" t="str">
        <f aca="false">IF(B251="","",IFERROR(INDEX(PE_Equipe,MATCH(B251,PE_Mat,0)),""))</f>
        <v/>
      </c>
      <c r="F251" s="25"/>
      <c r="G251" s="25"/>
      <c r="H251" s="68"/>
      <c r="I251" s="89"/>
      <c r="J251" s="31" t="str">
        <f aca="false">IF(B251="","",IFERROR(INDEX(PE_Taux,MATCH(B251,PE_Mat,0)),0))</f>
        <v/>
      </c>
      <c r="K251" s="31" t="str">
        <f aca="false">IF(B251="","",IF(H251="A",0,IFERROR(N(I251)/P_Heures*J251,0)))</f>
        <v/>
      </c>
      <c r="L251" s="25"/>
    </row>
    <row r="252" customFormat="false" ht="15" hidden="false" customHeight="false" outlineLevel="0" collapsed="false">
      <c r="A252" s="69"/>
      <c r="B252" s="68"/>
      <c r="C252" s="76" t="str">
        <f aca="false">IF(B252="","",IFERROR(INDEX(PE_Nom,MATCH(B252,PE_Mat,0)),"Matricule inconnu"))</f>
        <v/>
      </c>
      <c r="D252" s="76" t="str">
        <f aca="false">IF(B252="","",IFERROR(INDEX(PE_Fonction,MATCH(B252,PE_Mat,0)),""))</f>
        <v/>
      </c>
      <c r="E252" s="76" t="str">
        <f aca="false">IF(B252="","",IFERROR(INDEX(PE_Equipe,MATCH(B252,PE_Mat,0)),""))</f>
        <v/>
      </c>
      <c r="F252" s="25"/>
      <c r="G252" s="25"/>
      <c r="H252" s="68"/>
      <c r="I252" s="89"/>
      <c r="J252" s="31" t="str">
        <f aca="false">IF(B252="","",IFERROR(INDEX(PE_Taux,MATCH(B252,PE_Mat,0)),0))</f>
        <v/>
      </c>
      <c r="K252" s="31" t="str">
        <f aca="false">IF(B252="","",IF(H252="A",0,IFERROR(N(I252)/P_Heures*J252,0)))</f>
        <v/>
      </c>
      <c r="L252" s="25"/>
    </row>
    <row r="253" customFormat="false" ht="15" hidden="false" customHeight="false" outlineLevel="0" collapsed="false">
      <c r="A253" s="69"/>
      <c r="B253" s="68"/>
      <c r="C253" s="76" t="str">
        <f aca="false">IF(B253="","",IFERROR(INDEX(PE_Nom,MATCH(B253,PE_Mat,0)),"Matricule inconnu"))</f>
        <v/>
      </c>
      <c r="D253" s="76" t="str">
        <f aca="false">IF(B253="","",IFERROR(INDEX(PE_Fonction,MATCH(B253,PE_Mat,0)),""))</f>
        <v/>
      </c>
      <c r="E253" s="76" t="str">
        <f aca="false">IF(B253="","",IFERROR(INDEX(PE_Equipe,MATCH(B253,PE_Mat,0)),""))</f>
        <v/>
      </c>
      <c r="F253" s="25"/>
      <c r="G253" s="25"/>
      <c r="H253" s="68"/>
      <c r="I253" s="89"/>
      <c r="J253" s="31" t="str">
        <f aca="false">IF(B253="","",IFERROR(INDEX(PE_Taux,MATCH(B253,PE_Mat,0)),0))</f>
        <v/>
      </c>
      <c r="K253" s="31" t="str">
        <f aca="false">IF(B253="","",IF(H253="A",0,IFERROR(N(I253)/P_Heures*J253,0)))</f>
        <v/>
      </c>
      <c r="L253" s="25"/>
    </row>
    <row r="254" customFormat="false" ht="15" hidden="false" customHeight="false" outlineLevel="0" collapsed="false">
      <c r="A254" s="69"/>
      <c r="B254" s="68"/>
      <c r="C254" s="76" t="str">
        <f aca="false">IF(B254="","",IFERROR(INDEX(PE_Nom,MATCH(B254,PE_Mat,0)),"Matricule inconnu"))</f>
        <v/>
      </c>
      <c r="D254" s="76" t="str">
        <f aca="false">IF(B254="","",IFERROR(INDEX(PE_Fonction,MATCH(B254,PE_Mat,0)),""))</f>
        <v/>
      </c>
      <c r="E254" s="76" t="str">
        <f aca="false">IF(B254="","",IFERROR(INDEX(PE_Equipe,MATCH(B254,PE_Mat,0)),""))</f>
        <v/>
      </c>
      <c r="F254" s="25"/>
      <c r="G254" s="25"/>
      <c r="H254" s="68"/>
      <c r="I254" s="89"/>
      <c r="J254" s="31" t="str">
        <f aca="false">IF(B254="","",IFERROR(INDEX(PE_Taux,MATCH(B254,PE_Mat,0)),0))</f>
        <v/>
      </c>
      <c r="K254" s="31" t="str">
        <f aca="false">IF(B254="","",IF(H254="A",0,IFERROR(N(I254)/P_Heures*J254,0)))</f>
        <v/>
      </c>
      <c r="L254" s="25"/>
    </row>
    <row r="255" customFormat="false" ht="15" hidden="false" customHeight="false" outlineLevel="0" collapsed="false">
      <c r="A255" s="69"/>
      <c r="B255" s="68"/>
      <c r="C255" s="76" t="str">
        <f aca="false">IF(B255="","",IFERROR(INDEX(PE_Nom,MATCH(B255,PE_Mat,0)),"Matricule inconnu"))</f>
        <v/>
      </c>
      <c r="D255" s="76" t="str">
        <f aca="false">IF(B255="","",IFERROR(INDEX(PE_Fonction,MATCH(B255,PE_Mat,0)),""))</f>
        <v/>
      </c>
      <c r="E255" s="76" t="str">
        <f aca="false">IF(B255="","",IFERROR(INDEX(PE_Equipe,MATCH(B255,PE_Mat,0)),""))</f>
        <v/>
      </c>
      <c r="F255" s="25"/>
      <c r="G255" s="25"/>
      <c r="H255" s="68"/>
      <c r="I255" s="89"/>
      <c r="J255" s="31" t="str">
        <f aca="false">IF(B255="","",IFERROR(INDEX(PE_Taux,MATCH(B255,PE_Mat,0)),0))</f>
        <v/>
      </c>
      <c r="K255" s="31" t="str">
        <f aca="false">IF(B255="","",IF(H255="A",0,IFERROR(N(I255)/P_Heures*J255,0)))</f>
        <v/>
      </c>
      <c r="L255" s="25"/>
    </row>
    <row r="256" customFormat="false" ht="15" hidden="false" customHeight="false" outlineLevel="0" collapsed="false">
      <c r="A256" s="69"/>
      <c r="B256" s="68"/>
      <c r="C256" s="76" t="str">
        <f aca="false">IF(B256="","",IFERROR(INDEX(PE_Nom,MATCH(B256,PE_Mat,0)),"Matricule inconnu"))</f>
        <v/>
      </c>
      <c r="D256" s="76" t="str">
        <f aca="false">IF(B256="","",IFERROR(INDEX(PE_Fonction,MATCH(B256,PE_Mat,0)),""))</f>
        <v/>
      </c>
      <c r="E256" s="76" t="str">
        <f aca="false">IF(B256="","",IFERROR(INDEX(PE_Equipe,MATCH(B256,PE_Mat,0)),""))</f>
        <v/>
      </c>
      <c r="F256" s="25"/>
      <c r="G256" s="25"/>
      <c r="H256" s="68"/>
      <c r="I256" s="89"/>
      <c r="J256" s="31" t="str">
        <f aca="false">IF(B256="","",IFERROR(INDEX(PE_Taux,MATCH(B256,PE_Mat,0)),0))</f>
        <v/>
      </c>
      <c r="K256" s="31" t="str">
        <f aca="false">IF(B256="","",IF(H256="A",0,IFERROR(N(I256)/P_Heures*J256,0)))</f>
        <v/>
      </c>
      <c r="L256" s="25"/>
    </row>
    <row r="257" customFormat="false" ht="15" hidden="false" customHeight="false" outlineLevel="0" collapsed="false">
      <c r="A257" s="69"/>
      <c r="B257" s="68"/>
      <c r="C257" s="76" t="str">
        <f aca="false">IF(B257="","",IFERROR(INDEX(PE_Nom,MATCH(B257,PE_Mat,0)),"Matricule inconnu"))</f>
        <v/>
      </c>
      <c r="D257" s="76" t="str">
        <f aca="false">IF(B257="","",IFERROR(INDEX(PE_Fonction,MATCH(B257,PE_Mat,0)),""))</f>
        <v/>
      </c>
      <c r="E257" s="76" t="str">
        <f aca="false">IF(B257="","",IFERROR(INDEX(PE_Equipe,MATCH(B257,PE_Mat,0)),""))</f>
        <v/>
      </c>
      <c r="F257" s="25"/>
      <c r="G257" s="25"/>
      <c r="H257" s="68"/>
      <c r="I257" s="89"/>
      <c r="J257" s="31" t="str">
        <f aca="false">IF(B257="","",IFERROR(INDEX(PE_Taux,MATCH(B257,PE_Mat,0)),0))</f>
        <v/>
      </c>
      <c r="K257" s="31" t="str">
        <f aca="false">IF(B257="","",IF(H257="A",0,IFERROR(N(I257)/P_Heures*J257,0)))</f>
        <v/>
      </c>
      <c r="L257" s="25"/>
    </row>
    <row r="258" customFormat="false" ht="15" hidden="false" customHeight="false" outlineLevel="0" collapsed="false">
      <c r="A258" s="69"/>
      <c r="B258" s="68"/>
      <c r="C258" s="76" t="str">
        <f aca="false">IF(B258="","",IFERROR(INDEX(PE_Nom,MATCH(B258,PE_Mat,0)),"Matricule inconnu"))</f>
        <v/>
      </c>
      <c r="D258" s="76" t="str">
        <f aca="false">IF(B258="","",IFERROR(INDEX(PE_Fonction,MATCH(B258,PE_Mat,0)),""))</f>
        <v/>
      </c>
      <c r="E258" s="76" t="str">
        <f aca="false">IF(B258="","",IFERROR(INDEX(PE_Equipe,MATCH(B258,PE_Mat,0)),""))</f>
        <v/>
      </c>
      <c r="F258" s="25"/>
      <c r="G258" s="25"/>
      <c r="H258" s="68"/>
      <c r="I258" s="89"/>
      <c r="J258" s="31" t="str">
        <f aca="false">IF(B258="","",IFERROR(INDEX(PE_Taux,MATCH(B258,PE_Mat,0)),0))</f>
        <v/>
      </c>
      <c r="K258" s="31" t="str">
        <f aca="false">IF(B258="","",IF(H258="A",0,IFERROR(N(I258)/P_Heures*J258,0)))</f>
        <v/>
      </c>
      <c r="L258" s="25"/>
    </row>
    <row r="259" customFormat="false" ht="15" hidden="false" customHeight="false" outlineLevel="0" collapsed="false">
      <c r="A259" s="69"/>
      <c r="B259" s="68"/>
      <c r="C259" s="76" t="str">
        <f aca="false">IF(B259="","",IFERROR(INDEX(PE_Nom,MATCH(B259,PE_Mat,0)),"Matricule inconnu"))</f>
        <v/>
      </c>
      <c r="D259" s="76" t="str">
        <f aca="false">IF(B259="","",IFERROR(INDEX(PE_Fonction,MATCH(B259,PE_Mat,0)),""))</f>
        <v/>
      </c>
      <c r="E259" s="76" t="str">
        <f aca="false">IF(B259="","",IFERROR(INDEX(PE_Equipe,MATCH(B259,PE_Mat,0)),""))</f>
        <v/>
      </c>
      <c r="F259" s="25"/>
      <c r="G259" s="25"/>
      <c r="H259" s="68"/>
      <c r="I259" s="89"/>
      <c r="J259" s="31" t="str">
        <f aca="false">IF(B259="","",IFERROR(INDEX(PE_Taux,MATCH(B259,PE_Mat,0)),0))</f>
        <v/>
      </c>
      <c r="K259" s="31" t="str">
        <f aca="false">IF(B259="","",IF(H259="A",0,IFERROR(N(I259)/P_Heures*J259,0)))</f>
        <v/>
      </c>
      <c r="L259" s="25"/>
    </row>
    <row r="260" customFormat="false" ht="15" hidden="false" customHeight="false" outlineLevel="0" collapsed="false">
      <c r="A260" s="69"/>
      <c r="B260" s="68"/>
      <c r="C260" s="76" t="str">
        <f aca="false">IF(B260="","",IFERROR(INDEX(PE_Nom,MATCH(B260,PE_Mat,0)),"Matricule inconnu"))</f>
        <v/>
      </c>
      <c r="D260" s="76" t="str">
        <f aca="false">IF(B260="","",IFERROR(INDEX(PE_Fonction,MATCH(B260,PE_Mat,0)),""))</f>
        <v/>
      </c>
      <c r="E260" s="76" t="str">
        <f aca="false">IF(B260="","",IFERROR(INDEX(PE_Equipe,MATCH(B260,PE_Mat,0)),""))</f>
        <v/>
      </c>
      <c r="F260" s="25"/>
      <c r="G260" s="25"/>
      <c r="H260" s="68"/>
      <c r="I260" s="89"/>
      <c r="J260" s="31" t="str">
        <f aca="false">IF(B260="","",IFERROR(INDEX(PE_Taux,MATCH(B260,PE_Mat,0)),0))</f>
        <v/>
      </c>
      <c r="K260" s="31" t="str">
        <f aca="false">IF(B260="","",IF(H260="A",0,IFERROR(N(I260)/P_Heures*J260,0)))</f>
        <v/>
      </c>
      <c r="L260" s="25"/>
    </row>
    <row r="261" customFormat="false" ht="15" hidden="false" customHeight="false" outlineLevel="0" collapsed="false">
      <c r="A261" s="69"/>
      <c r="B261" s="68"/>
      <c r="C261" s="76" t="str">
        <f aca="false">IF(B261="","",IFERROR(INDEX(PE_Nom,MATCH(B261,PE_Mat,0)),"Matricule inconnu"))</f>
        <v/>
      </c>
      <c r="D261" s="76" t="str">
        <f aca="false">IF(B261="","",IFERROR(INDEX(PE_Fonction,MATCH(B261,PE_Mat,0)),""))</f>
        <v/>
      </c>
      <c r="E261" s="76" t="str">
        <f aca="false">IF(B261="","",IFERROR(INDEX(PE_Equipe,MATCH(B261,PE_Mat,0)),""))</f>
        <v/>
      </c>
      <c r="F261" s="25"/>
      <c r="G261" s="25"/>
      <c r="H261" s="68"/>
      <c r="I261" s="89"/>
      <c r="J261" s="31" t="str">
        <f aca="false">IF(B261="","",IFERROR(INDEX(PE_Taux,MATCH(B261,PE_Mat,0)),0))</f>
        <v/>
      </c>
      <c r="K261" s="31" t="str">
        <f aca="false">IF(B261="","",IF(H261="A",0,IFERROR(N(I261)/P_Heures*J261,0)))</f>
        <v/>
      </c>
      <c r="L261" s="25"/>
    </row>
    <row r="262" customFormat="false" ht="15" hidden="false" customHeight="false" outlineLevel="0" collapsed="false">
      <c r="A262" s="69"/>
      <c r="B262" s="68"/>
      <c r="C262" s="76" t="str">
        <f aca="false">IF(B262="","",IFERROR(INDEX(PE_Nom,MATCH(B262,PE_Mat,0)),"Matricule inconnu"))</f>
        <v/>
      </c>
      <c r="D262" s="76" t="str">
        <f aca="false">IF(B262="","",IFERROR(INDEX(PE_Fonction,MATCH(B262,PE_Mat,0)),""))</f>
        <v/>
      </c>
      <c r="E262" s="76" t="str">
        <f aca="false">IF(B262="","",IFERROR(INDEX(PE_Equipe,MATCH(B262,PE_Mat,0)),""))</f>
        <v/>
      </c>
      <c r="F262" s="25"/>
      <c r="G262" s="25"/>
      <c r="H262" s="68"/>
      <c r="I262" s="89"/>
      <c r="J262" s="31" t="str">
        <f aca="false">IF(B262="","",IFERROR(INDEX(PE_Taux,MATCH(B262,PE_Mat,0)),0))</f>
        <v/>
      </c>
      <c r="K262" s="31" t="str">
        <f aca="false">IF(B262="","",IF(H262="A",0,IFERROR(N(I262)/P_Heures*J262,0)))</f>
        <v/>
      </c>
      <c r="L262" s="25"/>
    </row>
    <row r="263" customFormat="false" ht="15" hidden="false" customHeight="false" outlineLevel="0" collapsed="false">
      <c r="A263" s="69"/>
      <c r="B263" s="68"/>
      <c r="C263" s="76" t="str">
        <f aca="false">IF(B263="","",IFERROR(INDEX(PE_Nom,MATCH(B263,PE_Mat,0)),"Matricule inconnu"))</f>
        <v/>
      </c>
      <c r="D263" s="76" t="str">
        <f aca="false">IF(B263="","",IFERROR(INDEX(PE_Fonction,MATCH(B263,PE_Mat,0)),""))</f>
        <v/>
      </c>
      <c r="E263" s="76" t="str">
        <f aca="false">IF(B263="","",IFERROR(INDEX(PE_Equipe,MATCH(B263,PE_Mat,0)),""))</f>
        <v/>
      </c>
      <c r="F263" s="25"/>
      <c r="G263" s="25"/>
      <c r="H263" s="68"/>
      <c r="I263" s="89"/>
      <c r="J263" s="31" t="str">
        <f aca="false">IF(B263="","",IFERROR(INDEX(PE_Taux,MATCH(B263,PE_Mat,0)),0))</f>
        <v/>
      </c>
      <c r="K263" s="31" t="str">
        <f aca="false">IF(B263="","",IF(H263="A",0,IFERROR(N(I263)/P_Heures*J263,0)))</f>
        <v/>
      </c>
      <c r="L263" s="25"/>
    </row>
    <row r="264" customFormat="false" ht="15" hidden="false" customHeight="false" outlineLevel="0" collapsed="false">
      <c r="A264" s="69"/>
      <c r="B264" s="68"/>
      <c r="C264" s="76" t="str">
        <f aca="false">IF(B264="","",IFERROR(INDEX(PE_Nom,MATCH(B264,PE_Mat,0)),"Matricule inconnu"))</f>
        <v/>
      </c>
      <c r="D264" s="76" t="str">
        <f aca="false">IF(B264="","",IFERROR(INDEX(PE_Fonction,MATCH(B264,PE_Mat,0)),""))</f>
        <v/>
      </c>
      <c r="E264" s="76" t="str">
        <f aca="false">IF(B264="","",IFERROR(INDEX(PE_Equipe,MATCH(B264,PE_Mat,0)),""))</f>
        <v/>
      </c>
      <c r="F264" s="25"/>
      <c r="G264" s="25"/>
      <c r="H264" s="68"/>
      <c r="I264" s="89"/>
      <c r="J264" s="31" t="str">
        <f aca="false">IF(B264="","",IFERROR(INDEX(PE_Taux,MATCH(B264,PE_Mat,0)),0))</f>
        <v/>
      </c>
      <c r="K264" s="31" t="str">
        <f aca="false">IF(B264="","",IF(H264="A",0,IFERROR(N(I264)/P_Heures*J264,0)))</f>
        <v/>
      </c>
      <c r="L264" s="25"/>
    </row>
    <row r="265" customFormat="false" ht="15" hidden="false" customHeight="false" outlineLevel="0" collapsed="false">
      <c r="A265" s="69"/>
      <c r="B265" s="68"/>
      <c r="C265" s="76" t="str">
        <f aca="false">IF(B265="","",IFERROR(INDEX(PE_Nom,MATCH(B265,PE_Mat,0)),"Matricule inconnu"))</f>
        <v/>
      </c>
      <c r="D265" s="76" t="str">
        <f aca="false">IF(B265="","",IFERROR(INDEX(PE_Fonction,MATCH(B265,PE_Mat,0)),""))</f>
        <v/>
      </c>
      <c r="E265" s="76" t="str">
        <f aca="false">IF(B265="","",IFERROR(INDEX(PE_Equipe,MATCH(B265,PE_Mat,0)),""))</f>
        <v/>
      </c>
      <c r="F265" s="25"/>
      <c r="G265" s="25"/>
      <c r="H265" s="68"/>
      <c r="I265" s="89"/>
      <c r="J265" s="31" t="str">
        <f aca="false">IF(B265="","",IFERROR(INDEX(PE_Taux,MATCH(B265,PE_Mat,0)),0))</f>
        <v/>
      </c>
      <c r="K265" s="31" t="str">
        <f aca="false">IF(B265="","",IF(H265="A",0,IFERROR(N(I265)/P_Heures*J265,0)))</f>
        <v/>
      </c>
      <c r="L265" s="25"/>
    </row>
    <row r="266" customFormat="false" ht="15" hidden="false" customHeight="false" outlineLevel="0" collapsed="false">
      <c r="A266" s="69"/>
      <c r="B266" s="68"/>
      <c r="C266" s="76" t="str">
        <f aca="false">IF(B266="","",IFERROR(INDEX(PE_Nom,MATCH(B266,PE_Mat,0)),"Matricule inconnu"))</f>
        <v/>
      </c>
      <c r="D266" s="76" t="str">
        <f aca="false">IF(B266="","",IFERROR(INDEX(PE_Fonction,MATCH(B266,PE_Mat,0)),""))</f>
        <v/>
      </c>
      <c r="E266" s="76" t="str">
        <f aca="false">IF(B266="","",IFERROR(INDEX(PE_Equipe,MATCH(B266,PE_Mat,0)),""))</f>
        <v/>
      </c>
      <c r="F266" s="25"/>
      <c r="G266" s="25"/>
      <c r="H266" s="68"/>
      <c r="I266" s="89"/>
      <c r="J266" s="31" t="str">
        <f aca="false">IF(B266="","",IFERROR(INDEX(PE_Taux,MATCH(B266,PE_Mat,0)),0))</f>
        <v/>
      </c>
      <c r="K266" s="31" t="str">
        <f aca="false">IF(B266="","",IF(H266="A",0,IFERROR(N(I266)/P_Heures*J266,0)))</f>
        <v/>
      </c>
      <c r="L266" s="25"/>
    </row>
    <row r="267" customFormat="false" ht="15" hidden="false" customHeight="false" outlineLevel="0" collapsed="false">
      <c r="A267" s="69"/>
      <c r="B267" s="68"/>
      <c r="C267" s="76" t="str">
        <f aca="false">IF(B267="","",IFERROR(INDEX(PE_Nom,MATCH(B267,PE_Mat,0)),"Matricule inconnu"))</f>
        <v/>
      </c>
      <c r="D267" s="76" t="str">
        <f aca="false">IF(B267="","",IFERROR(INDEX(PE_Fonction,MATCH(B267,PE_Mat,0)),""))</f>
        <v/>
      </c>
      <c r="E267" s="76" t="str">
        <f aca="false">IF(B267="","",IFERROR(INDEX(PE_Equipe,MATCH(B267,PE_Mat,0)),""))</f>
        <v/>
      </c>
      <c r="F267" s="25"/>
      <c r="G267" s="25"/>
      <c r="H267" s="68"/>
      <c r="I267" s="89"/>
      <c r="J267" s="31" t="str">
        <f aca="false">IF(B267="","",IFERROR(INDEX(PE_Taux,MATCH(B267,PE_Mat,0)),0))</f>
        <v/>
      </c>
      <c r="K267" s="31" t="str">
        <f aca="false">IF(B267="","",IF(H267="A",0,IFERROR(N(I267)/P_Heures*J267,0)))</f>
        <v/>
      </c>
      <c r="L267" s="25"/>
    </row>
    <row r="268" customFormat="false" ht="15" hidden="false" customHeight="false" outlineLevel="0" collapsed="false">
      <c r="A268" s="69"/>
      <c r="B268" s="68"/>
      <c r="C268" s="76" t="str">
        <f aca="false">IF(B268="","",IFERROR(INDEX(PE_Nom,MATCH(B268,PE_Mat,0)),"Matricule inconnu"))</f>
        <v/>
      </c>
      <c r="D268" s="76" t="str">
        <f aca="false">IF(B268="","",IFERROR(INDEX(PE_Fonction,MATCH(B268,PE_Mat,0)),""))</f>
        <v/>
      </c>
      <c r="E268" s="76" t="str">
        <f aca="false">IF(B268="","",IFERROR(INDEX(PE_Equipe,MATCH(B268,PE_Mat,0)),""))</f>
        <v/>
      </c>
      <c r="F268" s="25"/>
      <c r="G268" s="25"/>
      <c r="H268" s="68"/>
      <c r="I268" s="89"/>
      <c r="J268" s="31" t="str">
        <f aca="false">IF(B268="","",IFERROR(INDEX(PE_Taux,MATCH(B268,PE_Mat,0)),0))</f>
        <v/>
      </c>
      <c r="K268" s="31" t="str">
        <f aca="false">IF(B268="","",IF(H268="A",0,IFERROR(N(I268)/P_Heures*J268,0)))</f>
        <v/>
      </c>
      <c r="L268" s="25"/>
    </row>
    <row r="269" customFormat="false" ht="15" hidden="false" customHeight="false" outlineLevel="0" collapsed="false">
      <c r="A269" s="69"/>
      <c r="B269" s="68"/>
      <c r="C269" s="76" t="str">
        <f aca="false">IF(B269="","",IFERROR(INDEX(PE_Nom,MATCH(B269,PE_Mat,0)),"Matricule inconnu"))</f>
        <v/>
      </c>
      <c r="D269" s="76" t="str">
        <f aca="false">IF(B269="","",IFERROR(INDEX(PE_Fonction,MATCH(B269,PE_Mat,0)),""))</f>
        <v/>
      </c>
      <c r="E269" s="76" t="str">
        <f aca="false">IF(B269="","",IFERROR(INDEX(PE_Equipe,MATCH(B269,PE_Mat,0)),""))</f>
        <v/>
      </c>
      <c r="F269" s="25"/>
      <c r="G269" s="25"/>
      <c r="H269" s="68"/>
      <c r="I269" s="89"/>
      <c r="J269" s="31" t="str">
        <f aca="false">IF(B269="","",IFERROR(INDEX(PE_Taux,MATCH(B269,PE_Mat,0)),0))</f>
        <v/>
      </c>
      <c r="K269" s="31" t="str">
        <f aca="false">IF(B269="","",IF(H269="A",0,IFERROR(N(I269)/P_Heures*J269,0)))</f>
        <v/>
      </c>
      <c r="L269" s="25"/>
    </row>
    <row r="270" customFormat="false" ht="15" hidden="false" customHeight="false" outlineLevel="0" collapsed="false">
      <c r="A270" s="69"/>
      <c r="B270" s="68"/>
      <c r="C270" s="76" t="str">
        <f aca="false">IF(B270="","",IFERROR(INDEX(PE_Nom,MATCH(B270,PE_Mat,0)),"Matricule inconnu"))</f>
        <v/>
      </c>
      <c r="D270" s="76" t="str">
        <f aca="false">IF(B270="","",IFERROR(INDEX(PE_Fonction,MATCH(B270,PE_Mat,0)),""))</f>
        <v/>
      </c>
      <c r="E270" s="76" t="str">
        <f aca="false">IF(B270="","",IFERROR(INDEX(PE_Equipe,MATCH(B270,PE_Mat,0)),""))</f>
        <v/>
      </c>
      <c r="F270" s="25"/>
      <c r="G270" s="25"/>
      <c r="H270" s="68"/>
      <c r="I270" s="89"/>
      <c r="J270" s="31" t="str">
        <f aca="false">IF(B270="","",IFERROR(INDEX(PE_Taux,MATCH(B270,PE_Mat,0)),0))</f>
        <v/>
      </c>
      <c r="K270" s="31" t="str">
        <f aca="false">IF(B270="","",IF(H270="A",0,IFERROR(N(I270)/P_Heures*J270,0)))</f>
        <v/>
      </c>
      <c r="L270" s="25"/>
    </row>
    <row r="271" customFormat="false" ht="15" hidden="false" customHeight="false" outlineLevel="0" collapsed="false">
      <c r="A271" s="69"/>
      <c r="B271" s="68"/>
      <c r="C271" s="76" t="str">
        <f aca="false">IF(B271="","",IFERROR(INDEX(PE_Nom,MATCH(B271,PE_Mat,0)),"Matricule inconnu"))</f>
        <v/>
      </c>
      <c r="D271" s="76" t="str">
        <f aca="false">IF(B271="","",IFERROR(INDEX(PE_Fonction,MATCH(B271,PE_Mat,0)),""))</f>
        <v/>
      </c>
      <c r="E271" s="76" t="str">
        <f aca="false">IF(B271="","",IFERROR(INDEX(PE_Equipe,MATCH(B271,PE_Mat,0)),""))</f>
        <v/>
      </c>
      <c r="F271" s="25"/>
      <c r="G271" s="25"/>
      <c r="H271" s="68"/>
      <c r="I271" s="89"/>
      <c r="J271" s="31" t="str">
        <f aca="false">IF(B271="","",IFERROR(INDEX(PE_Taux,MATCH(B271,PE_Mat,0)),0))</f>
        <v/>
      </c>
      <c r="K271" s="31" t="str">
        <f aca="false">IF(B271="","",IF(H271="A",0,IFERROR(N(I271)/P_Heures*J271,0)))</f>
        <v/>
      </c>
      <c r="L271" s="25"/>
    </row>
    <row r="272" customFormat="false" ht="15" hidden="false" customHeight="false" outlineLevel="0" collapsed="false">
      <c r="A272" s="69"/>
      <c r="B272" s="68"/>
      <c r="C272" s="76" t="str">
        <f aca="false">IF(B272="","",IFERROR(INDEX(PE_Nom,MATCH(B272,PE_Mat,0)),"Matricule inconnu"))</f>
        <v/>
      </c>
      <c r="D272" s="76" t="str">
        <f aca="false">IF(B272="","",IFERROR(INDEX(PE_Fonction,MATCH(B272,PE_Mat,0)),""))</f>
        <v/>
      </c>
      <c r="E272" s="76" t="str">
        <f aca="false">IF(B272="","",IFERROR(INDEX(PE_Equipe,MATCH(B272,PE_Mat,0)),""))</f>
        <v/>
      </c>
      <c r="F272" s="25"/>
      <c r="G272" s="25"/>
      <c r="H272" s="68"/>
      <c r="I272" s="89"/>
      <c r="J272" s="31" t="str">
        <f aca="false">IF(B272="","",IFERROR(INDEX(PE_Taux,MATCH(B272,PE_Mat,0)),0))</f>
        <v/>
      </c>
      <c r="K272" s="31" t="str">
        <f aca="false">IF(B272="","",IF(H272="A",0,IFERROR(N(I272)/P_Heures*J272,0)))</f>
        <v/>
      </c>
      <c r="L272" s="25"/>
    </row>
    <row r="273" customFormat="false" ht="15" hidden="false" customHeight="false" outlineLevel="0" collapsed="false">
      <c r="A273" s="69"/>
      <c r="B273" s="68"/>
      <c r="C273" s="76" t="str">
        <f aca="false">IF(B273="","",IFERROR(INDEX(PE_Nom,MATCH(B273,PE_Mat,0)),"Matricule inconnu"))</f>
        <v/>
      </c>
      <c r="D273" s="76" t="str">
        <f aca="false">IF(B273="","",IFERROR(INDEX(PE_Fonction,MATCH(B273,PE_Mat,0)),""))</f>
        <v/>
      </c>
      <c r="E273" s="76" t="str">
        <f aca="false">IF(B273="","",IFERROR(INDEX(PE_Equipe,MATCH(B273,PE_Mat,0)),""))</f>
        <v/>
      </c>
      <c r="F273" s="25"/>
      <c r="G273" s="25"/>
      <c r="H273" s="68"/>
      <c r="I273" s="89"/>
      <c r="J273" s="31" t="str">
        <f aca="false">IF(B273="","",IFERROR(INDEX(PE_Taux,MATCH(B273,PE_Mat,0)),0))</f>
        <v/>
      </c>
      <c r="K273" s="31" t="str">
        <f aca="false">IF(B273="","",IF(H273="A",0,IFERROR(N(I273)/P_Heures*J273,0)))</f>
        <v/>
      </c>
      <c r="L273" s="25"/>
    </row>
    <row r="274" customFormat="false" ht="15" hidden="false" customHeight="false" outlineLevel="0" collapsed="false">
      <c r="A274" s="69"/>
      <c r="B274" s="68"/>
      <c r="C274" s="76" t="str">
        <f aca="false">IF(B274="","",IFERROR(INDEX(PE_Nom,MATCH(B274,PE_Mat,0)),"Matricule inconnu"))</f>
        <v/>
      </c>
      <c r="D274" s="76" t="str">
        <f aca="false">IF(B274="","",IFERROR(INDEX(PE_Fonction,MATCH(B274,PE_Mat,0)),""))</f>
        <v/>
      </c>
      <c r="E274" s="76" t="str">
        <f aca="false">IF(B274="","",IFERROR(INDEX(PE_Equipe,MATCH(B274,PE_Mat,0)),""))</f>
        <v/>
      </c>
      <c r="F274" s="25"/>
      <c r="G274" s="25"/>
      <c r="H274" s="68"/>
      <c r="I274" s="89"/>
      <c r="J274" s="31" t="str">
        <f aca="false">IF(B274="","",IFERROR(INDEX(PE_Taux,MATCH(B274,PE_Mat,0)),0))</f>
        <v/>
      </c>
      <c r="K274" s="31" t="str">
        <f aca="false">IF(B274="","",IF(H274="A",0,IFERROR(N(I274)/P_Heures*J274,0)))</f>
        <v/>
      </c>
      <c r="L274" s="25"/>
    </row>
    <row r="275" customFormat="false" ht="15" hidden="false" customHeight="false" outlineLevel="0" collapsed="false">
      <c r="A275" s="69"/>
      <c r="B275" s="68"/>
      <c r="C275" s="76" t="str">
        <f aca="false">IF(B275="","",IFERROR(INDEX(PE_Nom,MATCH(B275,PE_Mat,0)),"Matricule inconnu"))</f>
        <v/>
      </c>
      <c r="D275" s="76" t="str">
        <f aca="false">IF(B275="","",IFERROR(INDEX(PE_Fonction,MATCH(B275,PE_Mat,0)),""))</f>
        <v/>
      </c>
      <c r="E275" s="76" t="str">
        <f aca="false">IF(B275="","",IFERROR(INDEX(PE_Equipe,MATCH(B275,PE_Mat,0)),""))</f>
        <v/>
      </c>
      <c r="F275" s="25"/>
      <c r="G275" s="25"/>
      <c r="H275" s="68"/>
      <c r="I275" s="89"/>
      <c r="J275" s="31" t="str">
        <f aca="false">IF(B275="","",IFERROR(INDEX(PE_Taux,MATCH(B275,PE_Mat,0)),0))</f>
        <v/>
      </c>
      <c r="K275" s="31" t="str">
        <f aca="false">IF(B275="","",IF(H275="A",0,IFERROR(N(I275)/P_Heures*J275,0)))</f>
        <v/>
      </c>
      <c r="L275" s="25"/>
    </row>
    <row r="276" customFormat="false" ht="15" hidden="false" customHeight="false" outlineLevel="0" collapsed="false">
      <c r="A276" s="69"/>
      <c r="B276" s="68"/>
      <c r="C276" s="76" t="str">
        <f aca="false">IF(B276="","",IFERROR(INDEX(PE_Nom,MATCH(B276,PE_Mat,0)),"Matricule inconnu"))</f>
        <v/>
      </c>
      <c r="D276" s="76" t="str">
        <f aca="false">IF(B276="","",IFERROR(INDEX(PE_Fonction,MATCH(B276,PE_Mat,0)),""))</f>
        <v/>
      </c>
      <c r="E276" s="76" t="str">
        <f aca="false">IF(B276="","",IFERROR(INDEX(PE_Equipe,MATCH(B276,PE_Mat,0)),""))</f>
        <v/>
      </c>
      <c r="F276" s="25"/>
      <c r="G276" s="25"/>
      <c r="H276" s="68"/>
      <c r="I276" s="89"/>
      <c r="J276" s="31" t="str">
        <f aca="false">IF(B276="","",IFERROR(INDEX(PE_Taux,MATCH(B276,PE_Mat,0)),0))</f>
        <v/>
      </c>
      <c r="K276" s="31" t="str">
        <f aca="false">IF(B276="","",IF(H276="A",0,IFERROR(N(I276)/P_Heures*J276,0)))</f>
        <v/>
      </c>
      <c r="L276" s="25"/>
    </row>
    <row r="277" customFormat="false" ht="15" hidden="false" customHeight="false" outlineLevel="0" collapsed="false">
      <c r="A277" s="69"/>
      <c r="B277" s="68"/>
      <c r="C277" s="76" t="str">
        <f aca="false">IF(B277="","",IFERROR(INDEX(PE_Nom,MATCH(B277,PE_Mat,0)),"Matricule inconnu"))</f>
        <v/>
      </c>
      <c r="D277" s="76" t="str">
        <f aca="false">IF(B277="","",IFERROR(INDEX(PE_Fonction,MATCH(B277,PE_Mat,0)),""))</f>
        <v/>
      </c>
      <c r="E277" s="76" t="str">
        <f aca="false">IF(B277="","",IFERROR(INDEX(PE_Equipe,MATCH(B277,PE_Mat,0)),""))</f>
        <v/>
      </c>
      <c r="F277" s="25"/>
      <c r="G277" s="25"/>
      <c r="H277" s="68"/>
      <c r="I277" s="89"/>
      <c r="J277" s="31" t="str">
        <f aca="false">IF(B277="","",IFERROR(INDEX(PE_Taux,MATCH(B277,PE_Mat,0)),0))</f>
        <v/>
      </c>
      <c r="K277" s="31" t="str">
        <f aca="false">IF(B277="","",IF(H277="A",0,IFERROR(N(I277)/P_Heures*J277,0)))</f>
        <v/>
      </c>
      <c r="L277" s="25"/>
    </row>
    <row r="278" customFormat="false" ht="15" hidden="false" customHeight="false" outlineLevel="0" collapsed="false">
      <c r="A278" s="69"/>
      <c r="B278" s="68"/>
      <c r="C278" s="76" t="str">
        <f aca="false">IF(B278="","",IFERROR(INDEX(PE_Nom,MATCH(B278,PE_Mat,0)),"Matricule inconnu"))</f>
        <v/>
      </c>
      <c r="D278" s="76" t="str">
        <f aca="false">IF(B278="","",IFERROR(INDEX(PE_Fonction,MATCH(B278,PE_Mat,0)),""))</f>
        <v/>
      </c>
      <c r="E278" s="76" t="str">
        <f aca="false">IF(B278="","",IFERROR(INDEX(PE_Equipe,MATCH(B278,PE_Mat,0)),""))</f>
        <v/>
      </c>
      <c r="F278" s="25"/>
      <c r="G278" s="25"/>
      <c r="H278" s="68"/>
      <c r="I278" s="89"/>
      <c r="J278" s="31" t="str">
        <f aca="false">IF(B278="","",IFERROR(INDEX(PE_Taux,MATCH(B278,PE_Mat,0)),0))</f>
        <v/>
      </c>
      <c r="K278" s="31" t="str">
        <f aca="false">IF(B278="","",IF(H278="A",0,IFERROR(N(I278)/P_Heures*J278,0)))</f>
        <v/>
      </c>
      <c r="L278" s="25"/>
    </row>
    <row r="279" customFormat="false" ht="15" hidden="false" customHeight="false" outlineLevel="0" collapsed="false">
      <c r="A279" s="69"/>
      <c r="B279" s="68"/>
      <c r="C279" s="76" t="str">
        <f aca="false">IF(B279="","",IFERROR(INDEX(PE_Nom,MATCH(B279,PE_Mat,0)),"Matricule inconnu"))</f>
        <v/>
      </c>
      <c r="D279" s="76" t="str">
        <f aca="false">IF(B279="","",IFERROR(INDEX(PE_Fonction,MATCH(B279,PE_Mat,0)),""))</f>
        <v/>
      </c>
      <c r="E279" s="76" t="str">
        <f aca="false">IF(B279="","",IFERROR(INDEX(PE_Equipe,MATCH(B279,PE_Mat,0)),""))</f>
        <v/>
      </c>
      <c r="F279" s="25"/>
      <c r="G279" s="25"/>
      <c r="H279" s="68"/>
      <c r="I279" s="89"/>
      <c r="J279" s="31" t="str">
        <f aca="false">IF(B279="","",IFERROR(INDEX(PE_Taux,MATCH(B279,PE_Mat,0)),0))</f>
        <v/>
      </c>
      <c r="K279" s="31" t="str">
        <f aca="false">IF(B279="","",IF(H279="A",0,IFERROR(N(I279)/P_Heures*J279,0)))</f>
        <v/>
      </c>
      <c r="L279" s="25"/>
    </row>
    <row r="280" customFormat="false" ht="15" hidden="false" customHeight="false" outlineLevel="0" collapsed="false">
      <c r="A280" s="69"/>
      <c r="B280" s="68"/>
      <c r="C280" s="76" t="str">
        <f aca="false">IF(B280="","",IFERROR(INDEX(PE_Nom,MATCH(B280,PE_Mat,0)),"Matricule inconnu"))</f>
        <v/>
      </c>
      <c r="D280" s="76" t="str">
        <f aca="false">IF(B280="","",IFERROR(INDEX(PE_Fonction,MATCH(B280,PE_Mat,0)),""))</f>
        <v/>
      </c>
      <c r="E280" s="76" t="str">
        <f aca="false">IF(B280="","",IFERROR(INDEX(PE_Equipe,MATCH(B280,PE_Mat,0)),""))</f>
        <v/>
      </c>
      <c r="F280" s="25"/>
      <c r="G280" s="25"/>
      <c r="H280" s="68"/>
      <c r="I280" s="89"/>
      <c r="J280" s="31" t="str">
        <f aca="false">IF(B280="","",IFERROR(INDEX(PE_Taux,MATCH(B280,PE_Mat,0)),0))</f>
        <v/>
      </c>
      <c r="K280" s="31" t="str">
        <f aca="false">IF(B280="","",IF(H280="A",0,IFERROR(N(I280)/P_Heures*J280,0)))</f>
        <v/>
      </c>
      <c r="L280" s="25"/>
    </row>
    <row r="281" customFormat="false" ht="15" hidden="false" customHeight="false" outlineLevel="0" collapsed="false">
      <c r="A281" s="69"/>
      <c r="B281" s="68"/>
      <c r="C281" s="76" t="str">
        <f aca="false">IF(B281="","",IFERROR(INDEX(PE_Nom,MATCH(B281,PE_Mat,0)),"Matricule inconnu"))</f>
        <v/>
      </c>
      <c r="D281" s="76" t="str">
        <f aca="false">IF(B281="","",IFERROR(INDEX(PE_Fonction,MATCH(B281,PE_Mat,0)),""))</f>
        <v/>
      </c>
      <c r="E281" s="76" t="str">
        <f aca="false">IF(B281="","",IFERROR(INDEX(PE_Equipe,MATCH(B281,PE_Mat,0)),""))</f>
        <v/>
      </c>
      <c r="F281" s="25"/>
      <c r="G281" s="25"/>
      <c r="H281" s="68"/>
      <c r="I281" s="89"/>
      <c r="J281" s="31" t="str">
        <f aca="false">IF(B281="","",IFERROR(INDEX(PE_Taux,MATCH(B281,PE_Mat,0)),0))</f>
        <v/>
      </c>
      <c r="K281" s="31" t="str">
        <f aca="false">IF(B281="","",IF(H281="A",0,IFERROR(N(I281)/P_Heures*J281,0)))</f>
        <v/>
      </c>
      <c r="L281" s="25"/>
    </row>
    <row r="282" customFormat="false" ht="15" hidden="false" customHeight="false" outlineLevel="0" collapsed="false">
      <c r="A282" s="69"/>
      <c r="B282" s="68"/>
      <c r="C282" s="76" t="str">
        <f aca="false">IF(B282="","",IFERROR(INDEX(PE_Nom,MATCH(B282,PE_Mat,0)),"Matricule inconnu"))</f>
        <v/>
      </c>
      <c r="D282" s="76" t="str">
        <f aca="false">IF(B282="","",IFERROR(INDEX(PE_Fonction,MATCH(B282,PE_Mat,0)),""))</f>
        <v/>
      </c>
      <c r="E282" s="76" t="str">
        <f aca="false">IF(B282="","",IFERROR(INDEX(PE_Equipe,MATCH(B282,PE_Mat,0)),""))</f>
        <v/>
      </c>
      <c r="F282" s="25"/>
      <c r="G282" s="25"/>
      <c r="H282" s="68"/>
      <c r="I282" s="89"/>
      <c r="J282" s="31" t="str">
        <f aca="false">IF(B282="","",IFERROR(INDEX(PE_Taux,MATCH(B282,PE_Mat,0)),0))</f>
        <v/>
      </c>
      <c r="K282" s="31" t="str">
        <f aca="false">IF(B282="","",IF(H282="A",0,IFERROR(N(I282)/P_Heures*J282,0)))</f>
        <v/>
      </c>
      <c r="L282" s="25"/>
    </row>
    <row r="283" customFormat="false" ht="15" hidden="false" customHeight="false" outlineLevel="0" collapsed="false">
      <c r="A283" s="69"/>
      <c r="B283" s="68"/>
      <c r="C283" s="76" t="str">
        <f aca="false">IF(B283="","",IFERROR(INDEX(PE_Nom,MATCH(B283,PE_Mat,0)),"Matricule inconnu"))</f>
        <v/>
      </c>
      <c r="D283" s="76" t="str">
        <f aca="false">IF(B283="","",IFERROR(INDEX(PE_Fonction,MATCH(B283,PE_Mat,0)),""))</f>
        <v/>
      </c>
      <c r="E283" s="76" t="str">
        <f aca="false">IF(B283="","",IFERROR(INDEX(PE_Equipe,MATCH(B283,PE_Mat,0)),""))</f>
        <v/>
      </c>
      <c r="F283" s="25"/>
      <c r="G283" s="25"/>
      <c r="H283" s="68"/>
      <c r="I283" s="89"/>
      <c r="J283" s="31" t="str">
        <f aca="false">IF(B283="","",IFERROR(INDEX(PE_Taux,MATCH(B283,PE_Mat,0)),0))</f>
        <v/>
      </c>
      <c r="K283" s="31" t="str">
        <f aca="false">IF(B283="","",IF(H283="A",0,IFERROR(N(I283)/P_Heures*J283,0)))</f>
        <v/>
      </c>
      <c r="L283" s="25"/>
    </row>
    <row r="284" customFormat="false" ht="15" hidden="false" customHeight="false" outlineLevel="0" collapsed="false">
      <c r="A284" s="69"/>
      <c r="B284" s="68"/>
      <c r="C284" s="76" t="str">
        <f aca="false">IF(B284="","",IFERROR(INDEX(PE_Nom,MATCH(B284,PE_Mat,0)),"Matricule inconnu"))</f>
        <v/>
      </c>
      <c r="D284" s="76" t="str">
        <f aca="false">IF(B284="","",IFERROR(INDEX(PE_Fonction,MATCH(B284,PE_Mat,0)),""))</f>
        <v/>
      </c>
      <c r="E284" s="76" t="str">
        <f aca="false">IF(B284="","",IFERROR(INDEX(PE_Equipe,MATCH(B284,PE_Mat,0)),""))</f>
        <v/>
      </c>
      <c r="F284" s="25"/>
      <c r="G284" s="25"/>
      <c r="H284" s="68"/>
      <c r="I284" s="89"/>
      <c r="J284" s="31" t="str">
        <f aca="false">IF(B284="","",IFERROR(INDEX(PE_Taux,MATCH(B284,PE_Mat,0)),0))</f>
        <v/>
      </c>
      <c r="K284" s="31" t="str">
        <f aca="false">IF(B284="","",IF(H284="A",0,IFERROR(N(I284)/P_Heures*J284,0)))</f>
        <v/>
      </c>
      <c r="L284" s="25"/>
    </row>
    <row r="285" customFormat="false" ht="15" hidden="false" customHeight="false" outlineLevel="0" collapsed="false">
      <c r="A285" s="69"/>
      <c r="B285" s="68"/>
      <c r="C285" s="76" t="str">
        <f aca="false">IF(B285="","",IFERROR(INDEX(PE_Nom,MATCH(B285,PE_Mat,0)),"Matricule inconnu"))</f>
        <v/>
      </c>
      <c r="D285" s="76" t="str">
        <f aca="false">IF(B285="","",IFERROR(INDEX(PE_Fonction,MATCH(B285,PE_Mat,0)),""))</f>
        <v/>
      </c>
      <c r="E285" s="76" t="str">
        <f aca="false">IF(B285="","",IFERROR(INDEX(PE_Equipe,MATCH(B285,PE_Mat,0)),""))</f>
        <v/>
      </c>
      <c r="F285" s="25"/>
      <c r="G285" s="25"/>
      <c r="H285" s="68"/>
      <c r="I285" s="89"/>
      <c r="J285" s="31" t="str">
        <f aca="false">IF(B285="","",IFERROR(INDEX(PE_Taux,MATCH(B285,PE_Mat,0)),0))</f>
        <v/>
      </c>
      <c r="K285" s="31" t="str">
        <f aca="false">IF(B285="","",IF(H285="A",0,IFERROR(N(I285)/P_Heures*J285,0)))</f>
        <v/>
      </c>
      <c r="L285" s="25"/>
    </row>
    <row r="286" customFormat="false" ht="15" hidden="false" customHeight="false" outlineLevel="0" collapsed="false">
      <c r="A286" s="69"/>
      <c r="B286" s="68"/>
      <c r="C286" s="76" t="str">
        <f aca="false">IF(B286="","",IFERROR(INDEX(PE_Nom,MATCH(B286,PE_Mat,0)),"Matricule inconnu"))</f>
        <v/>
      </c>
      <c r="D286" s="76" t="str">
        <f aca="false">IF(B286="","",IFERROR(INDEX(PE_Fonction,MATCH(B286,PE_Mat,0)),""))</f>
        <v/>
      </c>
      <c r="E286" s="76" t="str">
        <f aca="false">IF(B286="","",IFERROR(INDEX(PE_Equipe,MATCH(B286,PE_Mat,0)),""))</f>
        <v/>
      </c>
      <c r="F286" s="25"/>
      <c r="G286" s="25"/>
      <c r="H286" s="68"/>
      <c r="I286" s="89"/>
      <c r="J286" s="31" t="str">
        <f aca="false">IF(B286="","",IFERROR(INDEX(PE_Taux,MATCH(B286,PE_Mat,0)),0))</f>
        <v/>
      </c>
      <c r="K286" s="31" t="str">
        <f aca="false">IF(B286="","",IF(H286="A",0,IFERROR(N(I286)/P_Heures*J286,0)))</f>
        <v/>
      </c>
      <c r="L286" s="25"/>
    </row>
    <row r="287" customFormat="false" ht="15" hidden="false" customHeight="false" outlineLevel="0" collapsed="false">
      <c r="A287" s="69"/>
      <c r="B287" s="68"/>
      <c r="C287" s="76" t="str">
        <f aca="false">IF(B287="","",IFERROR(INDEX(PE_Nom,MATCH(B287,PE_Mat,0)),"Matricule inconnu"))</f>
        <v/>
      </c>
      <c r="D287" s="76" t="str">
        <f aca="false">IF(B287="","",IFERROR(INDEX(PE_Fonction,MATCH(B287,PE_Mat,0)),""))</f>
        <v/>
      </c>
      <c r="E287" s="76" t="str">
        <f aca="false">IF(B287="","",IFERROR(INDEX(PE_Equipe,MATCH(B287,PE_Mat,0)),""))</f>
        <v/>
      </c>
      <c r="F287" s="25"/>
      <c r="G287" s="25"/>
      <c r="H287" s="68"/>
      <c r="I287" s="89"/>
      <c r="J287" s="31" t="str">
        <f aca="false">IF(B287="","",IFERROR(INDEX(PE_Taux,MATCH(B287,PE_Mat,0)),0))</f>
        <v/>
      </c>
      <c r="K287" s="31" t="str">
        <f aca="false">IF(B287="","",IF(H287="A",0,IFERROR(N(I287)/P_Heures*J287,0)))</f>
        <v/>
      </c>
      <c r="L287" s="25"/>
    </row>
    <row r="288" customFormat="false" ht="15" hidden="false" customHeight="false" outlineLevel="0" collapsed="false">
      <c r="A288" s="69"/>
      <c r="B288" s="68"/>
      <c r="C288" s="76" t="str">
        <f aca="false">IF(B288="","",IFERROR(INDEX(PE_Nom,MATCH(B288,PE_Mat,0)),"Matricule inconnu"))</f>
        <v/>
      </c>
      <c r="D288" s="76" t="str">
        <f aca="false">IF(B288="","",IFERROR(INDEX(PE_Fonction,MATCH(B288,PE_Mat,0)),""))</f>
        <v/>
      </c>
      <c r="E288" s="76" t="str">
        <f aca="false">IF(B288="","",IFERROR(INDEX(PE_Equipe,MATCH(B288,PE_Mat,0)),""))</f>
        <v/>
      </c>
      <c r="F288" s="25"/>
      <c r="G288" s="25"/>
      <c r="H288" s="68"/>
      <c r="I288" s="89"/>
      <c r="J288" s="31" t="str">
        <f aca="false">IF(B288="","",IFERROR(INDEX(PE_Taux,MATCH(B288,PE_Mat,0)),0))</f>
        <v/>
      </c>
      <c r="K288" s="31" t="str">
        <f aca="false">IF(B288="","",IF(H288="A",0,IFERROR(N(I288)/P_Heures*J288,0)))</f>
        <v/>
      </c>
      <c r="L288" s="25"/>
    </row>
    <row r="289" customFormat="false" ht="15" hidden="false" customHeight="false" outlineLevel="0" collapsed="false">
      <c r="A289" s="69"/>
      <c r="B289" s="68"/>
      <c r="C289" s="76" t="str">
        <f aca="false">IF(B289="","",IFERROR(INDEX(PE_Nom,MATCH(B289,PE_Mat,0)),"Matricule inconnu"))</f>
        <v/>
      </c>
      <c r="D289" s="76" t="str">
        <f aca="false">IF(B289="","",IFERROR(INDEX(PE_Fonction,MATCH(B289,PE_Mat,0)),""))</f>
        <v/>
      </c>
      <c r="E289" s="76" t="str">
        <f aca="false">IF(B289="","",IFERROR(INDEX(PE_Equipe,MATCH(B289,PE_Mat,0)),""))</f>
        <v/>
      </c>
      <c r="F289" s="25"/>
      <c r="G289" s="25"/>
      <c r="H289" s="68"/>
      <c r="I289" s="89"/>
      <c r="J289" s="31" t="str">
        <f aca="false">IF(B289="","",IFERROR(INDEX(PE_Taux,MATCH(B289,PE_Mat,0)),0))</f>
        <v/>
      </c>
      <c r="K289" s="31" t="str">
        <f aca="false">IF(B289="","",IF(H289="A",0,IFERROR(N(I289)/P_Heures*J289,0)))</f>
        <v/>
      </c>
      <c r="L289" s="25"/>
    </row>
    <row r="290" customFormat="false" ht="15" hidden="false" customHeight="false" outlineLevel="0" collapsed="false">
      <c r="A290" s="69"/>
      <c r="B290" s="68"/>
      <c r="C290" s="76" t="str">
        <f aca="false">IF(B290="","",IFERROR(INDEX(PE_Nom,MATCH(B290,PE_Mat,0)),"Matricule inconnu"))</f>
        <v/>
      </c>
      <c r="D290" s="76" t="str">
        <f aca="false">IF(B290="","",IFERROR(INDEX(PE_Fonction,MATCH(B290,PE_Mat,0)),""))</f>
        <v/>
      </c>
      <c r="E290" s="76" t="str">
        <f aca="false">IF(B290="","",IFERROR(INDEX(PE_Equipe,MATCH(B290,PE_Mat,0)),""))</f>
        <v/>
      </c>
      <c r="F290" s="25"/>
      <c r="G290" s="25"/>
      <c r="H290" s="68"/>
      <c r="I290" s="89"/>
      <c r="J290" s="31" t="str">
        <f aca="false">IF(B290="","",IFERROR(INDEX(PE_Taux,MATCH(B290,PE_Mat,0)),0))</f>
        <v/>
      </c>
      <c r="K290" s="31" t="str">
        <f aca="false">IF(B290="","",IF(H290="A",0,IFERROR(N(I290)/P_Heures*J290,0)))</f>
        <v/>
      </c>
      <c r="L290" s="25"/>
    </row>
    <row r="291" customFormat="false" ht="15" hidden="false" customHeight="false" outlineLevel="0" collapsed="false">
      <c r="A291" s="69"/>
      <c r="B291" s="68"/>
      <c r="C291" s="76" t="str">
        <f aca="false">IF(B291="","",IFERROR(INDEX(PE_Nom,MATCH(B291,PE_Mat,0)),"Matricule inconnu"))</f>
        <v/>
      </c>
      <c r="D291" s="76" t="str">
        <f aca="false">IF(B291="","",IFERROR(INDEX(PE_Fonction,MATCH(B291,PE_Mat,0)),""))</f>
        <v/>
      </c>
      <c r="E291" s="76" t="str">
        <f aca="false">IF(B291="","",IFERROR(INDEX(PE_Equipe,MATCH(B291,PE_Mat,0)),""))</f>
        <v/>
      </c>
      <c r="F291" s="25"/>
      <c r="G291" s="25"/>
      <c r="H291" s="68"/>
      <c r="I291" s="89"/>
      <c r="J291" s="31" t="str">
        <f aca="false">IF(B291="","",IFERROR(INDEX(PE_Taux,MATCH(B291,PE_Mat,0)),0))</f>
        <v/>
      </c>
      <c r="K291" s="31" t="str">
        <f aca="false">IF(B291="","",IF(H291="A",0,IFERROR(N(I291)/P_Heures*J291,0)))</f>
        <v/>
      </c>
      <c r="L291" s="25"/>
    </row>
    <row r="292" customFormat="false" ht="15" hidden="false" customHeight="false" outlineLevel="0" collapsed="false">
      <c r="A292" s="69"/>
      <c r="B292" s="68"/>
      <c r="C292" s="76" t="str">
        <f aca="false">IF(B292="","",IFERROR(INDEX(PE_Nom,MATCH(B292,PE_Mat,0)),"Matricule inconnu"))</f>
        <v/>
      </c>
      <c r="D292" s="76" t="str">
        <f aca="false">IF(B292="","",IFERROR(INDEX(PE_Fonction,MATCH(B292,PE_Mat,0)),""))</f>
        <v/>
      </c>
      <c r="E292" s="76" t="str">
        <f aca="false">IF(B292="","",IFERROR(INDEX(PE_Equipe,MATCH(B292,PE_Mat,0)),""))</f>
        <v/>
      </c>
      <c r="F292" s="25"/>
      <c r="G292" s="25"/>
      <c r="H292" s="68"/>
      <c r="I292" s="89"/>
      <c r="J292" s="31" t="str">
        <f aca="false">IF(B292="","",IFERROR(INDEX(PE_Taux,MATCH(B292,PE_Mat,0)),0))</f>
        <v/>
      </c>
      <c r="K292" s="31" t="str">
        <f aca="false">IF(B292="","",IF(H292="A",0,IFERROR(N(I292)/P_Heures*J292,0)))</f>
        <v/>
      </c>
      <c r="L292" s="25"/>
    </row>
    <row r="293" customFormat="false" ht="15" hidden="false" customHeight="false" outlineLevel="0" collapsed="false">
      <c r="A293" s="69"/>
      <c r="B293" s="68"/>
      <c r="C293" s="76" t="str">
        <f aca="false">IF(B293="","",IFERROR(INDEX(PE_Nom,MATCH(B293,PE_Mat,0)),"Matricule inconnu"))</f>
        <v/>
      </c>
      <c r="D293" s="76" t="str">
        <f aca="false">IF(B293="","",IFERROR(INDEX(PE_Fonction,MATCH(B293,PE_Mat,0)),""))</f>
        <v/>
      </c>
      <c r="E293" s="76" t="str">
        <f aca="false">IF(B293="","",IFERROR(INDEX(PE_Equipe,MATCH(B293,PE_Mat,0)),""))</f>
        <v/>
      </c>
      <c r="F293" s="25"/>
      <c r="G293" s="25"/>
      <c r="H293" s="68"/>
      <c r="I293" s="89"/>
      <c r="J293" s="31" t="str">
        <f aca="false">IF(B293="","",IFERROR(INDEX(PE_Taux,MATCH(B293,PE_Mat,0)),0))</f>
        <v/>
      </c>
      <c r="K293" s="31" t="str">
        <f aca="false">IF(B293="","",IF(H293="A",0,IFERROR(N(I293)/P_Heures*J293,0)))</f>
        <v/>
      </c>
      <c r="L293" s="25"/>
    </row>
    <row r="294" customFormat="false" ht="15" hidden="false" customHeight="false" outlineLevel="0" collapsed="false">
      <c r="A294" s="69"/>
      <c r="B294" s="68"/>
      <c r="C294" s="76" t="str">
        <f aca="false">IF(B294="","",IFERROR(INDEX(PE_Nom,MATCH(B294,PE_Mat,0)),"Matricule inconnu"))</f>
        <v/>
      </c>
      <c r="D294" s="76" t="str">
        <f aca="false">IF(B294="","",IFERROR(INDEX(PE_Fonction,MATCH(B294,PE_Mat,0)),""))</f>
        <v/>
      </c>
      <c r="E294" s="76" t="str">
        <f aca="false">IF(B294="","",IFERROR(INDEX(PE_Equipe,MATCH(B294,PE_Mat,0)),""))</f>
        <v/>
      </c>
      <c r="F294" s="25"/>
      <c r="G294" s="25"/>
      <c r="H294" s="68"/>
      <c r="I294" s="89"/>
      <c r="J294" s="31" t="str">
        <f aca="false">IF(B294="","",IFERROR(INDEX(PE_Taux,MATCH(B294,PE_Mat,0)),0))</f>
        <v/>
      </c>
      <c r="K294" s="31" t="str">
        <f aca="false">IF(B294="","",IF(H294="A",0,IFERROR(N(I294)/P_Heures*J294,0)))</f>
        <v/>
      </c>
      <c r="L294" s="25"/>
    </row>
    <row r="295" customFormat="false" ht="15" hidden="false" customHeight="false" outlineLevel="0" collapsed="false">
      <c r="A295" s="69"/>
      <c r="B295" s="68"/>
      <c r="C295" s="76" t="str">
        <f aca="false">IF(B295="","",IFERROR(INDEX(PE_Nom,MATCH(B295,PE_Mat,0)),"Matricule inconnu"))</f>
        <v/>
      </c>
      <c r="D295" s="76" t="str">
        <f aca="false">IF(B295="","",IFERROR(INDEX(PE_Fonction,MATCH(B295,PE_Mat,0)),""))</f>
        <v/>
      </c>
      <c r="E295" s="76" t="str">
        <f aca="false">IF(B295="","",IFERROR(INDEX(PE_Equipe,MATCH(B295,PE_Mat,0)),""))</f>
        <v/>
      </c>
      <c r="F295" s="25"/>
      <c r="G295" s="25"/>
      <c r="H295" s="68"/>
      <c r="I295" s="89"/>
      <c r="J295" s="31" t="str">
        <f aca="false">IF(B295="","",IFERROR(INDEX(PE_Taux,MATCH(B295,PE_Mat,0)),0))</f>
        <v/>
      </c>
      <c r="K295" s="31" t="str">
        <f aca="false">IF(B295="","",IF(H295="A",0,IFERROR(N(I295)/P_Heures*J295,0)))</f>
        <v/>
      </c>
      <c r="L295" s="25"/>
    </row>
    <row r="296" customFormat="false" ht="15" hidden="false" customHeight="false" outlineLevel="0" collapsed="false">
      <c r="A296" s="69"/>
      <c r="B296" s="68"/>
      <c r="C296" s="76" t="str">
        <f aca="false">IF(B296="","",IFERROR(INDEX(PE_Nom,MATCH(B296,PE_Mat,0)),"Matricule inconnu"))</f>
        <v/>
      </c>
      <c r="D296" s="76" t="str">
        <f aca="false">IF(B296="","",IFERROR(INDEX(PE_Fonction,MATCH(B296,PE_Mat,0)),""))</f>
        <v/>
      </c>
      <c r="E296" s="76" t="str">
        <f aca="false">IF(B296="","",IFERROR(INDEX(PE_Equipe,MATCH(B296,PE_Mat,0)),""))</f>
        <v/>
      </c>
      <c r="F296" s="25"/>
      <c r="G296" s="25"/>
      <c r="H296" s="68"/>
      <c r="I296" s="89"/>
      <c r="J296" s="31" t="str">
        <f aca="false">IF(B296="","",IFERROR(INDEX(PE_Taux,MATCH(B296,PE_Mat,0)),0))</f>
        <v/>
      </c>
      <c r="K296" s="31" t="str">
        <f aca="false">IF(B296="","",IF(H296="A",0,IFERROR(N(I296)/P_Heures*J296,0)))</f>
        <v/>
      </c>
      <c r="L296" s="25"/>
    </row>
    <row r="297" customFormat="false" ht="15" hidden="false" customHeight="false" outlineLevel="0" collapsed="false">
      <c r="A297" s="69"/>
      <c r="B297" s="68"/>
      <c r="C297" s="76" t="str">
        <f aca="false">IF(B297="","",IFERROR(INDEX(PE_Nom,MATCH(B297,PE_Mat,0)),"Matricule inconnu"))</f>
        <v/>
      </c>
      <c r="D297" s="76" t="str">
        <f aca="false">IF(B297="","",IFERROR(INDEX(PE_Fonction,MATCH(B297,PE_Mat,0)),""))</f>
        <v/>
      </c>
      <c r="E297" s="76" t="str">
        <f aca="false">IF(B297="","",IFERROR(INDEX(PE_Equipe,MATCH(B297,PE_Mat,0)),""))</f>
        <v/>
      </c>
      <c r="F297" s="25"/>
      <c r="G297" s="25"/>
      <c r="H297" s="68"/>
      <c r="I297" s="89"/>
      <c r="J297" s="31" t="str">
        <f aca="false">IF(B297="","",IFERROR(INDEX(PE_Taux,MATCH(B297,PE_Mat,0)),0))</f>
        <v/>
      </c>
      <c r="K297" s="31" t="str">
        <f aca="false">IF(B297="","",IF(H297="A",0,IFERROR(N(I297)/P_Heures*J297,0)))</f>
        <v/>
      </c>
      <c r="L297" s="25"/>
    </row>
    <row r="298" customFormat="false" ht="15" hidden="false" customHeight="false" outlineLevel="0" collapsed="false">
      <c r="A298" s="69"/>
      <c r="B298" s="68"/>
      <c r="C298" s="76" t="str">
        <f aca="false">IF(B298="","",IFERROR(INDEX(PE_Nom,MATCH(B298,PE_Mat,0)),"Matricule inconnu"))</f>
        <v/>
      </c>
      <c r="D298" s="76" t="str">
        <f aca="false">IF(B298="","",IFERROR(INDEX(PE_Fonction,MATCH(B298,PE_Mat,0)),""))</f>
        <v/>
      </c>
      <c r="E298" s="76" t="str">
        <f aca="false">IF(B298="","",IFERROR(INDEX(PE_Equipe,MATCH(B298,PE_Mat,0)),""))</f>
        <v/>
      </c>
      <c r="F298" s="25"/>
      <c r="G298" s="25"/>
      <c r="H298" s="68"/>
      <c r="I298" s="89"/>
      <c r="J298" s="31" t="str">
        <f aca="false">IF(B298="","",IFERROR(INDEX(PE_Taux,MATCH(B298,PE_Mat,0)),0))</f>
        <v/>
      </c>
      <c r="K298" s="31" t="str">
        <f aca="false">IF(B298="","",IF(H298="A",0,IFERROR(N(I298)/P_Heures*J298,0)))</f>
        <v/>
      </c>
      <c r="L298" s="25"/>
    </row>
    <row r="299" customFormat="false" ht="15" hidden="false" customHeight="false" outlineLevel="0" collapsed="false">
      <c r="A299" s="69"/>
      <c r="B299" s="68"/>
      <c r="C299" s="76" t="str">
        <f aca="false">IF(B299="","",IFERROR(INDEX(PE_Nom,MATCH(B299,PE_Mat,0)),"Matricule inconnu"))</f>
        <v/>
      </c>
      <c r="D299" s="76" t="str">
        <f aca="false">IF(B299="","",IFERROR(INDEX(PE_Fonction,MATCH(B299,PE_Mat,0)),""))</f>
        <v/>
      </c>
      <c r="E299" s="76" t="str">
        <f aca="false">IF(B299="","",IFERROR(INDEX(PE_Equipe,MATCH(B299,PE_Mat,0)),""))</f>
        <v/>
      </c>
      <c r="F299" s="25"/>
      <c r="G299" s="25"/>
      <c r="H299" s="68"/>
      <c r="I299" s="89"/>
      <c r="J299" s="31" t="str">
        <f aca="false">IF(B299="","",IFERROR(INDEX(PE_Taux,MATCH(B299,PE_Mat,0)),0))</f>
        <v/>
      </c>
      <c r="K299" s="31" t="str">
        <f aca="false">IF(B299="","",IF(H299="A",0,IFERROR(N(I299)/P_Heures*J299,0)))</f>
        <v/>
      </c>
      <c r="L299" s="25"/>
    </row>
    <row r="300" customFormat="false" ht="15" hidden="false" customHeight="false" outlineLevel="0" collapsed="false">
      <c r="A300" s="69"/>
      <c r="B300" s="68"/>
      <c r="C300" s="76" t="str">
        <f aca="false">IF(B300="","",IFERROR(INDEX(PE_Nom,MATCH(B300,PE_Mat,0)),"Matricule inconnu"))</f>
        <v/>
      </c>
      <c r="D300" s="76" t="str">
        <f aca="false">IF(B300="","",IFERROR(INDEX(PE_Fonction,MATCH(B300,PE_Mat,0)),""))</f>
        <v/>
      </c>
      <c r="E300" s="76" t="str">
        <f aca="false">IF(B300="","",IFERROR(INDEX(PE_Equipe,MATCH(B300,PE_Mat,0)),""))</f>
        <v/>
      </c>
      <c r="F300" s="25"/>
      <c r="G300" s="25"/>
      <c r="H300" s="68"/>
      <c r="I300" s="89"/>
      <c r="J300" s="31" t="str">
        <f aca="false">IF(B300="","",IFERROR(INDEX(PE_Taux,MATCH(B300,PE_Mat,0)),0))</f>
        <v/>
      </c>
      <c r="K300" s="31" t="str">
        <f aca="false">IF(B300="","",IF(H300="A",0,IFERROR(N(I300)/P_Heures*J300,0)))</f>
        <v/>
      </c>
      <c r="L300" s="25"/>
    </row>
    <row r="301" customFormat="false" ht="15" hidden="false" customHeight="false" outlineLevel="0" collapsed="false">
      <c r="A301" s="69"/>
      <c r="B301" s="68"/>
      <c r="C301" s="76" t="str">
        <f aca="false">IF(B301="","",IFERROR(INDEX(PE_Nom,MATCH(B301,PE_Mat,0)),"Matricule inconnu"))</f>
        <v/>
      </c>
      <c r="D301" s="76" t="str">
        <f aca="false">IF(B301="","",IFERROR(INDEX(PE_Fonction,MATCH(B301,PE_Mat,0)),""))</f>
        <v/>
      </c>
      <c r="E301" s="76" t="str">
        <f aca="false">IF(B301="","",IFERROR(INDEX(PE_Equipe,MATCH(B301,PE_Mat,0)),""))</f>
        <v/>
      </c>
      <c r="F301" s="25"/>
      <c r="G301" s="25"/>
      <c r="H301" s="68"/>
      <c r="I301" s="89"/>
      <c r="J301" s="31" t="str">
        <f aca="false">IF(B301="","",IFERROR(INDEX(PE_Taux,MATCH(B301,PE_Mat,0)),0))</f>
        <v/>
      </c>
      <c r="K301" s="31" t="str">
        <f aca="false">IF(B301="","",IF(H301="A",0,IFERROR(N(I301)/P_Heures*J301,0)))</f>
        <v/>
      </c>
      <c r="L301" s="25"/>
    </row>
    <row r="302" customFormat="false" ht="15" hidden="false" customHeight="false" outlineLevel="0" collapsed="false">
      <c r="A302" s="69"/>
      <c r="B302" s="68"/>
      <c r="C302" s="76" t="str">
        <f aca="false">IF(B302="","",IFERROR(INDEX(PE_Nom,MATCH(B302,PE_Mat,0)),"Matricule inconnu"))</f>
        <v/>
      </c>
      <c r="D302" s="76" t="str">
        <f aca="false">IF(B302="","",IFERROR(INDEX(PE_Fonction,MATCH(B302,PE_Mat,0)),""))</f>
        <v/>
      </c>
      <c r="E302" s="76" t="str">
        <f aca="false">IF(B302="","",IFERROR(INDEX(PE_Equipe,MATCH(B302,PE_Mat,0)),""))</f>
        <v/>
      </c>
      <c r="F302" s="25"/>
      <c r="G302" s="25"/>
      <c r="H302" s="68"/>
      <c r="I302" s="89"/>
      <c r="J302" s="31" t="str">
        <f aca="false">IF(B302="","",IFERROR(INDEX(PE_Taux,MATCH(B302,PE_Mat,0)),0))</f>
        <v/>
      </c>
      <c r="K302" s="31" t="str">
        <f aca="false">IF(B302="","",IF(H302="A",0,IFERROR(N(I302)/P_Heures*J302,0)))</f>
        <v/>
      </c>
      <c r="L302" s="25"/>
    </row>
    <row r="303" customFormat="false" ht="15" hidden="false" customHeight="false" outlineLevel="0" collapsed="false">
      <c r="A303" s="69"/>
      <c r="B303" s="68"/>
      <c r="C303" s="76" t="str">
        <f aca="false">IF(B303="","",IFERROR(INDEX(PE_Nom,MATCH(B303,PE_Mat,0)),"Matricule inconnu"))</f>
        <v/>
      </c>
      <c r="D303" s="76" t="str">
        <f aca="false">IF(B303="","",IFERROR(INDEX(PE_Fonction,MATCH(B303,PE_Mat,0)),""))</f>
        <v/>
      </c>
      <c r="E303" s="76" t="str">
        <f aca="false">IF(B303="","",IFERROR(INDEX(PE_Equipe,MATCH(B303,PE_Mat,0)),""))</f>
        <v/>
      </c>
      <c r="F303" s="25"/>
      <c r="G303" s="25"/>
      <c r="H303" s="68"/>
      <c r="I303" s="89"/>
      <c r="J303" s="31" t="str">
        <f aca="false">IF(B303="","",IFERROR(INDEX(PE_Taux,MATCH(B303,PE_Mat,0)),0))</f>
        <v/>
      </c>
      <c r="K303" s="31" t="str">
        <f aca="false">IF(B303="","",IF(H303="A",0,IFERROR(N(I303)/P_Heures*J303,0)))</f>
        <v/>
      </c>
      <c r="L303" s="25"/>
    </row>
    <row r="304" customFormat="false" ht="15" hidden="false" customHeight="false" outlineLevel="0" collapsed="false">
      <c r="A304" s="69"/>
      <c r="B304" s="68"/>
      <c r="C304" s="76" t="str">
        <f aca="false">IF(B304="","",IFERROR(INDEX(PE_Nom,MATCH(B304,PE_Mat,0)),"Matricule inconnu"))</f>
        <v/>
      </c>
      <c r="D304" s="76" t="str">
        <f aca="false">IF(B304="","",IFERROR(INDEX(PE_Fonction,MATCH(B304,PE_Mat,0)),""))</f>
        <v/>
      </c>
      <c r="E304" s="76" t="str">
        <f aca="false">IF(B304="","",IFERROR(INDEX(PE_Equipe,MATCH(B304,PE_Mat,0)),""))</f>
        <v/>
      </c>
      <c r="F304" s="25"/>
      <c r="G304" s="25"/>
      <c r="H304" s="68"/>
      <c r="I304" s="89"/>
      <c r="J304" s="31" t="str">
        <f aca="false">IF(B304="","",IFERROR(INDEX(PE_Taux,MATCH(B304,PE_Mat,0)),0))</f>
        <v/>
      </c>
      <c r="K304" s="31" t="str">
        <f aca="false">IF(B304="","",IF(H304="A",0,IFERROR(N(I304)/P_Heures*J304,0)))</f>
        <v/>
      </c>
      <c r="L304" s="25"/>
    </row>
    <row r="305" customFormat="false" ht="15" hidden="false" customHeight="false" outlineLevel="0" collapsed="false">
      <c r="A305" s="69"/>
      <c r="B305" s="68"/>
      <c r="C305" s="76" t="str">
        <f aca="false">IF(B305="","",IFERROR(INDEX(PE_Nom,MATCH(B305,PE_Mat,0)),"Matricule inconnu"))</f>
        <v/>
      </c>
      <c r="D305" s="76" t="str">
        <f aca="false">IF(B305="","",IFERROR(INDEX(PE_Fonction,MATCH(B305,PE_Mat,0)),""))</f>
        <v/>
      </c>
      <c r="E305" s="76" t="str">
        <f aca="false">IF(B305="","",IFERROR(INDEX(PE_Equipe,MATCH(B305,PE_Mat,0)),""))</f>
        <v/>
      </c>
      <c r="F305" s="25"/>
      <c r="G305" s="25"/>
      <c r="H305" s="68"/>
      <c r="I305" s="89"/>
      <c r="J305" s="31" t="str">
        <f aca="false">IF(B305="","",IFERROR(INDEX(PE_Taux,MATCH(B305,PE_Mat,0)),0))</f>
        <v/>
      </c>
      <c r="K305" s="31" t="str">
        <f aca="false">IF(B305="","",IF(H305="A",0,IFERROR(N(I305)/P_Heures*J305,0)))</f>
        <v/>
      </c>
      <c r="L305" s="25"/>
    </row>
    <row r="306" customFormat="false" ht="15" hidden="false" customHeight="false" outlineLevel="0" collapsed="false">
      <c r="A306" s="69"/>
      <c r="B306" s="68"/>
      <c r="C306" s="76" t="str">
        <f aca="false">IF(B306="","",IFERROR(INDEX(PE_Nom,MATCH(B306,PE_Mat,0)),"Matricule inconnu"))</f>
        <v/>
      </c>
      <c r="D306" s="76" t="str">
        <f aca="false">IF(B306="","",IFERROR(INDEX(PE_Fonction,MATCH(B306,PE_Mat,0)),""))</f>
        <v/>
      </c>
      <c r="E306" s="76" t="str">
        <f aca="false">IF(B306="","",IFERROR(INDEX(PE_Equipe,MATCH(B306,PE_Mat,0)),""))</f>
        <v/>
      </c>
      <c r="F306" s="25"/>
      <c r="G306" s="25"/>
      <c r="H306" s="68"/>
      <c r="I306" s="89"/>
      <c r="J306" s="31" t="str">
        <f aca="false">IF(B306="","",IFERROR(INDEX(PE_Taux,MATCH(B306,PE_Mat,0)),0))</f>
        <v/>
      </c>
      <c r="K306" s="31" t="str">
        <f aca="false">IF(B306="","",IF(H306="A",0,IFERROR(N(I306)/P_Heures*J306,0)))</f>
        <v/>
      </c>
      <c r="L306" s="25"/>
    </row>
    <row r="307" customFormat="false" ht="15" hidden="false" customHeight="false" outlineLevel="0" collapsed="false">
      <c r="A307" s="69"/>
      <c r="B307" s="68"/>
      <c r="C307" s="76" t="str">
        <f aca="false">IF(B307="","",IFERROR(INDEX(PE_Nom,MATCH(B307,PE_Mat,0)),"Matricule inconnu"))</f>
        <v/>
      </c>
      <c r="D307" s="76" t="str">
        <f aca="false">IF(B307="","",IFERROR(INDEX(PE_Fonction,MATCH(B307,PE_Mat,0)),""))</f>
        <v/>
      </c>
      <c r="E307" s="76" t="str">
        <f aca="false">IF(B307="","",IFERROR(INDEX(PE_Equipe,MATCH(B307,PE_Mat,0)),""))</f>
        <v/>
      </c>
      <c r="F307" s="25"/>
      <c r="G307" s="25"/>
      <c r="H307" s="68"/>
      <c r="I307" s="89"/>
      <c r="J307" s="31" t="str">
        <f aca="false">IF(B307="","",IFERROR(INDEX(PE_Taux,MATCH(B307,PE_Mat,0)),0))</f>
        <v/>
      </c>
      <c r="K307" s="31" t="str">
        <f aca="false">IF(B307="","",IF(H307="A",0,IFERROR(N(I307)/P_Heures*J307,0)))</f>
        <v/>
      </c>
      <c r="L307" s="25"/>
    </row>
    <row r="308" customFormat="false" ht="15" hidden="false" customHeight="false" outlineLevel="0" collapsed="false">
      <c r="A308" s="69"/>
      <c r="B308" s="68"/>
      <c r="C308" s="76" t="str">
        <f aca="false">IF(B308="","",IFERROR(INDEX(PE_Nom,MATCH(B308,PE_Mat,0)),"Matricule inconnu"))</f>
        <v/>
      </c>
      <c r="D308" s="76" t="str">
        <f aca="false">IF(B308="","",IFERROR(INDEX(PE_Fonction,MATCH(B308,PE_Mat,0)),""))</f>
        <v/>
      </c>
      <c r="E308" s="76" t="str">
        <f aca="false">IF(B308="","",IFERROR(INDEX(PE_Equipe,MATCH(B308,PE_Mat,0)),""))</f>
        <v/>
      </c>
      <c r="F308" s="25"/>
      <c r="G308" s="25"/>
      <c r="H308" s="68"/>
      <c r="I308" s="89"/>
      <c r="J308" s="31" t="str">
        <f aca="false">IF(B308="","",IFERROR(INDEX(PE_Taux,MATCH(B308,PE_Mat,0)),0))</f>
        <v/>
      </c>
      <c r="K308" s="31" t="str">
        <f aca="false">IF(B308="","",IF(H308="A",0,IFERROR(N(I308)/P_Heures*J308,0)))</f>
        <v/>
      </c>
      <c r="L308" s="25"/>
    </row>
    <row r="309" customFormat="false" ht="15" hidden="false" customHeight="false" outlineLevel="0" collapsed="false">
      <c r="A309" s="69"/>
      <c r="B309" s="68"/>
      <c r="C309" s="76" t="str">
        <f aca="false">IF(B309="","",IFERROR(INDEX(PE_Nom,MATCH(B309,PE_Mat,0)),"Matricule inconnu"))</f>
        <v/>
      </c>
      <c r="D309" s="76" t="str">
        <f aca="false">IF(B309="","",IFERROR(INDEX(PE_Fonction,MATCH(B309,PE_Mat,0)),""))</f>
        <v/>
      </c>
      <c r="E309" s="76" t="str">
        <f aca="false">IF(B309="","",IFERROR(INDEX(PE_Equipe,MATCH(B309,PE_Mat,0)),""))</f>
        <v/>
      </c>
      <c r="F309" s="25"/>
      <c r="G309" s="25"/>
      <c r="H309" s="68"/>
      <c r="I309" s="89"/>
      <c r="J309" s="31" t="str">
        <f aca="false">IF(B309="","",IFERROR(INDEX(PE_Taux,MATCH(B309,PE_Mat,0)),0))</f>
        <v/>
      </c>
      <c r="K309" s="31" t="str">
        <f aca="false">IF(B309="","",IF(H309="A",0,IFERROR(N(I309)/P_Heures*J309,0)))</f>
        <v/>
      </c>
      <c r="L309" s="25"/>
    </row>
    <row r="310" customFormat="false" ht="15" hidden="false" customHeight="false" outlineLevel="0" collapsed="false">
      <c r="A310" s="69"/>
      <c r="B310" s="68"/>
      <c r="C310" s="76" t="str">
        <f aca="false">IF(B310="","",IFERROR(INDEX(PE_Nom,MATCH(B310,PE_Mat,0)),"Matricule inconnu"))</f>
        <v/>
      </c>
      <c r="D310" s="76" t="str">
        <f aca="false">IF(B310="","",IFERROR(INDEX(PE_Fonction,MATCH(B310,PE_Mat,0)),""))</f>
        <v/>
      </c>
      <c r="E310" s="76" t="str">
        <f aca="false">IF(B310="","",IFERROR(INDEX(PE_Equipe,MATCH(B310,PE_Mat,0)),""))</f>
        <v/>
      </c>
      <c r="F310" s="25"/>
      <c r="G310" s="25"/>
      <c r="H310" s="68"/>
      <c r="I310" s="89"/>
      <c r="J310" s="31" t="str">
        <f aca="false">IF(B310="","",IFERROR(INDEX(PE_Taux,MATCH(B310,PE_Mat,0)),0))</f>
        <v/>
      </c>
      <c r="K310" s="31" t="str">
        <f aca="false">IF(B310="","",IF(H310="A",0,IFERROR(N(I310)/P_Heures*J310,0)))</f>
        <v/>
      </c>
      <c r="L310" s="25"/>
    </row>
    <row r="311" customFormat="false" ht="15" hidden="false" customHeight="false" outlineLevel="0" collapsed="false">
      <c r="A311" s="69"/>
      <c r="B311" s="68"/>
      <c r="C311" s="76" t="str">
        <f aca="false">IF(B311="","",IFERROR(INDEX(PE_Nom,MATCH(B311,PE_Mat,0)),"Matricule inconnu"))</f>
        <v/>
      </c>
      <c r="D311" s="76" t="str">
        <f aca="false">IF(B311="","",IFERROR(INDEX(PE_Fonction,MATCH(B311,PE_Mat,0)),""))</f>
        <v/>
      </c>
      <c r="E311" s="76" t="str">
        <f aca="false">IF(B311="","",IFERROR(INDEX(PE_Equipe,MATCH(B311,PE_Mat,0)),""))</f>
        <v/>
      </c>
      <c r="F311" s="25"/>
      <c r="G311" s="25"/>
      <c r="H311" s="68"/>
      <c r="I311" s="89"/>
      <c r="J311" s="31" t="str">
        <f aca="false">IF(B311="","",IFERROR(INDEX(PE_Taux,MATCH(B311,PE_Mat,0)),0))</f>
        <v/>
      </c>
      <c r="K311" s="31" t="str">
        <f aca="false">IF(B311="","",IF(H311="A",0,IFERROR(N(I311)/P_Heures*J311,0)))</f>
        <v/>
      </c>
      <c r="L311" s="25"/>
    </row>
    <row r="312" customFormat="false" ht="15" hidden="false" customHeight="false" outlineLevel="0" collapsed="false">
      <c r="A312" s="69"/>
      <c r="B312" s="68"/>
      <c r="C312" s="76" t="str">
        <f aca="false">IF(B312="","",IFERROR(INDEX(PE_Nom,MATCH(B312,PE_Mat,0)),"Matricule inconnu"))</f>
        <v/>
      </c>
      <c r="D312" s="76" t="str">
        <f aca="false">IF(B312="","",IFERROR(INDEX(PE_Fonction,MATCH(B312,PE_Mat,0)),""))</f>
        <v/>
      </c>
      <c r="E312" s="76" t="str">
        <f aca="false">IF(B312="","",IFERROR(INDEX(PE_Equipe,MATCH(B312,PE_Mat,0)),""))</f>
        <v/>
      </c>
      <c r="F312" s="25"/>
      <c r="G312" s="25"/>
      <c r="H312" s="68"/>
      <c r="I312" s="89"/>
      <c r="J312" s="31" t="str">
        <f aca="false">IF(B312="","",IFERROR(INDEX(PE_Taux,MATCH(B312,PE_Mat,0)),0))</f>
        <v/>
      </c>
      <c r="K312" s="31" t="str">
        <f aca="false">IF(B312="","",IF(H312="A",0,IFERROR(N(I312)/P_Heures*J312,0)))</f>
        <v/>
      </c>
      <c r="L312" s="25"/>
    </row>
    <row r="313" customFormat="false" ht="15" hidden="false" customHeight="false" outlineLevel="0" collapsed="false">
      <c r="A313" s="69"/>
      <c r="B313" s="68"/>
      <c r="C313" s="76" t="str">
        <f aca="false">IF(B313="","",IFERROR(INDEX(PE_Nom,MATCH(B313,PE_Mat,0)),"Matricule inconnu"))</f>
        <v/>
      </c>
      <c r="D313" s="76" t="str">
        <f aca="false">IF(B313="","",IFERROR(INDEX(PE_Fonction,MATCH(B313,PE_Mat,0)),""))</f>
        <v/>
      </c>
      <c r="E313" s="76" t="str">
        <f aca="false">IF(B313="","",IFERROR(INDEX(PE_Equipe,MATCH(B313,PE_Mat,0)),""))</f>
        <v/>
      </c>
      <c r="F313" s="25"/>
      <c r="G313" s="25"/>
      <c r="H313" s="68"/>
      <c r="I313" s="89"/>
      <c r="J313" s="31" t="str">
        <f aca="false">IF(B313="","",IFERROR(INDEX(PE_Taux,MATCH(B313,PE_Mat,0)),0))</f>
        <v/>
      </c>
      <c r="K313" s="31" t="str">
        <f aca="false">IF(B313="","",IF(H313="A",0,IFERROR(N(I313)/P_Heures*J313,0)))</f>
        <v/>
      </c>
      <c r="L313" s="25"/>
    </row>
    <row r="314" customFormat="false" ht="15" hidden="false" customHeight="false" outlineLevel="0" collapsed="false">
      <c r="A314" s="69"/>
      <c r="B314" s="68"/>
      <c r="C314" s="76" t="str">
        <f aca="false">IF(B314="","",IFERROR(INDEX(PE_Nom,MATCH(B314,PE_Mat,0)),"Matricule inconnu"))</f>
        <v/>
      </c>
      <c r="D314" s="76" t="str">
        <f aca="false">IF(B314="","",IFERROR(INDEX(PE_Fonction,MATCH(B314,PE_Mat,0)),""))</f>
        <v/>
      </c>
      <c r="E314" s="76" t="str">
        <f aca="false">IF(B314="","",IFERROR(INDEX(PE_Equipe,MATCH(B314,PE_Mat,0)),""))</f>
        <v/>
      </c>
      <c r="F314" s="25"/>
      <c r="G314" s="25"/>
      <c r="H314" s="68"/>
      <c r="I314" s="89"/>
      <c r="J314" s="31" t="str">
        <f aca="false">IF(B314="","",IFERROR(INDEX(PE_Taux,MATCH(B314,PE_Mat,0)),0))</f>
        <v/>
      </c>
      <c r="K314" s="31" t="str">
        <f aca="false">IF(B314="","",IF(H314="A",0,IFERROR(N(I314)/P_Heures*J314,0)))</f>
        <v/>
      </c>
      <c r="L314" s="25"/>
    </row>
    <row r="315" customFormat="false" ht="15" hidden="false" customHeight="false" outlineLevel="0" collapsed="false">
      <c r="A315" s="69"/>
      <c r="B315" s="68"/>
      <c r="C315" s="76" t="str">
        <f aca="false">IF(B315="","",IFERROR(INDEX(PE_Nom,MATCH(B315,PE_Mat,0)),"Matricule inconnu"))</f>
        <v/>
      </c>
      <c r="D315" s="76" t="str">
        <f aca="false">IF(B315="","",IFERROR(INDEX(PE_Fonction,MATCH(B315,PE_Mat,0)),""))</f>
        <v/>
      </c>
      <c r="E315" s="76" t="str">
        <f aca="false">IF(B315="","",IFERROR(INDEX(PE_Equipe,MATCH(B315,PE_Mat,0)),""))</f>
        <v/>
      </c>
      <c r="F315" s="25"/>
      <c r="G315" s="25"/>
      <c r="H315" s="68"/>
      <c r="I315" s="89"/>
      <c r="J315" s="31" t="str">
        <f aca="false">IF(B315="","",IFERROR(INDEX(PE_Taux,MATCH(B315,PE_Mat,0)),0))</f>
        <v/>
      </c>
      <c r="K315" s="31" t="str">
        <f aca="false">IF(B315="","",IF(H315="A",0,IFERROR(N(I315)/P_Heures*J315,0)))</f>
        <v/>
      </c>
      <c r="L315" s="25"/>
    </row>
    <row r="316" customFormat="false" ht="15" hidden="false" customHeight="false" outlineLevel="0" collapsed="false">
      <c r="A316" s="69"/>
      <c r="B316" s="68"/>
      <c r="C316" s="76" t="str">
        <f aca="false">IF(B316="","",IFERROR(INDEX(PE_Nom,MATCH(B316,PE_Mat,0)),"Matricule inconnu"))</f>
        <v/>
      </c>
      <c r="D316" s="76" t="str">
        <f aca="false">IF(B316="","",IFERROR(INDEX(PE_Fonction,MATCH(B316,PE_Mat,0)),""))</f>
        <v/>
      </c>
      <c r="E316" s="76" t="str">
        <f aca="false">IF(B316="","",IFERROR(INDEX(PE_Equipe,MATCH(B316,PE_Mat,0)),""))</f>
        <v/>
      </c>
      <c r="F316" s="25"/>
      <c r="G316" s="25"/>
      <c r="H316" s="68"/>
      <c r="I316" s="89"/>
      <c r="J316" s="31" t="str">
        <f aca="false">IF(B316="","",IFERROR(INDEX(PE_Taux,MATCH(B316,PE_Mat,0)),0))</f>
        <v/>
      </c>
      <c r="K316" s="31" t="str">
        <f aca="false">IF(B316="","",IF(H316="A",0,IFERROR(N(I316)/P_Heures*J316,0)))</f>
        <v/>
      </c>
      <c r="L316" s="25"/>
    </row>
    <row r="317" customFormat="false" ht="15" hidden="false" customHeight="false" outlineLevel="0" collapsed="false">
      <c r="A317" s="69"/>
      <c r="B317" s="68"/>
      <c r="C317" s="76" t="str">
        <f aca="false">IF(B317="","",IFERROR(INDEX(PE_Nom,MATCH(B317,PE_Mat,0)),"Matricule inconnu"))</f>
        <v/>
      </c>
      <c r="D317" s="76" t="str">
        <f aca="false">IF(B317="","",IFERROR(INDEX(PE_Fonction,MATCH(B317,PE_Mat,0)),""))</f>
        <v/>
      </c>
      <c r="E317" s="76" t="str">
        <f aca="false">IF(B317="","",IFERROR(INDEX(PE_Equipe,MATCH(B317,PE_Mat,0)),""))</f>
        <v/>
      </c>
      <c r="F317" s="25"/>
      <c r="G317" s="25"/>
      <c r="H317" s="68"/>
      <c r="I317" s="89"/>
      <c r="J317" s="31" t="str">
        <f aca="false">IF(B317="","",IFERROR(INDEX(PE_Taux,MATCH(B317,PE_Mat,0)),0))</f>
        <v/>
      </c>
      <c r="K317" s="31" t="str">
        <f aca="false">IF(B317="","",IF(H317="A",0,IFERROR(N(I317)/P_Heures*J317,0)))</f>
        <v/>
      </c>
      <c r="L317" s="25"/>
    </row>
    <row r="318" customFormat="false" ht="15" hidden="false" customHeight="false" outlineLevel="0" collapsed="false">
      <c r="A318" s="69"/>
      <c r="B318" s="68"/>
      <c r="C318" s="76" t="str">
        <f aca="false">IF(B318="","",IFERROR(INDEX(PE_Nom,MATCH(B318,PE_Mat,0)),"Matricule inconnu"))</f>
        <v/>
      </c>
      <c r="D318" s="76" t="str">
        <f aca="false">IF(B318="","",IFERROR(INDEX(PE_Fonction,MATCH(B318,PE_Mat,0)),""))</f>
        <v/>
      </c>
      <c r="E318" s="76" t="str">
        <f aca="false">IF(B318="","",IFERROR(INDEX(PE_Equipe,MATCH(B318,PE_Mat,0)),""))</f>
        <v/>
      </c>
      <c r="F318" s="25"/>
      <c r="G318" s="25"/>
      <c r="H318" s="68"/>
      <c r="I318" s="89"/>
      <c r="J318" s="31" t="str">
        <f aca="false">IF(B318="","",IFERROR(INDEX(PE_Taux,MATCH(B318,PE_Mat,0)),0))</f>
        <v/>
      </c>
      <c r="K318" s="31" t="str">
        <f aca="false">IF(B318="","",IF(H318="A",0,IFERROR(N(I318)/P_Heures*J318,0)))</f>
        <v/>
      </c>
      <c r="L318" s="25"/>
    </row>
    <row r="319" customFormat="false" ht="15" hidden="false" customHeight="false" outlineLevel="0" collapsed="false">
      <c r="A319" s="69"/>
      <c r="B319" s="68"/>
      <c r="C319" s="76" t="str">
        <f aca="false">IF(B319="","",IFERROR(INDEX(PE_Nom,MATCH(B319,PE_Mat,0)),"Matricule inconnu"))</f>
        <v/>
      </c>
      <c r="D319" s="76" t="str">
        <f aca="false">IF(B319="","",IFERROR(INDEX(PE_Fonction,MATCH(B319,PE_Mat,0)),""))</f>
        <v/>
      </c>
      <c r="E319" s="76" t="str">
        <f aca="false">IF(B319="","",IFERROR(INDEX(PE_Equipe,MATCH(B319,PE_Mat,0)),""))</f>
        <v/>
      </c>
      <c r="F319" s="25"/>
      <c r="G319" s="25"/>
      <c r="H319" s="68"/>
      <c r="I319" s="89"/>
      <c r="J319" s="31" t="str">
        <f aca="false">IF(B319="","",IFERROR(INDEX(PE_Taux,MATCH(B319,PE_Mat,0)),0))</f>
        <v/>
      </c>
      <c r="K319" s="31" t="str">
        <f aca="false">IF(B319="","",IF(H319="A",0,IFERROR(N(I319)/P_Heures*J319,0)))</f>
        <v/>
      </c>
      <c r="L319" s="25"/>
    </row>
    <row r="320" customFormat="false" ht="15" hidden="false" customHeight="false" outlineLevel="0" collapsed="false">
      <c r="A320" s="69"/>
      <c r="B320" s="68"/>
      <c r="C320" s="76" t="str">
        <f aca="false">IF(B320="","",IFERROR(INDEX(PE_Nom,MATCH(B320,PE_Mat,0)),"Matricule inconnu"))</f>
        <v/>
      </c>
      <c r="D320" s="76" t="str">
        <f aca="false">IF(B320="","",IFERROR(INDEX(PE_Fonction,MATCH(B320,PE_Mat,0)),""))</f>
        <v/>
      </c>
      <c r="E320" s="76" t="str">
        <f aca="false">IF(B320="","",IFERROR(INDEX(PE_Equipe,MATCH(B320,PE_Mat,0)),""))</f>
        <v/>
      </c>
      <c r="F320" s="25"/>
      <c r="G320" s="25"/>
      <c r="H320" s="68"/>
      <c r="I320" s="89"/>
      <c r="J320" s="31" t="str">
        <f aca="false">IF(B320="","",IFERROR(INDEX(PE_Taux,MATCH(B320,PE_Mat,0)),0))</f>
        <v/>
      </c>
      <c r="K320" s="31" t="str">
        <f aca="false">IF(B320="","",IF(H320="A",0,IFERROR(N(I320)/P_Heures*J320,0)))</f>
        <v/>
      </c>
      <c r="L320" s="25"/>
    </row>
    <row r="321" customFormat="false" ht="15" hidden="false" customHeight="false" outlineLevel="0" collapsed="false">
      <c r="A321" s="69"/>
      <c r="B321" s="68"/>
      <c r="C321" s="76" t="str">
        <f aca="false">IF(B321="","",IFERROR(INDEX(PE_Nom,MATCH(B321,PE_Mat,0)),"Matricule inconnu"))</f>
        <v/>
      </c>
      <c r="D321" s="76" t="str">
        <f aca="false">IF(B321="","",IFERROR(INDEX(PE_Fonction,MATCH(B321,PE_Mat,0)),""))</f>
        <v/>
      </c>
      <c r="E321" s="76" t="str">
        <f aca="false">IF(B321="","",IFERROR(INDEX(PE_Equipe,MATCH(B321,PE_Mat,0)),""))</f>
        <v/>
      </c>
      <c r="F321" s="25"/>
      <c r="G321" s="25"/>
      <c r="H321" s="68"/>
      <c r="I321" s="89"/>
      <c r="J321" s="31" t="str">
        <f aca="false">IF(B321="","",IFERROR(INDEX(PE_Taux,MATCH(B321,PE_Mat,0)),0))</f>
        <v/>
      </c>
      <c r="K321" s="31" t="str">
        <f aca="false">IF(B321="","",IF(H321="A",0,IFERROR(N(I321)/P_Heures*J321,0)))</f>
        <v/>
      </c>
      <c r="L321" s="25"/>
    </row>
    <row r="322" customFormat="false" ht="15" hidden="false" customHeight="false" outlineLevel="0" collapsed="false">
      <c r="A322" s="69"/>
      <c r="B322" s="68"/>
      <c r="C322" s="76" t="str">
        <f aca="false">IF(B322="","",IFERROR(INDEX(PE_Nom,MATCH(B322,PE_Mat,0)),"Matricule inconnu"))</f>
        <v/>
      </c>
      <c r="D322" s="76" t="str">
        <f aca="false">IF(B322="","",IFERROR(INDEX(PE_Fonction,MATCH(B322,PE_Mat,0)),""))</f>
        <v/>
      </c>
      <c r="E322" s="76" t="str">
        <f aca="false">IF(B322="","",IFERROR(INDEX(PE_Equipe,MATCH(B322,PE_Mat,0)),""))</f>
        <v/>
      </c>
      <c r="F322" s="25"/>
      <c r="G322" s="25"/>
      <c r="H322" s="68"/>
      <c r="I322" s="89"/>
      <c r="J322" s="31" t="str">
        <f aca="false">IF(B322="","",IFERROR(INDEX(PE_Taux,MATCH(B322,PE_Mat,0)),0))</f>
        <v/>
      </c>
      <c r="K322" s="31" t="str">
        <f aca="false">IF(B322="","",IF(H322="A",0,IFERROR(N(I322)/P_Heures*J322,0)))</f>
        <v/>
      </c>
      <c r="L322" s="25"/>
    </row>
    <row r="323" customFormat="false" ht="15" hidden="false" customHeight="false" outlineLevel="0" collapsed="false">
      <c r="A323" s="69"/>
      <c r="B323" s="68"/>
      <c r="C323" s="76" t="str">
        <f aca="false">IF(B323="","",IFERROR(INDEX(PE_Nom,MATCH(B323,PE_Mat,0)),"Matricule inconnu"))</f>
        <v/>
      </c>
      <c r="D323" s="76" t="str">
        <f aca="false">IF(B323="","",IFERROR(INDEX(PE_Fonction,MATCH(B323,PE_Mat,0)),""))</f>
        <v/>
      </c>
      <c r="E323" s="76" t="str">
        <f aca="false">IF(B323="","",IFERROR(INDEX(PE_Equipe,MATCH(B323,PE_Mat,0)),""))</f>
        <v/>
      </c>
      <c r="F323" s="25"/>
      <c r="G323" s="25"/>
      <c r="H323" s="68"/>
      <c r="I323" s="89"/>
      <c r="J323" s="31" t="str">
        <f aca="false">IF(B323="","",IFERROR(INDEX(PE_Taux,MATCH(B323,PE_Mat,0)),0))</f>
        <v/>
      </c>
      <c r="K323" s="31" t="str">
        <f aca="false">IF(B323="","",IF(H323="A",0,IFERROR(N(I323)/P_Heures*J323,0)))</f>
        <v/>
      </c>
      <c r="L323" s="25"/>
    </row>
    <row r="324" customFormat="false" ht="15" hidden="false" customHeight="false" outlineLevel="0" collapsed="false">
      <c r="A324" s="69"/>
      <c r="B324" s="68"/>
      <c r="C324" s="76" t="str">
        <f aca="false">IF(B324="","",IFERROR(INDEX(PE_Nom,MATCH(B324,PE_Mat,0)),"Matricule inconnu"))</f>
        <v/>
      </c>
      <c r="D324" s="76" t="str">
        <f aca="false">IF(B324="","",IFERROR(INDEX(PE_Fonction,MATCH(B324,PE_Mat,0)),""))</f>
        <v/>
      </c>
      <c r="E324" s="76" t="str">
        <f aca="false">IF(B324="","",IFERROR(INDEX(PE_Equipe,MATCH(B324,PE_Mat,0)),""))</f>
        <v/>
      </c>
      <c r="F324" s="25"/>
      <c r="G324" s="25"/>
      <c r="H324" s="68"/>
      <c r="I324" s="89"/>
      <c r="J324" s="31" t="str">
        <f aca="false">IF(B324="","",IFERROR(INDEX(PE_Taux,MATCH(B324,PE_Mat,0)),0))</f>
        <v/>
      </c>
      <c r="K324" s="31" t="str">
        <f aca="false">IF(B324="","",IF(H324="A",0,IFERROR(N(I324)/P_Heures*J324,0)))</f>
        <v/>
      </c>
      <c r="L324" s="25"/>
    </row>
    <row r="325" customFormat="false" ht="15" hidden="false" customHeight="false" outlineLevel="0" collapsed="false">
      <c r="A325" s="69"/>
      <c r="B325" s="68"/>
      <c r="C325" s="76" t="str">
        <f aca="false">IF(B325="","",IFERROR(INDEX(PE_Nom,MATCH(B325,PE_Mat,0)),"Matricule inconnu"))</f>
        <v/>
      </c>
      <c r="D325" s="76" t="str">
        <f aca="false">IF(B325="","",IFERROR(INDEX(PE_Fonction,MATCH(B325,PE_Mat,0)),""))</f>
        <v/>
      </c>
      <c r="E325" s="76" t="str">
        <f aca="false">IF(B325="","",IFERROR(INDEX(PE_Equipe,MATCH(B325,PE_Mat,0)),""))</f>
        <v/>
      </c>
      <c r="F325" s="25"/>
      <c r="G325" s="25"/>
      <c r="H325" s="68"/>
      <c r="I325" s="89"/>
      <c r="J325" s="31" t="str">
        <f aca="false">IF(B325="","",IFERROR(INDEX(PE_Taux,MATCH(B325,PE_Mat,0)),0))</f>
        <v/>
      </c>
      <c r="K325" s="31" t="str">
        <f aca="false">IF(B325="","",IF(H325="A",0,IFERROR(N(I325)/P_Heures*J325,0)))</f>
        <v/>
      </c>
      <c r="L325" s="25"/>
    </row>
    <row r="326" customFormat="false" ht="15" hidden="false" customHeight="false" outlineLevel="0" collapsed="false">
      <c r="A326" s="69"/>
      <c r="B326" s="68"/>
      <c r="C326" s="76" t="str">
        <f aca="false">IF(B326="","",IFERROR(INDEX(PE_Nom,MATCH(B326,PE_Mat,0)),"Matricule inconnu"))</f>
        <v/>
      </c>
      <c r="D326" s="76" t="str">
        <f aca="false">IF(B326="","",IFERROR(INDEX(PE_Fonction,MATCH(B326,PE_Mat,0)),""))</f>
        <v/>
      </c>
      <c r="E326" s="76" t="str">
        <f aca="false">IF(B326="","",IFERROR(INDEX(PE_Equipe,MATCH(B326,PE_Mat,0)),""))</f>
        <v/>
      </c>
      <c r="F326" s="25"/>
      <c r="G326" s="25"/>
      <c r="H326" s="68"/>
      <c r="I326" s="89"/>
      <c r="J326" s="31" t="str">
        <f aca="false">IF(B326="","",IFERROR(INDEX(PE_Taux,MATCH(B326,PE_Mat,0)),0))</f>
        <v/>
      </c>
      <c r="K326" s="31" t="str">
        <f aca="false">IF(B326="","",IF(H326="A",0,IFERROR(N(I326)/P_Heures*J326,0)))</f>
        <v/>
      </c>
      <c r="L326" s="25"/>
    </row>
    <row r="327" customFormat="false" ht="15" hidden="false" customHeight="false" outlineLevel="0" collapsed="false">
      <c r="A327" s="69"/>
      <c r="B327" s="68"/>
      <c r="C327" s="76" t="str">
        <f aca="false">IF(B327="","",IFERROR(INDEX(PE_Nom,MATCH(B327,PE_Mat,0)),"Matricule inconnu"))</f>
        <v/>
      </c>
      <c r="D327" s="76" t="str">
        <f aca="false">IF(B327="","",IFERROR(INDEX(PE_Fonction,MATCH(B327,PE_Mat,0)),""))</f>
        <v/>
      </c>
      <c r="E327" s="76" t="str">
        <f aca="false">IF(B327="","",IFERROR(INDEX(PE_Equipe,MATCH(B327,PE_Mat,0)),""))</f>
        <v/>
      </c>
      <c r="F327" s="25"/>
      <c r="G327" s="25"/>
      <c r="H327" s="68"/>
      <c r="I327" s="89"/>
      <c r="J327" s="31" t="str">
        <f aca="false">IF(B327="","",IFERROR(INDEX(PE_Taux,MATCH(B327,PE_Mat,0)),0))</f>
        <v/>
      </c>
      <c r="K327" s="31" t="str">
        <f aca="false">IF(B327="","",IF(H327="A",0,IFERROR(N(I327)/P_Heures*J327,0)))</f>
        <v/>
      </c>
      <c r="L327" s="25"/>
    </row>
    <row r="328" customFormat="false" ht="15" hidden="false" customHeight="false" outlineLevel="0" collapsed="false">
      <c r="A328" s="69"/>
      <c r="B328" s="68"/>
      <c r="C328" s="76" t="str">
        <f aca="false">IF(B328="","",IFERROR(INDEX(PE_Nom,MATCH(B328,PE_Mat,0)),"Matricule inconnu"))</f>
        <v/>
      </c>
      <c r="D328" s="76" t="str">
        <f aca="false">IF(B328="","",IFERROR(INDEX(PE_Fonction,MATCH(B328,PE_Mat,0)),""))</f>
        <v/>
      </c>
      <c r="E328" s="76" t="str">
        <f aca="false">IF(B328="","",IFERROR(INDEX(PE_Equipe,MATCH(B328,PE_Mat,0)),""))</f>
        <v/>
      </c>
      <c r="F328" s="25"/>
      <c r="G328" s="25"/>
      <c r="H328" s="68"/>
      <c r="I328" s="89"/>
      <c r="J328" s="31" t="str">
        <f aca="false">IF(B328="","",IFERROR(INDEX(PE_Taux,MATCH(B328,PE_Mat,0)),0))</f>
        <v/>
      </c>
      <c r="K328" s="31" t="str">
        <f aca="false">IF(B328="","",IF(H328="A",0,IFERROR(N(I328)/P_Heures*J328,0)))</f>
        <v/>
      </c>
      <c r="L328" s="25"/>
    </row>
    <row r="329" customFormat="false" ht="15" hidden="false" customHeight="false" outlineLevel="0" collapsed="false">
      <c r="A329" s="69"/>
      <c r="B329" s="68"/>
      <c r="C329" s="76" t="str">
        <f aca="false">IF(B329="","",IFERROR(INDEX(PE_Nom,MATCH(B329,PE_Mat,0)),"Matricule inconnu"))</f>
        <v/>
      </c>
      <c r="D329" s="76" t="str">
        <f aca="false">IF(B329="","",IFERROR(INDEX(PE_Fonction,MATCH(B329,PE_Mat,0)),""))</f>
        <v/>
      </c>
      <c r="E329" s="76" t="str">
        <f aca="false">IF(B329="","",IFERROR(INDEX(PE_Equipe,MATCH(B329,PE_Mat,0)),""))</f>
        <v/>
      </c>
      <c r="F329" s="25"/>
      <c r="G329" s="25"/>
      <c r="H329" s="68"/>
      <c r="I329" s="89"/>
      <c r="J329" s="31" t="str">
        <f aca="false">IF(B329="","",IFERROR(INDEX(PE_Taux,MATCH(B329,PE_Mat,0)),0))</f>
        <v/>
      </c>
      <c r="K329" s="31" t="str">
        <f aca="false">IF(B329="","",IF(H329="A",0,IFERROR(N(I329)/P_Heures*J329,0)))</f>
        <v/>
      </c>
      <c r="L329" s="25"/>
    </row>
    <row r="330" customFormat="false" ht="15" hidden="false" customHeight="false" outlineLevel="0" collapsed="false">
      <c r="A330" s="69"/>
      <c r="B330" s="68"/>
      <c r="C330" s="76" t="str">
        <f aca="false">IF(B330="","",IFERROR(INDEX(PE_Nom,MATCH(B330,PE_Mat,0)),"Matricule inconnu"))</f>
        <v/>
      </c>
      <c r="D330" s="76" t="str">
        <f aca="false">IF(B330="","",IFERROR(INDEX(PE_Fonction,MATCH(B330,PE_Mat,0)),""))</f>
        <v/>
      </c>
      <c r="E330" s="76" t="str">
        <f aca="false">IF(B330="","",IFERROR(INDEX(PE_Equipe,MATCH(B330,PE_Mat,0)),""))</f>
        <v/>
      </c>
      <c r="F330" s="25"/>
      <c r="G330" s="25"/>
      <c r="H330" s="68"/>
      <c r="I330" s="89"/>
      <c r="J330" s="31" t="str">
        <f aca="false">IF(B330="","",IFERROR(INDEX(PE_Taux,MATCH(B330,PE_Mat,0)),0))</f>
        <v/>
      </c>
      <c r="K330" s="31" t="str">
        <f aca="false">IF(B330="","",IF(H330="A",0,IFERROR(N(I330)/P_Heures*J330,0)))</f>
        <v/>
      </c>
      <c r="L330" s="25"/>
    </row>
    <row r="331" customFormat="false" ht="15" hidden="false" customHeight="false" outlineLevel="0" collapsed="false">
      <c r="A331" s="69"/>
      <c r="B331" s="68"/>
      <c r="C331" s="76" t="str">
        <f aca="false">IF(B331="","",IFERROR(INDEX(PE_Nom,MATCH(B331,PE_Mat,0)),"Matricule inconnu"))</f>
        <v/>
      </c>
      <c r="D331" s="76" t="str">
        <f aca="false">IF(B331="","",IFERROR(INDEX(PE_Fonction,MATCH(B331,PE_Mat,0)),""))</f>
        <v/>
      </c>
      <c r="E331" s="76" t="str">
        <f aca="false">IF(B331="","",IFERROR(INDEX(PE_Equipe,MATCH(B331,PE_Mat,0)),""))</f>
        <v/>
      </c>
      <c r="F331" s="25"/>
      <c r="G331" s="25"/>
      <c r="H331" s="68"/>
      <c r="I331" s="89"/>
      <c r="J331" s="31" t="str">
        <f aca="false">IF(B331="","",IFERROR(INDEX(PE_Taux,MATCH(B331,PE_Mat,0)),0))</f>
        <v/>
      </c>
      <c r="K331" s="31" t="str">
        <f aca="false">IF(B331="","",IF(H331="A",0,IFERROR(N(I331)/P_Heures*J331,0)))</f>
        <v/>
      </c>
      <c r="L331" s="25"/>
    </row>
    <row r="332" customFormat="false" ht="15" hidden="false" customHeight="false" outlineLevel="0" collapsed="false">
      <c r="A332" s="69"/>
      <c r="B332" s="68"/>
      <c r="C332" s="76" t="str">
        <f aca="false">IF(B332="","",IFERROR(INDEX(PE_Nom,MATCH(B332,PE_Mat,0)),"Matricule inconnu"))</f>
        <v/>
      </c>
      <c r="D332" s="76" t="str">
        <f aca="false">IF(B332="","",IFERROR(INDEX(PE_Fonction,MATCH(B332,PE_Mat,0)),""))</f>
        <v/>
      </c>
      <c r="E332" s="76" t="str">
        <f aca="false">IF(B332="","",IFERROR(INDEX(PE_Equipe,MATCH(B332,PE_Mat,0)),""))</f>
        <v/>
      </c>
      <c r="F332" s="25"/>
      <c r="G332" s="25"/>
      <c r="H332" s="68"/>
      <c r="I332" s="89"/>
      <c r="J332" s="31" t="str">
        <f aca="false">IF(B332="","",IFERROR(INDEX(PE_Taux,MATCH(B332,PE_Mat,0)),0))</f>
        <v/>
      </c>
      <c r="K332" s="31" t="str">
        <f aca="false">IF(B332="","",IF(H332="A",0,IFERROR(N(I332)/P_Heures*J332,0)))</f>
        <v/>
      </c>
      <c r="L332" s="25"/>
    </row>
    <row r="333" customFormat="false" ht="15" hidden="false" customHeight="false" outlineLevel="0" collapsed="false">
      <c r="A333" s="69"/>
      <c r="B333" s="68"/>
      <c r="C333" s="76" t="str">
        <f aca="false">IF(B333="","",IFERROR(INDEX(PE_Nom,MATCH(B333,PE_Mat,0)),"Matricule inconnu"))</f>
        <v/>
      </c>
      <c r="D333" s="76" t="str">
        <f aca="false">IF(B333="","",IFERROR(INDEX(PE_Fonction,MATCH(B333,PE_Mat,0)),""))</f>
        <v/>
      </c>
      <c r="E333" s="76" t="str">
        <f aca="false">IF(B333="","",IFERROR(INDEX(PE_Equipe,MATCH(B333,PE_Mat,0)),""))</f>
        <v/>
      </c>
      <c r="F333" s="25"/>
      <c r="G333" s="25"/>
      <c r="H333" s="68"/>
      <c r="I333" s="89"/>
      <c r="J333" s="31" t="str">
        <f aca="false">IF(B333="","",IFERROR(INDEX(PE_Taux,MATCH(B333,PE_Mat,0)),0))</f>
        <v/>
      </c>
      <c r="K333" s="31" t="str">
        <f aca="false">IF(B333="","",IF(H333="A",0,IFERROR(N(I333)/P_Heures*J333,0)))</f>
        <v/>
      </c>
      <c r="L333" s="25"/>
    </row>
    <row r="334" customFormat="false" ht="15" hidden="false" customHeight="false" outlineLevel="0" collapsed="false">
      <c r="A334" s="69"/>
      <c r="B334" s="68"/>
      <c r="C334" s="76" t="str">
        <f aca="false">IF(B334="","",IFERROR(INDEX(PE_Nom,MATCH(B334,PE_Mat,0)),"Matricule inconnu"))</f>
        <v/>
      </c>
      <c r="D334" s="76" t="str">
        <f aca="false">IF(B334="","",IFERROR(INDEX(PE_Fonction,MATCH(B334,PE_Mat,0)),""))</f>
        <v/>
      </c>
      <c r="E334" s="76" t="str">
        <f aca="false">IF(B334="","",IFERROR(INDEX(PE_Equipe,MATCH(B334,PE_Mat,0)),""))</f>
        <v/>
      </c>
      <c r="F334" s="25"/>
      <c r="G334" s="25"/>
      <c r="H334" s="68"/>
      <c r="I334" s="89"/>
      <c r="J334" s="31" t="str">
        <f aca="false">IF(B334="","",IFERROR(INDEX(PE_Taux,MATCH(B334,PE_Mat,0)),0))</f>
        <v/>
      </c>
      <c r="K334" s="31" t="str">
        <f aca="false">IF(B334="","",IF(H334="A",0,IFERROR(N(I334)/P_Heures*J334,0)))</f>
        <v/>
      </c>
      <c r="L334" s="25"/>
    </row>
    <row r="335" customFormat="false" ht="15" hidden="false" customHeight="false" outlineLevel="0" collapsed="false">
      <c r="A335" s="69"/>
      <c r="B335" s="68"/>
      <c r="C335" s="76" t="str">
        <f aca="false">IF(B335="","",IFERROR(INDEX(PE_Nom,MATCH(B335,PE_Mat,0)),"Matricule inconnu"))</f>
        <v/>
      </c>
      <c r="D335" s="76" t="str">
        <f aca="false">IF(B335="","",IFERROR(INDEX(PE_Fonction,MATCH(B335,PE_Mat,0)),""))</f>
        <v/>
      </c>
      <c r="E335" s="76" t="str">
        <f aca="false">IF(B335="","",IFERROR(INDEX(PE_Equipe,MATCH(B335,PE_Mat,0)),""))</f>
        <v/>
      </c>
      <c r="F335" s="25"/>
      <c r="G335" s="25"/>
      <c r="H335" s="68"/>
      <c r="I335" s="89"/>
      <c r="J335" s="31" t="str">
        <f aca="false">IF(B335="","",IFERROR(INDEX(PE_Taux,MATCH(B335,PE_Mat,0)),0))</f>
        <v/>
      </c>
      <c r="K335" s="31" t="str">
        <f aca="false">IF(B335="","",IF(H335="A",0,IFERROR(N(I335)/P_Heures*J335,0)))</f>
        <v/>
      </c>
      <c r="L335" s="25"/>
    </row>
    <row r="336" customFormat="false" ht="15" hidden="false" customHeight="false" outlineLevel="0" collapsed="false">
      <c r="A336" s="69"/>
      <c r="B336" s="68"/>
      <c r="C336" s="76" t="str">
        <f aca="false">IF(B336="","",IFERROR(INDEX(PE_Nom,MATCH(B336,PE_Mat,0)),"Matricule inconnu"))</f>
        <v/>
      </c>
      <c r="D336" s="76" t="str">
        <f aca="false">IF(B336="","",IFERROR(INDEX(PE_Fonction,MATCH(B336,PE_Mat,0)),""))</f>
        <v/>
      </c>
      <c r="E336" s="76" t="str">
        <f aca="false">IF(B336="","",IFERROR(INDEX(PE_Equipe,MATCH(B336,PE_Mat,0)),""))</f>
        <v/>
      </c>
      <c r="F336" s="25"/>
      <c r="G336" s="25"/>
      <c r="H336" s="68"/>
      <c r="I336" s="89"/>
      <c r="J336" s="31" t="str">
        <f aca="false">IF(B336="","",IFERROR(INDEX(PE_Taux,MATCH(B336,PE_Mat,0)),0))</f>
        <v/>
      </c>
      <c r="K336" s="31" t="str">
        <f aca="false">IF(B336="","",IF(H336="A",0,IFERROR(N(I336)/P_Heures*J336,0)))</f>
        <v/>
      </c>
      <c r="L336" s="25"/>
    </row>
    <row r="337" customFormat="false" ht="15" hidden="false" customHeight="false" outlineLevel="0" collapsed="false">
      <c r="A337" s="69"/>
      <c r="B337" s="68"/>
      <c r="C337" s="76" t="str">
        <f aca="false">IF(B337="","",IFERROR(INDEX(PE_Nom,MATCH(B337,PE_Mat,0)),"Matricule inconnu"))</f>
        <v/>
      </c>
      <c r="D337" s="76" t="str">
        <f aca="false">IF(B337="","",IFERROR(INDEX(PE_Fonction,MATCH(B337,PE_Mat,0)),""))</f>
        <v/>
      </c>
      <c r="E337" s="76" t="str">
        <f aca="false">IF(B337="","",IFERROR(INDEX(PE_Equipe,MATCH(B337,PE_Mat,0)),""))</f>
        <v/>
      </c>
      <c r="F337" s="25"/>
      <c r="G337" s="25"/>
      <c r="H337" s="68"/>
      <c r="I337" s="89"/>
      <c r="J337" s="31" t="str">
        <f aca="false">IF(B337="","",IFERROR(INDEX(PE_Taux,MATCH(B337,PE_Mat,0)),0))</f>
        <v/>
      </c>
      <c r="K337" s="31" t="str">
        <f aca="false">IF(B337="","",IF(H337="A",0,IFERROR(N(I337)/P_Heures*J337,0)))</f>
        <v/>
      </c>
      <c r="L337" s="25"/>
    </row>
    <row r="338" customFormat="false" ht="15" hidden="false" customHeight="false" outlineLevel="0" collapsed="false">
      <c r="A338" s="69"/>
      <c r="B338" s="68"/>
      <c r="C338" s="76" t="str">
        <f aca="false">IF(B338="","",IFERROR(INDEX(PE_Nom,MATCH(B338,PE_Mat,0)),"Matricule inconnu"))</f>
        <v/>
      </c>
      <c r="D338" s="76" t="str">
        <f aca="false">IF(B338="","",IFERROR(INDEX(PE_Fonction,MATCH(B338,PE_Mat,0)),""))</f>
        <v/>
      </c>
      <c r="E338" s="76" t="str">
        <f aca="false">IF(B338="","",IFERROR(INDEX(PE_Equipe,MATCH(B338,PE_Mat,0)),""))</f>
        <v/>
      </c>
      <c r="F338" s="25"/>
      <c r="G338" s="25"/>
      <c r="H338" s="68"/>
      <c r="I338" s="89"/>
      <c r="J338" s="31" t="str">
        <f aca="false">IF(B338="","",IFERROR(INDEX(PE_Taux,MATCH(B338,PE_Mat,0)),0))</f>
        <v/>
      </c>
      <c r="K338" s="31" t="str">
        <f aca="false">IF(B338="","",IF(H338="A",0,IFERROR(N(I338)/P_Heures*J338,0)))</f>
        <v/>
      </c>
      <c r="L338" s="25"/>
    </row>
    <row r="339" customFormat="false" ht="15" hidden="false" customHeight="false" outlineLevel="0" collapsed="false">
      <c r="A339" s="69"/>
      <c r="B339" s="68"/>
      <c r="C339" s="76" t="str">
        <f aca="false">IF(B339="","",IFERROR(INDEX(PE_Nom,MATCH(B339,PE_Mat,0)),"Matricule inconnu"))</f>
        <v/>
      </c>
      <c r="D339" s="76" t="str">
        <f aca="false">IF(B339="","",IFERROR(INDEX(PE_Fonction,MATCH(B339,PE_Mat,0)),""))</f>
        <v/>
      </c>
      <c r="E339" s="76" t="str">
        <f aca="false">IF(B339="","",IFERROR(INDEX(PE_Equipe,MATCH(B339,PE_Mat,0)),""))</f>
        <v/>
      </c>
      <c r="F339" s="25"/>
      <c r="G339" s="25"/>
      <c r="H339" s="68"/>
      <c r="I339" s="89"/>
      <c r="J339" s="31" t="str">
        <f aca="false">IF(B339="","",IFERROR(INDEX(PE_Taux,MATCH(B339,PE_Mat,0)),0))</f>
        <v/>
      </c>
      <c r="K339" s="31" t="str">
        <f aca="false">IF(B339="","",IF(H339="A",0,IFERROR(N(I339)/P_Heures*J339,0)))</f>
        <v/>
      </c>
      <c r="L339" s="25"/>
    </row>
    <row r="340" customFormat="false" ht="15" hidden="false" customHeight="false" outlineLevel="0" collapsed="false">
      <c r="A340" s="69"/>
      <c r="B340" s="68"/>
      <c r="C340" s="76" t="str">
        <f aca="false">IF(B340="","",IFERROR(INDEX(PE_Nom,MATCH(B340,PE_Mat,0)),"Matricule inconnu"))</f>
        <v/>
      </c>
      <c r="D340" s="76" t="str">
        <f aca="false">IF(B340="","",IFERROR(INDEX(PE_Fonction,MATCH(B340,PE_Mat,0)),""))</f>
        <v/>
      </c>
      <c r="E340" s="76" t="str">
        <f aca="false">IF(B340="","",IFERROR(INDEX(PE_Equipe,MATCH(B340,PE_Mat,0)),""))</f>
        <v/>
      </c>
      <c r="F340" s="25"/>
      <c r="G340" s="25"/>
      <c r="H340" s="68"/>
      <c r="I340" s="89"/>
      <c r="J340" s="31" t="str">
        <f aca="false">IF(B340="","",IFERROR(INDEX(PE_Taux,MATCH(B340,PE_Mat,0)),0))</f>
        <v/>
      </c>
      <c r="K340" s="31" t="str">
        <f aca="false">IF(B340="","",IF(H340="A",0,IFERROR(N(I340)/P_Heures*J340,0)))</f>
        <v/>
      </c>
      <c r="L340" s="25"/>
    </row>
    <row r="341" customFormat="false" ht="15" hidden="false" customHeight="false" outlineLevel="0" collapsed="false">
      <c r="A341" s="69"/>
      <c r="B341" s="68"/>
      <c r="C341" s="76" t="str">
        <f aca="false">IF(B341="","",IFERROR(INDEX(PE_Nom,MATCH(B341,PE_Mat,0)),"Matricule inconnu"))</f>
        <v/>
      </c>
      <c r="D341" s="76" t="str">
        <f aca="false">IF(B341="","",IFERROR(INDEX(PE_Fonction,MATCH(B341,PE_Mat,0)),""))</f>
        <v/>
      </c>
      <c r="E341" s="76" t="str">
        <f aca="false">IF(B341="","",IFERROR(INDEX(PE_Equipe,MATCH(B341,PE_Mat,0)),""))</f>
        <v/>
      </c>
      <c r="F341" s="25"/>
      <c r="G341" s="25"/>
      <c r="H341" s="68"/>
      <c r="I341" s="89"/>
      <c r="J341" s="31" t="str">
        <f aca="false">IF(B341="","",IFERROR(INDEX(PE_Taux,MATCH(B341,PE_Mat,0)),0))</f>
        <v/>
      </c>
      <c r="K341" s="31" t="str">
        <f aca="false">IF(B341="","",IF(H341="A",0,IFERROR(N(I341)/P_Heures*J341,0)))</f>
        <v/>
      </c>
      <c r="L341" s="25"/>
    </row>
    <row r="342" customFormat="false" ht="15" hidden="false" customHeight="false" outlineLevel="0" collapsed="false">
      <c r="A342" s="69"/>
      <c r="B342" s="68"/>
      <c r="C342" s="76" t="str">
        <f aca="false">IF(B342="","",IFERROR(INDEX(PE_Nom,MATCH(B342,PE_Mat,0)),"Matricule inconnu"))</f>
        <v/>
      </c>
      <c r="D342" s="76" t="str">
        <f aca="false">IF(B342="","",IFERROR(INDEX(PE_Fonction,MATCH(B342,PE_Mat,0)),""))</f>
        <v/>
      </c>
      <c r="E342" s="76" t="str">
        <f aca="false">IF(B342="","",IFERROR(INDEX(PE_Equipe,MATCH(B342,PE_Mat,0)),""))</f>
        <v/>
      </c>
      <c r="F342" s="25"/>
      <c r="G342" s="25"/>
      <c r="H342" s="68"/>
      <c r="I342" s="89"/>
      <c r="J342" s="31" t="str">
        <f aca="false">IF(B342="","",IFERROR(INDEX(PE_Taux,MATCH(B342,PE_Mat,0)),0))</f>
        <v/>
      </c>
      <c r="K342" s="31" t="str">
        <f aca="false">IF(B342="","",IF(H342="A",0,IFERROR(N(I342)/P_Heures*J342,0)))</f>
        <v/>
      </c>
      <c r="L342" s="25"/>
    </row>
    <row r="343" customFormat="false" ht="15" hidden="false" customHeight="false" outlineLevel="0" collapsed="false">
      <c r="A343" s="69"/>
      <c r="B343" s="68"/>
      <c r="C343" s="76" t="str">
        <f aca="false">IF(B343="","",IFERROR(INDEX(PE_Nom,MATCH(B343,PE_Mat,0)),"Matricule inconnu"))</f>
        <v/>
      </c>
      <c r="D343" s="76" t="str">
        <f aca="false">IF(B343="","",IFERROR(INDEX(PE_Fonction,MATCH(B343,PE_Mat,0)),""))</f>
        <v/>
      </c>
      <c r="E343" s="76" t="str">
        <f aca="false">IF(B343="","",IFERROR(INDEX(PE_Equipe,MATCH(B343,PE_Mat,0)),""))</f>
        <v/>
      </c>
      <c r="F343" s="25"/>
      <c r="G343" s="25"/>
      <c r="H343" s="68"/>
      <c r="I343" s="89"/>
      <c r="J343" s="31" t="str">
        <f aca="false">IF(B343="","",IFERROR(INDEX(PE_Taux,MATCH(B343,PE_Mat,0)),0))</f>
        <v/>
      </c>
      <c r="K343" s="31" t="str">
        <f aca="false">IF(B343="","",IF(H343="A",0,IFERROR(N(I343)/P_Heures*J343,0)))</f>
        <v/>
      </c>
      <c r="L343" s="25"/>
    </row>
    <row r="344" customFormat="false" ht="15" hidden="false" customHeight="false" outlineLevel="0" collapsed="false">
      <c r="A344" s="69"/>
      <c r="B344" s="68"/>
      <c r="C344" s="76" t="str">
        <f aca="false">IF(B344="","",IFERROR(INDEX(PE_Nom,MATCH(B344,PE_Mat,0)),"Matricule inconnu"))</f>
        <v/>
      </c>
      <c r="D344" s="76" t="str">
        <f aca="false">IF(B344="","",IFERROR(INDEX(PE_Fonction,MATCH(B344,PE_Mat,0)),""))</f>
        <v/>
      </c>
      <c r="E344" s="76" t="str">
        <f aca="false">IF(B344="","",IFERROR(INDEX(PE_Equipe,MATCH(B344,PE_Mat,0)),""))</f>
        <v/>
      </c>
      <c r="F344" s="25"/>
      <c r="G344" s="25"/>
      <c r="H344" s="68"/>
      <c r="I344" s="89"/>
      <c r="J344" s="31" t="str">
        <f aca="false">IF(B344="","",IFERROR(INDEX(PE_Taux,MATCH(B344,PE_Mat,0)),0))</f>
        <v/>
      </c>
      <c r="K344" s="31" t="str">
        <f aca="false">IF(B344="","",IF(H344="A",0,IFERROR(N(I344)/P_Heures*J344,0)))</f>
        <v/>
      </c>
      <c r="L344" s="25"/>
    </row>
    <row r="345" customFormat="false" ht="15" hidden="false" customHeight="false" outlineLevel="0" collapsed="false">
      <c r="A345" s="69"/>
      <c r="B345" s="68"/>
      <c r="C345" s="76" t="str">
        <f aca="false">IF(B345="","",IFERROR(INDEX(PE_Nom,MATCH(B345,PE_Mat,0)),"Matricule inconnu"))</f>
        <v/>
      </c>
      <c r="D345" s="76" t="str">
        <f aca="false">IF(B345="","",IFERROR(INDEX(PE_Fonction,MATCH(B345,PE_Mat,0)),""))</f>
        <v/>
      </c>
      <c r="E345" s="76" t="str">
        <f aca="false">IF(B345="","",IFERROR(INDEX(PE_Equipe,MATCH(B345,PE_Mat,0)),""))</f>
        <v/>
      </c>
      <c r="F345" s="25"/>
      <c r="G345" s="25"/>
      <c r="H345" s="68"/>
      <c r="I345" s="89"/>
      <c r="J345" s="31" t="str">
        <f aca="false">IF(B345="","",IFERROR(INDEX(PE_Taux,MATCH(B345,PE_Mat,0)),0))</f>
        <v/>
      </c>
      <c r="K345" s="31" t="str">
        <f aca="false">IF(B345="","",IF(H345="A",0,IFERROR(N(I345)/P_Heures*J345,0)))</f>
        <v/>
      </c>
      <c r="L345" s="25"/>
    </row>
    <row r="346" customFormat="false" ht="15" hidden="false" customHeight="false" outlineLevel="0" collapsed="false">
      <c r="A346" s="69"/>
      <c r="B346" s="68"/>
      <c r="C346" s="76" t="str">
        <f aca="false">IF(B346="","",IFERROR(INDEX(PE_Nom,MATCH(B346,PE_Mat,0)),"Matricule inconnu"))</f>
        <v/>
      </c>
      <c r="D346" s="76" t="str">
        <f aca="false">IF(B346="","",IFERROR(INDEX(PE_Fonction,MATCH(B346,PE_Mat,0)),""))</f>
        <v/>
      </c>
      <c r="E346" s="76" t="str">
        <f aca="false">IF(B346="","",IFERROR(INDEX(PE_Equipe,MATCH(B346,PE_Mat,0)),""))</f>
        <v/>
      </c>
      <c r="F346" s="25"/>
      <c r="G346" s="25"/>
      <c r="H346" s="68"/>
      <c r="I346" s="89"/>
      <c r="J346" s="31" t="str">
        <f aca="false">IF(B346="","",IFERROR(INDEX(PE_Taux,MATCH(B346,PE_Mat,0)),0))</f>
        <v/>
      </c>
      <c r="K346" s="31" t="str">
        <f aca="false">IF(B346="","",IF(H346="A",0,IFERROR(N(I346)/P_Heures*J346,0)))</f>
        <v/>
      </c>
      <c r="L346" s="25"/>
    </row>
    <row r="347" customFormat="false" ht="15" hidden="false" customHeight="false" outlineLevel="0" collapsed="false">
      <c r="A347" s="69"/>
      <c r="B347" s="68"/>
      <c r="C347" s="76" t="str">
        <f aca="false">IF(B347="","",IFERROR(INDEX(PE_Nom,MATCH(B347,PE_Mat,0)),"Matricule inconnu"))</f>
        <v/>
      </c>
      <c r="D347" s="76" t="str">
        <f aca="false">IF(B347="","",IFERROR(INDEX(PE_Fonction,MATCH(B347,PE_Mat,0)),""))</f>
        <v/>
      </c>
      <c r="E347" s="76" t="str">
        <f aca="false">IF(B347="","",IFERROR(INDEX(PE_Equipe,MATCH(B347,PE_Mat,0)),""))</f>
        <v/>
      </c>
      <c r="F347" s="25"/>
      <c r="G347" s="25"/>
      <c r="H347" s="68"/>
      <c r="I347" s="89"/>
      <c r="J347" s="31" t="str">
        <f aca="false">IF(B347="","",IFERROR(INDEX(PE_Taux,MATCH(B347,PE_Mat,0)),0))</f>
        <v/>
      </c>
      <c r="K347" s="31" t="str">
        <f aca="false">IF(B347="","",IF(H347="A",0,IFERROR(N(I347)/P_Heures*J347,0)))</f>
        <v/>
      </c>
      <c r="L347" s="25"/>
    </row>
    <row r="348" customFormat="false" ht="15" hidden="false" customHeight="false" outlineLevel="0" collapsed="false">
      <c r="A348" s="69"/>
      <c r="B348" s="68"/>
      <c r="C348" s="76" t="str">
        <f aca="false">IF(B348="","",IFERROR(INDEX(PE_Nom,MATCH(B348,PE_Mat,0)),"Matricule inconnu"))</f>
        <v/>
      </c>
      <c r="D348" s="76" t="str">
        <f aca="false">IF(B348="","",IFERROR(INDEX(PE_Fonction,MATCH(B348,PE_Mat,0)),""))</f>
        <v/>
      </c>
      <c r="E348" s="76" t="str">
        <f aca="false">IF(B348="","",IFERROR(INDEX(PE_Equipe,MATCH(B348,PE_Mat,0)),""))</f>
        <v/>
      </c>
      <c r="F348" s="25"/>
      <c r="G348" s="25"/>
      <c r="H348" s="68"/>
      <c r="I348" s="89"/>
      <c r="J348" s="31" t="str">
        <f aca="false">IF(B348="","",IFERROR(INDEX(PE_Taux,MATCH(B348,PE_Mat,0)),0))</f>
        <v/>
      </c>
      <c r="K348" s="31" t="str">
        <f aca="false">IF(B348="","",IF(H348="A",0,IFERROR(N(I348)/P_Heures*J348,0)))</f>
        <v/>
      </c>
      <c r="L348" s="25"/>
    </row>
    <row r="349" customFormat="false" ht="15" hidden="false" customHeight="false" outlineLevel="0" collapsed="false">
      <c r="A349" s="69"/>
      <c r="B349" s="68"/>
      <c r="C349" s="76" t="str">
        <f aca="false">IF(B349="","",IFERROR(INDEX(PE_Nom,MATCH(B349,PE_Mat,0)),"Matricule inconnu"))</f>
        <v/>
      </c>
      <c r="D349" s="76" t="str">
        <f aca="false">IF(B349="","",IFERROR(INDEX(PE_Fonction,MATCH(B349,PE_Mat,0)),""))</f>
        <v/>
      </c>
      <c r="E349" s="76" t="str">
        <f aca="false">IF(B349="","",IFERROR(INDEX(PE_Equipe,MATCH(B349,PE_Mat,0)),""))</f>
        <v/>
      </c>
      <c r="F349" s="25"/>
      <c r="G349" s="25"/>
      <c r="H349" s="68"/>
      <c r="I349" s="89"/>
      <c r="J349" s="31" t="str">
        <f aca="false">IF(B349="","",IFERROR(INDEX(PE_Taux,MATCH(B349,PE_Mat,0)),0))</f>
        <v/>
      </c>
      <c r="K349" s="31" t="str">
        <f aca="false">IF(B349="","",IF(H349="A",0,IFERROR(N(I349)/P_Heures*J349,0)))</f>
        <v/>
      </c>
      <c r="L349" s="25"/>
    </row>
    <row r="350" customFormat="false" ht="15" hidden="false" customHeight="false" outlineLevel="0" collapsed="false">
      <c r="A350" s="69"/>
      <c r="B350" s="68"/>
      <c r="C350" s="76" t="str">
        <f aca="false">IF(B350="","",IFERROR(INDEX(PE_Nom,MATCH(B350,PE_Mat,0)),"Matricule inconnu"))</f>
        <v/>
      </c>
      <c r="D350" s="76" t="str">
        <f aca="false">IF(B350="","",IFERROR(INDEX(PE_Fonction,MATCH(B350,PE_Mat,0)),""))</f>
        <v/>
      </c>
      <c r="E350" s="76" t="str">
        <f aca="false">IF(B350="","",IFERROR(INDEX(PE_Equipe,MATCH(B350,PE_Mat,0)),""))</f>
        <v/>
      </c>
      <c r="F350" s="25"/>
      <c r="G350" s="25"/>
      <c r="H350" s="68"/>
      <c r="I350" s="89"/>
      <c r="J350" s="31" t="str">
        <f aca="false">IF(B350="","",IFERROR(INDEX(PE_Taux,MATCH(B350,PE_Mat,0)),0))</f>
        <v/>
      </c>
      <c r="K350" s="31" t="str">
        <f aca="false">IF(B350="","",IF(H350="A",0,IFERROR(N(I350)/P_Heures*J350,0)))</f>
        <v/>
      </c>
      <c r="L350" s="25"/>
    </row>
    <row r="351" customFormat="false" ht="15" hidden="false" customHeight="false" outlineLevel="0" collapsed="false">
      <c r="A351" s="69"/>
      <c r="B351" s="68"/>
      <c r="C351" s="76" t="str">
        <f aca="false">IF(B351="","",IFERROR(INDEX(PE_Nom,MATCH(B351,PE_Mat,0)),"Matricule inconnu"))</f>
        <v/>
      </c>
      <c r="D351" s="76" t="str">
        <f aca="false">IF(B351="","",IFERROR(INDEX(PE_Fonction,MATCH(B351,PE_Mat,0)),""))</f>
        <v/>
      </c>
      <c r="E351" s="76" t="str">
        <f aca="false">IF(B351="","",IFERROR(INDEX(PE_Equipe,MATCH(B351,PE_Mat,0)),""))</f>
        <v/>
      </c>
      <c r="F351" s="25"/>
      <c r="G351" s="25"/>
      <c r="H351" s="68"/>
      <c r="I351" s="89"/>
      <c r="J351" s="31" t="str">
        <f aca="false">IF(B351="","",IFERROR(INDEX(PE_Taux,MATCH(B351,PE_Mat,0)),0))</f>
        <v/>
      </c>
      <c r="K351" s="31" t="str">
        <f aca="false">IF(B351="","",IF(H351="A",0,IFERROR(N(I351)/P_Heures*J351,0)))</f>
        <v/>
      </c>
      <c r="L351" s="25"/>
    </row>
    <row r="352" customFormat="false" ht="15" hidden="false" customHeight="false" outlineLevel="0" collapsed="false">
      <c r="A352" s="69"/>
      <c r="B352" s="68"/>
      <c r="C352" s="76" t="str">
        <f aca="false">IF(B352="","",IFERROR(INDEX(PE_Nom,MATCH(B352,PE_Mat,0)),"Matricule inconnu"))</f>
        <v/>
      </c>
      <c r="D352" s="76" t="str">
        <f aca="false">IF(B352="","",IFERROR(INDEX(PE_Fonction,MATCH(B352,PE_Mat,0)),""))</f>
        <v/>
      </c>
      <c r="E352" s="76" t="str">
        <f aca="false">IF(B352="","",IFERROR(INDEX(PE_Equipe,MATCH(B352,PE_Mat,0)),""))</f>
        <v/>
      </c>
      <c r="F352" s="25"/>
      <c r="G352" s="25"/>
      <c r="H352" s="68"/>
      <c r="I352" s="89"/>
      <c r="J352" s="31" t="str">
        <f aca="false">IF(B352="","",IFERROR(INDEX(PE_Taux,MATCH(B352,PE_Mat,0)),0))</f>
        <v/>
      </c>
      <c r="K352" s="31" t="str">
        <f aca="false">IF(B352="","",IF(H352="A",0,IFERROR(N(I352)/P_Heures*J352,0)))</f>
        <v/>
      </c>
      <c r="L352" s="25"/>
    </row>
    <row r="353" customFormat="false" ht="15" hidden="false" customHeight="false" outlineLevel="0" collapsed="false">
      <c r="A353" s="69"/>
      <c r="B353" s="68"/>
      <c r="C353" s="76" t="str">
        <f aca="false">IF(B353="","",IFERROR(INDEX(PE_Nom,MATCH(B353,PE_Mat,0)),"Matricule inconnu"))</f>
        <v/>
      </c>
      <c r="D353" s="76" t="str">
        <f aca="false">IF(B353="","",IFERROR(INDEX(PE_Fonction,MATCH(B353,PE_Mat,0)),""))</f>
        <v/>
      </c>
      <c r="E353" s="76" t="str">
        <f aca="false">IF(B353="","",IFERROR(INDEX(PE_Equipe,MATCH(B353,PE_Mat,0)),""))</f>
        <v/>
      </c>
      <c r="F353" s="25"/>
      <c r="G353" s="25"/>
      <c r="H353" s="68"/>
      <c r="I353" s="89"/>
      <c r="J353" s="31" t="str">
        <f aca="false">IF(B353="","",IFERROR(INDEX(PE_Taux,MATCH(B353,PE_Mat,0)),0))</f>
        <v/>
      </c>
      <c r="K353" s="31" t="str">
        <f aca="false">IF(B353="","",IF(H353="A",0,IFERROR(N(I353)/P_Heures*J353,0)))</f>
        <v/>
      </c>
      <c r="L353" s="25"/>
    </row>
    <row r="354" customFormat="false" ht="15" hidden="false" customHeight="false" outlineLevel="0" collapsed="false">
      <c r="A354" s="69"/>
      <c r="B354" s="68"/>
      <c r="C354" s="76" t="str">
        <f aca="false">IF(B354="","",IFERROR(INDEX(PE_Nom,MATCH(B354,PE_Mat,0)),"Matricule inconnu"))</f>
        <v/>
      </c>
      <c r="D354" s="76" t="str">
        <f aca="false">IF(B354="","",IFERROR(INDEX(PE_Fonction,MATCH(B354,PE_Mat,0)),""))</f>
        <v/>
      </c>
      <c r="E354" s="76" t="str">
        <f aca="false">IF(B354="","",IFERROR(INDEX(PE_Equipe,MATCH(B354,PE_Mat,0)),""))</f>
        <v/>
      </c>
      <c r="F354" s="25"/>
      <c r="G354" s="25"/>
      <c r="H354" s="68"/>
      <c r="I354" s="89"/>
      <c r="J354" s="31" t="str">
        <f aca="false">IF(B354="","",IFERROR(INDEX(PE_Taux,MATCH(B354,PE_Mat,0)),0))</f>
        <v/>
      </c>
      <c r="K354" s="31" t="str">
        <f aca="false">IF(B354="","",IF(H354="A",0,IFERROR(N(I354)/P_Heures*J354,0)))</f>
        <v/>
      </c>
      <c r="L354" s="25"/>
    </row>
    <row r="355" customFormat="false" ht="15" hidden="false" customHeight="false" outlineLevel="0" collapsed="false">
      <c r="A355" s="69"/>
      <c r="B355" s="68"/>
      <c r="C355" s="76" t="str">
        <f aca="false">IF(B355="","",IFERROR(INDEX(PE_Nom,MATCH(B355,PE_Mat,0)),"Matricule inconnu"))</f>
        <v/>
      </c>
      <c r="D355" s="76" t="str">
        <f aca="false">IF(B355="","",IFERROR(INDEX(PE_Fonction,MATCH(B355,PE_Mat,0)),""))</f>
        <v/>
      </c>
      <c r="E355" s="76" t="str">
        <f aca="false">IF(B355="","",IFERROR(INDEX(PE_Equipe,MATCH(B355,PE_Mat,0)),""))</f>
        <v/>
      </c>
      <c r="F355" s="25"/>
      <c r="G355" s="25"/>
      <c r="H355" s="68"/>
      <c r="I355" s="89"/>
      <c r="J355" s="31" t="str">
        <f aca="false">IF(B355="","",IFERROR(INDEX(PE_Taux,MATCH(B355,PE_Mat,0)),0))</f>
        <v/>
      </c>
      <c r="K355" s="31" t="str">
        <f aca="false">IF(B355="","",IF(H355="A",0,IFERROR(N(I355)/P_Heures*J355,0)))</f>
        <v/>
      </c>
      <c r="L355" s="25"/>
    </row>
    <row r="356" customFormat="false" ht="15" hidden="false" customHeight="false" outlineLevel="0" collapsed="false">
      <c r="A356" s="69"/>
      <c r="B356" s="68"/>
      <c r="C356" s="76" t="str">
        <f aca="false">IF(B356="","",IFERROR(INDEX(PE_Nom,MATCH(B356,PE_Mat,0)),"Matricule inconnu"))</f>
        <v/>
      </c>
      <c r="D356" s="76" t="str">
        <f aca="false">IF(B356="","",IFERROR(INDEX(PE_Fonction,MATCH(B356,PE_Mat,0)),""))</f>
        <v/>
      </c>
      <c r="E356" s="76" t="str">
        <f aca="false">IF(B356="","",IFERROR(INDEX(PE_Equipe,MATCH(B356,PE_Mat,0)),""))</f>
        <v/>
      </c>
      <c r="F356" s="25"/>
      <c r="G356" s="25"/>
      <c r="H356" s="68"/>
      <c r="I356" s="89"/>
      <c r="J356" s="31" t="str">
        <f aca="false">IF(B356="","",IFERROR(INDEX(PE_Taux,MATCH(B356,PE_Mat,0)),0))</f>
        <v/>
      </c>
      <c r="K356" s="31" t="str">
        <f aca="false">IF(B356="","",IF(H356="A",0,IFERROR(N(I356)/P_Heures*J356,0)))</f>
        <v/>
      </c>
      <c r="L356" s="25"/>
    </row>
    <row r="357" customFormat="false" ht="15" hidden="false" customHeight="false" outlineLevel="0" collapsed="false">
      <c r="A357" s="69"/>
      <c r="B357" s="68"/>
      <c r="C357" s="76" t="str">
        <f aca="false">IF(B357="","",IFERROR(INDEX(PE_Nom,MATCH(B357,PE_Mat,0)),"Matricule inconnu"))</f>
        <v/>
      </c>
      <c r="D357" s="76" t="str">
        <f aca="false">IF(B357="","",IFERROR(INDEX(PE_Fonction,MATCH(B357,PE_Mat,0)),""))</f>
        <v/>
      </c>
      <c r="E357" s="76" t="str">
        <f aca="false">IF(B357="","",IFERROR(INDEX(PE_Equipe,MATCH(B357,PE_Mat,0)),""))</f>
        <v/>
      </c>
      <c r="F357" s="25"/>
      <c r="G357" s="25"/>
      <c r="H357" s="68"/>
      <c r="I357" s="89"/>
      <c r="J357" s="31" t="str">
        <f aca="false">IF(B357="","",IFERROR(INDEX(PE_Taux,MATCH(B357,PE_Mat,0)),0))</f>
        <v/>
      </c>
      <c r="K357" s="31" t="str">
        <f aca="false">IF(B357="","",IF(H357="A",0,IFERROR(N(I357)/P_Heures*J357,0)))</f>
        <v/>
      </c>
      <c r="L357" s="25"/>
    </row>
    <row r="358" customFormat="false" ht="15" hidden="false" customHeight="false" outlineLevel="0" collapsed="false">
      <c r="A358" s="69"/>
      <c r="B358" s="68"/>
      <c r="C358" s="76" t="str">
        <f aca="false">IF(B358="","",IFERROR(INDEX(PE_Nom,MATCH(B358,PE_Mat,0)),"Matricule inconnu"))</f>
        <v/>
      </c>
      <c r="D358" s="76" t="str">
        <f aca="false">IF(B358="","",IFERROR(INDEX(PE_Fonction,MATCH(B358,PE_Mat,0)),""))</f>
        <v/>
      </c>
      <c r="E358" s="76" t="str">
        <f aca="false">IF(B358="","",IFERROR(INDEX(PE_Equipe,MATCH(B358,PE_Mat,0)),""))</f>
        <v/>
      </c>
      <c r="F358" s="25"/>
      <c r="G358" s="25"/>
      <c r="H358" s="68"/>
      <c r="I358" s="89"/>
      <c r="J358" s="31" t="str">
        <f aca="false">IF(B358="","",IFERROR(INDEX(PE_Taux,MATCH(B358,PE_Mat,0)),0))</f>
        <v/>
      </c>
      <c r="K358" s="31" t="str">
        <f aca="false">IF(B358="","",IF(H358="A",0,IFERROR(N(I358)/P_Heures*J358,0)))</f>
        <v/>
      </c>
      <c r="L358" s="25"/>
    </row>
    <row r="359" customFormat="false" ht="15" hidden="false" customHeight="false" outlineLevel="0" collapsed="false">
      <c r="A359" s="69"/>
      <c r="B359" s="68"/>
      <c r="C359" s="76" t="str">
        <f aca="false">IF(B359="","",IFERROR(INDEX(PE_Nom,MATCH(B359,PE_Mat,0)),"Matricule inconnu"))</f>
        <v/>
      </c>
      <c r="D359" s="76" t="str">
        <f aca="false">IF(B359="","",IFERROR(INDEX(PE_Fonction,MATCH(B359,PE_Mat,0)),""))</f>
        <v/>
      </c>
      <c r="E359" s="76" t="str">
        <f aca="false">IF(B359="","",IFERROR(INDEX(PE_Equipe,MATCH(B359,PE_Mat,0)),""))</f>
        <v/>
      </c>
      <c r="F359" s="25"/>
      <c r="G359" s="25"/>
      <c r="H359" s="68"/>
      <c r="I359" s="89"/>
      <c r="J359" s="31" t="str">
        <f aca="false">IF(B359="","",IFERROR(INDEX(PE_Taux,MATCH(B359,PE_Mat,0)),0))</f>
        <v/>
      </c>
      <c r="K359" s="31" t="str">
        <f aca="false">IF(B359="","",IF(H359="A",0,IFERROR(N(I359)/P_Heures*J359,0)))</f>
        <v/>
      </c>
      <c r="L359" s="25"/>
    </row>
    <row r="360" customFormat="false" ht="15" hidden="false" customHeight="false" outlineLevel="0" collapsed="false">
      <c r="A360" s="69"/>
      <c r="B360" s="68"/>
      <c r="C360" s="76" t="str">
        <f aca="false">IF(B360="","",IFERROR(INDEX(PE_Nom,MATCH(B360,PE_Mat,0)),"Matricule inconnu"))</f>
        <v/>
      </c>
      <c r="D360" s="76" t="str">
        <f aca="false">IF(B360="","",IFERROR(INDEX(PE_Fonction,MATCH(B360,PE_Mat,0)),""))</f>
        <v/>
      </c>
      <c r="E360" s="76" t="str">
        <f aca="false">IF(B360="","",IFERROR(INDEX(PE_Equipe,MATCH(B360,PE_Mat,0)),""))</f>
        <v/>
      </c>
      <c r="F360" s="25"/>
      <c r="G360" s="25"/>
      <c r="H360" s="68"/>
      <c r="I360" s="89"/>
      <c r="J360" s="31" t="str">
        <f aca="false">IF(B360="","",IFERROR(INDEX(PE_Taux,MATCH(B360,PE_Mat,0)),0))</f>
        <v/>
      </c>
      <c r="K360" s="31" t="str">
        <f aca="false">IF(B360="","",IF(H360="A",0,IFERROR(N(I360)/P_Heures*J360,0)))</f>
        <v/>
      </c>
      <c r="L360" s="25"/>
    </row>
    <row r="361" customFormat="false" ht="15" hidden="false" customHeight="false" outlineLevel="0" collapsed="false">
      <c r="A361" s="69"/>
      <c r="B361" s="68"/>
      <c r="C361" s="76" t="str">
        <f aca="false">IF(B361="","",IFERROR(INDEX(PE_Nom,MATCH(B361,PE_Mat,0)),"Matricule inconnu"))</f>
        <v/>
      </c>
      <c r="D361" s="76" t="str">
        <f aca="false">IF(B361="","",IFERROR(INDEX(PE_Fonction,MATCH(B361,PE_Mat,0)),""))</f>
        <v/>
      </c>
      <c r="E361" s="76" t="str">
        <f aca="false">IF(B361="","",IFERROR(INDEX(PE_Equipe,MATCH(B361,PE_Mat,0)),""))</f>
        <v/>
      </c>
      <c r="F361" s="25"/>
      <c r="G361" s="25"/>
      <c r="H361" s="68"/>
      <c r="I361" s="89"/>
      <c r="J361" s="31" t="str">
        <f aca="false">IF(B361="","",IFERROR(INDEX(PE_Taux,MATCH(B361,PE_Mat,0)),0))</f>
        <v/>
      </c>
      <c r="K361" s="31" t="str">
        <f aca="false">IF(B361="","",IF(H361="A",0,IFERROR(N(I361)/P_Heures*J361,0)))</f>
        <v/>
      </c>
      <c r="L361" s="25"/>
    </row>
    <row r="362" customFormat="false" ht="15" hidden="false" customHeight="false" outlineLevel="0" collapsed="false">
      <c r="A362" s="69"/>
      <c r="B362" s="68"/>
      <c r="C362" s="76" t="str">
        <f aca="false">IF(B362="","",IFERROR(INDEX(PE_Nom,MATCH(B362,PE_Mat,0)),"Matricule inconnu"))</f>
        <v/>
      </c>
      <c r="D362" s="76" t="str">
        <f aca="false">IF(B362="","",IFERROR(INDEX(PE_Fonction,MATCH(B362,PE_Mat,0)),""))</f>
        <v/>
      </c>
      <c r="E362" s="76" t="str">
        <f aca="false">IF(B362="","",IFERROR(INDEX(PE_Equipe,MATCH(B362,PE_Mat,0)),""))</f>
        <v/>
      </c>
      <c r="F362" s="25"/>
      <c r="G362" s="25"/>
      <c r="H362" s="68"/>
      <c r="I362" s="89"/>
      <c r="J362" s="31" t="str">
        <f aca="false">IF(B362="","",IFERROR(INDEX(PE_Taux,MATCH(B362,PE_Mat,0)),0))</f>
        <v/>
      </c>
      <c r="K362" s="31" t="str">
        <f aca="false">IF(B362="","",IF(H362="A",0,IFERROR(N(I362)/P_Heures*J362,0)))</f>
        <v/>
      </c>
      <c r="L362" s="25"/>
    </row>
    <row r="363" customFormat="false" ht="15" hidden="false" customHeight="false" outlineLevel="0" collapsed="false">
      <c r="A363" s="69"/>
      <c r="B363" s="68"/>
      <c r="C363" s="76" t="str">
        <f aca="false">IF(B363="","",IFERROR(INDEX(PE_Nom,MATCH(B363,PE_Mat,0)),"Matricule inconnu"))</f>
        <v/>
      </c>
      <c r="D363" s="76" t="str">
        <f aca="false">IF(B363="","",IFERROR(INDEX(PE_Fonction,MATCH(B363,PE_Mat,0)),""))</f>
        <v/>
      </c>
      <c r="E363" s="76" t="str">
        <f aca="false">IF(B363="","",IFERROR(INDEX(PE_Equipe,MATCH(B363,PE_Mat,0)),""))</f>
        <v/>
      </c>
      <c r="F363" s="25"/>
      <c r="G363" s="25"/>
      <c r="H363" s="68"/>
      <c r="I363" s="89"/>
      <c r="J363" s="31" t="str">
        <f aca="false">IF(B363="","",IFERROR(INDEX(PE_Taux,MATCH(B363,PE_Mat,0)),0))</f>
        <v/>
      </c>
      <c r="K363" s="31" t="str">
        <f aca="false">IF(B363="","",IF(H363="A",0,IFERROR(N(I363)/P_Heures*J363,0)))</f>
        <v/>
      </c>
      <c r="L363" s="25"/>
    </row>
    <row r="364" customFormat="false" ht="15" hidden="false" customHeight="false" outlineLevel="0" collapsed="false">
      <c r="A364" s="69"/>
      <c r="B364" s="68"/>
      <c r="C364" s="76" t="str">
        <f aca="false">IF(B364="","",IFERROR(INDEX(PE_Nom,MATCH(B364,PE_Mat,0)),"Matricule inconnu"))</f>
        <v/>
      </c>
      <c r="D364" s="76" t="str">
        <f aca="false">IF(B364="","",IFERROR(INDEX(PE_Fonction,MATCH(B364,PE_Mat,0)),""))</f>
        <v/>
      </c>
      <c r="E364" s="76" t="str">
        <f aca="false">IF(B364="","",IFERROR(INDEX(PE_Equipe,MATCH(B364,PE_Mat,0)),""))</f>
        <v/>
      </c>
      <c r="F364" s="25"/>
      <c r="G364" s="25"/>
      <c r="H364" s="68"/>
      <c r="I364" s="89"/>
      <c r="J364" s="31" t="str">
        <f aca="false">IF(B364="","",IFERROR(INDEX(PE_Taux,MATCH(B364,PE_Mat,0)),0))</f>
        <v/>
      </c>
      <c r="K364" s="31" t="str">
        <f aca="false">IF(B364="","",IF(H364="A",0,IFERROR(N(I364)/P_Heures*J364,0)))</f>
        <v/>
      </c>
      <c r="L364" s="25"/>
    </row>
    <row r="365" customFormat="false" ht="15" hidden="false" customHeight="false" outlineLevel="0" collapsed="false">
      <c r="A365" s="69"/>
      <c r="B365" s="68"/>
      <c r="C365" s="76" t="str">
        <f aca="false">IF(B365="","",IFERROR(INDEX(PE_Nom,MATCH(B365,PE_Mat,0)),"Matricule inconnu"))</f>
        <v/>
      </c>
      <c r="D365" s="76" t="str">
        <f aca="false">IF(B365="","",IFERROR(INDEX(PE_Fonction,MATCH(B365,PE_Mat,0)),""))</f>
        <v/>
      </c>
      <c r="E365" s="76" t="str">
        <f aca="false">IF(B365="","",IFERROR(INDEX(PE_Equipe,MATCH(B365,PE_Mat,0)),""))</f>
        <v/>
      </c>
      <c r="F365" s="25"/>
      <c r="G365" s="25"/>
      <c r="H365" s="68"/>
      <c r="I365" s="89"/>
      <c r="J365" s="31" t="str">
        <f aca="false">IF(B365="","",IFERROR(INDEX(PE_Taux,MATCH(B365,PE_Mat,0)),0))</f>
        <v/>
      </c>
      <c r="K365" s="31" t="str">
        <f aca="false">IF(B365="","",IF(H365="A",0,IFERROR(N(I365)/P_Heures*J365,0)))</f>
        <v/>
      </c>
      <c r="L365" s="25"/>
    </row>
    <row r="366" customFormat="false" ht="15" hidden="false" customHeight="false" outlineLevel="0" collapsed="false">
      <c r="A366" s="69"/>
      <c r="B366" s="68"/>
      <c r="C366" s="76" t="str">
        <f aca="false">IF(B366="","",IFERROR(INDEX(PE_Nom,MATCH(B366,PE_Mat,0)),"Matricule inconnu"))</f>
        <v/>
      </c>
      <c r="D366" s="76" t="str">
        <f aca="false">IF(B366="","",IFERROR(INDEX(PE_Fonction,MATCH(B366,PE_Mat,0)),""))</f>
        <v/>
      </c>
      <c r="E366" s="76" t="str">
        <f aca="false">IF(B366="","",IFERROR(INDEX(PE_Equipe,MATCH(B366,PE_Mat,0)),""))</f>
        <v/>
      </c>
      <c r="F366" s="25"/>
      <c r="G366" s="25"/>
      <c r="H366" s="68"/>
      <c r="I366" s="89"/>
      <c r="J366" s="31" t="str">
        <f aca="false">IF(B366="","",IFERROR(INDEX(PE_Taux,MATCH(B366,PE_Mat,0)),0))</f>
        <v/>
      </c>
      <c r="K366" s="31" t="str">
        <f aca="false">IF(B366="","",IF(H366="A",0,IFERROR(N(I366)/P_Heures*J366,0)))</f>
        <v/>
      </c>
      <c r="L366" s="25"/>
    </row>
    <row r="367" customFormat="false" ht="15" hidden="false" customHeight="false" outlineLevel="0" collapsed="false">
      <c r="A367" s="69"/>
      <c r="B367" s="68"/>
      <c r="C367" s="76" t="str">
        <f aca="false">IF(B367="","",IFERROR(INDEX(PE_Nom,MATCH(B367,PE_Mat,0)),"Matricule inconnu"))</f>
        <v/>
      </c>
      <c r="D367" s="76" t="str">
        <f aca="false">IF(B367="","",IFERROR(INDEX(PE_Fonction,MATCH(B367,PE_Mat,0)),""))</f>
        <v/>
      </c>
      <c r="E367" s="76" t="str">
        <f aca="false">IF(B367="","",IFERROR(INDEX(PE_Equipe,MATCH(B367,PE_Mat,0)),""))</f>
        <v/>
      </c>
      <c r="F367" s="25"/>
      <c r="G367" s="25"/>
      <c r="H367" s="68"/>
      <c r="I367" s="89"/>
      <c r="J367" s="31" t="str">
        <f aca="false">IF(B367="","",IFERROR(INDEX(PE_Taux,MATCH(B367,PE_Mat,0)),0))</f>
        <v/>
      </c>
      <c r="K367" s="31" t="str">
        <f aca="false">IF(B367="","",IF(H367="A",0,IFERROR(N(I367)/P_Heures*J367,0)))</f>
        <v/>
      </c>
      <c r="L367" s="25"/>
    </row>
    <row r="368" customFormat="false" ht="15" hidden="false" customHeight="false" outlineLevel="0" collapsed="false">
      <c r="A368" s="69"/>
      <c r="B368" s="68"/>
      <c r="C368" s="76" t="str">
        <f aca="false">IF(B368="","",IFERROR(INDEX(PE_Nom,MATCH(B368,PE_Mat,0)),"Matricule inconnu"))</f>
        <v/>
      </c>
      <c r="D368" s="76" t="str">
        <f aca="false">IF(B368="","",IFERROR(INDEX(PE_Fonction,MATCH(B368,PE_Mat,0)),""))</f>
        <v/>
      </c>
      <c r="E368" s="76" t="str">
        <f aca="false">IF(B368="","",IFERROR(INDEX(PE_Equipe,MATCH(B368,PE_Mat,0)),""))</f>
        <v/>
      </c>
      <c r="F368" s="25"/>
      <c r="G368" s="25"/>
      <c r="H368" s="68"/>
      <c r="I368" s="89"/>
      <c r="J368" s="31" t="str">
        <f aca="false">IF(B368="","",IFERROR(INDEX(PE_Taux,MATCH(B368,PE_Mat,0)),0))</f>
        <v/>
      </c>
      <c r="K368" s="31" t="str">
        <f aca="false">IF(B368="","",IF(H368="A",0,IFERROR(N(I368)/P_Heures*J368,0)))</f>
        <v/>
      </c>
      <c r="L368" s="25"/>
    </row>
    <row r="369" customFormat="false" ht="15" hidden="false" customHeight="false" outlineLevel="0" collapsed="false">
      <c r="A369" s="69"/>
      <c r="B369" s="68"/>
      <c r="C369" s="76" t="str">
        <f aca="false">IF(B369="","",IFERROR(INDEX(PE_Nom,MATCH(B369,PE_Mat,0)),"Matricule inconnu"))</f>
        <v/>
      </c>
      <c r="D369" s="76" t="str">
        <f aca="false">IF(B369="","",IFERROR(INDEX(PE_Fonction,MATCH(B369,PE_Mat,0)),""))</f>
        <v/>
      </c>
      <c r="E369" s="76" t="str">
        <f aca="false">IF(B369="","",IFERROR(INDEX(PE_Equipe,MATCH(B369,PE_Mat,0)),""))</f>
        <v/>
      </c>
      <c r="F369" s="25"/>
      <c r="G369" s="25"/>
      <c r="H369" s="68"/>
      <c r="I369" s="89"/>
      <c r="J369" s="31" t="str">
        <f aca="false">IF(B369="","",IFERROR(INDEX(PE_Taux,MATCH(B369,PE_Mat,0)),0))</f>
        <v/>
      </c>
      <c r="K369" s="31" t="str">
        <f aca="false">IF(B369="","",IF(H369="A",0,IFERROR(N(I369)/P_Heures*J369,0)))</f>
        <v/>
      </c>
      <c r="L369" s="25"/>
    </row>
    <row r="370" customFormat="false" ht="15" hidden="false" customHeight="false" outlineLevel="0" collapsed="false">
      <c r="A370" s="69"/>
      <c r="B370" s="68"/>
      <c r="C370" s="76" t="str">
        <f aca="false">IF(B370="","",IFERROR(INDEX(PE_Nom,MATCH(B370,PE_Mat,0)),"Matricule inconnu"))</f>
        <v/>
      </c>
      <c r="D370" s="76" t="str">
        <f aca="false">IF(B370="","",IFERROR(INDEX(PE_Fonction,MATCH(B370,PE_Mat,0)),""))</f>
        <v/>
      </c>
      <c r="E370" s="76" t="str">
        <f aca="false">IF(B370="","",IFERROR(INDEX(PE_Equipe,MATCH(B370,PE_Mat,0)),""))</f>
        <v/>
      </c>
      <c r="F370" s="25"/>
      <c r="G370" s="25"/>
      <c r="H370" s="68"/>
      <c r="I370" s="89"/>
      <c r="J370" s="31" t="str">
        <f aca="false">IF(B370="","",IFERROR(INDEX(PE_Taux,MATCH(B370,PE_Mat,0)),0))</f>
        <v/>
      </c>
      <c r="K370" s="31" t="str">
        <f aca="false">IF(B370="","",IF(H370="A",0,IFERROR(N(I370)/P_Heures*J370,0)))</f>
        <v/>
      </c>
      <c r="L370" s="25"/>
    </row>
    <row r="371" customFormat="false" ht="15" hidden="false" customHeight="false" outlineLevel="0" collapsed="false">
      <c r="A371" s="69"/>
      <c r="B371" s="68"/>
      <c r="C371" s="76" t="str">
        <f aca="false">IF(B371="","",IFERROR(INDEX(PE_Nom,MATCH(B371,PE_Mat,0)),"Matricule inconnu"))</f>
        <v/>
      </c>
      <c r="D371" s="76" t="str">
        <f aca="false">IF(B371="","",IFERROR(INDEX(PE_Fonction,MATCH(B371,PE_Mat,0)),""))</f>
        <v/>
      </c>
      <c r="E371" s="76" t="str">
        <f aca="false">IF(B371="","",IFERROR(INDEX(PE_Equipe,MATCH(B371,PE_Mat,0)),""))</f>
        <v/>
      </c>
      <c r="F371" s="25"/>
      <c r="G371" s="25"/>
      <c r="H371" s="68"/>
      <c r="I371" s="89"/>
      <c r="J371" s="31" t="str">
        <f aca="false">IF(B371="","",IFERROR(INDEX(PE_Taux,MATCH(B371,PE_Mat,0)),0))</f>
        <v/>
      </c>
      <c r="K371" s="31" t="str">
        <f aca="false">IF(B371="","",IF(H371="A",0,IFERROR(N(I371)/P_Heures*J371,0)))</f>
        <v/>
      </c>
      <c r="L371" s="25"/>
    </row>
    <row r="372" customFormat="false" ht="15" hidden="false" customHeight="false" outlineLevel="0" collapsed="false">
      <c r="A372" s="69"/>
      <c r="B372" s="68"/>
      <c r="C372" s="76" t="str">
        <f aca="false">IF(B372="","",IFERROR(INDEX(PE_Nom,MATCH(B372,PE_Mat,0)),"Matricule inconnu"))</f>
        <v/>
      </c>
      <c r="D372" s="76" t="str">
        <f aca="false">IF(B372="","",IFERROR(INDEX(PE_Fonction,MATCH(B372,PE_Mat,0)),""))</f>
        <v/>
      </c>
      <c r="E372" s="76" t="str">
        <f aca="false">IF(B372="","",IFERROR(INDEX(PE_Equipe,MATCH(B372,PE_Mat,0)),""))</f>
        <v/>
      </c>
      <c r="F372" s="25"/>
      <c r="G372" s="25"/>
      <c r="H372" s="68"/>
      <c r="I372" s="89"/>
      <c r="J372" s="31" t="str">
        <f aca="false">IF(B372="","",IFERROR(INDEX(PE_Taux,MATCH(B372,PE_Mat,0)),0))</f>
        <v/>
      </c>
      <c r="K372" s="31" t="str">
        <f aca="false">IF(B372="","",IF(H372="A",0,IFERROR(N(I372)/P_Heures*J372,0)))</f>
        <v/>
      </c>
      <c r="L372" s="25"/>
    </row>
    <row r="373" customFormat="false" ht="15" hidden="false" customHeight="false" outlineLevel="0" collapsed="false">
      <c r="A373" s="69"/>
      <c r="B373" s="68"/>
      <c r="C373" s="76" t="str">
        <f aca="false">IF(B373="","",IFERROR(INDEX(PE_Nom,MATCH(B373,PE_Mat,0)),"Matricule inconnu"))</f>
        <v/>
      </c>
      <c r="D373" s="76" t="str">
        <f aca="false">IF(B373="","",IFERROR(INDEX(PE_Fonction,MATCH(B373,PE_Mat,0)),""))</f>
        <v/>
      </c>
      <c r="E373" s="76" t="str">
        <f aca="false">IF(B373="","",IFERROR(INDEX(PE_Equipe,MATCH(B373,PE_Mat,0)),""))</f>
        <v/>
      </c>
      <c r="F373" s="25"/>
      <c r="G373" s="25"/>
      <c r="H373" s="68"/>
      <c r="I373" s="89"/>
      <c r="J373" s="31" t="str">
        <f aca="false">IF(B373="","",IFERROR(INDEX(PE_Taux,MATCH(B373,PE_Mat,0)),0))</f>
        <v/>
      </c>
      <c r="K373" s="31" t="str">
        <f aca="false">IF(B373="","",IF(H373="A",0,IFERROR(N(I373)/P_Heures*J373,0)))</f>
        <v/>
      </c>
      <c r="L373" s="25"/>
    </row>
    <row r="374" customFormat="false" ht="15" hidden="false" customHeight="false" outlineLevel="0" collapsed="false">
      <c r="A374" s="69"/>
      <c r="B374" s="68"/>
      <c r="C374" s="76" t="str">
        <f aca="false">IF(B374="","",IFERROR(INDEX(PE_Nom,MATCH(B374,PE_Mat,0)),"Matricule inconnu"))</f>
        <v/>
      </c>
      <c r="D374" s="76" t="str">
        <f aca="false">IF(B374="","",IFERROR(INDEX(PE_Fonction,MATCH(B374,PE_Mat,0)),""))</f>
        <v/>
      </c>
      <c r="E374" s="76" t="str">
        <f aca="false">IF(B374="","",IFERROR(INDEX(PE_Equipe,MATCH(B374,PE_Mat,0)),""))</f>
        <v/>
      </c>
      <c r="F374" s="25"/>
      <c r="G374" s="25"/>
      <c r="H374" s="68"/>
      <c r="I374" s="89"/>
      <c r="J374" s="31" t="str">
        <f aca="false">IF(B374="","",IFERROR(INDEX(PE_Taux,MATCH(B374,PE_Mat,0)),0))</f>
        <v/>
      </c>
      <c r="K374" s="31" t="str">
        <f aca="false">IF(B374="","",IF(H374="A",0,IFERROR(N(I374)/P_Heures*J374,0)))</f>
        <v/>
      </c>
      <c r="L374" s="25"/>
    </row>
    <row r="375" customFormat="false" ht="15" hidden="false" customHeight="false" outlineLevel="0" collapsed="false">
      <c r="A375" s="69"/>
      <c r="B375" s="68"/>
      <c r="C375" s="76" t="str">
        <f aca="false">IF(B375="","",IFERROR(INDEX(PE_Nom,MATCH(B375,PE_Mat,0)),"Matricule inconnu"))</f>
        <v/>
      </c>
      <c r="D375" s="76" t="str">
        <f aca="false">IF(B375="","",IFERROR(INDEX(PE_Fonction,MATCH(B375,PE_Mat,0)),""))</f>
        <v/>
      </c>
      <c r="E375" s="76" t="str">
        <f aca="false">IF(B375="","",IFERROR(INDEX(PE_Equipe,MATCH(B375,PE_Mat,0)),""))</f>
        <v/>
      </c>
      <c r="F375" s="25"/>
      <c r="G375" s="25"/>
      <c r="H375" s="68"/>
      <c r="I375" s="89"/>
      <c r="J375" s="31" t="str">
        <f aca="false">IF(B375="","",IFERROR(INDEX(PE_Taux,MATCH(B375,PE_Mat,0)),0))</f>
        <v/>
      </c>
      <c r="K375" s="31" t="str">
        <f aca="false">IF(B375="","",IF(H375="A",0,IFERROR(N(I375)/P_Heures*J375,0)))</f>
        <v/>
      </c>
      <c r="L375" s="25"/>
    </row>
    <row r="376" customFormat="false" ht="15" hidden="false" customHeight="false" outlineLevel="0" collapsed="false">
      <c r="A376" s="69"/>
      <c r="B376" s="68"/>
      <c r="C376" s="76" t="str">
        <f aca="false">IF(B376="","",IFERROR(INDEX(PE_Nom,MATCH(B376,PE_Mat,0)),"Matricule inconnu"))</f>
        <v/>
      </c>
      <c r="D376" s="76" t="str">
        <f aca="false">IF(B376="","",IFERROR(INDEX(PE_Fonction,MATCH(B376,PE_Mat,0)),""))</f>
        <v/>
      </c>
      <c r="E376" s="76" t="str">
        <f aca="false">IF(B376="","",IFERROR(INDEX(PE_Equipe,MATCH(B376,PE_Mat,0)),""))</f>
        <v/>
      </c>
      <c r="F376" s="25"/>
      <c r="G376" s="25"/>
      <c r="H376" s="68"/>
      <c r="I376" s="89"/>
      <c r="J376" s="31" t="str">
        <f aca="false">IF(B376="","",IFERROR(INDEX(PE_Taux,MATCH(B376,PE_Mat,0)),0))</f>
        <v/>
      </c>
      <c r="K376" s="31" t="str">
        <f aca="false">IF(B376="","",IF(H376="A",0,IFERROR(N(I376)/P_Heures*J376,0)))</f>
        <v/>
      </c>
      <c r="L376" s="25"/>
    </row>
    <row r="377" customFormat="false" ht="15" hidden="false" customHeight="false" outlineLevel="0" collapsed="false">
      <c r="A377" s="69"/>
      <c r="B377" s="68"/>
      <c r="C377" s="76" t="str">
        <f aca="false">IF(B377="","",IFERROR(INDEX(PE_Nom,MATCH(B377,PE_Mat,0)),"Matricule inconnu"))</f>
        <v/>
      </c>
      <c r="D377" s="76" t="str">
        <f aca="false">IF(B377="","",IFERROR(INDEX(PE_Fonction,MATCH(B377,PE_Mat,0)),""))</f>
        <v/>
      </c>
      <c r="E377" s="76" t="str">
        <f aca="false">IF(B377="","",IFERROR(INDEX(PE_Equipe,MATCH(B377,PE_Mat,0)),""))</f>
        <v/>
      </c>
      <c r="F377" s="25"/>
      <c r="G377" s="25"/>
      <c r="H377" s="68"/>
      <c r="I377" s="89"/>
      <c r="J377" s="31" t="str">
        <f aca="false">IF(B377="","",IFERROR(INDEX(PE_Taux,MATCH(B377,PE_Mat,0)),0))</f>
        <v/>
      </c>
      <c r="K377" s="31" t="str">
        <f aca="false">IF(B377="","",IF(H377="A",0,IFERROR(N(I377)/P_Heures*J377,0)))</f>
        <v/>
      </c>
      <c r="L377" s="25"/>
    </row>
    <row r="378" customFormat="false" ht="15" hidden="false" customHeight="false" outlineLevel="0" collapsed="false">
      <c r="A378" s="69"/>
      <c r="B378" s="68"/>
      <c r="C378" s="76" t="str">
        <f aca="false">IF(B378="","",IFERROR(INDEX(PE_Nom,MATCH(B378,PE_Mat,0)),"Matricule inconnu"))</f>
        <v/>
      </c>
      <c r="D378" s="76" t="str">
        <f aca="false">IF(B378="","",IFERROR(INDEX(PE_Fonction,MATCH(B378,PE_Mat,0)),""))</f>
        <v/>
      </c>
      <c r="E378" s="76" t="str">
        <f aca="false">IF(B378="","",IFERROR(INDEX(PE_Equipe,MATCH(B378,PE_Mat,0)),""))</f>
        <v/>
      </c>
      <c r="F378" s="25"/>
      <c r="G378" s="25"/>
      <c r="H378" s="68"/>
      <c r="I378" s="89"/>
      <c r="J378" s="31" t="str">
        <f aca="false">IF(B378="","",IFERROR(INDEX(PE_Taux,MATCH(B378,PE_Mat,0)),0))</f>
        <v/>
      </c>
      <c r="K378" s="31" t="str">
        <f aca="false">IF(B378="","",IF(H378="A",0,IFERROR(N(I378)/P_Heures*J378,0)))</f>
        <v/>
      </c>
      <c r="L378" s="25"/>
    </row>
    <row r="379" customFormat="false" ht="15" hidden="false" customHeight="false" outlineLevel="0" collapsed="false">
      <c r="A379" s="69"/>
      <c r="B379" s="68"/>
      <c r="C379" s="76" t="str">
        <f aca="false">IF(B379="","",IFERROR(INDEX(PE_Nom,MATCH(B379,PE_Mat,0)),"Matricule inconnu"))</f>
        <v/>
      </c>
      <c r="D379" s="76" t="str">
        <f aca="false">IF(B379="","",IFERROR(INDEX(PE_Fonction,MATCH(B379,PE_Mat,0)),""))</f>
        <v/>
      </c>
      <c r="E379" s="76" t="str">
        <f aca="false">IF(B379="","",IFERROR(INDEX(PE_Equipe,MATCH(B379,PE_Mat,0)),""))</f>
        <v/>
      </c>
      <c r="F379" s="25"/>
      <c r="G379" s="25"/>
      <c r="H379" s="68"/>
      <c r="I379" s="89"/>
      <c r="J379" s="31" t="str">
        <f aca="false">IF(B379="","",IFERROR(INDEX(PE_Taux,MATCH(B379,PE_Mat,0)),0))</f>
        <v/>
      </c>
      <c r="K379" s="31" t="str">
        <f aca="false">IF(B379="","",IF(H379="A",0,IFERROR(N(I379)/P_Heures*J379,0)))</f>
        <v/>
      </c>
      <c r="L379" s="25"/>
    </row>
    <row r="380" customFormat="false" ht="15" hidden="false" customHeight="false" outlineLevel="0" collapsed="false">
      <c r="A380" s="69"/>
      <c r="B380" s="68"/>
      <c r="C380" s="76" t="str">
        <f aca="false">IF(B380="","",IFERROR(INDEX(PE_Nom,MATCH(B380,PE_Mat,0)),"Matricule inconnu"))</f>
        <v/>
      </c>
      <c r="D380" s="76" t="str">
        <f aca="false">IF(B380="","",IFERROR(INDEX(PE_Fonction,MATCH(B380,PE_Mat,0)),""))</f>
        <v/>
      </c>
      <c r="E380" s="76" t="str">
        <f aca="false">IF(B380="","",IFERROR(INDEX(PE_Equipe,MATCH(B380,PE_Mat,0)),""))</f>
        <v/>
      </c>
      <c r="F380" s="25"/>
      <c r="G380" s="25"/>
      <c r="H380" s="68"/>
      <c r="I380" s="89"/>
      <c r="J380" s="31" t="str">
        <f aca="false">IF(B380="","",IFERROR(INDEX(PE_Taux,MATCH(B380,PE_Mat,0)),0))</f>
        <v/>
      </c>
      <c r="K380" s="31" t="str">
        <f aca="false">IF(B380="","",IF(H380="A",0,IFERROR(N(I380)/P_Heures*J380,0)))</f>
        <v/>
      </c>
      <c r="L380" s="25"/>
    </row>
    <row r="381" customFormat="false" ht="15" hidden="false" customHeight="false" outlineLevel="0" collapsed="false">
      <c r="A381" s="69"/>
      <c r="B381" s="68"/>
      <c r="C381" s="76" t="str">
        <f aca="false">IF(B381="","",IFERROR(INDEX(PE_Nom,MATCH(B381,PE_Mat,0)),"Matricule inconnu"))</f>
        <v/>
      </c>
      <c r="D381" s="76" t="str">
        <f aca="false">IF(B381="","",IFERROR(INDEX(PE_Fonction,MATCH(B381,PE_Mat,0)),""))</f>
        <v/>
      </c>
      <c r="E381" s="76" t="str">
        <f aca="false">IF(B381="","",IFERROR(INDEX(PE_Equipe,MATCH(B381,PE_Mat,0)),""))</f>
        <v/>
      </c>
      <c r="F381" s="25"/>
      <c r="G381" s="25"/>
      <c r="H381" s="68"/>
      <c r="I381" s="89"/>
      <c r="J381" s="31" t="str">
        <f aca="false">IF(B381="","",IFERROR(INDEX(PE_Taux,MATCH(B381,PE_Mat,0)),0))</f>
        <v/>
      </c>
      <c r="K381" s="31" t="str">
        <f aca="false">IF(B381="","",IF(H381="A",0,IFERROR(N(I381)/P_Heures*J381,0)))</f>
        <v/>
      </c>
      <c r="L381" s="25"/>
    </row>
    <row r="382" customFormat="false" ht="15" hidden="false" customHeight="false" outlineLevel="0" collapsed="false">
      <c r="A382" s="69"/>
      <c r="B382" s="68"/>
      <c r="C382" s="76" t="str">
        <f aca="false">IF(B382="","",IFERROR(INDEX(PE_Nom,MATCH(B382,PE_Mat,0)),"Matricule inconnu"))</f>
        <v/>
      </c>
      <c r="D382" s="76" t="str">
        <f aca="false">IF(B382="","",IFERROR(INDEX(PE_Fonction,MATCH(B382,PE_Mat,0)),""))</f>
        <v/>
      </c>
      <c r="E382" s="76" t="str">
        <f aca="false">IF(B382="","",IFERROR(INDEX(PE_Equipe,MATCH(B382,PE_Mat,0)),""))</f>
        <v/>
      </c>
      <c r="F382" s="25"/>
      <c r="G382" s="25"/>
      <c r="H382" s="68"/>
      <c r="I382" s="89"/>
      <c r="J382" s="31" t="str">
        <f aca="false">IF(B382="","",IFERROR(INDEX(PE_Taux,MATCH(B382,PE_Mat,0)),0))</f>
        <v/>
      </c>
      <c r="K382" s="31" t="str">
        <f aca="false">IF(B382="","",IF(H382="A",0,IFERROR(N(I382)/P_Heures*J382,0)))</f>
        <v/>
      </c>
      <c r="L382" s="25"/>
    </row>
    <row r="383" customFormat="false" ht="15" hidden="false" customHeight="false" outlineLevel="0" collapsed="false">
      <c r="A383" s="69"/>
      <c r="B383" s="68"/>
      <c r="C383" s="76" t="str">
        <f aca="false">IF(B383="","",IFERROR(INDEX(PE_Nom,MATCH(B383,PE_Mat,0)),"Matricule inconnu"))</f>
        <v/>
      </c>
      <c r="D383" s="76" t="str">
        <f aca="false">IF(B383="","",IFERROR(INDEX(PE_Fonction,MATCH(B383,PE_Mat,0)),""))</f>
        <v/>
      </c>
      <c r="E383" s="76" t="str">
        <f aca="false">IF(B383="","",IFERROR(INDEX(PE_Equipe,MATCH(B383,PE_Mat,0)),""))</f>
        <v/>
      </c>
      <c r="F383" s="25"/>
      <c r="G383" s="25"/>
      <c r="H383" s="68"/>
      <c r="I383" s="89"/>
      <c r="J383" s="31" t="str">
        <f aca="false">IF(B383="","",IFERROR(INDEX(PE_Taux,MATCH(B383,PE_Mat,0)),0))</f>
        <v/>
      </c>
      <c r="K383" s="31" t="str">
        <f aca="false">IF(B383="","",IF(H383="A",0,IFERROR(N(I383)/P_Heures*J383,0)))</f>
        <v/>
      </c>
      <c r="L383" s="25"/>
    </row>
    <row r="384" customFormat="false" ht="15" hidden="false" customHeight="false" outlineLevel="0" collapsed="false">
      <c r="A384" s="69"/>
      <c r="B384" s="68"/>
      <c r="C384" s="76" t="str">
        <f aca="false">IF(B384="","",IFERROR(INDEX(PE_Nom,MATCH(B384,PE_Mat,0)),"Matricule inconnu"))</f>
        <v/>
      </c>
      <c r="D384" s="76" t="str">
        <f aca="false">IF(B384="","",IFERROR(INDEX(PE_Fonction,MATCH(B384,PE_Mat,0)),""))</f>
        <v/>
      </c>
      <c r="E384" s="76" t="str">
        <f aca="false">IF(B384="","",IFERROR(INDEX(PE_Equipe,MATCH(B384,PE_Mat,0)),""))</f>
        <v/>
      </c>
      <c r="F384" s="25"/>
      <c r="G384" s="25"/>
      <c r="H384" s="68"/>
      <c r="I384" s="89"/>
      <c r="J384" s="31" t="str">
        <f aca="false">IF(B384="","",IFERROR(INDEX(PE_Taux,MATCH(B384,PE_Mat,0)),0))</f>
        <v/>
      </c>
      <c r="K384" s="31" t="str">
        <f aca="false">IF(B384="","",IF(H384="A",0,IFERROR(N(I384)/P_Heures*J384,0)))</f>
        <v/>
      </c>
      <c r="L384" s="25"/>
    </row>
    <row r="385" customFormat="false" ht="15" hidden="false" customHeight="false" outlineLevel="0" collapsed="false">
      <c r="A385" s="69"/>
      <c r="B385" s="68"/>
      <c r="C385" s="76" t="str">
        <f aca="false">IF(B385="","",IFERROR(INDEX(PE_Nom,MATCH(B385,PE_Mat,0)),"Matricule inconnu"))</f>
        <v/>
      </c>
      <c r="D385" s="76" t="str">
        <f aca="false">IF(B385="","",IFERROR(INDEX(PE_Fonction,MATCH(B385,PE_Mat,0)),""))</f>
        <v/>
      </c>
      <c r="E385" s="76" t="str">
        <f aca="false">IF(B385="","",IFERROR(INDEX(PE_Equipe,MATCH(B385,PE_Mat,0)),""))</f>
        <v/>
      </c>
      <c r="F385" s="25"/>
      <c r="G385" s="25"/>
      <c r="H385" s="68"/>
      <c r="I385" s="89"/>
      <c r="J385" s="31" t="str">
        <f aca="false">IF(B385="","",IFERROR(INDEX(PE_Taux,MATCH(B385,PE_Mat,0)),0))</f>
        <v/>
      </c>
      <c r="K385" s="31" t="str">
        <f aca="false">IF(B385="","",IF(H385="A",0,IFERROR(N(I385)/P_Heures*J385,0)))</f>
        <v/>
      </c>
      <c r="L385" s="25"/>
    </row>
    <row r="386" customFormat="false" ht="15" hidden="false" customHeight="false" outlineLevel="0" collapsed="false">
      <c r="A386" s="69"/>
      <c r="B386" s="68"/>
      <c r="C386" s="76" t="str">
        <f aca="false">IF(B386="","",IFERROR(INDEX(PE_Nom,MATCH(B386,PE_Mat,0)),"Matricule inconnu"))</f>
        <v/>
      </c>
      <c r="D386" s="76" t="str">
        <f aca="false">IF(B386="","",IFERROR(INDEX(PE_Fonction,MATCH(B386,PE_Mat,0)),""))</f>
        <v/>
      </c>
      <c r="E386" s="76" t="str">
        <f aca="false">IF(B386="","",IFERROR(INDEX(PE_Equipe,MATCH(B386,PE_Mat,0)),""))</f>
        <v/>
      </c>
      <c r="F386" s="25"/>
      <c r="G386" s="25"/>
      <c r="H386" s="68"/>
      <c r="I386" s="89"/>
      <c r="J386" s="31" t="str">
        <f aca="false">IF(B386="","",IFERROR(INDEX(PE_Taux,MATCH(B386,PE_Mat,0)),0))</f>
        <v/>
      </c>
      <c r="K386" s="31" t="str">
        <f aca="false">IF(B386="","",IF(H386="A",0,IFERROR(N(I386)/P_Heures*J386,0)))</f>
        <v/>
      </c>
      <c r="L386" s="25"/>
    </row>
    <row r="387" customFormat="false" ht="15" hidden="false" customHeight="false" outlineLevel="0" collapsed="false">
      <c r="A387" s="69"/>
      <c r="B387" s="68"/>
      <c r="C387" s="76" t="str">
        <f aca="false">IF(B387="","",IFERROR(INDEX(PE_Nom,MATCH(B387,PE_Mat,0)),"Matricule inconnu"))</f>
        <v/>
      </c>
      <c r="D387" s="76" t="str">
        <f aca="false">IF(B387="","",IFERROR(INDEX(PE_Fonction,MATCH(B387,PE_Mat,0)),""))</f>
        <v/>
      </c>
      <c r="E387" s="76" t="str">
        <f aca="false">IF(B387="","",IFERROR(INDEX(PE_Equipe,MATCH(B387,PE_Mat,0)),""))</f>
        <v/>
      </c>
      <c r="F387" s="25"/>
      <c r="G387" s="25"/>
      <c r="H387" s="68"/>
      <c r="I387" s="89"/>
      <c r="J387" s="31" t="str">
        <f aca="false">IF(B387="","",IFERROR(INDEX(PE_Taux,MATCH(B387,PE_Mat,0)),0))</f>
        <v/>
      </c>
      <c r="K387" s="31" t="str">
        <f aca="false">IF(B387="","",IF(H387="A",0,IFERROR(N(I387)/P_Heures*J387,0)))</f>
        <v/>
      </c>
      <c r="L387" s="25"/>
    </row>
    <row r="388" customFormat="false" ht="15" hidden="false" customHeight="false" outlineLevel="0" collapsed="false">
      <c r="A388" s="69"/>
      <c r="B388" s="68"/>
      <c r="C388" s="76" t="str">
        <f aca="false">IF(B388="","",IFERROR(INDEX(PE_Nom,MATCH(B388,PE_Mat,0)),"Matricule inconnu"))</f>
        <v/>
      </c>
      <c r="D388" s="76" t="str">
        <f aca="false">IF(B388="","",IFERROR(INDEX(PE_Fonction,MATCH(B388,PE_Mat,0)),""))</f>
        <v/>
      </c>
      <c r="E388" s="76" t="str">
        <f aca="false">IF(B388="","",IFERROR(INDEX(PE_Equipe,MATCH(B388,PE_Mat,0)),""))</f>
        <v/>
      </c>
      <c r="F388" s="25"/>
      <c r="G388" s="25"/>
      <c r="H388" s="68"/>
      <c r="I388" s="89"/>
      <c r="J388" s="31" t="str">
        <f aca="false">IF(B388="","",IFERROR(INDEX(PE_Taux,MATCH(B388,PE_Mat,0)),0))</f>
        <v/>
      </c>
      <c r="K388" s="31" t="str">
        <f aca="false">IF(B388="","",IF(H388="A",0,IFERROR(N(I388)/P_Heures*J388,0)))</f>
        <v/>
      </c>
      <c r="L388" s="25"/>
    </row>
    <row r="389" customFormat="false" ht="15" hidden="false" customHeight="false" outlineLevel="0" collapsed="false">
      <c r="A389" s="69"/>
      <c r="B389" s="68"/>
      <c r="C389" s="76" t="str">
        <f aca="false">IF(B389="","",IFERROR(INDEX(PE_Nom,MATCH(B389,PE_Mat,0)),"Matricule inconnu"))</f>
        <v/>
      </c>
      <c r="D389" s="76" t="str">
        <f aca="false">IF(B389="","",IFERROR(INDEX(PE_Fonction,MATCH(B389,PE_Mat,0)),""))</f>
        <v/>
      </c>
      <c r="E389" s="76" t="str">
        <f aca="false">IF(B389="","",IFERROR(INDEX(PE_Equipe,MATCH(B389,PE_Mat,0)),""))</f>
        <v/>
      </c>
      <c r="F389" s="25"/>
      <c r="G389" s="25"/>
      <c r="H389" s="68"/>
      <c r="I389" s="89"/>
      <c r="J389" s="31" t="str">
        <f aca="false">IF(B389="","",IFERROR(INDEX(PE_Taux,MATCH(B389,PE_Mat,0)),0))</f>
        <v/>
      </c>
      <c r="K389" s="31" t="str">
        <f aca="false">IF(B389="","",IF(H389="A",0,IFERROR(N(I389)/P_Heures*J389,0)))</f>
        <v/>
      </c>
      <c r="L389" s="25"/>
    </row>
    <row r="390" customFormat="false" ht="15" hidden="false" customHeight="false" outlineLevel="0" collapsed="false">
      <c r="A390" s="69"/>
      <c r="B390" s="68"/>
      <c r="C390" s="76" t="str">
        <f aca="false">IF(B390="","",IFERROR(INDEX(PE_Nom,MATCH(B390,PE_Mat,0)),"Matricule inconnu"))</f>
        <v/>
      </c>
      <c r="D390" s="76" t="str">
        <f aca="false">IF(B390="","",IFERROR(INDEX(PE_Fonction,MATCH(B390,PE_Mat,0)),""))</f>
        <v/>
      </c>
      <c r="E390" s="76" t="str">
        <f aca="false">IF(B390="","",IFERROR(INDEX(PE_Equipe,MATCH(B390,PE_Mat,0)),""))</f>
        <v/>
      </c>
      <c r="F390" s="25"/>
      <c r="G390" s="25"/>
      <c r="H390" s="68"/>
      <c r="I390" s="89"/>
      <c r="J390" s="31" t="str">
        <f aca="false">IF(B390="","",IFERROR(INDEX(PE_Taux,MATCH(B390,PE_Mat,0)),0))</f>
        <v/>
      </c>
      <c r="K390" s="31" t="str">
        <f aca="false">IF(B390="","",IF(H390="A",0,IFERROR(N(I390)/P_Heures*J390,0)))</f>
        <v/>
      </c>
      <c r="L390" s="25"/>
    </row>
    <row r="391" customFormat="false" ht="15" hidden="false" customHeight="false" outlineLevel="0" collapsed="false">
      <c r="A391" s="69"/>
      <c r="B391" s="68"/>
      <c r="C391" s="76" t="str">
        <f aca="false">IF(B391="","",IFERROR(INDEX(PE_Nom,MATCH(B391,PE_Mat,0)),"Matricule inconnu"))</f>
        <v/>
      </c>
      <c r="D391" s="76" t="str">
        <f aca="false">IF(B391="","",IFERROR(INDEX(PE_Fonction,MATCH(B391,PE_Mat,0)),""))</f>
        <v/>
      </c>
      <c r="E391" s="76" t="str">
        <f aca="false">IF(B391="","",IFERROR(INDEX(PE_Equipe,MATCH(B391,PE_Mat,0)),""))</f>
        <v/>
      </c>
      <c r="F391" s="25"/>
      <c r="G391" s="25"/>
      <c r="H391" s="68"/>
      <c r="I391" s="89"/>
      <c r="J391" s="31" t="str">
        <f aca="false">IF(B391="","",IFERROR(INDEX(PE_Taux,MATCH(B391,PE_Mat,0)),0))</f>
        <v/>
      </c>
      <c r="K391" s="31" t="str">
        <f aca="false">IF(B391="","",IF(H391="A",0,IFERROR(N(I391)/P_Heures*J391,0)))</f>
        <v/>
      </c>
      <c r="L391" s="25"/>
    </row>
    <row r="392" customFormat="false" ht="15" hidden="false" customHeight="false" outlineLevel="0" collapsed="false">
      <c r="A392" s="69"/>
      <c r="B392" s="68"/>
      <c r="C392" s="76" t="str">
        <f aca="false">IF(B392="","",IFERROR(INDEX(PE_Nom,MATCH(B392,PE_Mat,0)),"Matricule inconnu"))</f>
        <v/>
      </c>
      <c r="D392" s="76" t="str">
        <f aca="false">IF(B392="","",IFERROR(INDEX(PE_Fonction,MATCH(B392,PE_Mat,0)),""))</f>
        <v/>
      </c>
      <c r="E392" s="76" t="str">
        <f aca="false">IF(B392="","",IFERROR(INDEX(PE_Equipe,MATCH(B392,PE_Mat,0)),""))</f>
        <v/>
      </c>
      <c r="F392" s="25"/>
      <c r="G392" s="25"/>
      <c r="H392" s="68"/>
      <c r="I392" s="89"/>
      <c r="J392" s="31" t="str">
        <f aca="false">IF(B392="","",IFERROR(INDEX(PE_Taux,MATCH(B392,PE_Mat,0)),0))</f>
        <v/>
      </c>
      <c r="K392" s="31" t="str">
        <f aca="false">IF(B392="","",IF(H392="A",0,IFERROR(N(I392)/P_Heures*J392,0)))</f>
        <v/>
      </c>
      <c r="L392" s="25"/>
    </row>
    <row r="393" customFormat="false" ht="15" hidden="false" customHeight="false" outlineLevel="0" collapsed="false">
      <c r="A393" s="69"/>
      <c r="B393" s="68"/>
      <c r="C393" s="76" t="str">
        <f aca="false">IF(B393="","",IFERROR(INDEX(PE_Nom,MATCH(B393,PE_Mat,0)),"Matricule inconnu"))</f>
        <v/>
      </c>
      <c r="D393" s="76" t="str">
        <f aca="false">IF(B393="","",IFERROR(INDEX(PE_Fonction,MATCH(B393,PE_Mat,0)),""))</f>
        <v/>
      </c>
      <c r="E393" s="76" t="str">
        <f aca="false">IF(B393="","",IFERROR(INDEX(PE_Equipe,MATCH(B393,PE_Mat,0)),""))</f>
        <v/>
      </c>
      <c r="F393" s="25"/>
      <c r="G393" s="25"/>
      <c r="H393" s="68"/>
      <c r="I393" s="89"/>
      <c r="J393" s="31" t="str">
        <f aca="false">IF(B393="","",IFERROR(INDEX(PE_Taux,MATCH(B393,PE_Mat,0)),0))</f>
        <v/>
      </c>
      <c r="K393" s="31" t="str">
        <f aca="false">IF(B393="","",IF(H393="A",0,IFERROR(N(I393)/P_Heures*J393,0)))</f>
        <v/>
      </c>
      <c r="L393" s="25"/>
    </row>
    <row r="394" customFormat="false" ht="15" hidden="false" customHeight="false" outlineLevel="0" collapsed="false">
      <c r="A394" s="69"/>
      <c r="B394" s="68"/>
      <c r="C394" s="76" t="str">
        <f aca="false">IF(B394="","",IFERROR(INDEX(PE_Nom,MATCH(B394,PE_Mat,0)),"Matricule inconnu"))</f>
        <v/>
      </c>
      <c r="D394" s="76" t="str">
        <f aca="false">IF(B394="","",IFERROR(INDEX(PE_Fonction,MATCH(B394,PE_Mat,0)),""))</f>
        <v/>
      </c>
      <c r="E394" s="76" t="str">
        <f aca="false">IF(B394="","",IFERROR(INDEX(PE_Equipe,MATCH(B394,PE_Mat,0)),""))</f>
        <v/>
      </c>
      <c r="F394" s="25"/>
      <c r="G394" s="25"/>
      <c r="H394" s="68"/>
      <c r="I394" s="89"/>
      <c r="J394" s="31" t="str">
        <f aca="false">IF(B394="","",IFERROR(INDEX(PE_Taux,MATCH(B394,PE_Mat,0)),0))</f>
        <v/>
      </c>
      <c r="K394" s="31" t="str">
        <f aca="false">IF(B394="","",IF(H394="A",0,IFERROR(N(I394)/P_Heures*J394,0)))</f>
        <v/>
      </c>
      <c r="L394" s="25"/>
    </row>
    <row r="395" customFormat="false" ht="15" hidden="false" customHeight="false" outlineLevel="0" collapsed="false">
      <c r="A395" s="69"/>
      <c r="B395" s="68"/>
      <c r="C395" s="76" t="str">
        <f aca="false">IF(B395="","",IFERROR(INDEX(PE_Nom,MATCH(B395,PE_Mat,0)),"Matricule inconnu"))</f>
        <v/>
      </c>
      <c r="D395" s="76" t="str">
        <f aca="false">IF(B395="","",IFERROR(INDEX(PE_Fonction,MATCH(B395,PE_Mat,0)),""))</f>
        <v/>
      </c>
      <c r="E395" s="76" t="str">
        <f aca="false">IF(B395="","",IFERROR(INDEX(PE_Equipe,MATCH(B395,PE_Mat,0)),""))</f>
        <v/>
      </c>
      <c r="F395" s="25"/>
      <c r="G395" s="25"/>
      <c r="H395" s="68"/>
      <c r="I395" s="89"/>
      <c r="J395" s="31" t="str">
        <f aca="false">IF(B395="","",IFERROR(INDEX(PE_Taux,MATCH(B395,PE_Mat,0)),0))</f>
        <v/>
      </c>
      <c r="K395" s="31" t="str">
        <f aca="false">IF(B395="","",IF(H395="A",0,IFERROR(N(I395)/P_Heures*J395,0)))</f>
        <v/>
      </c>
      <c r="L395" s="25"/>
    </row>
    <row r="396" customFormat="false" ht="15" hidden="false" customHeight="false" outlineLevel="0" collapsed="false">
      <c r="A396" s="69"/>
      <c r="B396" s="68"/>
      <c r="C396" s="76" t="str">
        <f aca="false">IF(B396="","",IFERROR(INDEX(PE_Nom,MATCH(B396,PE_Mat,0)),"Matricule inconnu"))</f>
        <v/>
      </c>
      <c r="D396" s="76" t="str">
        <f aca="false">IF(B396="","",IFERROR(INDEX(PE_Fonction,MATCH(B396,PE_Mat,0)),""))</f>
        <v/>
      </c>
      <c r="E396" s="76" t="str">
        <f aca="false">IF(B396="","",IFERROR(INDEX(PE_Equipe,MATCH(B396,PE_Mat,0)),""))</f>
        <v/>
      </c>
      <c r="F396" s="25"/>
      <c r="G396" s="25"/>
      <c r="H396" s="68"/>
      <c r="I396" s="89"/>
      <c r="J396" s="31" t="str">
        <f aca="false">IF(B396="","",IFERROR(INDEX(PE_Taux,MATCH(B396,PE_Mat,0)),0))</f>
        <v/>
      </c>
      <c r="K396" s="31" t="str">
        <f aca="false">IF(B396="","",IF(H396="A",0,IFERROR(N(I396)/P_Heures*J396,0)))</f>
        <v/>
      </c>
      <c r="L396" s="25"/>
    </row>
    <row r="397" customFormat="false" ht="15" hidden="false" customHeight="false" outlineLevel="0" collapsed="false">
      <c r="A397" s="69"/>
      <c r="B397" s="68"/>
      <c r="C397" s="76" t="str">
        <f aca="false">IF(B397="","",IFERROR(INDEX(PE_Nom,MATCH(B397,PE_Mat,0)),"Matricule inconnu"))</f>
        <v/>
      </c>
      <c r="D397" s="76" t="str">
        <f aca="false">IF(B397="","",IFERROR(INDEX(PE_Fonction,MATCH(B397,PE_Mat,0)),""))</f>
        <v/>
      </c>
      <c r="E397" s="76" t="str">
        <f aca="false">IF(B397="","",IFERROR(INDEX(PE_Equipe,MATCH(B397,PE_Mat,0)),""))</f>
        <v/>
      </c>
      <c r="F397" s="25"/>
      <c r="G397" s="25"/>
      <c r="H397" s="68"/>
      <c r="I397" s="89"/>
      <c r="J397" s="31" t="str">
        <f aca="false">IF(B397="","",IFERROR(INDEX(PE_Taux,MATCH(B397,PE_Mat,0)),0))</f>
        <v/>
      </c>
      <c r="K397" s="31" t="str">
        <f aca="false">IF(B397="","",IF(H397="A",0,IFERROR(N(I397)/P_Heures*J397,0)))</f>
        <v/>
      </c>
      <c r="L397" s="25"/>
    </row>
    <row r="398" customFormat="false" ht="15" hidden="false" customHeight="false" outlineLevel="0" collapsed="false">
      <c r="A398" s="69"/>
      <c r="B398" s="68"/>
      <c r="C398" s="76" t="str">
        <f aca="false">IF(B398="","",IFERROR(INDEX(PE_Nom,MATCH(B398,PE_Mat,0)),"Matricule inconnu"))</f>
        <v/>
      </c>
      <c r="D398" s="76" t="str">
        <f aca="false">IF(B398="","",IFERROR(INDEX(PE_Fonction,MATCH(B398,PE_Mat,0)),""))</f>
        <v/>
      </c>
      <c r="E398" s="76" t="str">
        <f aca="false">IF(B398="","",IFERROR(INDEX(PE_Equipe,MATCH(B398,PE_Mat,0)),""))</f>
        <v/>
      </c>
      <c r="F398" s="25"/>
      <c r="G398" s="25"/>
      <c r="H398" s="68"/>
      <c r="I398" s="89"/>
      <c r="J398" s="31" t="str">
        <f aca="false">IF(B398="","",IFERROR(INDEX(PE_Taux,MATCH(B398,PE_Mat,0)),0))</f>
        <v/>
      </c>
      <c r="K398" s="31" t="str">
        <f aca="false">IF(B398="","",IF(H398="A",0,IFERROR(N(I398)/P_Heures*J398,0)))</f>
        <v/>
      </c>
      <c r="L398" s="25"/>
    </row>
    <row r="399" customFormat="false" ht="15" hidden="false" customHeight="false" outlineLevel="0" collapsed="false">
      <c r="A399" s="69"/>
      <c r="B399" s="68"/>
      <c r="C399" s="76" t="str">
        <f aca="false">IF(B399="","",IFERROR(INDEX(PE_Nom,MATCH(B399,PE_Mat,0)),"Matricule inconnu"))</f>
        <v/>
      </c>
      <c r="D399" s="76" t="str">
        <f aca="false">IF(B399="","",IFERROR(INDEX(PE_Fonction,MATCH(B399,PE_Mat,0)),""))</f>
        <v/>
      </c>
      <c r="E399" s="76" t="str">
        <f aca="false">IF(B399="","",IFERROR(INDEX(PE_Equipe,MATCH(B399,PE_Mat,0)),""))</f>
        <v/>
      </c>
      <c r="F399" s="25"/>
      <c r="G399" s="25"/>
      <c r="H399" s="68"/>
      <c r="I399" s="89"/>
      <c r="J399" s="31" t="str">
        <f aca="false">IF(B399="","",IFERROR(INDEX(PE_Taux,MATCH(B399,PE_Mat,0)),0))</f>
        <v/>
      </c>
      <c r="K399" s="31" t="str">
        <f aca="false">IF(B399="","",IF(H399="A",0,IFERROR(N(I399)/P_Heures*J399,0)))</f>
        <v/>
      </c>
      <c r="L399" s="25"/>
    </row>
    <row r="400" customFormat="false" ht="15" hidden="false" customHeight="false" outlineLevel="0" collapsed="false">
      <c r="A400" s="69"/>
      <c r="B400" s="68"/>
      <c r="C400" s="76" t="str">
        <f aca="false">IF(B400="","",IFERROR(INDEX(PE_Nom,MATCH(B400,PE_Mat,0)),"Matricule inconnu"))</f>
        <v/>
      </c>
      <c r="D400" s="76" t="str">
        <f aca="false">IF(B400="","",IFERROR(INDEX(PE_Fonction,MATCH(B400,PE_Mat,0)),""))</f>
        <v/>
      </c>
      <c r="E400" s="76" t="str">
        <f aca="false">IF(B400="","",IFERROR(INDEX(PE_Equipe,MATCH(B400,PE_Mat,0)),""))</f>
        <v/>
      </c>
      <c r="F400" s="25"/>
      <c r="G400" s="25"/>
      <c r="H400" s="68"/>
      <c r="I400" s="89"/>
      <c r="J400" s="31" t="str">
        <f aca="false">IF(B400="","",IFERROR(INDEX(PE_Taux,MATCH(B400,PE_Mat,0)),0))</f>
        <v/>
      </c>
      <c r="K400" s="31" t="str">
        <f aca="false">IF(B400="","",IF(H400="A",0,IFERROR(N(I400)/P_Heures*J400,0)))</f>
        <v/>
      </c>
      <c r="L400" s="25"/>
    </row>
    <row r="401" customFormat="false" ht="15" hidden="false" customHeight="false" outlineLevel="0" collapsed="false">
      <c r="A401" s="69"/>
      <c r="B401" s="68"/>
      <c r="C401" s="76" t="str">
        <f aca="false">IF(B401="","",IFERROR(INDEX(PE_Nom,MATCH(B401,PE_Mat,0)),"Matricule inconnu"))</f>
        <v/>
      </c>
      <c r="D401" s="76" t="str">
        <f aca="false">IF(B401="","",IFERROR(INDEX(PE_Fonction,MATCH(B401,PE_Mat,0)),""))</f>
        <v/>
      </c>
      <c r="E401" s="76" t="str">
        <f aca="false">IF(B401="","",IFERROR(INDEX(PE_Equipe,MATCH(B401,PE_Mat,0)),""))</f>
        <v/>
      </c>
      <c r="F401" s="25"/>
      <c r="G401" s="25"/>
      <c r="H401" s="68"/>
      <c r="I401" s="89"/>
      <c r="J401" s="31" t="str">
        <f aca="false">IF(B401="","",IFERROR(INDEX(PE_Taux,MATCH(B401,PE_Mat,0)),0))</f>
        <v/>
      </c>
      <c r="K401" s="31" t="str">
        <f aca="false">IF(B401="","",IF(H401="A",0,IFERROR(N(I401)/P_Heures*J401,0)))</f>
        <v/>
      </c>
      <c r="L401" s="25"/>
    </row>
    <row r="402" customFormat="false" ht="15" hidden="false" customHeight="false" outlineLevel="0" collapsed="false">
      <c r="A402" s="69"/>
      <c r="B402" s="68"/>
      <c r="C402" s="76" t="str">
        <f aca="false">IF(B402="","",IFERROR(INDEX(PE_Nom,MATCH(B402,PE_Mat,0)),"Matricule inconnu"))</f>
        <v/>
      </c>
      <c r="D402" s="76" t="str">
        <f aca="false">IF(B402="","",IFERROR(INDEX(PE_Fonction,MATCH(B402,PE_Mat,0)),""))</f>
        <v/>
      </c>
      <c r="E402" s="76" t="str">
        <f aca="false">IF(B402="","",IFERROR(INDEX(PE_Equipe,MATCH(B402,PE_Mat,0)),""))</f>
        <v/>
      </c>
      <c r="F402" s="25"/>
      <c r="G402" s="25"/>
      <c r="H402" s="68"/>
      <c r="I402" s="89"/>
      <c r="J402" s="31" t="str">
        <f aca="false">IF(B402="","",IFERROR(INDEX(PE_Taux,MATCH(B402,PE_Mat,0)),0))</f>
        <v/>
      </c>
      <c r="K402" s="31" t="str">
        <f aca="false">IF(B402="","",IF(H402="A",0,IFERROR(N(I402)/P_Heures*J402,0)))</f>
        <v/>
      </c>
      <c r="L402" s="25"/>
    </row>
    <row r="403" customFormat="false" ht="15" hidden="false" customHeight="false" outlineLevel="0" collapsed="false">
      <c r="A403" s="69"/>
      <c r="B403" s="68"/>
      <c r="C403" s="76" t="str">
        <f aca="false">IF(B403="","",IFERROR(INDEX(PE_Nom,MATCH(B403,PE_Mat,0)),"Matricule inconnu"))</f>
        <v/>
      </c>
      <c r="D403" s="76" t="str">
        <f aca="false">IF(B403="","",IFERROR(INDEX(PE_Fonction,MATCH(B403,PE_Mat,0)),""))</f>
        <v/>
      </c>
      <c r="E403" s="76" t="str">
        <f aca="false">IF(B403="","",IFERROR(INDEX(PE_Equipe,MATCH(B403,PE_Mat,0)),""))</f>
        <v/>
      </c>
      <c r="F403" s="25"/>
      <c r="G403" s="25"/>
      <c r="H403" s="68"/>
      <c r="I403" s="89"/>
      <c r="J403" s="31" t="str">
        <f aca="false">IF(B403="","",IFERROR(INDEX(PE_Taux,MATCH(B403,PE_Mat,0)),0))</f>
        <v/>
      </c>
      <c r="K403" s="31" t="str">
        <f aca="false">IF(B403="","",IF(H403="A",0,IFERROR(N(I403)/P_Heures*J403,0)))</f>
        <v/>
      </c>
      <c r="L403" s="25"/>
    </row>
    <row r="404" customFormat="false" ht="15" hidden="false" customHeight="false" outlineLevel="0" collapsed="false">
      <c r="A404" s="69"/>
      <c r="B404" s="68"/>
      <c r="C404" s="76" t="str">
        <f aca="false">IF(B404="","",IFERROR(INDEX(PE_Nom,MATCH(B404,PE_Mat,0)),"Matricule inconnu"))</f>
        <v/>
      </c>
      <c r="D404" s="76" t="str">
        <f aca="false">IF(B404="","",IFERROR(INDEX(PE_Fonction,MATCH(B404,PE_Mat,0)),""))</f>
        <v/>
      </c>
      <c r="E404" s="76" t="str">
        <f aca="false">IF(B404="","",IFERROR(INDEX(PE_Equipe,MATCH(B404,PE_Mat,0)),""))</f>
        <v/>
      </c>
      <c r="F404" s="25"/>
      <c r="G404" s="25"/>
      <c r="H404" s="68"/>
      <c r="I404" s="89"/>
      <c r="J404" s="31" t="str">
        <f aca="false">IF(B404="","",IFERROR(INDEX(PE_Taux,MATCH(B404,PE_Mat,0)),0))</f>
        <v/>
      </c>
      <c r="K404" s="31" t="str">
        <f aca="false">IF(B404="","",IF(H404="A",0,IFERROR(N(I404)/P_Heures*J404,0)))</f>
        <v/>
      </c>
      <c r="L404" s="25"/>
    </row>
    <row r="405" customFormat="false" ht="15" hidden="false" customHeight="false" outlineLevel="0" collapsed="false">
      <c r="A405" s="69"/>
      <c r="B405" s="68"/>
      <c r="C405" s="76" t="str">
        <f aca="false">IF(B405="","",IFERROR(INDEX(PE_Nom,MATCH(B405,PE_Mat,0)),"Matricule inconnu"))</f>
        <v/>
      </c>
      <c r="D405" s="76" t="str">
        <f aca="false">IF(B405="","",IFERROR(INDEX(PE_Fonction,MATCH(B405,PE_Mat,0)),""))</f>
        <v/>
      </c>
      <c r="E405" s="76" t="str">
        <f aca="false">IF(B405="","",IFERROR(INDEX(PE_Equipe,MATCH(B405,PE_Mat,0)),""))</f>
        <v/>
      </c>
      <c r="F405" s="25"/>
      <c r="G405" s="25"/>
      <c r="H405" s="68"/>
      <c r="I405" s="89"/>
      <c r="J405" s="31" t="str">
        <f aca="false">IF(B405="","",IFERROR(INDEX(PE_Taux,MATCH(B405,PE_Mat,0)),0))</f>
        <v/>
      </c>
      <c r="K405" s="31" t="str">
        <f aca="false">IF(B405="","",IF(H405="A",0,IFERROR(N(I405)/P_Heures*J405,0)))</f>
        <v/>
      </c>
      <c r="L405" s="25"/>
    </row>
    <row r="406" customFormat="false" ht="15" hidden="false" customHeight="false" outlineLevel="0" collapsed="false">
      <c r="A406" s="69"/>
      <c r="B406" s="68"/>
      <c r="C406" s="76" t="str">
        <f aca="false">IF(B406="","",IFERROR(INDEX(PE_Nom,MATCH(B406,PE_Mat,0)),"Matricule inconnu"))</f>
        <v/>
      </c>
      <c r="D406" s="76" t="str">
        <f aca="false">IF(B406="","",IFERROR(INDEX(PE_Fonction,MATCH(B406,PE_Mat,0)),""))</f>
        <v/>
      </c>
      <c r="E406" s="76" t="str">
        <f aca="false">IF(B406="","",IFERROR(INDEX(PE_Equipe,MATCH(B406,PE_Mat,0)),""))</f>
        <v/>
      </c>
      <c r="F406" s="25"/>
      <c r="G406" s="25"/>
      <c r="H406" s="68"/>
      <c r="I406" s="89"/>
      <c r="J406" s="31" t="str">
        <f aca="false">IF(B406="","",IFERROR(INDEX(PE_Taux,MATCH(B406,PE_Mat,0)),0))</f>
        <v/>
      </c>
      <c r="K406" s="31" t="str">
        <f aca="false">IF(B406="","",IF(H406="A",0,IFERROR(N(I406)/P_Heures*J406,0)))</f>
        <v/>
      </c>
      <c r="L406" s="25"/>
    </row>
    <row r="407" customFormat="false" ht="15" hidden="false" customHeight="false" outlineLevel="0" collapsed="false">
      <c r="A407" s="69"/>
      <c r="B407" s="68"/>
      <c r="C407" s="76" t="str">
        <f aca="false">IF(B407="","",IFERROR(INDEX(PE_Nom,MATCH(B407,PE_Mat,0)),"Matricule inconnu"))</f>
        <v/>
      </c>
      <c r="D407" s="76" t="str">
        <f aca="false">IF(B407="","",IFERROR(INDEX(PE_Fonction,MATCH(B407,PE_Mat,0)),""))</f>
        <v/>
      </c>
      <c r="E407" s="76" t="str">
        <f aca="false">IF(B407="","",IFERROR(INDEX(PE_Equipe,MATCH(B407,PE_Mat,0)),""))</f>
        <v/>
      </c>
      <c r="F407" s="25"/>
      <c r="G407" s="25"/>
      <c r="H407" s="68"/>
      <c r="I407" s="89"/>
      <c r="J407" s="31" t="str">
        <f aca="false">IF(B407="","",IFERROR(INDEX(PE_Taux,MATCH(B407,PE_Mat,0)),0))</f>
        <v/>
      </c>
      <c r="K407" s="31" t="str">
        <f aca="false">IF(B407="","",IF(H407="A",0,IFERROR(N(I407)/P_Heures*J407,0)))</f>
        <v/>
      </c>
      <c r="L407" s="25"/>
    </row>
    <row r="408" customFormat="false" ht="15" hidden="false" customHeight="false" outlineLevel="0" collapsed="false">
      <c r="A408" s="69"/>
      <c r="B408" s="68"/>
      <c r="C408" s="76" t="str">
        <f aca="false">IF(B408="","",IFERROR(INDEX(PE_Nom,MATCH(B408,PE_Mat,0)),"Matricule inconnu"))</f>
        <v/>
      </c>
      <c r="D408" s="76" t="str">
        <f aca="false">IF(B408="","",IFERROR(INDEX(PE_Fonction,MATCH(B408,PE_Mat,0)),""))</f>
        <v/>
      </c>
      <c r="E408" s="76" t="str">
        <f aca="false">IF(B408="","",IFERROR(INDEX(PE_Equipe,MATCH(B408,PE_Mat,0)),""))</f>
        <v/>
      </c>
      <c r="F408" s="25"/>
      <c r="G408" s="25"/>
      <c r="H408" s="68"/>
      <c r="I408" s="89"/>
      <c r="J408" s="31" t="str">
        <f aca="false">IF(B408="","",IFERROR(INDEX(PE_Taux,MATCH(B408,PE_Mat,0)),0))</f>
        <v/>
      </c>
      <c r="K408" s="31" t="str">
        <f aca="false">IF(B408="","",IF(H408="A",0,IFERROR(N(I408)/P_Heures*J408,0)))</f>
        <v/>
      </c>
      <c r="L408" s="25"/>
    </row>
    <row r="409" customFormat="false" ht="15" hidden="false" customHeight="false" outlineLevel="0" collapsed="false">
      <c r="A409" s="69"/>
      <c r="B409" s="68"/>
      <c r="C409" s="76" t="str">
        <f aca="false">IF(B409="","",IFERROR(INDEX(PE_Nom,MATCH(B409,PE_Mat,0)),"Matricule inconnu"))</f>
        <v/>
      </c>
      <c r="D409" s="76" t="str">
        <f aca="false">IF(B409="","",IFERROR(INDEX(PE_Fonction,MATCH(B409,PE_Mat,0)),""))</f>
        <v/>
      </c>
      <c r="E409" s="76" t="str">
        <f aca="false">IF(B409="","",IFERROR(INDEX(PE_Equipe,MATCH(B409,PE_Mat,0)),""))</f>
        <v/>
      </c>
      <c r="F409" s="25"/>
      <c r="G409" s="25"/>
      <c r="H409" s="68"/>
      <c r="I409" s="89"/>
      <c r="J409" s="31" t="str">
        <f aca="false">IF(B409="","",IFERROR(INDEX(PE_Taux,MATCH(B409,PE_Mat,0)),0))</f>
        <v/>
      </c>
      <c r="K409" s="31" t="str">
        <f aca="false">IF(B409="","",IF(H409="A",0,IFERROR(N(I409)/P_Heures*J409,0)))</f>
        <v/>
      </c>
      <c r="L409" s="25"/>
    </row>
    <row r="410" customFormat="false" ht="15" hidden="false" customHeight="false" outlineLevel="0" collapsed="false">
      <c r="A410" s="69"/>
      <c r="B410" s="68"/>
      <c r="C410" s="76" t="str">
        <f aca="false">IF(B410="","",IFERROR(INDEX(PE_Nom,MATCH(B410,PE_Mat,0)),"Matricule inconnu"))</f>
        <v/>
      </c>
      <c r="D410" s="76" t="str">
        <f aca="false">IF(B410="","",IFERROR(INDEX(PE_Fonction,MATCH(B410,PE_Mat,0)),""))</f>
        <v/>
      </c>
      <c r="E410" s="76" t="str">
        <f aca="false">IF(B410="","",IFERROR(INDEX(PE_Equipe,MATCH(B410,PE_Mat,0)),""))</f>
        <v/>
      </c>
      <c r="F410" s="25"/>
      <c r="G410" s="25"/>
      <c r="H410" s="68"/>
      <c r="I410" s="89"/>
      <c r="J410" s="31" t="str">
        <f aca="false">IF(B410="","",IFERROR(INDEX(PE_Taux,MATCH(B410,PE_Mat,0)),0))</f>
        <v/>
      </c>
      <c r="K410" s="31" t="str">
        <f aca="false">IF(B410="","",IF(H410="A",0,IFERROR(N(I410)/P_Heures*J410,0)))</f>
        <v/>
      </c>
      <c r="L410" s="25"/>
    </row>
    <row r="411" customFormat="false" ht="15" hidden="false" customHeight="false" outlineLevel="0" collapsed="false">
      <c r="A411" s="69"/>
      <c r="B411" s="68"/>
      <c r="C411" s="76" t="str">
        <f aca="false">IF(B411="","",IFERROR(INDEX(PE_Nom,MATCH(B411,PE_Mat,0)),"Matricule inconnu"))</f>
        <v/>
      </c>
      <c r="D411" s="76" t="str">
        <f aca="false">IF(B411="","",IFERROR(INDEX(PE_Fonction,MATCH(B411,PE_Mat,0)),""))</f>
        <v/>
      </c>
      <c r="E411" s="76" t="str">
        <f aca="false">IF(B411="","",IFERROR(INDEX(PE_Equipe,MATCH(B411,PE_Mat,0)),""))</f>
        <v/>
      </c>
      <c r="F411" s="25"/>
      <c r="G411" s="25"/>
      <c r="H411" s="68"/>
      <c r="I411" s="89"/>
      <c r="J411" s="31" t="str">
        <f aca="false">IF(B411="","",IFERROR(INDEX(PE_Taux,MATCH(B411,PE_Mat,0)),0))</f>
        <v/>
      </c>
      <c r="K411" s="31" t="str">
        <f aca="false">IF(B411="","",IF(H411="A",0,IFERROR(N(I411)/P_Heures*J411,0)))</f>
        <v/>
      </c>
      <c r="L411" s="25"/>
    </row>
    <row r="412" customFormat="false" ht="15" hidden="false" customHeight="false" outlineLevel="0" collapsed="false">
      <c r="A412" s="69"/>
      <c r="B412" s="68"/>
      <c r="C412" s="76" t="str">
        <f aca="false">IF(B412="","",IFERROR(INDEX(PE_Nom,MATCH(B412,PE_Mat,0)),"Matricule inconnu"))</f>
        <v/>
      </c>
      <c r="D412" s="76" t="str">
        <f aca="false">IF(B412="","",IFERROR(INDEX(PE_Fonction,MATCH(B412,PE_Mat,0)),""))</f>
        <v/>
      </c>
      <c r="E412" s="76" t="str">
        <f aca="false">IF(B412="","",IFERROR(INDEX(PE_Equipe,MATCH(B412,PE_Mat,0)),""))</f>
        <v/>
      </c>
      <c r="F412" s="25"/>
      <c r="G412" s="25"/>
      <c r="H412" s="68"/>
      <c r="I412" s="89"/>
      <c r="J412" s="31" t="str">
        <f aca="false">IF(B412="","",IFERROR(INDEX(PE_Taux,MATCH(B412,PE_Mat,0)),0))</f>
        <v/>
      </c>
      <c r="K412" s="31" t="str">
        <f aca="false">IF(B412="","",IF(H412="A",0,IFERROR(N(I412)/P_Heures*J412,0)))</f>
        <v/>
      </c>
      <c r="L412" s="25"/>
    </row>
    <row r="413" customFormat="false" ht="15" hidden="false" customHeight="false" outlineLevel="0" collapsed="false">
      <c r="A413" s="69"/>
      <c r="B413" s="68"/>
      <c r="C413" s="76" t="str">
        <f aca="false">IF(B413="","",IFERROR(INDEX(PE_Nom,MATCH(B413,PE_Mat,0)),"Matricule inconnu"))</f>
        <v/>
      </c>
      <c r="D413" s="76" t="str">
        <f aca="false">IF(B413="","",IFERROR(INDEX(PE_Fonction,MATCH(B413,PE_Mat,0)),""))</f>
        <v/>
      </c>
      <c r="E413" s="76" t="str">
        <f aca="false">IF(B413="","",IFERROR(INDEX(PE_Equipe,MATCH(B413,PE_Mat,0)),""))</f>
        <v/>
      </c>
      <c r="F413" s="25"/>
      <c r="G413" s="25"/>
      <c r="H413" s="68"/>
      <c r="I413" s="89"/>
      <c r="J413" s="31" t="str">
        <f aca="false">IF(B413="","",IFERROR(INDEX(PE_Taux,MATCH(B413,PE_Mat,0)),0))</f>
        <v/>
      </c>
      <c r="K413" s="31" t="str">
        <f aca="false">IF(B413="","",IF(H413="A",0,IFERROR(N(I413)/P_Heures*J413,0)))</f>
        <v/>
      </c>
      <c r="L413" s="25"/>
    </row>
    <row r="414" customFormat="false" ht="15" hidden="false" customHeight="false" outlineLevel="0" collapsed="false">
      <c r="A414" s="69"/>
      <c r="B414" s="68"/>
      <c r="C414" s="76" t="str">
        <f aca="false">IF(B414="","",IFERROR(INDEX(PE_Nom,MATCH(B414,PE_Mat,0)),"Matricule inconnu"))</f>
        <v/>
      </c>
      <c r="D414" s="76" t="str">
        <f aca="false">IF(B414="","",IFERROR(INDEX(PE_Fonction,MATCH(B414,PE_Mat,0)),""))</f>
        <v/>
      </c>
      <c r="E414" s="76" t="str">
        <f aca="false">IF(B414="","",IFERROR(INDEX(PE_Equipe,MATCH(B414,PE_Mat,0)),""))</f>
        <v/>
      </c>
      <c r="F414" s="25"/>
      <c r="G414" s="25"/>
      <c r="H414" s="68"/>
      <c r="I414" s="89"/>
      <c r="J414" s="31" t="str">
        <f aca="false">IF(B414="","",IFERROR(INDEX(PE_Taux,MATCH(B414,PE_Mat,0)),0))</f>
        <v/>
      </c>
      <c r="K414" s="31" t="str">
        <f aca="false">IF(B414="","",IF(H414="A",0,IFERROR(N(I414)/P_Heures*J414,0)))</f>
        <v/>
      </c>
      <c r="L414" s="25"/>
    </row>
    <row r="415" customFormat="false" ht="15" hidden="false" customHeight="false" outlineLevel="0" collapsed="false">
      <c r="A415" s="69"/>
      <c r="B415" s="68"/>
      <c r="C415" s="76" t="str">
        <f aca="false">IF(B415="","",IFERROR(INDEX(PE_Nom,MATCH(B415,PE_Mat,0)),"Matricule inconnu"))</f>
        <v/>
      </c>
      <c r="D415" s="76" t="str">
        <f aca="false">IF(B415="","",IFERROR(INDEX(PE_Fonction,MATCH(B415,PE_Mat,0)),""))</f>
        <v/>
      </c>
      <c r="E415" s="76" t="str">
        <f aca="false">IF(B415="","",IFERROR(INDEX(PE_Equipe,MATCH(B415,PE_Mat,0)),""))</f>
        <v/>
      </c>
      <c r="F415" s="25"/>
      <c r="G415" s="25"/>
      <c r="H415" s="68"/>
      <c r="I415" s="89"/>
      <c r="J415" s="31" t="str">
        <f aca="false">IF(B415="","",IFERROR(INDEX(PE_Taux,MATCH(B415,PE_Mat,0)),0))</f>
        <v/>
      </c>
      <c r="K415" s="31" t="str">
        <f aca="false">IF(B415="","",IF(H415="A",0,IFERROR(N(I415)/P_Heures*J415,0)))</f>
        <v/>
      </c>
      <c r="L415" s="25"/>
    </row>
    <row r="416" customFormat="false" ht="15" hidden="false" customHeight="false" outlineLevel="0" collapsed="false">
      <c r="A416" s="69"/>
      <c r="B416" s="68"/>
      <c r="C416" s="76" t="str">
        <f aca="false">IF(B416="","",IFERROR(INDEX(PE_Nom,MATCH(B416,PE_Mat,0)),"Matricule inconnu"))</f>
        <v/>
      </c>
      <c r="D416" s="76" t="str">
        <f aca="false">IF(B416="","",IFERROR(INDEX(PE_Fonction,MATCH(B416,PE_Mat,0)),""))</f>
        <v/>
      </c>
      <c r="E416" s="76" t="str">
        <f aca="false">IF(B416="","",IFERROR(INDEX(PE_Equipe,MATCH(B416,PE_Mat,0)),""))</f>
        <v/>
      </c>
      <c r="F416" s="25"/>
      <c r="G416" s="25"/>
      <c r="H416" s="68"/>
      <c r="I416" s="89"/>
      <c r="J416" s="31" t="str">
        <f aca="false">IF(B416="","",IFERROR(INDEX(PE_Taux,MATCH(B416,PE_Mat,0)),0))</f>
        <v/>
      </c>
      <c r="K416" s="31" t="str">
        <f aca="false">IF(B416="","",IF(H416="A",0,IFERROR(N(I416)/P_Heures*J416,0)))</f>
        <v/>
      </c>
      <c r="L416" s="25"/>
    </row>
    <row r="417" customFormat="false" ht="15" hidden="false" customHeight="false" outlineLevel="0" collapsed="false">
      <c r="A417" s="69"/>
      <c r="B417" s="68"/>
      <c r="C417" s="76" t="str">
        <f aca="false">IF(B417="","",IFERROR(INDEX(PE_Nom,MATCH(B417,PE_Mat,0)),"Matricule inconnu"))</f>
        <v/>
      </c>
      <c r="D417" s="76" t="str">
        <f aca="false">IF(B417="","",IFERROR(INDEX(PE_Fonction,MATCH(B417,PE_Mat,0)),""))</f>
        <v/>
      </c>
      <c r="E417" s="76" t="str">
        <f aca="false">IF(B417="","",IFERROR(INDEX(PE_Equipe,MATCH(B417,PE_Mat,0)),""))</f>
        <v/>
      </c>
      <c r="F417" s="25"/>
      <c r="G417" s="25"/>
      <c r="H417" s="68"/>
      <c r="I417" s="89"/>
      <c r="J417" s="31" t="str">
        <f aca="false">IF(B417="","",IFERROR(INDEX(PE_Taux,MATCH(B417,PE_Mat,0)),0))</f>
        <v/>
      </c>
      <c r="K417" s="31" t="str">
        <f aca="false">IF(B417="","",IF(H417="A",0,IFERROR(N(I417)/P_Heures*J417,0)))</f>
        <v/>
      </c>
      <c r="L417" s="25"/>
    </row>
    <row r="418" customFormat="false" ht="15" hidden="false" customHeight="false" outlineLevel="0" collapsed="false">
      <c r="A418" s="69"/>
      <c r="B418" s="68"/>
      <c r="C418" s="76" t="str">
        <f aca="false">IF(B418="","",IFERROR(INDEX(PE_Nom,MATCH(B418,PE_Mat,0)),"Matricule inconnu"))</f>
        <v/>
      </c>
      <c r="D418" s="76" t="str">
        <f aca="false">IF(B418="","",IFERROR(INDEX(PE_Fonction,MATCH(B418,PE_Mat,0)),""))</f>
        <v/>
      </c>
      <c r="E418" s="76" t="str">
        <f aca="false">IF(B418="","",IFERROR(INDEX(PE_Equipe,MATCH(B418,PE_Mat,0)),""))</f>
        <v/>
      </c>
      <c r="F418" s="25"/>
      <c r="G418" s="25"/>
      <c r="H418" s="68"/>
      <c r="I418" s="89"/>
      <c r="J418" s="31" t="str">
        <f aca="false">IF(B418="","",IFERROR(INDEX(PE_Taux,MATCH(B418,PE_Mat,0)),0))</f>
        <v/>
      </c>
      <c r="K418" s="31" t="str">
        <f aca="false">IF(B418="","",IF(H418="A",0,IFERROR(N(I418)/P_Heures*J418,0)))</f>
        <v/>
      </c>
      <c r="L418" s="25"/>
    </row>
    <row r="419" customFormat="false" ht="15" hidden="false" customHeight="false" outlineLevel="0" collapsed="false">
      <c r="A419" s="69"/>
      <c r="B419" s="68"/>
      <c r="C419" s="76" t="str">
        <f aca="false">IF(B419="","",IFERROR(INDEX(PE_Nom,MATCH(B419,PE_Mat,0)),"Matricule inconnu"))</f>
        <v/>
      </c>
      <c r="D419" s="76" t="str">
        <f aca="false">IF(B419="","",IFERROR(INDEX(PE_Fonction,MATCH(B419,PE_Mat,0)),""))</f>
        <v/>
      </c>
      <c r="E419" s="76" t="str">
        <f aca="false">IF(B419="","",IFERROR(INDEX(PE_Equipe,MATCH(B419,PE_Mat,0)),""))</f>
        <v/>
      </c>
      <c r="F419" s="25"/>
      <c r="G419" s="25"/>
      <c r="H419" s="68"/>
      <c r="I419" s="89"/>
      <c r="J419" s="31" t="str">
        <f aca="false">IF(B419="","",IFERROR(INDEX(PE_Taux,MATCH(B419,PE_Mat,0)),0))</f>
        <v/>
      </c>
      <c r="K419" s="31" t="str">
        <f aca="false">IF(B419="","",IF(H419="A",0,IFERROR(N(I419)/P_Heures*J419,0)))</f>
        <v/>
      </c>
      <c r="L419" s="25"/>
    </row>
    <row r="420" customFormat="false" ht="15" hidden="false" customHeight="false" outlineLevel="0" collapsed="false">
      <c r="A420" s="69"/>
      <c r="B420" s="68"/>
      <c r="C420" s="76" t="str">
        <f aca="false">IF(B420="","",IFERROR(INDEX(PE_Nom,MATCH(B420,PE_Mat,0)),"Matricule inconnu"))</f>
        <v/>
      </c>
      <c r="D420" s="76" t="str">
        <f aca="false">IF(B420="","",IFERROR(INDEX(PE_Fonction,MATCH(B420,PE_Mat,0)),""))</f>
        <v/>
      </c>
      <c r="E420" s="76" t="str">
        <f aca="false">IF(B420="","",IFERROR(INDEX(PE_Equipe,MATCH(B420,PE_Mat,0)),""))</f>
        <v/>
      </c>
      <c r="F420" s="25"/>
      <c r="G420" s="25"/>
      <c r="H420" s="68"/>
      <c r="I420" s="89"/>
      <c r="J420" s="31" t="str">
        <f aca="false">IF(B420="","",IFERROR(INDEX(PE_Taux,MATCH(B420,PE_Mat,0)),0))</f>
        <v/>
      </c>
      <c r="K420" s="31" t="str">
        <f aca="false">IF(B420="","",IF(H420="A",0,IFERROR(N(I420)/P_Heures*J420,0)))</f>
        <v/>
      </c>
      <c r="L420" s="25"/>
    </row>
    <row r="421" customFormat="false" ht="15" hidden="false" customHeight="false" outlineLevel="0" collapsed="false">
      <c r="A421" s="69"/>
      <c r="B421" s="68"/>
      <c r="C421" s="76" t="str">
        <f aca="false">IF(B421="","",IFERROR(INDEX(PE_Nom,MATCH(B421,PE_Mat,0)),"Matricule inconnu"))</f>
        <v/>
      </c>
      <c r="D421" s="76" t="str">
        <f aca="false">IF(B421="","",IFERROR(INDEX(PE_Fonction,MATCH(B421,PE_Mat,0)),""))</f>
        <v/>
      </c>
      <c r="E421" s="76" t="str">
        <f aca="false">IF(B421="","",IFERROR(INDEX(PE_Equipe,MATCH(B421,PE_Mat,0)),""))</f>
        <v/>
      </c>
      <c r="F421" s="25"/>
      <c r="G421" s="25"/>
      <c r="H421" s="68"/>
      <c r="I421" s="89"/>
      <c r="J421" s="31" t="str">
        <f aca="false">IF(B421="","",IFERROR(INDEX(PE_Taux,MATCH(B421,PE_Mat,0)),0))</f>
        <v/>
      </c>
      <c r="K421" s="31" t="str">
        <f aca="false">IF(B421="","",IF(H421="A",0,IFERROR(N(I421)/P_Heures*J421,0)))</f>
        <v/>
      </c>
      <c r="L421" s="25"/>
    </row>
    <row r="422" customFormat="false" ht="15" hidden="false" customHeight="false" outlineLevel="0" collapsed="false">
      <c r="A422" s="69"/>
      <c r="B422" s="68"/>
      <c r="C422" s="76" t="str">
        <f aca="false">IF(B422="","",IFERROR(INDEX(PE_Nom,MATCH(B422,PE_Mat,0)),"Matricule inconnu"))</f>
        <v/>
      </c>
      <c r="D422" s="76" t="str">
        <f aca="false">IF(B422="","",IFERROR(INDEX(PE_Fonction,MATCH(B422,PE_Mat,0)),""))</f>
        <v/>
      </c>
      <c r="E422" s="76" t="str">
        <f aca="false">IF(B422="","",IFERROR(INDEX(PE_Equipe,MATCH(B422,PE_Mat,0)),""))</f>
        <v/>
      </c>
      <c r="F422" s="25"/>
      <c r="G422" s="25"/>
      <c r="H422" s="68"/>
      <c r="I422" s="89"/>
      <c r="J422" s="31" t="str">
        <f aca="false">IF(B422="","",IFERROR(INDEX(PE_Taux,MATCH(B422,PE_Mat,0)),0))</f>
        <v/>
      </c>
      <c r="K422" s="31" t="str">
        <f aca="false">IF(B422="","",IF(H422="A",0,IFERROR(N(I422)/P_Heures*J422,0)))</f>
        <v/>
      </c>
      <c r="L422" s="25"/>
    </row>
    <row r="423" customFormat="false" ht="15" hidden="false" customHeight="false" outlineLevel="0" collapsed="false">
      <c r="A423" s="69"/>
      <c r="B423" s="68"/>
      <c r="C423" s="76" t="str">
        <f aca="false">IF(B423="","",IFERROR(INDEX(PE_Nom,MATCH(B423,PE_Mat,0)),"Matricule inconnu"))</f>
        <v/>
      </c>
      <c r="D423" s="76" t="str">
        <f aca="false">IF(B423="","",IFERROR(INDEX(PE_Fonction,MATCH(B423,PE_Mat,0)),""))</f>
        <v/>
      </c>
      <c r="E423" s="76" t="str">
        <f aca="false">IF(B423="","",IFERROR(INDEX(PE_Equipe,MATCH(B423,PE_Mat,0)),""))</f>
        <v/>
      </c>
      <c r="F423" s="25"/>
      <c r="G423" s="25"/>
      <c r="H423" s="68"/>
      <c r="I423" s="89"/>
      <c r="J423" s="31" t="str">
        <f aca="false">IF(B423="","",IFERROR(INDEX(PE_Taux,MATCH(B423,PE_Mat,0)),0))</f>
        <v/>
      </c>
      <c r="K423" s="31" t="str">
        <f aca="false">IF(B423="","",IF(H423="A",0,IFERROR(N(I423)/P_Heures*J423,0)))</f>
        <v/>
      </c>
      <c r="L423" s="25"/>
    </row>
    <row r="424" customFormat="false" ht="15" hidden="false" customHeight="false" outlineLevel="0" collapsed="false">
      <c r="A424" s="69"/>
      <c r="B424" s="68"/>
      <c r="C424" s="76" t="str">
        <f aca="false">IF(B424="","",IFERROR(INDEX(PE_Nom,MATCH(B424,PE_Mat,0)),"Matricule inconnu"))</f>
        <v/>
      </c>
      <c r="D424" s="76" t="str">
        <f aca="false">IF(B424="","",IFERROR(INDEX(PE_Fonction,MATCH(B424,PE_Mat,0)),""))</f>
        <v/>
      </c>
      <c r="E424" s="76" t="str">
        <f aca="false">IF(B424="","",IFERROR(INDEX(PE_Equipe,MATCH(B424,PE_Mat,0)),""))</f>
        <v/>
      </c>
      <c r="F424" s="25"/>
      <c r="G424" s="25"/>
      <c r="H424" s="68"/>
      <c r="I424" s="89"/>
      <c r="J424" s="31" t="str">
        <f aca="false">IF(B424="","",IFERROR(INDEX(PE_Taux,MATCH(B424,PE_Mat,0)),0))</f>
        <v/>
      </c>
      <c r="K424" s="31" t="str">
        <f aca="false">IF(B424="","",IF(H424="A",0,IFERROR(N(I424)/P_Heures*J424,0)))</f>
        <v/>
      </c>
      <c r="L424" s="25"/>
    </row>
    <row r="425" customFormat="false" ht="15" hidden="false" customHeight="false" outlineLevel="0" collapsed="false">
      <c r="A425" s="69"/>
      <c r="B425" s="68"/>
      <c r="C425" s="76" t="str">
        <f aca="false">IF(B425="","",IFERROR(INDEX(PE_Nom,MATCH(B425,PE_Mat,0)),"Matricule inconnu"))</f>
        <v/>
      </c>
      <c r="D425" s="76" t="str">
        <f aca="false">IF(B425="","",IFERROR(INDEX(PE_Fonction,MATCH(B425,PE_Mat,0)),""))</f>
        <v/>
      </c>
      <c r="E425" s="76" t="str">
        <f aca="false">IF(B425="","",IFERROR(INDEX(PE_Equipe,MATCH(B425,PE_Mat,0)),""))</f>
        <v/>
      </c>
      <c r="F425" s="25"/>
      <c r="G425" s="25"/>
      <c r="H425" s="68"/>
      <c r="I425" s="89"/>
      <c r="J425" s="31" t="str">
        <f aca="false">IF(B425="","",IFERROR(INDEX(PE_Taux,MATCH(B425,PE_Mat,0)),0))</f>
        <v/>
      </c>
      <c r="K425" s="31" t="str">
        <f aca="false">IF(B425="","",IF(H425="A",0,IFERROR(N(I425)/P_Heures*J425,0)))</f>
        <v/>
      </c>
      <c r="L425" s="25"/>
    </row>
    <row r="426" customFormat="false" ht="15" hidden="false" customHeight="false" outlineLevel="0" collapsed="false">
      <c r="A426" s="69"/>
      <c r="B426" s="68"/>
      <c r="C426" s="76" t="str">
        <f aca="false">IF(B426="","",IFERROR(INDEX(PE_Nom,MATCH(B426,PE_Mat,0)),"Matricule inconnu"))</f>
        <v/>
      </c>
      <c r="D426" s="76" t="str">
        <f aca="false">IF(B426="","",IFERROR(INDEX(PE_Fonction,MATCH(B426,PE_Mat,0)),""))</f>
        <v/>
      </c>
      <c r="E426" s="76" t="str">
        <f aca="false">IF(B426="","",IFERROR(INDEX(PE_Equipe,MATCH(B426,PE_Mat,0)),""))</f>
        <v/>
      </c>
      <c r="F426" s="25"/>
      <c r="G426" s="25"/>
      <c r="H426" s="68"/>
      <c r="I426" s="89"/>
      <c r="J426" s="31" t="str">
        <f aca="false">IF(B426="","",IFERROR(INDEX(PE_Taux,MATCH(B426,PE_Mat,0)),0))</f>
        <v/>
      </c>
      <c r="K426" s="31" t="str">
        <f aca="false">IF(B426="","",IF(H426="A",0,IFERROR(N(I426)/P_Heures*J426,0)))</f>
        <v/>
      </c>
      <c r="L426" s="25"/>
    </row>
    <row r="427" customFormat="false" ht="15" hidden="false" customHeight="false" outlineLevel="0" collapsed="false">
      <c r="A427" s="69"/>
      <c r="B427" s="68"/>
      <c r="C427" s="76" t="str">
        <f aca="false">IF(B427="","",IFERROR(INDEX(PE_Nom,MATCH(B427,PE_Mat,0)),"Matricule inconnu"))</f>
        <v/>
      </c>
      <c r="D427" s="76" t="str">
        <f aca="false">IF(B427="","",IFERROR(INDEX(PE_Fonction,MATCH(B427,PE_Mat,0)),""))</f>
        <v/>
      </c>
      <c r="E427" s="76" t="str">
        <f aca="false">IF(B427="","",IFERROR(INDEX(PE_Equipe,MATCH(B427,PE_Mat,0)),""))</f>
        <v/>
      </c>
      <c r="F427" s="25"/>
      <c r="G427" s="25"/>
      <c r="H427" s="68"/>
      <c r="I427" s="89"/>
      <c r="J427" s="31" t="str">
        <f aca="false">IF(B427="","",IFERROR(INDEX(PE_Taux,MATCH(B427,PE_Mat,0)),0))</f>
        <v/>
      </c>
      <c r="K427" s="31" t="str">
        <f aca="false">IF(B427="","",IF(H427="A",0,IFERROR(N(I427)/P_Heures*J427,0)))</f>
        <v/>
      </c>
      <c r="L427" s="25"/>
    </row>
    <row r="428" customFormat="false" ht="15" hidden="false" customHeight="false" outlineLevel="0" collapsed="false">
      <c r="A428" s="69"/>
      <c r="B428" s="68"/>
      <c r="C428" s="76" t="str">
        <f aca="false">IF(B428="","",IFERROR(INDEX(PE_Nom,MATCH(B428,PE_Mat,0)),"Matricule inconnu"))</f>
        <v/>
      </c>
      <c r="D428" s="76" t="str">
        <f aca="false">IF(B428="","",IFERROR(INDEX(PE_Fonction,MATCH(B428,PE_Mat,0)),""))</f>
        <v/>
      </c>
      <c r="E428" s="76" t="str">
        <f aca="false">IF(B428="","",IFERROR(INDEX(PE_Equipe,MATCH(B428,PE_Mat,0)),""))</f>
        <v/>
      </c>
      <c r="F428" s="25"/>
      <c r="G428" s="25"/>
      <c r="H428" s="68"/>
      <c r="I428" s="89"/>
      <c r="J428" s="31" t="str">
        <f aca="false">IF(B428="","",IFERROR(INDEX(PE_Taux,MATCH(B428,PE_Mat,0)),0))</f>
        <v/>
      </c>
      <c r="K428" s="31" t="str">
        <f aca="false">IF(B428="","",IF(H428="A",0,IFERROR(N(I428)/P_Heures*J428,0)))</f>
        <v/>
      </c>
      <c r="L428" s="25"/>
    </row>
    <row r="429" customFormat="false" ht="15" hidden="false" customHeight="false" outlineLevel="0" collapsed="false">
      <c r="A429" s="69"/>
      <c r="B429" s="68"/>
      <c r="C429" s="76" t="str">
        <f aca="false">IF(B429="","",IFERROR(INDEX(PE_Nom,MATCH(B429,PE_Mat,0)),"Matricule inconnu"))</f>
        <v/>
      </c>
      <c r="D429" s="76" t="str">
        <f aca="false">IF(B429="","",IFERROR(INDEX(PE_Fonction,MATCH(B429,PE_Mat,0)),""))</f>
        <v/>
      </c>
      <c r="E429" s="76" t="str">
        <f aca="false">IF(B429="","",IFERROR(INDEX(PE_Equipe,MATCH(B429,PE_Mat,0)),""))</f>
        <v/>
      </c>
      <c r="F429" s="25"/>
      <c r="G429" s="25"/>
      <c r="H429" s="68"/>
      <c r="I429" s="89"/>
      <c r="J429" s="31" t="str">
        <f aca="false">IF(B429="","",IFERROR(INDEX(PE_Taux,MATCH(B429,PE_Mat,0)),0))</f>
        <v/>
      </c>
      <c r="K429" s="31" t="str">
        <f aca="false">IF(B429="","",IF(H429="A",0,IFERROR(N(I429)/P_Heures*J429,0)))</f>
        <v/>
      </c>
      <c r="L429" s="25"/>
    </row>
    <row r="430" customFormat="false" ht="15" hidden="false" customHeight="false" outlineLevel="0" collapsed="false">
      <c r="A430" s="69"/>
      <c r="B430" s="68"/>
      <c r="C430" s="76" t="str">
        <f aca="false">IF(B430="","",IFERROR(INDEX(PE_Nom,MATCH(B430,PE_Mat,0)),"Matricule inconnu"))</f>
        <v/>
      </c>
      <c r="D430" s="76" t="str">
        <f aca="false">IF(B430="","",IFERROR(INDEX(PE_Fonction,MATCH(B430,PE_Mat,0)),""))</f>
        <v/>
      </c>
      <c r="E430" s="76" t="str">
        <f aca="false">IF(B430="","",IFERROR(INDEX(PE_Equipe,MATCH(B430,PE_Mat,0)),""))</f>
        <v/>
      </c>
      <c r="F430" s="25"/>
      <c r="G430" s="25"/>
      <c r="H430" s="68"/>
      <c r="I430" s="89"/>
      <c r="J430" s="31" t="str">
        <f aca="false">IF(B430="","",IFERROR(INDEX(PE_Taux,MATCH(B430,PE_Mat,0)),0))</f>
        <v/>
      </c>
      <c r="K430" s="31" t="str">
        <f aca="false">IF(B430="","",IF(H430="A",0,IFERROR(N(I430)/P_Heures*J430,0)))</f>
        <v/>
      </c>
      <c r="L430" s="25"/>
    </row>
    <row r="431" customFormat="false" ht="15" hidden="false" customHeight="false" outlineLevel="0" collapsed="false">
      <c r="A431" s="69"/>
      <c r="B431" s="68"/>
      <c r="C431" s="76" t="str">
        <f aca="false">IF(B431="","",IFERROR(INDEX(PE_Nom,MATCH(B431,PE_Mat,0)),"Matricule inconnu"))</f>
        <v/>
      </c>
      <c r="D431" s="76" t="str">
        <f aca="false">IF(B431="","",IFERROR(INDEX(PE_Fonction,MATCH(B431,PE_Mat,0)),""))</f>
        <v/>
      </c>
      <c r="E431" s="76" t="str">
        <f aca="false">IF(B431="","",IFERROR(INDEX(PE_Equipe,MATCH(B431,PE_Mat,0)),""))</f>
        <v/>
      </c>
      <c r="F431" s="25"/>
      <c r="G431" s="25"/>
      <c r="H431" s="68"/>
      <c r="I431" s="89"/>
      <c r="J431" s="31" t="str">
        <f aca="false">IF(B431="","",IFERROR(INDEX(PE_Taux,MATCH(B431,PE_Mat,0)),0))</f>
        <v/>
      </c>
      <c r="K431" s="31" t="str">
        <f aca="false">IF(B431="","",IF(H431="A",0,IFERROR(N(I431)/P_Heures*J431,0)))</f>
        <v/>
      </c>
      <c r="L431" s="25"/>
    </row>
    <row r="432" customFormat="false" ht="15" hidden="false" customHeight="false" outlineLevel="0" collapsed="false">
      <c r="A432" s="69"/>
      <c r="B432" s="68"/>
      <c r="C432" s="76" t="str">
        <f aca="false">IF(B432="","",IFERROR(INDEX(PE_Nom,MATCH(B432,PE_Mat,0)),"Matricule inconnu"))</f>
        <v/>
      </c>
      <c r="D432" s="76" t="str">
        <f aca="false">IF(B432="","",IFERROR(INDEX(PE_Fonction,MATCH(B432,PE_Mat,0)),""))</f>
        <v/>
      </c>
      <c r="E432" s="76" t="str">
        <f aca="false">IF(B432="","",IFERROR(INDEX(PE_Equipe,MATCH(B432,PE_Mat,0)),""))</f>
        <v/>
      </c>
      <c r="F432" s="25"/>
      <c r="G432" s="25"/>
      <c r="H432" s="68"/>
      <c r="I432" s="89"/>
      <c r="J432" s="31" t="str">
        <f aca="false">IF(B432="","",IFERROR(INDEX(PE_Taux,MATCH(B432,PE_Mat,0)),0))</f>
        <v/>
      </c>
      <c r="K432" s="31" t="str">
        <f aca="false">IF(B432="","",IF(H432="A",0,IFERROR(N(I432)/P_Heures*J432,0)))</f>
        <v/>
      </c>
      <c r="L432" s="25"/>
    </row>
    <row r="433" customFormat="false" ht="15" hidden="false" customHeight="false" outlineLevel="0" collapsed="false">
      <c r="A433" s="69"/>
      <c r="B433" s="68"/>
      <c r="C433" s="76" t="str">
        <f aca="false">IF(B433="","",IFERROR(INDEX(PE_Nom,MATCH(B433,PE_Mat,0)),"Matricule inconnu"))</f>
        <v/>
      </c>
      <c r="D433" s="76" t="str">
        <f aca="false">IF(B433="","",IFERROR(INDEX(PE_Fonction,MATCH(B433,PE_Mat,0)),""))</f>
        <v/>
      </c>
      <c r="E433" s="76" t="str">
        <f aca="false">IF(B433="","",IFERROR(INDEX(PE_Equipe,MATCH(B433,PE_Mat,0)),""))</f>
        <v/>
      </c>
      <c r="F433" s="25"/>
      <c r="G433" s="25"/>
      <c r="H433" s="68"/>
      <c r="I433" s="89"/>
      <c r="J433" s="31" t="str">
        <f aca="false">IF(B433="","",IFERROR(INDEX(PE_Taux,MATCH(B433,PE_Mat,0)),0))</f>
        <v/>
      </c>
      <c r="K433" s="31" t="str">
        <f aca="false">IF(B433="","",IF(H433="A",0,IFERROR(N(I433)/P_Heures*J433,0)))</f>
        <v/>
      </c>
      <c r="L433" s="25"/>
    </row>
    <row r="434" customFormat="false" ht="15" hidden="false" customHeight="false" outlineLevel="0" collapsed="false">
      <c r="A434" s="69"/>
      <c r="B434" s="68"/>
      <c r="C434" s="76" t="str">
        <f aca="false">IF(B434="","",IFERROR(INDEX(PE_Nom,MATCH(B434,PE_Mat,0)),"Matricule inconnu"))</f>
        <v/>
      </c>
      <c r="D434" s="76" t="str">
        <f aca="false">IF(B434="","",IFERROR(INDEX(PE_Fonction,MATCH(B434,PE_Mat,0)),""))</f>
        <v/>
      </c>
      <c r="E434" s="76" t="str">
        <f aca="false">IF(B434="","",IFERROR(INDEX(PE_Equipe,MATCH(B434,PE_Mat,0)),""))</f>
        <v/>
      </c>
      <c r="F434" s="25"/>
      <c r="G434" s="25"/>
      <c r="H434" s="68"/>
      <c r="I434" s="89"/>
      <c r="J434" s="31" t="str">
        <f aca="false">IF(B434="","",IFERROR(INDEX(PE_Taux,MATCH(B434,PE_Mat,0)),0))</f>
        <v/>
      </c>
      <c r="K434" s="31" t="str">
        <f aca="false">IF(B434="","",IF(H434="A",0,IFERROR(N(I434)/P_Heures*J434,0)))</f>
        <v/>
      </c>
      <c r="L434" s="25"/>
    </row>
    <row r="435" customFormat="false" ht="15" hidden="false" customHeight="false" outlineLevel="0" collapsed="false">
      <c r="A435" s="69"/>
      <c r="B435" s="68"/>
      <c r="C435" s="76" t="str">
        <f aca="false">IF(B435="","",IFERROR(INDEX(PE_Nom,MATCH(B435,PE_Mat,0)),"Matricule inconnu"))</f>
        <v/>
      </c>
      <c r="D435" s="76" t="str">
        <f aca="false">IF(B435="","",IFERROR(INDEX(PE_Fonction,MATCH(B435,PE_Mat,0)),""))</f>
        <v/>
      </c>
      <c r="E435" s="76" t="str">
        <f aca="false">IF(B435="","",IFERROR(INDEX(PE_Equipe,MATCH(B435,PE_Mat,0)),""))</f>
        <v/>
      </c>
      <c r="F435" s="25"/>
      <c r="G435" s="25"/>
      <c r="H435" s="68"/>
      <c r="I435" s="89"/>
      <c r="J435" s="31" t="str">
        <f aca="false">IF(B435="","",IFERROR(INDEX(PE_Taux,MATCH(B435,PE_Mat,0)),0))</f>
        <v/>
      </c>
      <c r="K435" s="31" t="str">
        <f aca="false">IF(B435="","",IF(H435="A",0,IFERROR(N(I435)/P_Heures*J435,0)))</f>
        <v/>
      </c>
      <c r="L435" s="25"/>
    </row>
    <row r="436" customFormat="false" ht="15" hidden="false" customHeight="false" outlineLevel="0" collapsed="false">
      <c r="A436" s="69"/>
      <c r="B436" s="68"/>
      <c r="C436" s="76" t="str">
        <f aca="false">IF(B436="","",IFERROR(INDEX(PE_Nom,MATCH(B436,PE_Mat,0)),"Matricule inconnu"))</f>
        <v/>
      </c>
      <c r="D436" s="76" t="str">
        <f aca="false">IF(B436="","",IFERROR(INDEX(PE_Fonction,MATCH(B436,PE_Mat,0)),""))</f>
        <v/>
      </c>
      <c r="E436" s="76" t="str">
        <f aca="false">IF(B436="","",IFERROR(INDEX(PE_Equipe,MATCH(B436,PE_Mat,0)),""))</f>
        <v/>
      </c>
      <c r="F436" s="25"/>
      <c r="G436" s="25"/>
      <c r="H436" s="68"/>
      <c r="I436" s="89"/>
      <c r="J436" s="31" t="str">
        <f aca="false">IF(B436="","",IFERROR(INDEX(PE_Taux,MATCH(B436,PE_Mat,0)),0))</f>
        <v/>
      </c>
      <c r="K436" s="31" t="str">
        <f aca="false">IF(B436="","",IF(H436="A",0,IFERROR(N(I436)/P_Heures*J436,0)))</f>
        <v/>
      </c>
      <c r="L436" s="25"/>
    </row>
    <row r="437" customFormat="false" ht="15" hidden="false" customHeight="false" outlineLevel="0" collapsed="false">
      <c r="A437" s="69"/>
      <c r="B437" s="68"/>
      <c r="C437" s="76" t="str">
        <f aca="false">IF(B437="","",IFERROR(INDEX(PE_Nom,MATCH(B437,PE_Mat,0)),"Matricule inconnu"))</f>
        <v/>
      </c>
      <c r="D437" s="76" t="str">
        <f aca="false">IF(B437="","",IFERROR(INDEX(PE_Fonction,MATCH(B437,PE_Mat,0)),""))</f>
        <v/>
      </c>
      <c r="E437" s="76" t="str">
        <f aca="false">IF(B437="","",IFERROR(INDEX(PE_Equipe,MATCH(B437,PE_Mat,0)),""))</f>
        <v/>
      </c>
      <c r="F437" s="25"/>
      <c r="G437" s="25"/>
      <c r="H437" s="68"/>
      <c r="I437" s="89"/>
      <c r="J437" s="31" t="str">
        <f aca="false">IF(B437="","",IFERROR(INDEX(PE_Taux,MATCH(B437,PE_Mat,0)),0))</f>
        <v/>
      </c>
      <c r="K437" s="31" t="str">
        <f aca="false">IF(B437="","",IF(H437="A",0,IFERROR(N(I437)/P_Heures*J437,0)))</f>
        <v/>
      </c>
      <c r="L437" s="25"/>
    </row>
    <row r="438" customFormat="false" ht="15" hidden="false" customHeight="false" outlineLevel="0" collapsed="false">
      <c r="A438" s="69"/>
      <c r="B438" s="68"/>
      <c r="C438" s="76" t="str">
        <f aca="false">IF(B438="","",IFERROR(INDEX(PE_Nom,MATCH(B438,PE_Mat,0)),"Matricule inconnu"))</f>
        <v/>
      </c>
      <c r="D438" s="76" t="str">
        <f aca="false">IF(B438="","",IFERROR(INDEX(PE_Fonction,MATCH(B438,PE_Mat,0)),""))</f>
        <v/>
      </c>
      <c r="E438" s="76" t="str">
        <f aca="false">IF(B438="","",IFERROR(INDEX(PE_Equipe,MATCH(B438,PE_Mat,0)),""))</f>
        <v/>
      </c>
      <c r="F438" s="25"/>
      <c r="G438" s="25"/>
      <c r="H438" s="68"/>
      <c r="I438" s="89"/>
      <c r="J438" s="31" t="str">
        <f aca="false">IF(B438="","",IFERROR(INDEX(PE_Taux,MATCH(B438,PE_Mat,0)),0))</f>
        <v/>
      </c>
      <c r="K438" s="31" t="str">
        <f aca="false">IF(B438="","",IF(H438="A",0,IFERROR(N(I438)/P_Heures*J438,0)))</f>
        <v/>
      </c>
      <c r="L438" s="25"/>
    </row>
    <row r="439" customFormat="false" ht="15" hidden="false" customHeight="false" outlineLevel="0" collapsed="false">
      <c r="A439" s="69"/>
      <c r="B439" s="68"/>
      <c r="C439" s="76" t="str">
        <f aca="false">IF(B439="","",IFERROR(INDEX(PE_Nom,MATCH(B439,PE_Mat,0)),"Matricule inconnu"))</f>
        <v/>
      </c>
      <c r="D439" s="76" t="str">
        <f aca="false">IF(B439="","",IFERROR(INDEX(PE_Fonction,MATCH(B439,PE_Mat,0)),""))</f>
        <v/>
      </c>
      <c r="E439" s="76" t="str">
        <f aca="false">IF(B439="","",IFERROR(INDEX(PE_Equipe,MATCH(B439,PE_Mat,0)),""))</f>
        <v/>
      </c>
      <c r="F439" s="25"/>
      <c r="G439" s="25"/>
      <c r="H439" s="68"/>
      <c r="I439" s="89"/>
      <c r="J439" s="31" t="str">
        <f aca="false">IF(B439="","",IFERROR(INDEX(PE_Taux,MATCH(B439,PE_Mat,0)),0))</f>
        <v/>
      </c>
      <c r="K439" s="31" t="str">
        <f aca="false">IF(B439="","",IF(H439="A",0,IFERROR(N(I439)/P_Heures*J439,0)))</f>
        <v/>
      </c>
      <c r="L439" s="25"/>
    </row>
    <row r="440" customFormat="false" ht="15" hidden="false" customHeight="false" outlineLevel="0" collapsed="false">
      <c r="A440" s="69"/>
      <c r="B440" s="68"/>
      <c r="C440" s="76" t="str">
        <f aca="false">IF(B440="","",IFERROR(INDEX(PE_Nom,MATCH(B440,PE_Mat,0)),"Matricule inconnu"))</f>
        <v/>
      </c>
      <c r="D440" s="76" t="str">
        <f aca="false">IF(B440="","",IFERROR(INDEX(PE_Fonction,MATCH(B440,PE_Mat,0)),""))</f>
        <v/>
      </c>
      <c r="E440" s="76" t="str">
        <f aca="false">IF(B440="","",IFERROR(INDEX(PE_Equipe,MATCH(B440,PE_Mat,0)),""))</f>
        <v/>
      </c>
      <c r="F440" s="25"/>
      <c r="G440" s="25"/>
      <c r="H440" s="68"/>
      <c r="I440" s="89"/>
      <c r="J440" s="31" t="str">
        <f aca="false">IF(B440="","",IFERROR(INDEX(PE_Taux,MATCH(B440,PE_Mat,0)),0))</f>
        <v/>
      </c>
      <c r="K440" s="31" t="str">
        <f aca="false">IF(B440="","",IF(H440="A",0,IFERROR(N(I440)/P_Heures*J440,0)))</f>
        <v/>
      </c>
      <c r="L440" s="25"/>
    </row>
    <row r="441" customFormat="false" ht="15" hidden="false" customHeight="false" outlineLevel="0" collapsed="false">
      <c r="A441" s="69"/>
      <c r="B441" s="68"/>
      <c r="C441" s="76" t="str">
        <f aca="false">IF(B441="","",IFERROR(INDEX(PE_Nom,MATCH(B441,PE_Mat,0)),"Matricule inconnu"))</f>
        <v/>
      </c>
      <c r="D441" s="76" t="str">
        <f aca="false">IF(B441="","",IFERROR(INDEX(PE_Fonction,MATCH(B441,PE_Mat,0)),""))</f>
        <v/>
      </c>
      <c r="E441" s="76" t="str">
        <f aca="false">IF(B441="","",IFERROR(INDEX(PE_Equipe,MATCH(B441,PE_Mat,0)),""))</f>
        <v/>
      </c>
      <c r="F441" s="25"/>
      <c r="G441" s="25"/>
      <c r="H441" s="68"/>
      <c r="I441" s="89"/>
      <c r="J441" s="31" t="str">
        <f aca="false">IF(B441="","",IFERROR(INDEX(PE_Taux,MATCH(B441,PE_Mat,0)),0))</f>
        <v/>
      </c>
      <c r="K441" s="31" t="str">
        <f aca="false">IF(B441="","",IF(H441="A",0,IFERROR(N(I441)/P_Heures*J441,0)))</f>
        <v/>
      </c>
      <c r="L441" s="25"/>
    </row>
    <row r="442" customFormat="false" ht="15" hidden="false" customHeight="false" outlineLevel="0" collapsed="false">
      <c r="A442" s="69"/>
      <c r="B442" s="68"/>
      <c r="C442" s="76" t="str">
        <f aca="false">IF(B442="","",IFERROR(INDEX(PE_Nom,MATCH(B442,PE_Mat,0)),"Matricule inconnu"))</f>
        <v/>
      </c>
      <c r="D442" s="76" t="str">
        <f aca="false">IF(B442="","",IFERROR(INDEX(PE_Fonction,MATCH(B442,PE_Mat,0)),""))</f>
        <v/>
      </c>
      <c r="E442" s="76" t="str">
        <f aca="false">IF(B442="","",IFERROR(INDEX(PE_Equipe,MATCH(B442,PE_Mat,0)),""))</f>
        <v/>
      </c>
      <c r="F442" s="25"/>
      <c r="G442" s="25"/>
      <c r="H442" s="68"/>
      <c r="I442" s="89"/>
      <c r="J442" s="31" t="str">
        <f aca="false">IF(B442="","",IFERROR(INDEX(PE_Taux,MATCH(B442,PE_Mat,0)),0))</f>
        <v/>
      </c>
      <c r="K442" s="31" t="str">
        <f aca="false">IF(B442="","",IF(H442="A",0,IFERROR(N(I442)/P_Heures*J442,0)))</f>
        <v/>
      </c>
      <c r="L442" s="25"/>
    </row>
    <row r="443" customFormat="false" ht="15" hidden="false" customHeight="false" outlineLevel="0" collapsed="false">
      <c r="A443" s="69"/>
      <c r="B443" s="68"/>
      <c r="C443" s="76" t="str">
        <f aca="false">IF(B443="","",IFERROR(INDEX(PE_Nom,MATCH(B443,PE_Mat,0)),"Matricule inconnu"))</f>
        <v/>
      </c>
      <c r="D443" s="76" t="str">
        <f aca="false">IF(B443="","",IFERROR(INDEX(PE_Fonction,MATCH(B443,PE_Mat,0)),""))</f>
        <v/>
      </c>
      <c r="E443" s="76" t="str">
        <f aca="false">IF(B443="","",IFERROR(INDEX(PE_Equipe,MATCH(B443,PE_Mat,0)),""))</f>
        <v/>
      </c>
      <c r="F443" s="25"/>
      <c r="G443" s="25"/>
      <c r="H443" s="68"/>
      <c r="I443" s="89"/>
      <c r="J443" s="31" t="str">
        <f aca="false">IF(B443="","",IFERROR(INDEX(PE_Taux,MATCH(B443,PE_Mat,0)),0))</f>
        <v/>
      </c>
      <c r="K443" s="31" t="str">
        <f aca="false">IF(B443="","",IF(H443="A",0,IFERROR(N(I443)/P_Heures*J443,0)))</f>
        <v/>
      </c>
      <c r="L443" s="25"/>
    </row>
    <row r="444" customFormat="false" ht="15" hidden="false" customHeight="false" outlineLevel="0" collapsed="false">
      <c r="A444" s="69"/>
      <c r="B444" s="68"/>
      <c r="C444" s="76" t="str">
        <f aca="false">IF(B444="","",IFERROR(INDEX(PE_Nom,MATCH(B444,PE_Mat,0)),"Matricule inconnu"))</f>
        <v/>
      </c>
      <c r="D444" s="76" t="str">
        <f aca="false">IF(B444="","",IFERROR(INDEX(PE_Fonction,MATCH(B444,PE_Mat,0)),""))</f>
        <v/>
      </c>
      <c r="E444" s="76" t="str">
        <f aca="false">IF(B444="","",IFERROR(INDEX(PE_Equipe,MATCH(B444,PE_Mat,0)),""))</f>
        <v/>
      </c>
      <c r="F444" s="25"/>
      <c r="G444" s="25"/>
      <c r="H444" s="68"/>
      <c r="I444" s="89"/>
      <c r="J444" s="31" t="str">
        <f aca="false">IF(B444="","",IFERROR(INDEX(PE_Taux,MATCH(B444,PE_Mat,0)),0))</f>
        <v/>
      </c>
      <c r="K444" s="31" t="str">
        <f aca="false">IF(B444="","",IF(H444="A",0,IFERROR(N(I444)/P_Heures*J444,0)))</f>
        <v/>
      </c>
      <c r="L444" s="25"/>
    </row>
    <row r="445" customFormat="false" ht="15" hidden="false" customHeight="false" outlineLevel="0" collapsed="false">
      <c r="A445" s="69"/>
      <c r="B445" s="68"/>
      <c r="C445" s="76" t="str">
        <f aca="false">IF(B445="","",IFERROR(INDEX(PE_Nom,MATCH(B445,PE_Mat,0)),"Matricule inconnu"))</f>
        <v/>
      </c>
      <c r="D445" s="76" t="str">
        <f aca="false">IF(B445="","",IFERROR(INDEX(PE_Fonction,MATCH(B445,PE_Mat,0)),""))</f>
        <v/>
      </c>
      <c r="E445" s="76" t="str">
        <f aca="false">IF(B445="","",IFERROR(INDEX(PE_Equipe,MATCH(B445,PE_Mat,0)),""))</f>
        <v/>
      </c>
      <c r="F445" s="25"/>
      <c r="G445" s="25"/>
      <c r="H445" s="68"/>
      <c r="I445" s="89"/>
      <c r="J445" s="31" t="str">
        <f aca="false">IF(B445="","",IFERROR(INDEX(PE_Taux,MATCH(B445,PE_Mat,0)),0))</f>
        <v/>
      </c>
      <c r="K445" s="31" t="str">
        <f aca="false">IF(B445="","",IF(H445="A",0,IFERROR(N(I445)/P_Heures*J445,0)))</f>
        <v/>
      </c>
      <c r="L445" s="25"/>
    </row>
    <row r="446" customFormat="false" ht="15" hidden="false" customHeight="false" outlineLevel="0" collapsed="false">
      <c r="A446" s="69"/>
      <c r="B446" s="68"/>
      <c r="C446" s="76" t="str">
        <f aca="false">IF(B446="","",IFERROR(INDEX(PE_Nom,MATCH(B446,PE_Mat,0)),"Matricule inconnu"))</f>
        <v/>
      </c>
      <c r="D446" s="76" t="str">
        <f aca="false">IF(B446="","",IFERROR(INDEX(PE_Fonction,MATCH(B446,PE_Mat,0)),""))</f>
        <v/>
      </c>
      <c r="E446" s="76" t="str">
        <f aca="false">IF(B446="","",IFERROR(INDEX(PE_Equipe,MATCH(B446,PE_Mat,0)),""))</f>
        <v/>
      </c>
      <c r="F446" s="25"/>
      <c r="G446" s="25"/>
      <c r="H446" s="68"/>
      <c r="I446" s="89"/>
      <c r="J446" s="31" t="str">
        <f aca="false">IF(B446="","",IFERROR(INDEX(PE_Taux,MATCH(B446,PE_Mat,0)),0))</f>
        <v/>
      </c>
      <c r="K446" s="31" t="str">
        <f aca="false">IF(B446="","",IF(H446="A",0,IFERROR(N(I446)/P_Heures*J446,0)))</f>
        <v/>
      </c>
      <c r="L446" s="25"/>
    </row>
    <row r="447" customFormat="false" ht="15" hidden="false" customHeight="false" outlineLevel="0" collapsed="false">
      <c r="A447" s="69"/>
      <c r="B447" s="68"/>
      <c r="C447" s="76" t="str">
        <f aca="false">IF(B447="","",IFERROR(INDEX(PE_Nom,MATCH(B447,PE_Mat,0)),"Matricule inconnu"))</f>
        <v/>
      </c>
      <c r="D447" s="76" t="str">
        <f aca="false">IF(B447="","",IFERROR(INDEX(PE_Fonction,MATCH(B447,PE_Mat,0)),""))</f>
        <v/>
      </c>
      <c r="E447" s="76" t="str">
        <f aca="false">IF(B447="","",IFERROR(INDEX(PE_Equipe,MATCH(B447,PE_Mat,0)),""))</f>
        <v/>
      </c>
      <c r="F447" s="25"/>
      <c r="G447" s="25"/>
      <c r="H447" s="68"/>
      <c r="I447" s="89"/>
      <c r="J447" s="31" t="str">
        <f aca="false">IF(B447="","",IFERROR(INDEX(PE_Taux,MATCH(B447,PE_Mat,0)),0))</f>
        <v/>
      </c>
      <c r="K447" s="31" t="str">
        <f aca="false">IF(B447="","",IF(H447="A",0,IFERROR(N(I447)/P_Heures*J447,0)))</f>
        <v/>
      </c>
      <c r="L447" s="25"/>
    </row>
    <row r="448" customFormat="false" ht="15" hidden="false" customHeight="false" outlineLevel="0" collapsed="false">
      <c r="A448" s="69"/>
      <c r="B448" s="68"/>
      <c r="C448" s="76" t="str">
        <f aca="false">IF(B448="","",IFERROR(INDEX(PE_Nom,MATCH(B448,PE_Mat,0)),"Matricule inconnu"))</f>
        <v/>
      </c>
      <c r="D448" s="76" t="str">
        <f aca="false">IF(B448="","",IFERROR(INDEX(PE_Fonction,MATCH(B448,PE_Mat,0)),""))</f>
        <v/>
      </c>
      <c r="E448" s="76" t="str">
        <f aca="false">IF(B448="","",IFERROR(INDEX(PE_Equipe,MATCH(B448,PE_Mat,0)),""))</f>
        <v/>
      </c>
      <c r="F448" s="25"/>
      <c r="G448" s="25"/>
      <c r="H448" s="68"/>
      <c r="I448" s="89"/>
      <c r="J448" s="31" t="str">
        <f aca="false">IF(B448="","",IFERROR(INDEX(PE_Taux,MATCH(B448,PE_Mat,0)),0))</f>
        <v/>
      </c>
      <c r="K448" s="31" t="str">
        <f aca="false">IF(B448="","",IF(H448="A",0,IFERROR(N(I448)/P_Heures*J448,0)))</f>
        <v/>
      </c>
      <c r="L448" s="25"/>
    </row>
    <row r="449" customFormat="false" ht="15" hidden="false" customHeight="false" outlineLevel="0" collapsed="false">
      <c r="A449" s="69"/>
      <c r="B449" s="68"/>
      <c r="C449" s="76" t="str">
        <f aca="false">IF(B449="","",IFERROR(INDEX(PE_Nom,MATCH(B449,PE_Mat,0)),"Matricule inconnu"))</f>
        <v/>
      </c>
      <c r="D449" s="76" t="str">
        <f aca="false">IF(B449="","",IFERROR(INDEX(PE_Fonction,MATCH(B449,PE_Mat,0)),""))</f>
        <v/>
      </c>
      <c r="E449" s="76" t="str">
        <f aca="false">IF(B449="","",IFERROR(INDEX(PE_Equipe,MATCH(B449,PE_Mat,0)),""))</f>
        <v/>
      </c>
      <c r="F449" s="25"/>
      <c r="G449" s="25"/>
      <c r="H449" s="68"/>
      <c r="I449" s="89"/>
      <c r="J449" s="31" t="str">
        <f aca="false">IF(B449="","",IFERROR(INDEX(PE_Taux,MATCH(B449,PE_Mat,0)),0))</f>
        <v/>
      </c>
      <c r="K449" s="31" t="str">
        <f aca="false">IF(B449="","",IF(H449="A",0,IFERROR(N(I449)/P_Heures*J449,0)))</f>
        <v/>
      </c>
      <c r="L449" s="25"/>
    </row>
    <row r="450" customFormat="false" ht="15" hidden="false" customHeight="false" outlineLevel="0" collapsed="false">
      <c r="A450" s="69"/>
      <c r="B450" s="68"/>
      <c r="C450" s="76" t="str">
        <f aca="false">IF(B450="","",IFERROR(INDEX(PE_Nom,MATCH(B450,PE_Mat,0)),"Matricule inconnu"))</f>
        <v/>
      </c>
      <c r="D450" s="76" t="str">
        <f aca="false">IF(B450="","",IFERROR(INDEX(PE_Fonction,MATCH(B450,PE_Mat,0)),""))</f>
        <v/>
      </c>
      <c r="E450" s="76" t="str">
        <f aca="false">IF(B450="","",IFERROR(INDEX(PE_Equipe,MATCH(B450,PE_Mat,0)),""))</f>
        <v/>
      </c>
      <c r="F450" s="25"/>
      <c r="G450" s="25"/>
      <c r="H450" s="68"/>
      <c r="I450" s="89"/>
      <c r="J450" s="31" t="str">
        <f aca="false">IF(B450="","",IFERROR(INDEX(PE_Taux,MATCH(B450,PE_Mat,0)),0))</f>
        <v/>
      </c>
      <c r="K450" s="31" t="str">
        <f aca="false">IF(B450="","",IF(H450="A",0,IFERROR(N(I450)/P_Heures*J450,0)))</f>
        <v/>
      </c>
      <c r="L450" s="25"/>
    </row>
    <row r="451" customFormat="false" ht="15" hidden="false" customHeight="false" outlineLevel="0" collapsed="false">
      <c r="A451" s="69"/>
      <c r="B451" s="68"/>
      <c r="C451" s="76" t="str">
        <f aca="false">IF(B451="","",IFERROR(INDEX(PE_Nom,MATCH(B451,PE_Mat,0)),"Matricule inconnu"))</f>
        <v/>
      </c>
      <c r="D451" s="76" t="str">
        <f aca="false">IF(B451="","",IFERROR(INDEX(PE_Fonction,MATCH(B451,PE_Mat,0)),""))</f>
        <v/>
      </c>
      <c r="E451" s="76" t="str">
        <f aca="false">IF(B451="","",IFERROR(INDEX(PE_Equipe,MATCH(B451,PE_Mat,0)),""))</f>
        <v/>
      </c>
      <c r="F451" s="25"/>
      <c r="G451" s="25"/>
      <c r="H451" s="68"/>
      <c r="I451" s="89"/>
      <c r="J451" s="31" t="str">
        <f aca="false">IF(B451="","",IFERROR(INDEX(PE_Taux,MATCH(B451,PE_Mat,0)),0))</f>
        <v/>
      </c>
      <c r="K451" s="31" t="str">
        <f aca="false">IF(B451="","",IF(H451="A",0,IFERROR(N(I451)/P_Heures*J451,0)))</f>
        <v/>
      </c>
      <c r="L451" s="25"/>
    </row>
    <row r="452" customFormat="false" ht="15" hidden="false" customHeight="false" outlineLevel="0" collapsed="false">
      <c r="A452" s="69"/>
      <c r="B452" s="68"/>
      <c r="C452" s="76" t="str">
        <f aca="false">IF(B452="","",IFERROR(INDEX(PE_Nom,MATCH(B452,PE_Mat,0)),"Matricule inconnu"))</f>
        <v/>
      </c>
      <c r="D452" s="76" t="str">
        <f aca="false">IF(B452="","",IFERROR(INDEX(PE_Fonction,MATCH(B452,PE_Mat,0)),""))</f>
        <v/>
      </c>
      <c r="E452" s="76" t="str">
        <f aca="false">IF(B452="","",IFERROR(INDEX(PE_Equipe,MATCH(B452,PE_Mat,0)),""))</f>
        <v/>
      </c>
      <c r="F452" s="25"/>
      <c r="G452" s="25"/>
      <c r="H452" s="68"/>
      <c r="I452" s="89"/>
      <c r="J452" s="31" t="str">
        <f aca="false">IF(B452="","",IFERROR(INDEX(PE_Taux,MATCH(B452,PE_Mat,0)),0))</f>
        <v/>
      </c>
      <c r="K452" s="31" t="str">
        <f aca="false">IF(B452="","",IF(H452="A",0,IFERROR(N(I452)/P_Heures*J452,0)))</f>
        <v/>
      </c>
      <c r="L452" s="25"/>
    </row>
    <row r="453" customFormat="false" ht="15" hidden="false" customHeight="false" outlineLevel="0" collapsed="false">
      <c r="A453" s="69"/>
      <c r="B453" s="68"/>
      <c r="C453" s="76" t="str">
        <f aca="false">IF(B453="","",IFERROR(INDEX(PE_Nom,MATCH(B453,PE_Mat,0)),"Matricule inconnu"))</f>
        <v/>
      </c>
      <c r="D453" s="76" t="str">
        <f aca="false">IF(B453="","",IFERROR(INDEX(PE_Fonction,MATCH(B453,PE_Mat,0)),""))</f>
        <v/>
      </c>
      <c r="E453" s="76" t="str">
        <f aca="false">IF(B453="","",IFERROR(INDEX(PE_Equipe,MATCH(B453,PE_Mat,0)),""))</f>
        <v/>
      </c>
      <c r="F453" s="25"/>
      <c r="G453" s="25"/>
      <c r="H453" s="68"/>
      <c r="I453" s="89"/>
      <c r="J453" s="31" t="str">
        <f aca="false">IF(B453="","",IFERROR(INDEX(PE_Taux,MATCH(B453,PE_Mat,0)),0))</f>
        <v/>
      </c>
      <c r="K453" s="31" t="str">
        <f aca="false">IF(B453="","",IF(H453="A",0,IFERROR(N(I453)/P_Heures*J453,0)))</f>
        <v/>
      </c>
      <c r="L453" s="25"/>
    </row>
    <row r="454" customFormat="false" ht="15" hidden="false" customHeight="false" outlineLevel="0" collapsed="false">
      <c r="A454" s="69"/>
      <c r="B454" s="68"/>
      <c r="C454" s="76" t="str">
        <f aca="false">IF(B454="","",IFERROR(INDEX(PE_Nom,MATCH(B454,PE_Mat,0)),"Matricule inconnu"))</f>
        <v/>
      </c>
      <c r="D454" s="76" t="str">
        <f aca="false">IF(B454="","",IFERROR(INDEX(PE_Fonction,MATCH(B454,PE_Mat,0)),""))</f>
        <v/>
      </c>
      <c r="E454" s="76" t="str">
        <f aca="false">IF(B454="","",IFERROR(INDEX(PE_Equipe,MATCH(B454,PE_Mat,0)),""))</f>
        <v/>
      </c>
      <c r="F454" s="25"/>
      <c r="G454" s="25"/>
      <c r="H454" s="68"/>
      <c r="I454" s="89"/>
      <c r="J454" s="31" t="str">
        <f aca="false">IF(B454="","",IFERROR(INDEX(PE_Taux,MATCH(B454,PE_Mat,0)),0))</f>
        <v/>
      </c>
      <c r="K454" s="31" t="str">
        <f aca="false">IF(B454="","",IF(H454="A",0,IFERROR(N(I454)/P_Heures*J454,0)))</f>
        <v/>
      </c>
      <c r="L454" s="25"/>
    </row>
    <row r="455" customFormat="false" ht="15" hidden="false" customHeight="false" outlineLevel="0" collapsed="false">
      <c r="A455" s="69"/>
      <c r="B455" s="68"/>
      <c r="C455" s="76" t="str">
        <f aca="false">IF(B455="","",IFERROR(INDEX(PE_Nom,MATCH(B455,PE_Mat,0)),"Matricule inconnu"))</f>
        <v/>
      </c>
      <c r="D455" s="76" t="str">
        <f aca="false">IF(B455="","",IFERROR(INDEX(PE_Fonction,MATCH(B455,PE_Mat,0)),""))</f>
        <v/>
      </c>
      <c r="E455" s="76" t="str">
        <f aca="false">IF(B455="","",IFERROR(INDEX(PE_Equipe,MATCH(B455,PE_Mat,0)),""))</f>
        <v/>
      </c>
      <c r="F455" s="25"/>
      <c r="G455" s="25"/>
      <c r="H455" s="68"/>
      <c r="I455" s="89"/>
      <c r="J455" s="31" t="str">
        <f aca="false">IF(B455="","",IFERROR(INDEX(PE_Taux,MATCH(B455,PE_Mat,0)),0))</f>
        <v/>
      </c>
      <c r="K455" s="31" t="str">
        <f aca="false">IF(B455="","",IF(H455="A",0,IFERROR(N(I455)/P_Heures*J455,0)))</f>
        <v/>
      </c>
      <c r="L455" s="25"/>
    </row>
    <row r="456" customFormat="false" ht="15" hidden="false" customHeight="false" outlineLevel="0" collapsed="false">
      <c r="A456" s="69"/>
      <c r="B456" s="68"/>
      <c r="C456" s="76" t="str">
        <f aca="false">IF(B456="","",IFERROR(INDEX(PE_Nom,MATCH(B456,PE_Mat,0)),"Matricule inconnu"))</f>
        <v/>
      </c>
      <c r="D456" s="76" t="str">
        <f aca="false">IF(B456="","",IFERROR(INDEX(PE_Fonction,MATCH(B456,PE_Mat,0)),""))</f>
        <v/>
      </c>
      <c r="E456" s="76" t="str">
        <f aca="false">IF(B456="","",IFERROR(INDEX(PE_Equipe,MATCH(B456,PE_Mat,0)),""))</f>
        <v/>
      </c>
      <c r="F456" s="25"/>
      <c r="G456" s="25"/>
      <c r="H456" s="68"/>
      <c r="I456" s="89"/>
      <c r="J456" s="31" t="str">
        <f aca="false">IF(B456="","",IFERROR(INDEX(PE_Taux,MATCH(B456,PE_Mat,0)),0))</f>
        <v/>
      </c>
      <c r="K456" s="31" t="str">
        <f aca="false">IF(B456="","",IF(H456="A",0,IFERROR(N(I456)/P_Heures*J456,0)))</f>
        <v/>
      </c>
      <c r="L456" s="25"/>
    </row>
    <row r="457" customFormat="false" ht="15" hidden="false" customHeight="false" outlineLevel="0" collapsed="false">
      <c r="A457" s="69"/>
      <c r="B457" s="68"/>
      <c r="C457" s="76" t="str">
        <f aca="false">IF(B457="","",IFERROR(INDEX(PE_Nom,MATCH(B457,PE_Mat,0)),"Matricule inconnu"))</f>
        <v/>
      </c>
      <c r="D457" s="76" t="str">
        <f aca="false">IF(B457="","",IFERROR(INDEX(PE_Fonction,MATCH(B457,PE_Mat,0)),""))</f>
        <v/>
      </c>
      <c r="E457" s="76" t="str">
        <f aca="false">IF(B457="","",IFERROR(INDEX(PE_Equipe,MATCH(B457,PE_Mat,0)),""))</f>
        <v/>
      </c>
      <c r="F457" s="25"/>
      <c r="G457" s="25"/>
      <c r="H457" s="68"/>
      <c r="I457" s="89"/>
      <c r="J457" s="31" t="str">
        <f aca="false">IF(B457="","",IFERROR(INDEX(PE_Taux,MATCH(B457,PE_Mat,0)),0))</f>
        <v/>
      </c>
      <c r="K457" s="31" t="str">
        <f aca="false">IF(B457="","",IF(H457="A",0,IFERROR(N(I457)/P_Heures*J457,0)))</f>
        <v/>
      </c>
      <c r="L457" s="25"/>
    </row>
    <row r="458" customFormat="false" ht="15" hidden="false" customHeight="false" outlineLevel="0" collapsed="false">
      <c r="A458" s="69"/>
      <c r="B458" s="68"/>
      <c r="C458" s="76" t="str">
        <f aca="false">IF(B458="","",IFERROR(INDEX(PE_Nom,MATCH(B458,PE_Mat,0)),"Matricule inconnu"))</f>
        <v/>
      </c>
      <c r="D458" s="76" t="str">
        <f aca="false">IF(B458="","",IFERROR(INDEX(PE_Fonction,MATCH(B458,PE_Mat,0)),""))</f>
        <v/>
      </c>
      <c r="E458" s="76" t="str">
        <f aca="false">IF(B458="","",IFERROR(INDEX(PE_Equipe,MATCH(B458,PE_Mat,0)),""))</f>
        <v/>
      </c>
      <c r="F458" s="25"/>
      <c r="G458" s="25"/>
      <c r="H458" s="68"/>
      <c r="I458" s="89"/>
      <c r="J458" s="31" t="str">
        <f aca="false">IF(B458="","",IFERROR(INDEX(PE_Taux,MATCH(B458,PE_Mat,0)),0))</f>
        <v/>
      </c>
      <c r="K458" s="31" t="str">
        <f aca="false">IF(B458="","",IF(H458="A",0,IFERROR(N(I458)/P_Heures*J458,0)))</f>
        <v/>
      </c>
      <c r="L458" s="25"/>
    </row>
    <row r="459" customFormat="false" ht="15" hidden="false" customHeight="false" outlineLevel="0" collapsed="false">
      <c r="A459" s="69"/>
      <c r="B459" s="68"/>
      <c r="C459" s="76" t="str">
        <f aca="false">IF(B459="","",IFERROR(INDEX(PE_Nom,MATCH(B459,PE_Mat,0)),"Matricule inconnu"))</f>
        <v/>
      </c>
      <c r="D459" s="76" t="str">
        <f aca="false">IF(B459="","",IFERROR(INDEX(PE_Fonction,MATCH(B459,PE_Mat,0)),""))</f>
        <v/>
      </c>
      <c r="E459" s="76" t="str">
        <f aca="false">IF(B459="","",IFERROR(INDEX(PE_Equipe,MATCH(B459,PE_Mat,0)),""))</f>
        <v/>
      </c>
      <c r="F459" s="25"/>
      <c r="G459" s="25"/>
      <c r="H459" s="68"/>
      <c r="I459" s="89"/>
      <c r="J459" s="31" t="str">
        <f aca="false">IF(B459="","",IFERROR(INDEX(PE_Taux,MATCH(B459,PE_Mat,0)),0))</f>
        <v/>
      </c>
      <c r="K459" s="31" t="str">
        <f aca="false">IF(B459="","",IF(H459="A",0,IFERROR(N(I459)/P_Heures*J459,0)))</f>
        <v/>
      </c>
      <c r="L459" s="25"/>
    </row>
    <row r="460" customFormat="false" ht="15" hidden="false" customHeight="false" outlineLevel="0" collapsed="false">
      <c r="A460" s="69"/>
      <c r="B460" s="68"/>
      <c r="C460" s="76" t="str">
        <f aca="false">IF(B460="","",IFERROR(INDEX(PE_Nom,MATCH(B460,PE_Mat,0)),"Matricule inconnu"))</f>
        <v/>
      </c>
      <c r="D460" s="76" t="str">
        <f aca="false">IF(B460="","",IFERROR(INDEX(PE_Fonction,MATCH(B460,PE_Mat,0)),""))</f>
        <v/>
      </c>
      <c r="E460" s="76" t="str">
        <f aca="false">IF(B460="","",IFERROR(INDEX(PE_Equipe,MATCH(B460,PE_Mat,0)),""))</f>
        <v/>
      </c>
      <c r="F460" s="25"/>
      <c r="G460" s="25"/>
      <c r="H460" s="68"/>
      <c r="I460" s="89"/>
      <c r="J460" s="31" t="str">
        <f aca="false">IF(B460="","",IFERROR(INDEX(PE_Taux,MATCH(B460,PE_Mat,0)),0))</f>
        <v/>
      </c>
      <c r="K460" s="31" t="str">
        <f aca="false">IF(B460="","",IF(H460="A",0,IFERROR(N(I460)/P_Heures*J460,0)))</f>
        <v/>
      </c>
      <c r="L460" s="25"/>
    </row>
    <row r="461" customFormat="false" ht="15" hidden="false" customHeight="false" outlineLevel="0" collapsed="false">
      <c r="A461" s="69"/>
      <c r="B461" s="68"/>
      <c r="C461" s="76" t="str">
        <f aca="false">IF(B461="","",IFERROR(INDEX(PE_Nom,MATCH(B461,PE_Mat,0)),"Matricule inconnu"))</f>
        <v/>
      </c>
      <c r="D461" s="76" t="str">
        <f aca="false">IF(B461="","",IFERROR(INDEX(PE_Fonction,MATCH(B461,PE_Mat,0)),""))</f>
        <v/>
      </c>
      <c r="E461" s="76" t="str">
        <f aca="false">IF(B461="","",IFERROR(INDEX(PE_Equipe,MATCH(B461,PE_Mat,0)),""))</f>
        <v/>
      </c>
      <c r="F461" s="25"/>
      <c r="G461" s="25"/>
      <c r="H461" s="68"/>
      <c r="I461" s="89"/>
      <c r="J461" s="31" t="str">
        <f aca="false">IF(B461="","",IFERROR(INDEX(PE_Taux,MATCH(B461,PE_Mat,0)),0))</f>
        <v/>
      </c>
      <c r="K461" s="31" t="str">
        <f aca="false">IF(B461="","",IF(H461="A",0,IFERROR(N(I461)/P_Heures*J461,0)))</f>
        <v/>
      </c>
      <c r="L461" s="25"/>
    </row>
    <row r="462" customFormat="false" ht="15" hidden="false" customHeight="false" outlineLevel="0" collapsed="false">
      <c r="A462" s="69"/>
      <c r="B462" s="68"/>
      <c r="C462" s="76" t="str">
        <f aca="false">IF(B462="","",IFERROR(INDEX(PE_Nom,MATCH(B462,PE_Mat,0)),"Matricule inconnu"))</f>
        <v/>
      </c>
      <c r="D462" s="76" t="str">
        <f aca="false">IF(B462="","",IFERROR(INDEX(PE_Fonction,MATCH(B462,PE_Mat,0)),""))</f>
        <v/>
      </c>
      <c r="E462" s="76" t="str">
        <f aca="false">IF(B462="","",IFERROR(INDEX(PE_Equipe,MATCH(B462,PE_Mat,0)),""))</f>
        <v/>
      </c>
      <c r="F462" s="25"/>
      <c r="G462" s="25"/>
      <c r="H462" s="68"/>
      <c r="I462" s="89"/>
      <c r="J462" s="31" t="str">
        <f aca="false">IF(B462="","",IFERROR(INDEX(PE_Taux,MATCH(B462,PE_Mat,0)),0))</f>
        <v/>
      </c>
      <c r="K462" s="31" t="str">
        <f aca="false">IF(B462="","",IF(H462="A",0,IFERROR(N(I462)/P_Heures*J462,0)))</f>
        <v/>
      </c>
      <c r="L462" s="25"/>
    </row>
    <row r="463" customFormat="false" ht="15" hidden="false" customHeight="false" outlineLevel="0" collapsed="false">
      <c r="A463" s="69"/>
      <c r="B463" s="68"/>
      <c r="C463" s="76" t="str">
        <f aca="false">IF(B463="","",IFERROR(INDEX(PE_Nom,MATCH(B463,PE_Mat,0)),"Matricule inconnu"))</f>
        <v/>
      </c>
      <c r="D463" s="76" t="str">
        <f aca="false">IF(B463="","",IFERROR(INDEX(PE_Fonction,MATCH(B463,PE_Mat,0)),""))</f>
        <v/>
      </c>
      <c r="E463" s="76" t="str">
        <f aca="false">IF(B463="","",IFERROR(INDEX(PE_Equipe,MATCH(B463,PE_Mat,0)),""))</f>
        <v/>
      </c>
      <c r="F463" s="25"/>
      <c r="G463" s="25"/>
      <c r="H463" s="68"/>
      <c r="I463" s="89"/>
      <c r="J463" s="31" t="str">
        <f aca="false">IF(B463="","",IFERROR(INDEX(PE_Taux,MATCH(B463,PE_Mat,0)),0))</f>
        <v/>
      </c>
      <c r="K463" s="31" t="str">
        <f aca="false">IF(B463="","",IF(H463="A",0,IFERROR(N(I463)/P_Heures*J463,0)))</f>
        <v/>
      </c>
      <c r="L463" s="25"/>
    </row>
    <row r="464" customFormat="false" ht="15" hidden="false" customHeight="false" outlineLevel="0" collapsed="false">
      <c r="A464" s="69"/>
      <c r="B464" s="68"/>
      <c r="C464" s="76" t="str">
        <f aca="false">IF(B464="","",IFERROR(INDEX(PE_Nom,MATCH(B464,PE_Mat,0)),"Matricule inconnu"))</f>
        <v/>
      </c>
      <c r="D464" s="76" t="str">
        <f aca="false">IF(B464="","",IFERROR(INDEX(PE_Fonction,MATCH(B464,PE_Mat,0)),""))</f>
        <v/>
      </c>
      <c r="E464" s="76" t="str">
        <f aca="false">IF(B464="","",IFERROR(INDEX(PE_Equipe,MATCH(B464,PE_Mat,0)),""))</f>
        <v/>
      </c>
      <c r="F464" s="25"/>
      <c r="G464" s="25"/>
      <c r="H464" s="68"/>
      <c r="I464" s="89"/>
      <c r="J464" s="31" t="str">
        <f aca="false">IF(B464="","",IFERROR(INDEX(PE_Taux,MATCH(B464,PE_Mat,0)),0))</f>
        <v/>
      </c>
      <c r="K464" s="31" t="str">
        <f aca="false">IF(B464="","",IF(H464="A",0,IFERROR(N(I464)/P_Heures*J464,0)))</f>
        <v/>
      </c>
      <c r="L464" s="25"/>
    </row>
    <row r="465" customFormat="false" ht="15" hidden="false" customHeight="false" outlineLevel="0" collapsed="false">
      <c r="A465" s="69"/>
      <c r="B465" s="68"/>
      <c r="C465" s="76" t="str">
        <f aca="false">IF(B465="","",IFERROR(INDEX(PE_Nom,MATCH(B465,PE_Mat,0)),"Matricule inconnu"))</f>
        <v/>
      </c>
      <c r="D465" s="76" t="str">
        <f aca="false">IF(B465="","",IFERROR(INDEX(PE_Fonction,MATCH(B465,PE_Mat,0)),""))</f>
        <v/>
      </c>
      <c r="E465" s="76" t="str">
        <f aca="false">IF(B465="","",IFERROR(INDEX(PE_Equipe,MATCH(B465,PE_Mat,0)),""))</f>
        <v/>
      </c>
      <c r="F465" s="25"/>
      <c r="G465" s="25"/>
      <c r="H465" s="68"/>
      <c r="I465" s="89"/>
      <c r="J465" s="31" t="str">
        <f aca="false">IF(B465="","",IFERROR(INDEX(PE_Taux,MATCH(B465,PE_Mat,0)),0))</f>
        <v/>
      </c>
      <c r="K465" s="31" t="str">
        <f aca="false">IF(B465="","",IF(H465="A",0,IFERROR(N(I465)/P_Heures*J465,0)))</f>
        <v/>
      </c>
      <c r="L465" s="25"/>
    </row>
    <row r="466" customFormat="false" ht="15" hidden="false" customHeight="false" outlineLevel="0" collapsed="false">
      <c r="A466" s="69"/>
      <c r="B466" s="68"/>
      <c r="C466" s="76" t="str">
        <f aca="false">IF(B466="","",IFERROR(INDEX(PE_Nom,MATCH(B466,PE_Mat,0)),"Matricule inconnu"))</f>
        <v/>
      </c>
      <c r="D466" s="76" t="str">
        <f aca="false">IF(B466="","",IFERROR(INDEX(PE_Fonction,MATCH(B466,PE_Mat,0)),""))</f>
        <v/>
      </c>
      <c r="E466" s="76" t="str">
        <f aca="false">IF(B466="","",IFERROR(INDEX(PE_Equipe,MATCH(B466,PE_Mat,0)),""))</f>
        <v/>
      </c>
      <c r="F466" s="25"/>
      <c r="G466" s="25"/>
      <c r="H466" s="68"/>
      <c r="I466" s="89"/>
      <c r="J466" s="31" t="str">
        <f aca="false">IF(B466="","",IFERROR(INDEX(PE_Taux,MATCH(B466,PE_Mat,0)),0))</f>
        <v/>
      </c>
      <c r="K466" s="31" t="str">
        <f aca="false">IF(B466="","",IF(H466="A",0,IFERROR(N(I466)/P_Heures*J466,0)))</f>
        <v/>
      </c>
      <c r="L466" s="25"/>
    </row>
    <row r="467" customFormat="false" ht="15" hidden="false" customHeight="false" outlineLevel="0" collapsed="false">
      <c r="A467" s="69"/>
      <c r="B467" s="68"/>
      <c r="C467" s="76" t="str">
        <f aca="false">IF(B467="","",IFERROR(INDEX(PE_Nom,MATCH(B467,PE_Mat,0)),"Matricule inconnu"))</f>
        <v/>
      </c>
      <c r="D467" s="76" t="str">
        <f aca="false">IF(B467="","",IFERROR(INDEX(PE_Fonction,MATCH(B467,PE_Mat,0)),""))</f>
        <v/>
      </c>
      <c r="E467" s="76" t="str">
        <f aca="false">IF(B467="","",IFERROR(INDEX(PE_Equipe,MATCH(B467,PE_Mat,0)),""))</f>
        <v/>
      </c>
      <c r="F467" s="25"/>
      <c r="G467" s="25"/>
      <c r="H467" s="68"/>
      <c r="I467" s="89"/>
      <c r="J467" s="31" t="str">
        <f aca="false">IF(B467="","",IFERROR(INDEX(PE_Taux,MATCH(B467,PE_Mat,0)),0))</f>
        <v/>
      </c>
      <c r="K467" s="31" t="str">
        <f aca="false">IF(B467="","",IF(H467="A",0,IFERROR(N(I467)/P_Heures*J467,0)))</f>
        <v/>
      </c>
      <c r="L467" s="25"/>
    </row>
    <row r="468" customFormat="false" ht="15" hidden="false" customHeight="false" outlineLevel="0" collapsed="false">
      <c r="A468" s="69"/>
      <c r="B468" s="68"/>
      <c r="C468" s="76" t="str">
        <f aca="false">IF(B468="","",IFERROR(INDEX(PE_Nom,MATCH(B468,PE_Mat,0)),"Matricule inconnu"))</f>
        <v/>
      </c>
      <c r="D468" s="76" t="str">
        <f aca="false">IF(B468="","",IFERROR(INDEX(PE_Fonction,MATCH(B468,PE_Mat,0)),""))</f>
        <v/>
      </c>
      <c r="E468" s="76" t="str">
        <f aca="false">IF(B468="","",IFERROR(INDEX(PE_Equipe,MATCH(B468,PE_Mat,0)),""))</f>
        <v/>
      </c>
      <c r="F468" s="25"/>
      <c r="G468" s="25"/>
      <c r="H468" s="68"/>
      <c r="I468" s="89"/>
      <c r="J468" s="31" t="str">
        <f aca="false">IF(B468="","",IFERROR(INDEX(PE_Taux,MATCH(B468,PE_Mat,0)),0))</f>
        <v/>
      </c>
      <c r="K468" s="31" t="str">
        <f aca="false">IF(B468="","",IF(H468="A",0,IFERROR(N(I468)/P_Heures*J468,0)))</f>
        <v/>
      </c>
      <c r="L468" s="25"/>
    </row>
    <row r="469" customFormat="false" ht="15" hidden="false" customHeight="false" outlineLevel="0" collapsed="false">
      <c r="A469" s="69"/>
      <c r="B469" s="68"/>
      <c r="C469" s="76" t="str">
        <f aca="false">IF(B469="","",IFERROR(INDEX(PE_Nom,MATCH(B469,PE_Mat,0)),"Matricule inconnu"))</f>
        <v/>
      </c>
      <c r="D469" s="76" t="str">
        <f aca="false">IF(B469="","",IFERROR(INDEX(PE_Fonction,MATCH(B469,PE_Mat,0)),""))</f>
        <v/>
      </c>
      <c r="E469" s="76" t="str">
        <f aca="false">IF(B469="","",IFERROR(INDEX(PE_Equipe,MATCH(B469,PE_Mat,0)),""))</f>
        <v/>
      </c>
      <c r="F469" s="25"/>
      <c r="G469" s="25"/>
      <c r="H469" s="68"/>
      <c r="I469" s="89"/>
      <c r="J469" s="31" t="str">
        <f aca="false">IF(B469="","",IFERROR(INDEX(PE_Taux,MATCH(B469,PE_Mat,0)),0))</f>
        <v/>
      </c>
      <c r="K469" s="31" t="str">
        <f aca="false">IF(B469="","",IF(H469="A",0,IFERROR(N(I469)/P_Heures*J469,0)))</f>
        <v/>
      </c>
      <c r="L469" s="25"/>
    </row>
    <row r="470" customFormat="false" ht="15" hidden="false" customHeight="false" outlineLevel="0" collapsed="false">
      <c r="A470" s="69"/>
      <c r="B470" s="68"/>
      <c r="C470" s="76" t="str">
        <f aca="false">IF(B470="","",IFERROR(INDEX(PE_Nom,MATCH(B470,PE_Mat,0)),"Matricule inconnu"))</f>
        <v/>
      </c>
      <c r="D470" s="76" t="str">
        <f aca="false">IF(B470="","",IFERROR(INDEX(PE_Fonction,MATCH(B470,PE_Mat,0)),""))</f>
        <v/>
      </c>
      <c r="E470" s="76" t="str">
        <f aca="false">IF(B470="","",IFERROR(INDEX(PE_Equipe,MATCH(B470,PE_Mat,0)),""))</f>
        <v/>
      </c>
      <c r="F470" s="25"/>
      <c r="G470" s="25"/>
      <c r="H470" s="68"/>
      <c r="I470" s="89"/>
      <c r="J470" s="31" t="str">
        <f aca="false">IF(B470="","",IFERROR(INDEX(PE_Taux,MATCH(B470,PE_Mat,0)),0))</f>
        <v/>
      </c>
      <c r="K470" s="31" t="str">
        <f aca="false">IF(B470="","",IF(H470="A",0,IFERROR(N(I470)/P_Heures*J470,0)))</f>
        <v/>
      </c>
      <c r="L470" s="25"/>
    </row>
    <row r="471" customFormat="false" ht="15" hidden="false" customHeight="false" outlineLevel="0" collapsed="false">
      <c r="A471" s="69"/>
      <c r="B471" s="68"/>
      <c r="C471" s="76" t="str">
        <f aca="false">IF(B471="","",IFERROR(INDEX(PE_Nom,MATCH(B471,PE_Mat,0)),"Matricule inconnu"))</f>
        <v/>
      </c>
      <c r="D471" s="76" t="str">
        <f aca="false">IF(B471="","",IFERROR(INDEX(PE_Fonction,MATCH(B471,PE_Mat,0)),""))</f>
        <v/>
      </c>
      <c r="E471" s="76" t="str">
        <f aca="false">IF(B471="","",IFERROR(INDEX(PE_Equipe,MATCH(B471,PE_Mat,0)),""))</f>
        <v/>
      </c>
      <c r="F471" s="25"/>
      <c r="G471" s="25"/>
      <c r="H471" s="68"/>
      <c r="I471" s="89"/>
      <c r="J471" s="31" t="str">
        <f aca="false">IF(B471="","",IFERROR(INDEX(PE_Taux,MATCH(B471,PE_Mat,0)),0))</f>
        <v/>
      </c>
      <c r="K471" s="31" t="str">
        <f aca="false">IF(B471="","",IF(H471="A",0,IFERROR(N(I471)/P_Heures*J471,0)))</f>
        <v/>
      </c>
      <c r="L471" s="25"/>
    </row>
    <row r="472" customFormat="false" ht="15" hidden="false" customHeight="false" outlineLevel="0" collapsed="false">
      <c r="A472" s="69"/>
      <c r="B472" s="68"/>
      <c r="C472" s="76" t="str">
        <f aca="false">IF(B472="","",IFERROR(INDEX(PE_Nom,MATCH(B472,PE_Mat,0)),"Matricule inconnu"))</f>
        <v/>
      </c>
      <c r="D472" s="76" t="str">
        <f aca="false">IF(B472="","",IFERROR(INDEX(PE_Fonction,MATCH(B472,PE_Mat,0)),""))</f>
        <v/>
      </c>
      <c r="E472" s="76" t="str">
        <f aca="false">IF(B472="","",IFERROR(INDEX(PE_Equipe,MATCH(B472,PE_Mat,0)),""))</f>
        <v/>
      </c>
      <c r="F472" s="25"/>
      <c r="G472" s="25"/>
      <c r="H472" s="68"/>
      <c r="I472" s="89"/>
      <c r="J472" s="31" t="str">
        <f aca="false">IF(B472="","",IFERROR(INDEX(PE_Taux,MATCH(B472,PE_Mat,0)),0))</f>
        <v/>
      </c>
      <c r="K472" s="31" t="str">
        <f aca="false">IF(B472="","",IF(H472="A",0,IFERROR(N(I472)/P_Heures*J472,0)))</f>
        <v/>
      </c>
      <c r="L472" s="25"/>
    </row>
    <row r="473" customFormat="false" ht="15" hidden="false" customHeight="false" outlineLevel="0" collapsed="false">
      <c r="A473" s="69"/>
      <c r="B473" s="68"/>
      <c r="C473" s="76" t="str">
        <f aca="false">IF(B473="","",IFERROR(INDEX(PE_Nom,MATCH(B473,PE_Mat,0)),"Matricule inconnu"))</f>
        <v/>
      </c>
      <c r="D473" s="76" t="str">
        <f aca="false">IF(B473="","",IFERROR(INDEX(PE_Fonction,MATCH(B473,PE_Mat,0)),""))</f>
        <v/>
      </c>
      <c r="E473" s="76" t="str">
        <f aca="false">IF(B473="","",IFERROR(INDEX(PE_Equipe,MATCH(B473,PE_Mat,0)),""))</f>
        <v/>
      </c>
      <c r="F473" s="25"/>
      <c r="G473" s="25"/>
      <c r="H473" s="68"/>
      <c r="I473" s="89"/>
      <c r="J473" s="31" t="str">
        <f aca="false">IF(B473="","",IFERROR(INDEX(PE_Taux,MATCH(B473,PE_Mat,0)),0))</f>
        <v/>
      </c>
      <c r="K473" s="31" t="str">
        <f aca="false">IF(B473="","",IF(H473="A",0,IFERROR(N(I473)/P_Heures*J473,0)))</f>
        <v/>
      </c>
      <c r="L473" s="25"/>
    </row>
    <row r="474" customFormat="false" ht="15" hidden="false" customHeight="false" outlineLevel="0" collapsed="false">
      <c r="A474" s="69"/>
      <c r="B474" s="68"/>
      <c r="C474" s="76" t="str">
        <f aca="false">IF(B474="","",IFERROR(INDEX(PE_Nom,MATCH(B474,PE_Mat,0)),"Matricule inconnu"))</f>
        <v/>
      </c>
      <c r="D474" s="76" t="str">
        <f aca="false">IF(B474="","",IFERROR(INDEX(PE_Fonction,MATCH(B474,PE_Mat,0)),""))</f>
        <v/>
      </c>
      <c r="E474" s="76" t="str">
        <f aca="false">IF(B474="","",IFERROR(INDEX(PE_Equipe,MATCH(B474,PE_Mat,0)),""))</f>
        <v/>
      </c>
      <c r="F474" s="25"/>
      <c r="G474" s="25"/>
      <c r="H474" s="68"/>
      <c r="I474" s="89"/>
      <c r="J474" s="31" t="str">
        <f aca="false">IF(B474="","",IFERROR(INDEX(PE_Taux,MATCH(B474,PE_Mat,0)),0))</f>
        <v/>
      </c>
      <c r="K474" s="31" t="str">
        <f aca="false">IF(B474="","",IF(H474="A",0,IFERROR(N(I474)/P_Heures*J474,0)))</f>
        <v/>
      </c>
      <c r="L474" s="25"/>
    </row>
    <row r="475" customFormat="false" ht="15" hidden="false" customHeight="false" outlineLevel="0" collapsed="false">
      <c r="A475" s="69"/>
      <c r="B475" s="68"/>
      <c r="C475" s="76" t="str">
        <f aca="false">IF(B475="","",IFERROR(INDEX(PE_Nom,MATCH(B475,PE_Mat,0)),"Matricule inconnu"))</f>
        <v/>
      </c>
      <c r="D475" s="76" t="str">
        <f aca="false">IF(B475="","",IFERROR(INDEX(PE_Fonction,MATCH(B475,PE_Mat,0)),""))</f>
        <v/>
      </c>
      <c r="E475" s="76" t="str">
        <f aca="false">IF(B475="","",IFERROR(INDEX(PE_Equipe,MATCH(B475,PE_Mat,0)),""))</f>
        <v/>
      </c>
      <c r="F475" s="25"/>
      <c r="G475" s="25"/>
      <c r="H475" s="68"/>
      <c r="I475" s="89"/>
      <c r="J475" s="31" t="str">
        <f aca="false">IF(B475="","",IFERROR(INDEX(PE_Taux,MATCH(B475,PE_Mat,0)),0))</f>
        <v/>
      </c>
      <c r="K475" s="31" t="str">
        <f aca="false">IF(B475="","",IF(H475="A",0,IFERROR(N(I475)/P_Heures*J475,0)))</f>
        <v/>
      </c>
      <c r="L475" s="25"/>
    </row>
    <row r="476" customFormat="false" ht="15" hidden="false" customHeight="false" outlineLevel="0" collapsed="false">
      <c r="A476" s="69"/>
      <c r="B476" s="68"/>
      <c r="C476" s="76" t="str">
        <f aca="false">IF(B476="","",IFERROR(INDEX(PE_Nom,MATCH(B476,PE_Mat,0)),"Matricule inconnu"))</f>
        <v/>
      </c>
      <c r="D476" s="76" t="str">
        <f aca="false">IF(B476="","",IFERROR(INDEX(PE_Fonction,MATCH(B476,PE_Mat,0)),""))</f>
        <v/>
      </c>
      <c r="E476" s="76" t="str">
        <f aca="false">IF(B476="","",IFERROR(INDEX(PE_Equipe,MATCH(B476,PE_Mat,0)),""))</f>
        <v/>
      </c>
      <c r="F476" s="25"/>
      <c r="G476" s="25"/>
      <c r="H476" s="68"/>
      <c r="I476" s="89"/>
      <c r="J476" s="31" t="str">
        <f aca="false">IF(B476="","",IFERROR(INDEX(PE_Taux,MATCH(B476,PE_Mat,0)),0))</f>
        <v/>
      </c>
      <c r="K476" s="31" t="str">
        <f aca="false">IF(B476="","",IF(H476="A",0,IFERROR(N(I476)/P_Heures*J476,0)))</f>
        <v/>
      </c>
      <c r="L476" s="25"/>
    </row>
    <row r="477" customFormat="false" ht="15" hidden="false" customHeight="false" outlineLevel="0" collapsed="false">
      <c r="A477" s="69"/>
      <c r="B477" s="68"/>
      <c r="C477" s="76" t="str">
        <f aca="false">IF(B477="","",IFERROR(INDEX(PE_Nom,MATCH(B477,PE_Mat,0)),"Matricule inconnu"))</f>
        <v/>
      </c>
      <c r="D477" s="76" t="str">
        <f aca="false">IF(B477="","",IFERROR(INDEX(PE_Fonction,MATCH(B477,PE_Mat,0)),""))</f>
        <v/>
      </c>
      <c r="E477" s="76" t="str">
        <f aca="false">IF(B477="","",IFERROR(INDEX(PE_Equipe,MATCH(B477,PE_Mat,0)),""))</f>
        <v/>
      </c>
      <c r="F477" s="25"/>
      <c r="G477" s="25"/>
      <c r="H477" s="68"/>
      <c r="I477" s="89"/>
      <c r="J477" s="31" t="str">
        <f aca="false">IF(B477="","",IFERROR(INDEX(PE_Taux,MATCH(B477,PE_Mat,0)),0))</f>
        <v/>
      </c>
      <c r="K477" s="31" t="str">
        <f aca="false">IF(B477="","",IF(H477="A",0,IFERROR(N(I477)/P_Heures*J477,0)))</f>
        <v/>
      </c>
      <c r="L477" s="25"/>
    </row>
    <row r="478" customFormat="false" ht="15" hidden="false" customHeight="false" outlineLevel="0" collapsed="false">
      <c r="A478" s="69"/>
      <c r="B478" s="68"/>
      <c r="C478" s="76" t="str">
        <f aca="false">IF(B478="","",IFERROR(INDEX(PE_Nom,MATCH(B478,PE_Mat,0)),"Matricule inconnu"))</f>
        <v/>
      </c>
      <c r="D478" s="76" t="str">
        <f aca="false">IF(B478="","",IFERROR(INDEX(PE_Fonction,MATCH(B478,PE_Mat,0)),""))</f>
        <v/>
      </c>
      <c r="E478" s="76" t="str">
        <f aca="false">IF(B478="","",IFERROR(INDEX(PE_Equipe,MATCH(B478,PE_Mat,0)),""))</f>
        <v/>
      </c>
      <c r="F478" s="25"/>
      <c r="G478" s="25"/>
      <c r="H478" s="68"/>
      <c r="I478" s="89"/>
      <c r="J478" s="31" t="str">
        <f aca="false">IF(B478="","",IFERROR(INDEX(PE_Taux,MATCH(B478,PE_Mat,0)),0))</f>
        <v/>
      </c>
      <c r="K478" s="31" t="str">
        <f aca="false">IF(B478="","",IF(H478="A",0,IFERROR(N(I478)/P_Heures*J478,0)))</f>
        <v/>
      </c>
      <c r="L478" s="25"/>
    </row>
    <row r="479" customFormat="false" ht="15" hidden="false" customHeight="false" outlineLevel="0" collapsed="false">
      <c r="A479" s="69"/>
      <c r="B479" s="68"/>
      <c r="C479" s="76" t="str">
        <f aca="false">IF(B479="","",IFERROR(INDEX(PE_Nom,MATCH(B479,PE_Mat,0)),"Matricule inconnu"))</f>
        <v/>
      </c>
      <c r="D479" s="76" t="str">
        <f aca="false">IF(B479="","",IFERROR(INDEX(PE_Fonction,MATCH(B479,PE_Mat,0)),""))</f>
        <v/>
      </c>
      <c r="E479" s="76" t="str">
        <f aca="false">IF(B479="","",IFERROR(INDEX(PE_Equipe,MATCH(B479,PE_Mat,0)),""))</f>
        <v/>
      </c>
      <c r="F479" s="25"/>
      <c r="G479" s="25"/>
      <c r="H479" s="68"/>
      <c r="I479" s="89"/>
      <c r="J479" s="31" t="str">
        <f aca="false">IF(B479="","",IFERROR(INDEX(PE_Taux,MATCH(B479,PE_Mat,0)),0))</f>
        <v/>
      </c>
      <c r="K479" s="31" t="str">
        <f aca="false">IF(B479="","",IF(H479="A",0,IFERROR(N(I479)/P_Heures*J479,0)))</f>
        <v/>
      </c>
      <c r="L479" s="25"/>
    </row>
    <row r="480" customFormat="false" ht="15" hidden="false" customHeight="false" outlineLevel="0" collapsed="false">
      <c r="A480" s="69"/>
      <c r="B480" s="68"/>
      <c r="C480" s="76" t="str">
        <f aca="false">IF(B480="","",IFERROR(INDEX(PE_Nom,MATCH(B480,PE_Mat,0)),"Matricule inconnu"))</f>
        <v/>
      </c>
      <c r="D480" s="76" t="str">
        <f aca="false">IF(B480="","",IFERROR(INDEX(PE_Fonction,MATCH(B480,PE_Mat,0)),""))</f>
        <v/>
      </c>
      <c r="E480" s="76" t="str">
        <f aca="false">IF(B480="","",IFERROR(INDEX(PE_Equipe,MATCH(B480,PE_Mat,0)),""))</f>
        <v/>
      </c>
      <c r="F480" s="25"/>
      <c r="G480" s="25"/>
      <c r="H480" s="68"/>
      <c r="I480" s="89"/>
      <c r="J480" s="31" t="str">
        <f aca="false">IF(B480="","",IFERROR(INDEX(PE_Taux,MATCH(B480,PE_Mat,0)),0))</f>
        <v/>
      </c>
      <c r="K480" s="31" t="str">
        <f aca="false">IF(B480="","",IF(H480="A",0,IFERROR(N(I480)/P_Heures*J480,0)))</f>
        <v/>
      </c>
      <c r="L480" s="25"/>
    </row>
    <row r="481" customFormat="false" ht="15" hidden="false" customHeight="false" outlineLevel="0" collapsed="false">
      <c r="A481" s="69"/>
      <c r="B481" s="68"/>
      <c r="C481" s="76" t="str">
        <f aca="false">IF(B481="","",IFERROR(INDEX(PE_Nom,MATCH(B481,PE_Mat,0)),"Matricule inconnu"))</f>
        <v/>
      </c>
      <c r="D481" s="76" t="str">
        <f aca="false">IF(B481="","",IFERROR(INDEX(PE_Fonction,MATCH(B481,PE_Mat,0)),""))</f>
        <v/>
      </c>
      <c r="E481" s="76" t="str">
        <f aca="false">IF(B481="","",IFERROR(INDEX(PE_Equipe,MATCH(B481,PE_Mat,0)),""))</f>
        <v/>
      </c>
      <c r="F481" s="25"/>
      <c r="G481" s="25"/>
      <c r="H481" s="68"/>
      <c r="I481" s="89"/>
      <c r="J481" s="31" t="str">
        <f aca="false">IF(B481="","",IFERROR(INDEX(PE_Taux,MATCH(B481,PE_Mat,0)),0))</f>
        <v/>
      </c>
      <c r="K481" s="31" t="str">
        <f aca="false">IF(B481="","",IF(H481="A",0,IFERROR(N(I481)/P_Heures*J481,0)))</f>
        <v/>
      </c>
      <c r="L481" s="25"/>
    </row>
    <row r="482" customFormat="false" ht="15" hidden="false" customHeight="false" outlineLevel="0" collapsed="false">
      <c r="A482" s="69"/>
      <c r="B482" s="68"/>
      <c r="C482" s="76" t="str">
        <f aca="false">IF(B482="","",IFERROR(INDEX(PE_Nom,MATCH(B482,PE_Mat,0)),"Matricule inconnu"))</f>
        <v/>
      </c>
      <c r="D482" s="76" t="str">
        <f aca="false">IF(B482="","",IFERROR(INDEX(PE_Fonction,MATCH(B482,PE_Mat,0)),""))</f>
        <v/>
      </c>
      <c r="E482" s="76" t="str">
        <f aca="false">IF(B482="","",IFERROR(INDEX(PE_Equipe,MATCH(B482,PE_Mat,0)),""))</f>
        <v/>
      </c>
      <c r="F482" s="25"/>
      <c r="G482" s="25"/>
      <c r="H482" s="68"/>
      <c r="I482" s="89"/>
      <c r="J482" s="31" t="str">
        <f aca="false">IF(B482="","",IFERROR(INDEX(PE_Taux,MATCH(B482,PE_Mat,0)),0))</f>
        <v/>
      </c>
      <c r="K482" s="31" t="str">
        <f aca="false">IF(B482="","",IF(H482="A",0,IFERROR(N(I482)/P_Heures*J482,0)))</f>
        <v/>
      </c>
      <c r="L482" s="25"/>
    </row>
    <row r="483" customFormat="false" ht="15" hidden="false" customHeight="false" outlineLevel="0" collapsed="false">
      <c r="A483" s="69"/>
      <c r="B483" s="68"/>
      <c r="C483" s="76" t="str">
        <f aca="false">IF(B483="","",IFERROR(INDEX(PE_Nom,MATCH(B483,PE_Mat,0)),"Matricule inconnu"))</f>
        <v/>
      </c>
      <c r="D483" s="76" t="str">
        <f aca="false">IF(B483="","",IFERROR(INDEX(PE_Fonction,MATCH(B483,PE_Mat,0)),""))</f>
        <v/>
      </c>
      <c r="E483" s="76" t="str">
        <f aca="false">IF(B483="","",IFERROR(INDEX(PE_Equipe,MATCH(B483,PE_Mat,0)),""))</f>
        <v/>
      </c>
      <c r="F483" s="25"/>
      <c r="G483" s="25"/>
      <c r="H483" s="68"/>
      <c r="I483" s="89"/>
      <c r="J483" s="31" t="str">
        <f aca="false">IF(B483="","",IFERROR(INDEX(PE_Taux,MATCH(B483,PE_Mat,0)),0))</f>
        <v/>
      </c>
      <c r="K483" s="31" t="str">
        <f aca="false">IF(B483="","",IF(H483="A",0,IFERROR(N(I483)/P_Heures*J483,0)))</f>
        <v/>
      </c>
      <c r="L483" s="25"/>
    </row>
    <row r="484" customFormat="false" ht="15" hidden="false" customHeight="false" outlineLevel="0" collapsed="false">
      <c r="A484" s="69"/>
      <c r="B484" s="68"/>
      <c r="C484" s="76" t="str">
        <f aca="false">IF(B484="","",IFERROR(INDEX(PE_Nom,MATCH(B484,PE_Mat,0)),"Matricule inconnu"))</f>
        <v/>
      </c>
      <c r="D484" s="76" t="str">
        <f aca="false">IF(B484="","",IFERROR(INDEX(PE_Fonction,MATCH(B484,PE_Mat,0)),""))</f>
        <v/>
      </c>
      <c r="E484" s="76" t="str">
        <f aca="false">IF(B484="","",IFERROR(INDEX(PE_Equipe,MATCH(B484,PE_Mat,0)),""))</f>
        <v/>
      </c>
      <c r="F484" s="25"/>
      <c r="G484" s="25"/>
      <c r="H484" s="68"/>
      <c r="I484" s="89"/>
      <c r="J484" s="31" t="str">
        <f aca="false">IF(B484="","",IFERROR(INDEX(PE_Taux,MATCH(B484,PE_Mat,0)),0))</f>
        <v/>
      </c>
      <c r="K484" s="31" t="str">
        <f aca="false">IF(B484="","",IF(H484="A",0,IFERROR(N(I484)/P_Heures*J484,0)))</f>
        <v/>
      </c>
      <c r="L484" s="25"/>
    </row>
    <row r="485" customFormat="false" ht="15" hidden="false" customHeight="false" outlineLevel="0" collapsed="false">
      <c r="A485" s="69"/>
      <c r="B485" s="68"/>
      <c r="C485" s="76" t="str">
        <f aca="false">IF(B485="","",IFERROR(INDEX(PE_Nom,MATCH(B485,PE_Mat,0)),"Matricule inconnu"))</f>
        <v/>
      </c>
      <c r="D485" s="76" t="str">
        <f aca="false">IF(B485="","",IFERROR(INDEX(PE_Fonction,MATCH(B485,PE_Mat,0)),""))</f>
        <v/>
      </c>
      <c r="E485" s="76" t="str">
        <f aca="false">IF(B485="","",IFERROR(INDEX(PE_Equipe,MATCH(B485,PE_Mat,0)),""))</f>
        <v/>
      </c>
      <c r="F485" s="25"/>
      <c r="G485" s="25"/>
      <c r="H485" s="68"/>
      <c r="I485" s="89"/>
      <c r="J485" s="31" t="str">
        <f aca="false">IF(B485="","",IFERROR(INDEX(PE_Taux,MATCH(B485,PE_Mat,0)),0))</f>
        <v/>
      </c>
      <c r="K485" s="31" t="str">
        <f aca="false">IF(B485="","",IF(H485="A",0,IFERROR(N(I485)/P_Heures*J485,0)))</f>
        <v/>
      </c>
      <c r="L485" s="25"/>
    </row>
    <row r="486" customFormat="false" ht="15" hidden="false" customHeight="false" outlineLevel="0" collapsed="false">
      <c r="A486" s="69"/>
      <c r="B486" s="68"/>
      <c r="C486" s="76" t="str">
        <f aca="false">IF(B486="","",IFERROR(INDEX(PE_Nom,MATCH(B486,PE_Mat,0)),"Matricule inconnu"))</f>
        <v/>
      </c>
      <c r="D486" s="76" t="str">
        <f aca="false">IF(B486="","",IFERROR(INDEX(PE_Fonction,MATCH(B486,PE_Mat,0)),""))</f>
        <v/>
      </c>
      <c r="E486" s="76" t="str">
        <f aca="false">IF(B486="","",IFERROR(INDEX(PE_Equipe,MATCH(B486,PE_Mat,0)),""))</f>
        <v/>
      </c>
      <c r="F486" s="25"/>
      <c r="G486" s="25"/>
      <c r="H486" s="68"/>
      <c r="I486" s="89"/>
      <c r="J486" s="31" t="str">
        <f aca="false">IF(B486="","",IFERROR(INDEX(PE_Taux,MATCH(B486,PE_Mat,0)),0))</f>
        <v/>
      </c>
      <c r="K486" s="31" t="str">
        <f aca="false">IF(B486="","",IF(H486="A",0,IFERROR(N(I486)/P_Heures*J486,0)))</f>
        <v/>
      </c>
      <c r="L486" s="25"/>
    </row>
    <row r="487" customFormat="false" ht="15" hidden="false" customHeight="false" outlineLevel="0" collapsed="false">
      <c r="A487" s="69"/>
      <c r="B487" s="68"/>
      <c r="C487" s="76" t="str">
        <f aca="false">IF(B487="","",IFERROR(INDEX(PE_Nom,MATCH(B487,PE_Mat,0)),"Matricule inconnu"))</f>
        <v/>
      </c>
      <c r="D487" s="76" t="str">
        <f aca="false">IF(B487="","",IFERROR(INDEX(PE_Fonction,MATCH(B487,PE_Mat,0)),""))</f>
        <v/>
      </c>
      <c r="E487" s="76" t="str">
        <f aca="false">IF(B487="","",IFERROR(INDEX(PE_Equipe,MATCH(B487,PE_Mat,0)),""))</f>
        <v/>
      </c>
      <c r="F487" s="25"/>
      <c r="G487" s="25"/>
      <c r="H487" s="68"/>
      <c r="I487" s="89"/>
      <c r="J487" s="31" t="str">
        <f aca="false">IF(B487="","",IFERROR(INDEX(PE_Taux,MATCH(B487,PE_Mat,0)),0))</f>
        <v/>
      </c>
      <c r="K487" s="31" t="str">
        <f aca="false">IF(B487="","",IF(H487="A",0,IFERROR(N(I487)/P_Heures*J487,0)))</f>
        <v/>
      </c>
      <c r="L487" s="25"/>
    </row>
    <row r="488" customFormat="false" ht="15" hidden="false" customHeight="false" outlineLevel="0" collapsed="false">
      <c r="A488" s="69"/>
      <c r="B488" s="68"/>
      <c r="C488" s="76" t="str">
        <f aca="false">IF(B488="","",IFERROR(INDEX(PE_Nom,MATCH(B488,PE_Mat,0)),"Matricule inconnu"))</f>
        <v/>
      </c>
      <c r="D488" s="76" t="str">
        <f aca="false">IF(B488="","",IFERROR(INDEX(PE_Fonction,MATCH(B488,PE_Mat,0)),""))</f>
        <v/>
      </c>
      <c r="E488" s="76" t="str">
        <f aca="false">IF(B488="","",IFERROR(INDEX(PE_Equipe,MATCH(B488,PE_Mat,0)),""))</f>
        <v/>
      </c>
      <c r="F488" s="25"/>
      <c r="G488" s="25"/>
      <c r="H488" s="68"/>
      <c r="I488" s="89"/>
      <c r="J488" s="31" t="str">
        <f aca="false">IF(B488="","",IFERROR(INDEX(PE_Taux,MATCH(B488,PE_Mat,0)),0))</f>
        <v/>
      </c>
      <c r="K488" s="31" t="str">
        <f aca="false">IF(B488="","",IF(H488="A",0,IFERROR(N(I488)/P_Heures*J488,0)))</f>
        <v/>
      </c>
      <c r="L488" s="25"/>
    </row>
    <row r="489" customFormat="false" ht="15" hidden="false" customHeight="false" outlineLevel="0" collapsed="false">
      <c r="A489" s="69"/>
      <c r="B489" s="68"/>
      <c r="C489" s="76" t="str">
        <f aca="false">IF(B489="","",IFERROR(INDEX(PE_Nom,MATCH(B489,PE_Mat,0)),"Matricule inconnu"))</f>
        <v/>
      </c>
      <c r="D489" s="76" t="str">
        <f aca="false">IF(B489="","",IFERROR(INDEX(PE_Fonction,MATCH(B489,PE_Mat,0)),""))</f>
        <v/>
      </c>
      <c r="E489" s="76" t="str">
        <f aca="false">IF(B489="","",IFERROR(INDEX(PE_Equipe,MATCH(B489,PE_Mat,0)),""))</f>
        <v/>
      </c>
      <c r="F489" s="25"/>
      <c r="G489" s="25"/>
      <c r="H489" s="68"/>
      <c r="I489" s="89"/>
      <c r="J489" s="31" t="str">
        <f aca="false">IF(B489="","",IFERROR(INDEX(PE_Taux,MATCH(B489,PE_Mat,0)),0))</f>
        <v/>
      </c>
      <c r="K489" s="31" t="str">
        <f aca="false">IF(B489="","",IF(H489="A",0,IFERROR(N(I489)/P_Heures*J489,0)))</f>
        <v/>
      </c>
      <c r="L489" s="25"/>
    </row>
    <row r="490" customFormat="false" ht="15" hidden="false" customHeight="false" outlineLevel="0" collapsed="false">
      <c r="A490" s="69"/>
      <c r="B490" s="68"/>
      <c r="C490" s="76" t="str">
        <f aca="false">IF(B490="","",IFERROR(INDEX(PE_Nom,MATCH(B490,PE_Mat,0)),"Matricule inconnu"))</f>
        <v/>
      </c>
      <c r="D490" s="76" t="str">
        <f aca="false">IF(B490="","",IFERROR(INDEX(PE_Fonction,MATCH(B490,PE_Mat,0)),""))</f>
        <v/>
      </c>
      <c r="E490" s="76" t="str">
        <f aca="false">IF(B490="","",IFERROR(INDEX(PE_Equipe,MATCH(B490,PE_Mat,0)),""))</f>
        <v/>
      </c>
      <c r="F490" s="25"/>
      <c r="G490" s="25"/>
      <c r="H490" s="68"/>
      <c r="I490" s="89"/>
      <c r="J490" s="31" t="str">
        <f aca="false">IF(B490="","",IFERROR(INDEX(PE_Taux,MATCH(B490,PE_Mat,0)),0))</f>
        <v/>
      </c>
      <c r="K490" s="31" t="str">
        <f aca="false">IF(B490="","",IF(H490="A",0,IFERROR(N(I490)/P_Heures*J490,0)))</f>
        <v/>
      </c>
      <c r="L490" s="25"/>
    </row>
    <row r="491" customFormat="false" ht="15" hidden="false" customHeight="false" outlineLevel="0" collapsed="false">
      <c r="A491" s="69"/>
      <c r="B491" s="68"/>
      <c r="C491" s="76" t="str">
        <f aca="false">IF(B491="","",IFERROR(INDEX(PE_Nom,MATCH(B491,PE_Mat,0)),"Matricule inconnu"))</f>
        <v/>
      </c>
      <c r="D491" s="76" t="str">
        <f aca="false">IF(B491="","",IFERROR(INDEX(PE_Fonction,MATCH(B491,PE_Mat,0)),""))</f>
        <v/>
      </c>
      <c r="E491" s="76" t="str">
        <f aca="false">IF(B491="","",IFERROR(INDEX(PE_Equipe,MATCH(B491,PE_Mat,0)),""))</f>
        <v/>
      </c>
      <c r="F491" s="25"/>
      <c r="G491" s="25"/>
      <c r="H491" s="68"/>
      <c r="I491" s="89"/>
      <c r="J491" s="31" t="str">
        <f aca="false">IF(B491="","",IFERROR(INDEX(PE_Taux,MATCH(B491,PE_Mat,0)),0))</f>
        <v/>
      </c>
      <c r="K491" s="31" t="str">
        <f aca="false">IF(B491="","",IF(H491="A",0,IFERROR(N(I491)/P_Heures*J491,0)))</f>
        <v/>
      </c>
      <c r="L491" s="25"/>
    </row>
    <row r="492" customFormat="false" ht="15" hidden="false" customHeight="false" outlineLevel="0" collapsed="false">
      <c r="A492" s="69"/>
      <c r="B492" s="68"/>
      <c r="C492" s="76" t="str">
        <f aca="false">IF(B492="","",IFERROR(INDEX(PE_Nom,MATCH(B492,PE_Mat,0)),"Matricule inconnu"))</f>
        <v/>
      </c>
      <c r="D492" s="76" t="str">
        <f aca="false">IF(B492="","",IFERROR(INDEX(PE_Fonction,MATCH(B492,PE_Mat,0)),""))</f>
        <v/>
      </c>
      <c r="E492" s="76" t="str">
        <f aca="false">IF(B492="","",IFERROR(INDEX(PE_Equipe,MATCH(B492,PE_Mat,0)),""))</f>
        <v/>
      </c>
      <c r="F492" s="25"/>
      <c r="G492" s="25"/>
      <c r="H492" s="68"/>
      <c r="I492" s="89"/>
      <c r="J492" s="31" t="str">
        <f aca="false">IF(B492="","",IFERROR(INDEX(PE_Taux,MATCH(B492,PE_Mat,0)),0))</f>
        <v/>
      </c>
      <c r="K492" s="31" t="str">
        <f aca="false">IF(B492="","",IF(H492="A",0,IFERROR(N(I492)/P_Heures*J492,0)))</f>
        <v/>
      </c>
      <c r="L492" s="25"/>
    </row>
    <row r="493" customFormat="false" ht="15" hidden="false" customHeight="false" outlineLevel="0" collapsed="false">
      <c r="A493" s="69"/>
      <c r="B493" s="68"/>
      <c r="C493" s="76" t="str">
        <f aca="false">IF(B493="","",IFERROR(INDEX(PE_Nom,MATCH(B493,PE_Mat,0)),"Matricule inconnu"))</f>
        <v/>
      </c>
      <c r="D493" s="76" t="str">
        <f aca="false">IF(B493="","",IFERROR(INDEX(PE_Fonction,MATCH(B493,PE_Mat,0)),""))</f>
        <v/>
      </c>
      <c r="E493" s="76" t="str">
        <f aca="false">IF(B493="","",IFERROR(INDEX(PE_Equipe,MATCH(B493,PE_Mat,0)),""))</f>
        <v/>
      </c>
      <c r="F493" s="25"/>
      <c r="G493" s="25"/>
      <c r="H493" s="68"/>
      <c r="I493" s="89"/>
      <c r="J493" s="31" t="str">
        <f aca="false">IF(B493="","",IFERROR(INDEX(PE_Taux,MATCH(B493,PE_Mat,0)),0))</f>
        <v/>
      </c>
      <c r="K493" s="31" t="str">
        <f aca="false">IF(B493="","",IF(H493="A",0,IFERROR(N(I493)/P_Heures*J493,0)))</f>
        <v/>
      </c>
      <c r="L493" s="25"/>
    </row>
    <row r="494" customFormat="false" ht="15" hidden="false" customHeight="false" outlineLevel="0" collapsed="false">
      <c r="A494" s="69"/>
      <c r="B494" s="68"/>
      <c r="C494" s="76" t="str">
        <f aca="false">IF(B494="","",IFERROR(INDEX(PE_Nom,MATCH(B494,PE_Mat,0)),"Matricule inconnu"))</f>
        <v/>
      </c>
      <c r="D494" s="76" t="str">
        <f aca="false">IF(B494="","",IFERROR(INDEX(PE_Fonction,MATCH(B494,PE_Mat,0)),""))</f>
        <v/>
      </c>
      <c r="E494" s="76" t="str">
        <f aca="false">IF(B494="","",IFERROR(INDEX(PE_Equipe,MATCH(B494,PE_Mat,0)),""))</f>
        <v/>
      </c>
      <c r="F494" s="25"/>
      <c r="G494" s="25"/>
      <c r="H494" s="68"/>
      <c r="I494" s="89"/>
      <c r="J494" s="31" t="str">
        <f aca="false">IF(B494="","",IFERROR(INDEX(PE_Taux,MATCH(B494,PE_Mat,0)),0))</f>
        <v/>
      </c>
      <c r="K494" s="31" t="str">
        <f aca="false">IF(B494="","",IF(H494="A",0,IFERROR(N(I494)/P_Heures*J494,0)))</f>
        <v/>
      </c>
      <c r="L494" s="25"/>
    </row>
    <row r="495" customFormat="false" ht="15" hidden="false" customHeight="false" outlineLevel="0" collapsed="false">
      <c r="A495" s="69"/>
      <c r="B495" s="68"/>
      <c r="C495" s="76" t="str">
        <f aca="false">IF(B495="","",IFERROR(INDEX(PE_Nom,MATCH(B495,PE_Mat,0)),"Matricule inconnu"))</f>
        <v/>
      </c>
      <c r="D495" s="76" t="str">
        <f aca="false">IF(B495="","",IFERROR(INDEX(PE_Fonction,MATCH(B495,PE_Mat,0)),""))</f>
        <v/>
      </c>
      <c r="E495" s="76" t="str">
        <f aca="false">IF(B495="","",IFERROR(INDEX(PE_Equipe,MATCH(B495,PE_Mat,0)),""))</f>
        <v/>
      </c>
      <c r="F495" s="25"/>
      <c r="G495" s="25"/>
      <c r="H495" s="68"/>
      <c r="I495" s="89"/>
      <c r="J495" s="31" t="str">
        <f aca="false">IF(B495="","",IFERROR(INDEX(PE_Taux,MATCH(B495,PE_Mat,0)),0))</f>
        <v/>
      </c>
      <c r="K495" s="31" t="str">
        <f aca="false">IF(B495="","",IF(H495="A",0,IFERROR(N(I495)/P_Heures*J495,0)))</f>
        <v/>
      </c>
      <c r="L495" s="25"/>
    </row>
    <row r="496" customFormat="false" ht="15" hidden="false" customHeight="false" outlineLevel="0" collapsed="false">
      <c r="A496" s="69"/>
      <c r="B496" s="68"/>
      <c r="C496" s="76" t="str">
        <f aca="false">IF(B496="","",IFERROR(INDEX(PE_Nom,MATCH(B496,PE_Mat,0)),"Matricule inconnu"))</f>
        <v/>
      </c>
      <c r="D496" s="76" t="str">
        <f aca="false">IF(B496="","",IFERROR(INDEX(PE_Fonction,MATCH(B496,PE_Mat,0)),""))</f>
        <v/>
      </c>
      <c r="E496" s="76" t="str">
        <f aca="false">IF(B496="","",IFERROR(INDEX(PE_Equipe,MATCH(B496,PE_Mat,0)),""))</f>
        <v/>
      </c>
      <c r="F496" s="25"/>
      <c r="G496" s="25"/>
      <c r="H496" s="68"/>
      <c r="I496" s="89"/>
      <c r="J496" s="31" t="str">
        <f aca="false">IF(B496="","",IFERROR(INDEX(PE_Taux,MATCH(B496,PE_Mat,0)),0))</f>
        <v/>
      </c>
      <c r="K496" s="31" t="str">
        <f aca="false">IF(B496="","",IF(H496="A",0,IFERROR(N(I496)/P_Heures*J496,0)))</f>
        <v/>
      </c>
      <c r="L496" s="25"/>
    </row>
    <row r="497" customFormat="false" ht="15" hidden="false" customHeight="false" outlineLevel="0" collapsed="false">
      <c r="A497" s="69"/>
      <c r="B497" s="68"/>
      <c r="C497" s="76" t="str">
        <f aca="false">IF(B497="","",IFERROR(INDEX(PE_Nom,MATCH(B497,PE_Mat,0)),"Matricule inconnu"))</f>
        <v/>
      </c>
      <c r="D497" s="76" t="str">
        <f aca="false">IF(B497="","",IFERROR(INDEX(PE_Fonction,MATCH(B497,PE_Mat,0)),""))</f>
        <v/>
      </c>
      <c r="E497" s="76" t="str">
        <f aca="false">IF(B497="","",IFERROR(INDEX(PE_Equipe,MATCH(B497,PE_Mat,0)),""))</f>
        <v/>
      </c>
      <c r="F497" s="25"/>
      <c r="G497" s="25"/>
      <c r="H497" s="68"/>
      <c r="I497" s="89"/>
      <c r="J497" s="31" t="str">
        <f aca="false">IF(B497="","",IFERROR(INDEX(PE_Taux,MATCH(B497,PE_Mat,0)),0))</f>
        <v/>
      </c>
      <c r="K497" s="31" t="str">
        <f aca="false">IF(B497="","",IF(H497="A",0,IFERROR(N(I497)/P_Heures*J497,0)))</f>
        <v/>
      </c>
      <c r="L497" s="25"/>
    </row>
    <row r="498" customFormat="false" ht="15" hidden="false" customHeight="false" outlineLevel="0" collapsed="false">
      <c r="A498" s="69"/>
      <c r="B498" s="68"/>
      <c r="C498" s="76" t="str">
        <f aca="false">IF(B498="","",IFERROR(INDEX(PE_Nom,MATCH(B498,PE_Mat,0)),"Matricule inconnu"))</f>
        <v/>
      </c>
      <c r="D498" s="76" t="str">
        <f aca="false">IF(B498="","",IFERROR(INDEX(PE_Fonction,MATCH(B498,PE_Mat,0)),""))</f>
        <v/>
      </c>
      <c r="E498" s="76" t="str">
        <f aca="false">IF(B498="","",IFERROR(INDEX(PE_Equipe,MATCH(B498,PE_Mat,0)),""))</f>
        <v/>
      </c>
      <c r="F498" s="25"/>
      <c r="G498" s="25"/>
      <c r="H498" s="68"/>
      <c r="I498" s="89"/>
      <c r="J498" s="31" t="str">
        <f aca="false">IF(B498="","",IFERROR(INDEX(PE_Taux,MATCH(B498,PE_Mat,0)),0))</f>
        <v/>
      </c>
      <c r="K498" s="31" t="str">
        <f aca="false">IF(B498="","",IF(H498="A",0,IFERROR(N(I498)/P_Heures*J498,0)))</f>
        <v/>
      </c>
      <c r="L498" s="25"/>
    </row>
    <row r="499" customFormat="false" ht="15" hidden="false" customHeight="false" outlineLevel="0" collapsed="false">
      <c r="A499" s="69"/>
      <c r="B499" s="68"/>
      <c r="C499" s="76" t="str">
        <f aca="false">IF(B499="","",IFERROR(INDEX(PE_Nom,MATCH(B499,PE_Mat,0)),"Matricule inconnu"))</f>
        <v/>
      </c>
      <c r="D499" s="76" t="str">
        <f aca="false">IF(B499="","",IFERROR(INDEX(PE_Fonction,MATCH(B499,PE_Mat,0)),""))</f>
        <v/>
      </c>
      <c r="E499" s="76" t="str">
        <f aca="false">IF(B499="","",IFERROR(INDEX(PE_Equipe,MATCH(B499,PE_Mat,0)),""))</f>
        <v/>
      </c>
      <c r="F499" s="25"/>
      <c r="G499" s="25"/>
      <c r="H499" s="68"/>
      <c r="I499" s="89"/>
      <c r="J499" s="31" t="str">
        <f aca="false">IF(B499="","",IFERROR(INDEX(PE_Taux,MATCH(B499,PE_Mat,0)),0))</f>
        <v/>
      </c>
      <c r="K499" s="31" t="str">
        <f aca="false">IF(B499="","",IF(H499="A",0,IFERROR(N(I499)/P_Heures*J499,0)))</f>
        <v/>
      </c>
      <c r="L499" s="25"/>
    </row>
    <row r="500" customFormat="false" ht="15" hidden="false" customHeight="false" outlineLevel="0" collapsed="false">
      <c r="A500" s="69"/>
      <c r="B500" s="68"/>
      <c r="C500" s="76" t="str">
        <f aca="false">IF(B500="","",IFERROR(INDEX(PE_Nom,MATCH(B500,PE_Mat,0)),"Matricule inconnu"))</f>
        <v/>
      </c>
      <c r="D500" s="76" t="str">
        <f aca="false">IF(B500="","",IFERROR(INDEX(PE_Fonction,MATCH(B500,PE_Mat,0)),""))</f>
        <v/>
      </c>
      <c r="E500" s="76" t="str">
        <f aca="false">IF(B500="","",IFERROR(INDEX(PE_Equipe,MATCH(B500,PE_Mat,0)),""))</f>
        <v/>
      </c>
      <c r="F500" s="25"/>
      <c r="G500" s="25"/>
      <c r="H500" s="68"/>
      <c r="I500" s="89"/>
      <c r="J500" s="31" t="str">
        <f aca="false">IF(B500="","",IFERROR(INDEX(PE_Taux,MATCH(B500,PE_Mat,0)),0))</f>
        <v/>
      </c>
      <c r="K500" s="31" t="str">
        <f aca="false">IF(B500="","",IF(H500="A",0,IFERROR(N(I500)/P_Heures*J500,0)))</f>
        <v/>
      </c>
      <c r="L500" s="25"/>
    </row>
    <row r="501" customFormat="false" ht="15" hidden="false" customHeight="false" outlineLevel="0" collapsed="false">
      <c r="A501" s="69"/>
      <c r="B501" s="68"/>
      <c r="C501" s="76" t="str">
        <f aca="false">IF(B501="","",IFERROR(INDEX(PE_Nom,MATCH(B501,PE_Mat,0)),"Matricule inconnu"))</f>
        <v/>
      </c>
      <c r="D501" s="76" t="str">
        <f aca="false">IF(B501="","",IFERROR(INDEX(PE_Fonction,MATCH(B501,PE_Mat,0)),""))</f>
        <v/>
      </c>
      <c r="E501" s="76" t="str">
        <f aca="false">IF(B501="","",IFERROR(INDEX(PE_Equipe,MATCH(B501,PE_Mat,0)),""))</f>
        <v/>
      </c>
      <c r="F501" s="25"/>
      <c r="G501" s="25"/>
      <c r="H501" s="68"/>
      <c r="I501" s="89"/>
      <c r="J501" s="31" t="str">
        <f aca="false">IF(B501="","",IFERROR(INDEX(PE_Taux,MATCH(B501,PE_Mat,0)),0))</f>
        <v/>
      </c>
      <c r="K501" s="31" t="str">
        <f aca="false">IF(B501="","",IF(H501="A",0,IFERROR(N(I501)/P_Heures*J501,0)))</f>
        <v/>
      </c>
      <c r="L501" s="25"/>
    </row>
    <row r="502" customFormat="false" ht="15" hidden="false" customHeight="false" outlineLevel="0" collapsed="false">
      <c r="A502" s="69"/>
      <c r="B502" s="68"/>
      <c r="C502" s="76" t="str">
        <f aca="false">IF(B502="","",IFERROR(INDEX(PE_Nom,MATCH(B502,PE_Mat,0)),"Matricule inconnu"))</f>
        <v/>
      </c>
      <c r="D502" s="76" t="str">
        <f aca="false">IF(B502="","",IFERROR(INDEX(PE_Fonction,MATCH(B502,PE_Mat,0)),""))</f>
        <v/>
      </c>
      <c r="E502" s="76" t="str">
        <f aca="false">IF(B502="","",IFERROR(INDEX(PE_Equipe,MATCH(B502,PE_Mat,0)),""))</f>
        <v/>
      </c>
      <c r="F502" s="25"/>
      <c r="G502" s="25"/>
      <c r="H502" s="68"/>
      <c r="I502" s="89"/>
      <c r="J502" s="31" t="str">
        <f aca="false">IF(B502="","",IFERROR(INDEX(PE_Taux,MATCH(B502,PE_Mat,0)),0))</f>
        <v/>
      </c>
      <c r="K502" s="31" t="str">
        <f aca="false">IF(B502="","",IF(H502="A",0,IFERROR(N(I502)/P_Heures*J502,0)))</f>
        <v/>
      </c>
      <c r="L502" s="25"/>
    </row>
    <row r="503" customFormat="false" ht="15" hidden="false" customHeight="false" outlineLevel="0" collapsed="false">
      <c r="A503" s="69"/>
      <c r="B503" s="68"/>
      <c r="C503" s="76" t="str">
        <f aca="false">IF(B503="","",IFERROR(INDEX(PE_Nom,MATCH(B503,PE_Mat,0)),"Matricule inconnu"))</f>
        <v/>
      </c>
      <c r="D503" s="76" t="str">
        <f aca="false">IF(B503="","",IFERROR(INDEX(PE_Fonction,MATCH(B503,PE_Mat,0)),""))</f>
        <v/>
      </c>
      <c r="E503" s="76" t="str">
        <f aca="false">IF(B503="","",IFERROR(INDEX(PE_Equipe,MATCH(B503,PE_Mat,0)),""))</f>
        <v/>
      </c>
      <c r="F503" s="25"/>
      <c r="G503" s="25"/>
      <c r="H503" s="68"/>
      <c r="I503" s="89"/>
      <c r="J503" s="31" t="str">
        <f aca="false">IF(B503="","",IFERROR(INDEX(PE_Taux,MATCH(B503,PE_Mat,0)),0))</f>
        <v/>
      </c>
      <c r="K503" s="31" t="str">
        <f aca="false">IF(B503="","",IF(H503="A",0,IFERROR(N(I503)/P_Heures*J503,0)))</f>
        <v/>
      </c>
      <c r="L503" s="25"/>
    </row>
    <row r="504" customFormat="false" ht="15" hidden="false" customHeight="false" outlineLevel="0" collapsed="false">
      <c r="A504" s="69"/>
      <c r="B504" s="68"/>
      <c r="C504" s="76" t="str">
        <f aca="false">IF(B504="","",IFERROR(INDEX(PE_Nom,MATCH(B504,PE_Mat,0)),"Matricule inconnu"))</f>
        <v/>
      </c>
      <c r="D504" s="76" t="str">
        <f aca="false">IF(B504="","",IFERROR(INDEX(PE_Fonction,MATCH(B504,PE_Mat,0)),""))</f>
        <v/>
      </c>
      <c r="E504" s="76" t="str">
        <f aca="false">IF(B504="","",IFERROR(INDEX(PE_Equipe,MATCH(B504,PE_Mat,0)),""))</f>
        <v/>
      </c>
      <c r="F504" s="25"/>
      <c r="G504" s="25"/>
      <c r="H504" s="68"/>
      <c r="I504" s="89"/>
      <c r="J504" s="31" t="str">
        <f aca="false">IF(B504="","",IFERROR(INDEX(PE_Taux,MATCH(B504,PE_Mat,0)),0))</f>
        <v/>
      </c>
      <c r="K504" s="31" t="str">
        <f aca="false">IF(B504="","",IF(H504="A",0,IFERROR(N(I504)/P_Heures*J504,0)))</f>
        <v/>
      </c>
      <c r="L504" s="25"/>
    </row>
    <row r="505" customFormat="false" ht="15" hidden="false" customHeight="false" outlineLevel="0" collapsed="false">
      <c r="A505" s="69"/>
      <c r="B505" s="68"/>
      <c r="C505" s="76" t="str">
        <f aca="false">IF(B505="","",IFERROR(INDEX(PE_Nom,MATCH(B505,PE_Mat,0)),"Matricule inconnu"))</f>
        <v/>
      </c>
      <c r="D505" s="76" t="str">
        <f aca="false">IF(B505="","",IFERROR(INDEX(PE_Fonction,MATCH(B505,PE_Mat,0)),""))</f>
        <v/>
      </c>
      <c r="E505" s="76" t="str">
        <f aca="false">IF(B505="","",IFERROR(INDEX(PE_Equipe,MATCH(B505,PE_Mat,0)),""))</f>
        <v/>
      </c>
      <c r="F505" s="25"/>
      <c r="G505" s="25"/>
      <c r="H505" s="68"/>
      <c r="I505" s="89"/>
      <c r="J505" s="31" t="str">
        <f aca="false">IF(B505="","",IFERROR(INDEX(PE_Taux,MATCH(B505,PE_Mat,0)),0))</f>
        <v/>
      </c>
      <c r="K505" s="31" t="str">
        <f aca="false">IF(B505="","",IF(H505="A",0,IFERROR(N(I505)/P_Heures*J505,0)))</f>
        <v/>
      </c>
      <c r="L505" s="25"/>
    </row>
    <row r="506" customFormat="false" ht="15" hidden="false" customHeight="false" outlineLevel="0" collapsed="false">
      <c r="A506" s="69"/>
      <c r="B506" s="68"/>
      <c r="C506" s="76" t="str">
        <f aca="false">IF(B506="","",IFERROR(INDEX(PE_Nom,MATCH(B506,PE_Mat,0)),"Matricule inconnu"))</f>
        <v/>
      </c>
      <c r="D506" s="76" t="str">
        <f aca="false">IF(B506="","",IFERROR(INDEX(PE_Fonction,MATCH(B506,PE_Mat,0)),""))</f>
        <v/>
      </c>
      <c r="E506" s="76" t="str">
        <f aca="false">IF(B506="","",IFERROR(INDEX(PE_Equipe,MATCH(B506,PE_Mat,0)),""))</f>
        <v/>
      </c>
      <c r="F506" s="25"/>
      <c r="G506" s="25"/>
      <c r="H506" s="68"/>
      <c r="I506" s="89"/>
      <c r="J506" s="31" t="str">
        <f aca="false">IF(B506="","",IFERROR(INDEX(PE_Taux,MATCH(B506,PE_Mat,0)),0))</f>
        <v/>
      </c>
      <c r="K506" s="31" t="str">
        <f aca="false">IF(B506="","",IF(H506="A",0,IFERROR(N(I506)/P_Heures*J506,0)))</f>
        <v/>
      </c>
      <c r="L506" s="25"/>
    </row>
    <row r="507" customFormat="false" ht="15" hidden="false" customHeight="false" outlineLevel="0" collapsed="false">
      <c r="A507" s="69"/>
      <c r="B507" s="68"/>
      <c r="C507" s="76" t="str">
        <f aca="false">IF(B507="","",IFERROR(INDEX(PE_Nom,MATCH(B507,PE_Mat,0)),"Matricule inconnu"))</f>
        <v/>
      </c>
      <c r="D507" s="76" t="str">
        <f aca="false">IF(B507="","",IFERROR(INDEX(PE_Fonction,MATCH(B507,PE_Mat,0)),""))</f>
        <v/>
      </c>
      <c r="E507" s="76" t="str">
        <f aca="false">IF(B507="","",IFERROR(INDEX(PE_Equipe,MATCH(B507,PE_Mat,0)),""))</f>
        <v/>
      </c>
      <c r="F507" s="25"/>
      <c r="G507" s="25"/>
      <c r="H507" s="68"/>
      <c r="I507" s="89"/>
      <c r="J507" s="31" t="str">
        <f aca="false">IF(B507="","",IFERROR(INDEX(PE_Taux,MATCH(B507,PE_Mat,0)),0))</f>
        <v/>
      </c>
      <c r="K507" s="31" t="str">
        <f aca="false">IF(B507="","",IF(H507="A",0,IFERROR(N(I507)/P_Heures*J507,0)))</f>
        <v/>
      </c>
      <c r="L507" s="25"/>
    </row>
    <row r="508" customFormat="false" ht="15" hidden="false" customHeight="false" outlineLevel="0" collapsed="false">
      <c r="A508" s="69"/>
      <c r="B508" s="68"/>
      <c r="C508" s="76" t="str">
        <f aca="false">IF(B508="","",IFERROR(INDEX(PE_Nom,MATCH(B508,PE_Mat,0)),"Matricule inconnu"))</f>
        <v/>
      </c>
      <c r="D508" s="76" t="str">
        <f aca="false">IF(B508="","",IFERROR(INDEX(PE_Fonction,MATCH(B508,PE_Mat,0)),""))</f>
        <v/>
      </c>
      <c r="E508" s="76" t="str">
        <f aca="false">IF(B508="","",IFERROR(INDEX(PE_Equipe,MATCH(B508,PE_Mat,0)),""))</f>
        <v/>
      </c>
      <c r="F508" s="25"/>
      <c r="G508" s="25"/>
      <c r="H508" s="68"/>
      <c r="I508" s="89"/>
      <c r="J508" s="31" t="str">
        <f aca="false">IF(B508="","",IFERROR(INDEX(PE_Taux,MATCH(B508,PE_Mat,0)),0))</f>
        <v/>
      </c>
      <c r="K508" s="31" t="str">
        <f aca="false">IF(B508="","",IF(H508="A",0,IFERROR(N(I508)/P_Heures*J508,0)))</f>
        <v/>
      </c>
      <c r="L508" s="25"/>
    </row>
    <row r="509" customFormat="false" ht="15" hidden="false" customHeight="false" outlineLevel="0" collapsed="false">
      <c r="A509" s="69"/>
      <c r="B509" s="68"/>
      <c r="C509" s="76" t="str">
        <f aca="false">IF(B509="","",IFERROR(INDEX(PE_Nom,MATCH(B509,PE_Mat,0)),"Matricule inconnu"))</f>
        <v/>
      </c>
      <c r="D509" s="76" t="str">
        <f aca="false">IF(B509="","",IFERROR(INDEX(PE_Fonction,MATCH(B509,PE_Mat,0)),""))</f>
        <v/>
      </c>
      <c r="E509" s="76" t="str">
        <f aca="false">IF(B509="","",IFERROR(INDEX(PE_Equipe,MATCH(B509,PE_Mat,0)),""))</f>
        <v/>
      </c>
      <c r="F509" s="25"/>
      <c r="G509" s="25"/>
      <c r="H509" s="68"/>
      <c r="I509" s="89"/>
      <c r="J509" s="31" t="str">
        <f aca="false">IF(B509="","",IFERROR(INDEX(PE_Taux,MATCH(B509,PE_Mat,0)),0))</f>
        <v/>
      </c>
      <c r="K509" s="31" t="str">
        <f aca="false">IF(B509="","",IF(H509="A",0,IFERROR(N(I509)/P_Heures*J509,0)))</f>
        <v/>
      </c>
      <c r="L509" s="25"/>
    </row>
    <row r="510" customFormat="false" ht="15" hidden="false" customHeight="false" outlineLevel="0" collapsed="false">
      <c r="A510" s="69"/>
      <c r="B510" s="68"/>
      <c r="C510" s="76" t="str">
        <f aca="false">IF(B510="","",IFERROR(INDEX(PE_Nom,MATCH(B510,PE_Mat,0)),"Matricule inconnu"))</f>
        <v/>
      </c>
      <c r="D510" s="76" t="str">
        <f aca="false">IF(B510="","",IFERROR(INDEX(PE_Fonction,MATCH(B510,PE_Mat,0)),""))</f>
        <v/>
      </c>
      <c r="E510" s="76" t="str">
        <f aca="false">IF(B510="","",IFERROR(INDEX(PE_Equipe,MATCH(B510,PE_Mat,0)),""))</f>
        <v/>
      </c>
      <c r="F510" s="25"/>
      <c r="G510" s="25"/>
      <c r="H510" s="68"/>
      <c r="I510" s="89"/>
      <c r="J510" s="31" t="str">
        <f aca="false">IF(B510="","",IFERROR(INDEX(PE_Taux,MATCH(B510,PE_Mat,0)),0))</f>
        <v/>
      </c>
      <c r="K510" s="31" t="str">
        <f aca="false">IF(B510="","",IF(H510="A",0,IFERROR(N(I510)/P_Heures*J510,0)))</f>
        <v/>
      </c>
      <c r="L510" s="25"/>
    </row>
    <row r="511" customFormat="false" ht="15" hidden="false" customHeight="false" outlineLevel="0" collapsed="false">
      <c r="A511" s="69"/>
      <c r="B511" s="68"/>
      <c r="C511" s="76" t="str">
        <f aca="false">IF(B511="","",IFERROR(INDEX(PE_Nom,MATCH(B511,PE_Mat,0)),"Matricule inconnu"))</f>
        <v/>
      </c>
      <c r="D511" s="76" t="str">
        <f aca="false">IF(B511="","",IFERROR(INDEX(PE_Fonction,MATCH(B511,PE_Mat,0)),""))</f>
        <v/>
      </c>
      <c r="E511" s="76" t="str">
        <f aca="false">IF(B511="","",IFERROR(INDEX(PE_Equipe,MATCH(B511,PE_Mat,0)),""))</f>
        <v/>
      </c>
      <c r="F511" s="25"/>
      <c r="G511" s="25"/>
      <c r="H511" s="68"/>
      <c r="I511" s="89"/>
      <c r="J511" s="31" t="str">
        <f aca="false">IF(B511="","",IFERROR(INDEX(PE_Taux,MATCH(B511,PE_Mat,0)),0))</f>
        <v/>
      </c>
      <c r="K511" s="31" t="str">
        <f aca="false">IF(B511="","",IF(H511="A",0,IFERROR(N(I511)/P_Heures*J511,0)))</f>
        <v/>
      </c>
      <c r="L511" s="25"/>
    </row>
    <row r="512" customFormat="false" ht="15" hidden="false" customHeight="false" outlineLevel="0" collapsed="false">
      <c r="A512" s="69"/>
      <c r="B512" s="68"/>
      <c r="C512" s="76" t="str">
        <f aca="false">IF(B512="","",IFERROR(INDEX(PE_Nom,MATCH(B512,PE_Mat,0)),"Matricule inconnu"))</f>
        <v/>
      </c>
      <c r="D512" s="76" t="str">
        <f aca="false">IF(B512="","",IFERROR(INDEX(PE_Fonction,MATCH(B512,PE_Mat,0)),""))</f>
        <v/>
      </c>
      <c r="E512" s="76" t="str">
        <f aca="false">IF(B512="","",IFERROR(INDEX(PE_Equipe,MATCH(B512,PE_Mat,0)),""))</f>
        <v/>
      </c>
      <c r="F512" s="25"/>
      <c r="G512" s="25"/>
      <c r="H512" s="68"/>
      <c r="I512" s="89"/>
      <c r="J512" s="31" t="str">
        <f aca="false">IF(B512="","",IFERROR(INDEX(PE_Taux,MATCH(B512,PE_Mat,0)),0))</f>
        <v/>
      </c>
      <c r="K512" s="31" t="str">
        <f aca="false">IF(B512="","",IF(H512="A",0,IFERROR(N(I512)/P_Heures*J512,0)))</f>
        <v/>
      </c>
      <c r="L512" s="25"/>
    </row>
    <row r="513" customFormat="false" ht="15" hidden="false" customHeight="false" outlineLevel="0" collapsed="false">
      <c r="A513" s="69"/>
      <c r="B513" s="68"/>
      <c r="C513" s="76" t="str">
        <f aca="false">IF(B513="","",IFERROR(INDEX(PE_Nom,MATCH(B513,PE_Mat,0)),"Matricule inconnu"))</f>
        <v/>
      </c>
      <c r="D513" s="76" t="str">
        <f aca="false">IF(B513="","",IFERROR(INDEX(PE_Fonction,MATCH(B513,PE_Mat,0)),""))</f>
        <v/>
      </c>
      <c r="E513" s="76" t="str">
        <f aca="false">IF(B513="","",IFERROR(INDEX(PE_Equipe,MATCH(B513,PE_Mat,0)),""))</f>
        <v/>
      </c>
      <c r="F513" s="25"/>
      <c r="G513" s="25"/>
      <c r="H513" s="68"/>
      <c r="I513" s="89"/>
      <c r="J513" s="31" t="str">
        <f aca="false">IF(B513="","",IFERROR(INDEX(PE_Taux,MATCH(B513,PE_Mat,0)),0))</f>
        <v/>
      </c>
      <c r="K513" s="31" t="str">
        <f aca="false">IF(B513="","",IF(H513="A",0,IFERROR(N(I513)/P_Heures*J513,0)))</f>
        <v/>
      </c>
      <c r="L513" s="25"/>
    </row>
    <row r="514" customFormat="false" ht="15" hidden="false" customHeight="false" outlineLevel="0" collapsed="false">
      <c r="A514" s="69"/>
      <c r="B514" s="68"/>
      <c r="C514" s="76" t="str">
        <f aca="false">IF(B514="","",IFERROR(INDEX(PE_Nom,MATCH(B514,PE_Mat,0)),"Matricule inconnu"))</f>
        <v/>
      </c>
      <c r="D514" s="76" t="str">
        <f aca="false">IF(B514="","",IFERROR(INDEX(PE_Fonction,MATCH(B514,PE_Mat,0)),""))</f>
        <v/>
      </c>
      <c r="E514" s="76" t="str">
        <f aca="false">IF(B514="","",IFERROR(INDEX(PE_Equipe,MATCH(B514,PE_Mat,0)),""))</f>
        <v/>
      </c>
      <c r="F514" s="25"/>
      <c r="G514" s="25"/>
      <c r="H514" s="68"/>
      <c r="I514" s="89"/>
      <c r="J514" s="31" t="str">
        <f aca="false">IF(B514="","",IFERROR(INDEX(PE_Taux,MATCH(B514,PE_Mat,0)),0))</f>
        <v/>
      </c>
      <c r="K514" s="31" t="str">
        <f aca="false">IF(B514="","",IF(H514="A",0,IFERROR(N(I514)/P_Heures*J514,0)))</f>
        <v/>
      </c>
      <c r="L514" s="25"/>
    </row>
    <row r="515" customFormat="false" ht="15" hidden="false" customHeight="false" outlineLevel="0" collapsed="false">
      <c r="A515" s="69"/>
      <c r="B515" s="68"/>
      <c r="C515" s="76" t="str">
        <f aca="false">IF(B515="","",IFERROR(INDEX(PE_Nom,MATCH(B515,PE_Mat,0)),"Matricule inconnu"))</f>
        <v/>
      </c>
      <c r="D515" s="76" t="str">
        <f aca="false">IF(B515="","",IFERROR(INDEX(PE_Fonction,MATCH(B515,PE_Mat,0)),""))</f>
        <v/>
      </c>
      <c r="E515" s="76" t="str">
        <f aca="false">IF(B515="","",IFERROR(INDEX(PE_Equipe,MATCH(B515,PE_Mat,0)),""))</f>
        <v/>
      </c>
      <c r="F515" s="25"/>
      <c r="G515" s="25"/>
      <c r="H515" s="68"/>
      <c r="I515" s="89"/>
      <c r="J515" s="31" t="str">
        <f aca="false">IF(B515="","",IFERROR(INDEX(PE_Taux,MATCH(B515,PE_Mat,0)),0))</f>
        <v/>
      </c>
      <c r="K515" s="31" t="str">
        <f aca="false">IF(B515="","",IF(H515="A",0,IFERROR(N(I515)/P_Heures*J515,0)))</f>
        <v/>
      </c>
      <c r="L515" s="25"/>
    </row>
    <row r="516" customFormat="false" ht="15" hidden="false" customHeight="false" outlineLevel="0" collapsed="false">
      <c r="A516" s="69"/>
      <c r="B516" s="68"/>
      <c r="C516" s="76" t="str">
        <f aca="false">IF(B516="","",IFERROR(INDEX(PE_Nom,MATCH(B516,PE_Mat,0)),"Matricule inconnu"))</f>
        <v/>
      </c>
      <c r="D516" s="76" t="str">
        <f aca="false">IF(B516="","",IFERROR(INDEX(PE_Fonction,MATCH(B516,PE_Mat,0)),""))</f>
        <v/>
      </c>
      <c r="E516" s="76" t="str">
        <f aca="false">IF(B516="","",IFERROR(INDEX(PE_Equipe,MATCH(B516,PE_Mat,0)),""))</f>
        <v/>
      </c>
      <c r="F516" s="25"/>
      <c r="G516" s="25"/>
      <c r="H516" s="68"/>
      <c r="I516" s="89"/>
      <c r="J516" s="31" t="str">
        <f aca="false">IF(B516="","",IFERROR(INDEX(PE_Taux,MATCH(B516,PE_Mat,0)),0))</f>
        <v/>
      </c>
      <c r="K516" s="31" t="str">
        <f aca="false">IF(B516="","",IF(H516="A",0,IFERROR(N(I516)/P_Heures*J516,0)))</f>
        <v/>
      </c>
      <c r="L516" s="25"/>
    </row>
    <row r="517" customFormat="false" ht="15" hidden="false" customHeight="false" outlineLevel="0" collapsed="false">
      <c r="A517" s="69"/>
      <c r="B517" s="68"/>
      <c r="C517" s="76" t="str">
        <f aca="false">IF(B517="","",IFERROR(INDEX(PE_Nom,MATCH(B517,PE_Mat,0)),"Matricule inconnu"))</f>
        <v/>
      </c>
      <c r="D517" s="76" t="str">
        <f aca="false">IF(B517="","",IFERROR(INDEX(PE_Fonction,MATCH(B517,PE_Mat,0)),""))</f>
        <v/>
      </c>
      <c r="E517" s="76" t="str">
        <f aca="false">IF(B517="","",IFERROR(INDEX(PE_Equipe,MATCH(B517,PE_Mat,0)),""))</f>
        <v/>
      </c>
      <c r="F517" s="25"/>
      <c r="G517" s="25"/>
      <c r="H517" s="68"/>
      <c r="I517" s="89"/>
      <c r="J517" s="31" t="str">
        <f aca="false">IF(B517="","",IFERROR(INDEX(PE_Taux,MATCH(B517,PE_Mat,0)),0))</f>
        <v/>
      </c>
      <c r="K517" s="31" t="str">
        <f aca="false">IF(B517="","",IF(H517="A",0,IFERROR(N(I517)/P_Heures*J517,0)))</f>
        <v/>
      </c>
      <c r="L517" s="25"/>
    </row>
    <row r="518" customFormat="false" ht="15" hidden="false" customHeight="false" outlineLevel="0" collapsed="false">
      <c r="A518" s="69"/>
      <c r="B518" s="68"/>
      <c r="C518" s="76" t="str">
        <f aca="false">IF(B518="","",IFERROR(INDEX(PE_Nom,MATCH(B518,PE_Mat,0)),"Matricule inconnu"))</f>
        <v/>
      </c>
      <c r="D518" s="76" t="str">
        <f aca="false">IF(B518="","",IFERROR(INDEX(PE_Fonction,MATCH(B518,PE_Mat,0)),""))</f>
        <v/>
      </c>
      <c r="E518" s="76" t="str">
        <f aca="false">IF(B518="","",IFERROR(INDEX(PE_Equipe,MATCH(B518,PE_Mat,0)),""))</f>
        <v/>
      </c>
      <c r="F518" s="25"/>
      <c r="G518" s="25"/>
      <c r="H518" s="68"/>
      <c r="I518" s="89"/>
      <c r="J518" s="31" t="str">
        <f aca="false">IF(B518="","",IFERROR(INDEX(PE_Taux,MATCH(B518,PE_Mat,0)),0))</f>
        <v/>
      </c>
      <c r="K518" s="31" t="str">
        <f aca="false">IF(B518="","",IF(H518="A",0,IFERROR(N(I518)/P_Heures*J518,0)))</f>
        <v/>
      </c>
      <c r="L518" s="25"/>
    </row>
    <row r="519" customFormat="false" ht="15" hidden="false" customHeight="false" outlineLevel="0" collapsed="false">
      <c r="A519" s="69"/>
      <c r="B519" s="68"/>
      <c r="C519" s="76" t="str">
        <f aca="false">IF(B519="","",IFERROR(INDEX(PE_Nom,MATCH(B519,PE_Mat,0)),"Matricule inconnu"))</f>
        <v/>
      </c>
      <c r="D519" s="76" t="str">
        <f aca="false">IF(B519="","",IFERROR(INDEX(PE_Fonction,MATCH(B519,PE_Mat,0)),""))</f>
        <v/>
      </c>
      <c r="E519" s="76" t="str">
        <f aca="false">IF(B519="","",IFERROR(INDEX(PE_Equipe,MATCH(B519,PE_Mat,0)),""))</f>
        <v/>
      </c>
      <c r="F519" s="25"/>
      <c r="G519" s="25"/>
      <c r="H519" s="68"/>
      <c r="I519" s="89"/>
      <c r="J519" s="31" t="str">
        <f aca="false">IF(B519="","",IFERROR(INDEX(PE_Taux,MATCH(B519,PE_Mat,0)),0))</f>
        <v/>
      </c>
      <c r="K519" s="31" t="str">
        <f aca="false">IF(B519="","",IF(H519="A",0,IFERROR(N(I519)/P_Heures*J519,0)))</f>
        <v/>
      </c>
      <c r="L519" s="25"/>
    </row>
    <row r="520" customFormat="false" ht="15" hidden="false" customHeight="false" outlineLevel="0" collapsed="false">
      <c r="A520" s="69"/>
      <c r="B520" s="68"/>
      <c r="C520" s="76" t="str">
        <f aca="false">IF(B520="","",IFERROR(INDEX(PE_Nom,MATCH(B520,PE_Mat,0)),"Matricule inconnu"))</f>
        <v/>
      </c>
      <c r="D520" s="76" t="str">
        <f aca="false">IF(B520="","",IFERROR(INDEX(PE_Fonction,MATCH(B520,PE_Mat,0)),""))</f>
        <v/>
      </c>
      <c r="E520" s="76" t="str">
        <f aca="false">IF(B520="","",IFERROR(INDEX(PE_Equipe,MATCH(B520,PE_Mat,0)),""))</f>
        <v/>
      </c>
      <c r="F520" s="25"/>
      <c r="G520" s="25"/>
      <c r="H520" s="68"/>
      <c r="I520" s="89"/>
      <c r="J520" s="31" t="str">
        <f aca="false">IF(B520="","",IFERROR(INDEX(PE_Taux,MATCH(B520,PE_Mat,0)),0))</f>
        <v/>
      </c>
      <c r="K520" s="31" t="str">
        <f aca="false">IF(B520="","",IF(H520="A",0,IFERROR(N(I520)/P_Heures*J520,0)))</f>
        <v/>
      </c>
      <c r="L520" s="25"/>
    </row>
    <row r="521" customFormat="false" ht="15" hidden="false" customHeight="false" outlineLevel="0" collapsed="false">
      <c r="A521" s="69"/>
      <c r="B521" s="68"/>
      <c r="C521" s="76" t="str">
        <f aca="false">IF(B521="","",IFERROR(INDEX(PE_Nom,MATCH(B521,PE_Mat,0)),"Matricule inconnu"))</f>
        <v/>
      </c>
      <c r="D521" s="76" t="str">
        <f aca="false">IF(B521="","",IFERROR(INDEX(PE_Fonction,MATCH(B521,PE_Mat,0)),""))</f>
        <v/>
      </c>
      <c r="E521" s="76" t="str">
        <f aca="false">IF(B521="","",IFERROR(INDEX(PE_Equipe,MATCH(B521,PE_Mat,0)),""))</f>
        <v/>
      </c>
      <c r="F521" s="25"/>
      <c r="G521" s="25"/>
      <c r="H521" s="68"/>
      <c r="I521" s="89"/>
      <c r="J521" s="31" t="str">
        <f aca="false">IF(B521="","",IFERROR(INDEX(PE_Taux,MATCH(B521,PE_Mat,0)),0))</f>
        <v/>
      </c>
      <c r="K521" s="31" t="str">
        <f aca="false">IF(B521="","",IF(H521="A",0,IFERROR(N(I521)/P_Heures*J521,0)))</f>
        <v/>
      </c>
      <c r="L521" s="25"/>
    </row>
    <row r="522" customFormat="false" ht="15" hidden="false" customHeight="false" outlineLevel="0" collapsed="false">
      <c r="A522" s="69"/>
      <c r="B522" s="68"/>
      <c r="C522" s="76" t="str">
        <f aca="false">IF(B522="","",IFERROR(INDEX(PE_Nom,MATCH(B522,PE_Mat,0)),"Matricule inconnu"))</f>
        <v/>
      </c>
      <c r="D522" s="76" t="str">
        <f aca="false">IF(B522="","",IFERROR(INDEX(PE_Fonction,MATCH(B522,PE_Mat,0)),""))</f>
        <v/>
      </c>
      <c r="E522" s="76" t="str">
        <f aca="false">IF(B522="","",IFERROR(INDEX(PE_Equipe,MATCH(B522,PE_Mat,0)),""))</f>
        <v/>
      </c>
      <c r="F522" s="25"/>
      <c r="G522" s="25"/>
      <c r="H522" s="68"/>
      <c r="I522" s="89"/>
      <c r="J522" s="31" t="str">
        <f aca="false">IF(B522="","",IFERROR(INDEX(PE_Taux,MATCH(B522,PE_Mat,0)),0))</f>
        <v/>
      </c>
      <c r="K522" s="31" t="str">
        <f aca="false">IF(B522="","",IF(H522="A",0,IFERROR(N(I522)/P_Heures*J522,0)))</f>
        <v/>
      </c>
      <c r="L522" s="25"/>
    </row>
    <row r="523" customFormat="false" ht="15" hidden="false" customHeight="false" outlineLevel="0" collapsed="false">
      <c r="A523" s="69"/>
      <c r="B523" s="68"/>
      <c r="C523" s="76" t="str">
        <f aca="false">IF(B523="","",IFERROR(INDEX(PE_Nom,MATCH(B523,PE_Mat,0)),"Matricule inconnu"))</f>
        <v/>
      </c>
      <c r="D523" s="76" t="str">
        <f aca="false">IF(B523="","",IFERROR(INDEX(PE_Fonction,MATCH(B523,PE_Mat,0)),""))</f>
        <v/>
      </c>
      <c r="E523" s="76" t="str">
        <f aca="false">IF(B523="","",IFERROR(INDEX(PE_Equipe,MATCH(B523,PE_Mat,0)),""))</f>
        <v/>
      </c>
      <c r="F523" s="25"/>
      <c r="G523" s="25"/>
      <c r="H523" s="68"/>
      <c r="I523" s="89"/>
      <c r="J523" s="31" t="str">
        <f aca="false">IF(B523="","",IFERROR(INDEX(PE_Taux,MATCH(B523,PE_Mat,0)),0))</f>
        <v/>
      </c>
      <c r="K523" s="31" t="str">
        <f aca="false">IF(B523="","",IF(H523="A",0,IFERROR(N(I523)/P_Heures*J523,0)))</f>
        <v/>
      </c>
      <c r="L523" s="25"/>
    </row>
    <row r="524" customFormat="false" ht="15" hidden="false" customHeight="false" outlineLevel="0" collapsed="false">
      <c r="A524" s="69"/>
      <c r="B524" s="68"/>
      <c r="C524" s="76" t="str">
        <f aca="false">IF(B524="","",IFERROR(INDEX(PE_Nom,MATCH(B524,PE_Mat,0)),"Matricule inconnu"))</f>
        <v/>
      </c>
      <c r="D524" s="76" t="str">
        <f aca="false">IF(B524="","",IFERROR(INDEX(PE_Fonction,MATCH(B524,PE_Mat,0)),""))</f>
        <v/>
      </c>
      <c r="E524" s="76" t="str">
        <f aca="false">IF(B524="","",IFERROR(INDEX(PE_Equipe,MATCH(B524,PE_Mat,0)),""))</f>
        <v/>
      </c>
      <c r="F524" s="25"/>
      <c r="G524" s="25"/>
      <c r="H524" s="68"/>
      <c r="I524" s="89"/>
      <c r="J524" s="31" t="str">
        <f aca="false">IF(B524="","",IFERROR(INDEX(PE_Taux,MATCH(B524,PE_Mat,0)),0))</f>
        <v/>
      </c>
      <c r="K524" s="31" t="str">
        <f aca="false">IF(B524="","",IF(H524="A",0,IFERROR(N(I524)/P_Heures*J524,0)))</f>
        <v/>
      </c>
      <c r="L524" s="25"/>
    </row>
    <row r="525" customFormat="false" ht="15" hidden="false" customHeight="false" outlineLevel="0" collapsed="false">
      <c r="A525" s="69"/>
      <c r="B525" s="68"/>
      <c r="C525" s="76" t="str">
        <f aca="false">IF(B525="","",IFERROR(INDEX(PE_Nom,MATCH(B525,PE_Mat,0)),"Matricule inconnu"))</f>
        <v/>
      </c>
      <c r="D525" s="76" t="str">
        <f aca="false">IF(B525="","",IFERROR(INDEX(PE_Fonction,MATCH(B525,PE_Mat,0)),""))</f>
        <v/>
      </c>
      <c r="E525" s="76" t="str">
        <f aca="false">IF(B525="","",IFERROR(INDEX(PE_Equipe,MATCH(B525,PE_Mat,0)),""))</f>
        <v/>
      </c>
      <c r="F525" s="25"/>
      <c r="G525" s="25"/>
      <c r="H525" s="68"/>
      <c r="I525" s="89"/>
      <c r="J525" s="31" t="str">
        <f aca="false">IF(B525="","",IFERROR(INDEX(PE_Taux,MATCH(B525,PE_Mat,0)),0))</f>
        <v/>
      </c>
      <c r="K525" s="31" t="str">
        <f aca="false">IF(B525="","",IF(H525="A",0,IFERROR(N(I525)/P_Heures*J525,0)))</f>
        <v/>
      </c>
      <c r="L525" s="25"/>
    </row>
    <row r="526" customFormat="false" ht="15" hidden="false" customHeight="false" outlineLevel="0" collapsed="false">
      <c r="A526" s="69"/>
      <c r="B526" s="68"/>
      <c r="C526" s="76" t="str">
        <f aca="false">IF(B526="","",IFERROR(INDEX(PE_Nom,MATCH(B526,PE_Mat,0)),"Matricule inconnu"))</f>
        <v/>
      </c>
      <c r="D526" s="76" t="str">
        <f aca="false">IF(B526="","",IFERROR(INDEX(PE_Fonction,MATCH(B526,PE_Mat,0)),""))</f>
        <v/>
      </c>
      <c r="E526" s="76" t="str">
        <f aca="false">IF(B526="","",IFERROR(INDEX(PE_Equipe,MATCH(B526,PE_Mat,0)),""))</f>
        <v/>
      </c>
      <c r="F526" s="25"/>
      <c r="G526" s="25"/>
      <c r="H526" s="68"/>
      <c r="I526" s="89"/>
      <c r="J526" s="31" t="str">
        <f aca="false">IF(B526="","",IFERROR(INDEX(PE_Taux,MATCH(B526,PE_Mat,0)),0))</f>
        <v/>
      </c>
      <c r="K526" s="31" t="str">
        <f aca="false">IF(B526="","",IF(H526="A",0,IFERROR(N(I526)/P_Heures*J526,0)))</f>
        <v/>
      </c>
      <c r="L526" s="25"/>
    </row>
    <row r="527" customFormat="false" ht="15" hidden="false" customHeight="false" outlineLevel="0" collapsed="false">
      <c r="A527" s="69"/>
      <c r="B527" s="68"/>
      <c r="C527" s="76" t="str">
        <f aca="false">IF(B527="","",IFERROR(INDEX(PE_Nom,MATCH(B527,PE_Mat,0)),"Matricule inconnu"))</f>
        <v/>
      </c>
      <c r="D527" s="76" t="str">
        <f aca="false">IF(B527="","",IFERROR(INDEX(PE_Fonction,MATCH(B527,PE_Mat,0)),""))</f>
        <v/>
      </c>
      <c r="E527" s="76" t="str">
        <f aca="false">IF(B527="","",IFERROR(INDEX(PE_Equipe,MATCH(B527,PE_Mat,0)),""))</f>
        <v/>
      </c>
      <c r="F527" s="25"/>
      <c r="G527" s="25"/>
      <c r="H527" s="68"/>
      <c r="I527" s="89"/>
      <c r="J527" s="31" t="str">
        <f aca="false">IF(B527="","",IFERROR(INDEX(PE_Taux,MATCH(B527,PE_Mat,0)),0))</f>
        <v/>
      </c>
      <c r="K527" s="31" t="str">
        <f aca="false">IF(B527="","",IF(H527="A",0,IFERROR(N(I527)/P_Heures*J527,0)))</f>
        <v/>
      </c>
      <c r="L527" s="25"/>
    </row>
    <row r="528" customFormat="false" ht="15" hidden="false" customHeight="false" outlineLevel="0" collapsed="false">
      <c r="A528" s="69"/>
      <c r="B528" s="68"/>
      <c r="C528" s="76" t="str">
        <f aca="false">IF(B528="","",IFERROR(INDEX(PE_Nom,MATCH(B528,PE_Mat,0)),"Matricule inconnu"))</f>
        <v/>
      </c>
      <c r="D528" s="76" t="str">
        <f aca="false">IF(B528="","",IFERROR(INDEX(PE_Fonction,MATCH(B528,PE_Mat,0)),""))</f>
        <v/>
      </c>
      <c r="E528" s="76" t="str">
        <f aca="false">IF(B528="","",IFERROR(INDEX(PE_Equipe,MATCH(B528,PE_Mat,0)),""))</f>
        <v/>
      </c>
      <c r="F528" s="25"/>
      <c r="G528" s="25"/>
      <c r="H528" s="68"/>
      <c r="I528" s="89"/>
      <c r="J528" s="31" t="str">
        <f aca="false">IF(B528="","",IFERROR(INDEX(PE_Taux,MATCH(B528,PE_Mat,0)),0))</f>
        <v/>
      </c>
      <c r="K528" s="31" t="str">
        <f aca="false">IF(B528="","",IF(H528="A",0,IFERROR(N(I528)/P_Heures*J528,0)))</f>
        <v/>
      </c>
      <c r="L528" s="25"/>
    </row>
    <row r="529" customFormat="false" ht="15" hidden="false" customHeight="false" outlineLevel="0" collapsed="false">
      <c r="A529" s="69"/>
      <c r="B529" s="68"/>
      <c r="C529" s="76" t="str">
        <f aca="false">IF(B529="","",IFERROR(INDEX(PE_Nom,MATCH(B529,PE_Mat,0)),"Matricule inconnu"))</f>
        <v/>
      </c>
      <c r="D529" s="76" t="str">
        <f aca="false">IF(B529="","",IFERROR(INDEX(PE_Fonction,MATCH(B529,PE_Mat,0)),""))</f>
        <v/>
      </c>
      <c r="E529" s="76" t="str">
        <f aca="false">IF(B529="","",IFERROR(INDEX(PE_Equipe,MATCH(B529,PE_Mat,0)),""))</f>
        <v/>
      </c>
      <c r="F529" s="25"/>
      <c r="G529" s="25"/>
      <c r="H529" s="68"/>
      <c r="I529" s="89"/>
      <c r="J529" s="31" t="str">
        <f aca="false">IF(B529="","",IFERROR(INDEX(PE_Taux,MATCH(B529,PE_Mat,0)),0))</f>
        <v/>
      </c>
      <c r="K529" s="31" t="str">
        <f aca="false">IF(B529="","",IF(H529="A",0,IFERROR(N(I529)/P_Heures*J529,0)))</f>
        <v/>
      </c>
      <c r="L529" s="25"/>
    </row>
    <row r="530" customFormat="false" ht="15" hidden="false" customHeight="false" outlineLevel="0" collapsed="false">
      <c r="A530" s="69"/>
      <c r="B530" s="68"/>
      <c r="C530" s="76" t="str">
        <f aca="false">IF(B530="","",IFERROR(INDEX(PE_Nom,MATCH(B530,PE_Mat,0)),"Matricule inconnu"))</f>
        <v/>
      </c>
      <c r="D530" s="76" t="str">
        <f aca="false">IF(B530="","",IFERROR(INDEX(PE_Fonction,MATCH(B530,PE_Mat,0)),""))</f>
        <v/>
      </c>
      <c r="E530" s="76" t="str">
        <f aca="false">IF(B530="","",IFERROR(INDEX(PE_Equipe,MATCH(B530,PE_Mat,0)),""))</f>
        <v/>
      </c>
      <c r="F530" s="25"/>
      <c r="G530" s="25"/>
      <c r="H530" s="68"/>
      <c r="I530" s="89"/>
      <c r="J530" s="31" t="str">
        <f aca="false">IF(B530="","",IFERROR(INDEX(PE_Taux,MATCH(B530,PE_Mat,0)),0))</f>
        <v/>
      </c>
      <c r="K530" s="31" t="str">
        <f aca="false">IF(B530="","",IF(H530="A",0,IFERROR(N(I530)/P_Heures*J530,0)))</f>
        <v/>
      </c>
      <c r="L530" s="25"/>
    </row>
    <row r="531" customFormat="false" ht="15" hidden="false" customHeight="false" outlineLevel="0" collapsed="false">
      <c r="A531" s="69"/>
      <c r="B531" s="68"/>
      <c r="C531" s="76" t="str">
        <f aca="false">IF(B531="","",IFERROR(INDEX(PE_Nom,MATCH(B531,PE_Mat,0)),"Matricule inconnu"))</f>
        <v/>
      </c>
      <c r="D531" s="76" t="str">
        <f aca="false">IF(B531="","",IFERROR(INDEX(PE_Fonction,MATCH(B531,PE_Mat,0)),""))</f>
        <v/>
      </c>
      <c r="E531" s="76" t="str">
        <f aca="false">IF(B531="","",IFERROR(INDEX(PE_Equipe,MATCH(B531,PE_Mat,0)),""))</f>
        <v/>
      </c>
      <c r="F531" s="25"/>
      <c r="G531" s="25"/>
      <c r="H531" s="68"/>
      <c r="I531" s="89"/>
      <c r="J531" s="31" t="str">
        <f aca="false">IF(B531="","",IFERROR(INDEX(PE_Taux,MATCH(B531,PE_Mat,0)),0))</f>
        <v/>
      </c>
      <c r="K531" s="31" t="str">
        <f aca="false">IF(B531="","",IF(H531="A",0,IFERROR(N(I531)/P_Heures*J531,0)))</f>
        <v/>
      </c>
      <c r="L531" s="25"/>
    </row>
    <row r="532" customFormat="false" ht="15" hidden="false" customHeight="false" outlineLevel="0" collapsed="false">
      <c r="A532" s="69"/>
      <c r="B532" s="68"/>
      <c r="C532" s="76" t="str">
        <f aca="false">IF(B532="","",IFERROR(INDEX(PE_Nom,MATCH(B532,PE_Mat,0)),"Matricule inconnu"))</f>
        <v/>
      </c>
      <c r="D532" s="76" t="str">
        <f aca="false">IF(B532="","",IFERROR(INDEX(PE_Fonction,MATCH(B532,PE_Mat,0)),""))</f>
        <v/>
      </c>
      <c r="E532" s="76" t="str">
        <f aca="false">IF(B532="","",IFERROR(INDEX(PE_Equipe,MATCH(B532,PE_Mat,0)),""))</f>
        <v/>
      </c>
      <c r="F532" s="25"/>
      <c r="G532" s="25"/>
      <c r="H532" s="68"/>
      <c r="I532" s="89"/>
      <c r="J532" s="31" t="str">
        <f aca="false">IF(B532="","",IFERROR(INDEX(PE_Taux,MATCH(B532,PE_Mat,0)),0))</f>
        <v/>
      </c>
      <c r="K532" s="31" t="str">
        <f aca="false">IF(B532="","",IF(H532="A",0,IFERROR(N(I532)/P_Heures*J532,0)))</f>
        <v/>
      </c>
      <c r="L532" s="25"/>
    </row>
    <row r="533" customFormat="false" ht="15" hidden="false" customHeight="false" outlineLevel="0" collapsed="false">
      <c r="A533" s="69"/>
      <c r="B533" s="68"/>
      <c r="C533" s="76" t="str">
        <f aca="false">IF(B533="","",IFERROR(INDEX(PE_Nom,MATCH(B533,PE_Mat,0)),"Matricule inconnu"))</f>
        <v/>
      </c>
      <c r="D533" s="76" t="str">
        <f aca="false">IF(B533="","",IFERROR(INDEX(PE_Fonction,MATCH(B533,PE_Mat,0)),""))</f>
        <v/>
      </c>
      <c r="E533" s="76" t="str">
        <f aca="false">IF(B533="","",IFERROR(INDEX(PE_Equipe,MATCH(B533,PE_Mat,0)),""))</f>
        <v/>
      </c>
      <c r="F533" s="25"/>
      <c r="G533" s="25"/>
      <c r="H533" s="68"/>
      <c r="I533" s="89"/>
      <c r="J533" s="31" t="str">
        <f aca="false">IF(B533="","",IFERROR(INDEX(PE_Taux,MATCH(B533,PE_Mat,0)),0))</f>
        <v/>
      </c>
      <c r="K533" s="31" t="str">
        <f aca="false">IF(B533="","",IF(H533="A",0,IFERROR(N(I533)/P_Heures*J533,0)))</f>
        <v/>
      </c>
      <c r="L533" s="25"/>
    </row>
    <row r="534" customFormat="false" ht="15" hidden="false" customHeight="false" outlineLevel="0" collapsed="false">
      <c r="A534" s="69"/>
      <c r="B534" s="68"/>
      <c r="C534" s="76" t="str">
        <f aca="false">IF(B534="","",IFERROR(INDEX(PE_Nom,MATCH(B534,PE_Mat,0)),"Matricule inconnu"))</f>
        <v/>
      </c>
      <c r="D534" s="76" t="str">
        <f aca="false">IF(B534="","",IFERROR(INDEX(PE_Fonction,MATCH(B534,PE_Mat,0)),""))</f>
        <v/>
      </c>
      <c r="E534" s="76" t="str">
        <f aca="false">IF(B534="","",IFERROR(INDEX(PE_Equipe,MATCH(B534,PE_Mat,0)),""))</f>
        <v/>
      </c>
      <c r="F534" s="25"/>
      <c r="G534" s="25"/>
      <c r="H534" s="68"/>
      <c r="I534" s="89"/>
      <c r="J534" s="31" t="str">
        <f aca="false">IF(B534="","",IFERROR(INDEX(PE_Taux,MATCH(B534,PE_Mat,0)),0))</f>
        <v/>
      </c>
      <c r="K534" s="31" t="str">
        <f aca="false">IF(B534="","",IF(H534="A",0,IFERROR(N(I534)/P_Heures*J534,0)))</f>
        <v/>
      </c>
      <c r="L534" s="25"/>
    </row>
    <row r="535" customFormat="false" ht="15" hidden="false" customHeight="false" outlineLevel="0" collapsed="false">
      <c r="A535" s="69"/>
      <c r="B535" s="68"/>
      <c r="C535" s="76" t="str">
        <f aca="false">IF(B535="","",IFERROR(INDEX(PE_Nom,MATCH(B535,PE_Mat,0)),"Matricule inconnu"))</f>
        <v/>
      </c>
      <c r="D535" s="76" t="str">
        <f aca="false">IF(B535="","",IFERROR(INDEX(PE_Fonction,MATCH(B535,PE_Mat,0)),""))</f>
        <v/>
      </c>
      <c r="E535" s="76" t="str">
        <f aca="false">IF(B535="","",IFERROR(INDEX(PE_Equipe,MATCH(B535,PE_Mat,0)),""))</f>
        <v/>
      </c>
      <c r="F535" s="25"/>
      <c r="G535" s="25"/>
      <c r="H535" s="68"/>
      <c r="I535" s="89"/>
      <c r="J535" s="31" t="str">
        <f aca="false">IF(B535="","",IFERROR(INDEX(PE_Taux,MATCH(B535,PE_Mat,0)),0))</f>
        <v/>
      </c>
      <c r="K535" s="31" t="str">
        <f aca="false">IF(B535="","",IF(H535="A",0,IFERROR(N(I535)/P_Heures*J535,0)))</f>
        <v/>
      </c>
      <c r="L535" s="25"/>
    </row>
    <row r="536" customFormat="false" ht="15" hidden="false" customHeight="false" outlineLevel="0" collapsed="false">
      <c r="A536" s="69"/>
      <c r="B536" s="68"/>
      <c r="C536" s="76" t="str">
        <f aca="false">IF(B536="","",IFERROR(INDEX(PE_Nom,MATCH(B536,PE_Mat,0)),"Matricule inconnu"))</f>
        <v/>
      </c>
      <c r="D536" s="76" t="str">
        <f aca="false">IF(B536="","",IFERROR(INDEX(PE_Fonction,MATCH(B536,PE_Mat,0)),""))</f>
        <v/>
      </c>
      <c r="E536" s="76" t="str">
        <f aca="false">IF(B536="","",IFERROR(INDEX(PE_Equipe,MATCH(B536,PE_Mat,0)),""))</f>
        <v/>
      </c>
      <c r="F536" s="25"/>
      <c r="G536" s="25"/>
      <c r="H536" s="68"/>
      <c r="I536" s="89"/>
      <c r="J536" s="31" t="str">
        <f aca="false">IF(B536="","",IFERROR(INDEX(PE_Taux,MATCH(B536,PE_Mat,0)),0))</f>
        <v/>
      </c>
      <c r="K536" s="31" t="str">
        <f aca="false">IF(B536="","",IF(H536="A",0,IFERROR(N(I536)/P_Heures*J536,0)))</f>
        <v/>
      </c>
      <c r="L536" s="25"/>
    </row>
    <row r="537" customFormat="false" ht="15" hidden="false" customHeight="false" outlineLevel="0" collapsed="false">
      <c r="A537" s="69"/>
      <c r="B537" s="68"/>
      <c r="C537" s="76" t="str">
        <f aca="false">IF(B537="","",IFERROR(INDEX(PE_Nom,MATCH(B537,PE_Mat,0)),"Matricule inconnu"))</f>
        <v/>
      </c>
      <c r="D537" s="76" t="str">
        <f aca="false">IF(B537="","",IFERROR(INDEX(PE_Fonction,MATCH(B537,PE_Mat,0)),""))</f>
        <v/>
      </c>
      <c r="E537" s="76" t="str">
        <f aca="false">IF(B537="","",IFERROR(INDEX(PE_Equipe,MATCH(B537,PE_Mat,0)),""))</f>
        <v/>
      </c>
      <c r="F537" s="25"/>
      <c r="G537" s="25"/>
      <c r="H537" s="68"/>
      <c r="I537" s="89"/>
      <c r="J537" s="31" t="str">
        <f aca="false">IF(B537="","",IFERROR(INDEX(PE_Taux,MATCH(B537,PE_Mat,0)),0))</f>
        <v/>
      </c>
      <c r="K537" s="31" t="str">
        <f aca="false">IF(B537="","",IF(H537="A",0,IFERROR(N(I537)/P_Heures*J537,0)))</f>
        <v/>
      </c>
      <c r="L537" s="25"/>
    </row>
    <row r="538" customFormat="false" ht="15" hidden="false" customHeight="false" outlineLevel="0" collapsed="false">
      <c r="A538" s="69"/>
      <c r="B538" s="68"/>
      <c r="C538" s="76" t="str">
        <f aca="false">IF(B538="","",IFERROR(INDEX(PE_Nom,MATCH(B538,PE_Mat,0)),"Matricule inconnu"))</f>
        <v/>
      </c>
      <c r="D538" s="76" t="str">
        <f aca="false">IF(B538="","",IFERROR(INDEX(PE_Fonction,MATCH(B538,PE_Mat,0)),""))</f>
        <v/>
      </c>
      <c r="E538" s="76" t="str">
        <f aca="false">IF(B538="","",IFERROR(INDEX(PE_Equipe,MATCH(B538,PE_Mat,0)),""))</f>
        <v/>
      </c>
      <c r="F538" s="25"/>
      <c r="G538" s="25"/>
      <c r="H538" s="68"/>
      <c r="I538" s="89"/>
      <c r="J538" s="31" t="str">
        <f aca="false">IF(B538="","",IFERROR(INDEX(PE_Taux,MATCH(B538,PE_Mat,0)),0))</f>
        <v/>
      </c>
      <c r="K538" s="31" t="str">
        <f aca="false">IF(B538="","",IF(H538="A",0,IFERROR(N(I538)/P_Heures*J538,0)))</f>
        <v/>
      </c>
      <c r="L538" s="25"/>
    </row>
    <row r="539" customFormat="false" ht="15" hidden="false" customHeight="false" outlineLevel="0" collapsed="false">
      <c r="A539" s="69"/>
      <c r="B539" s="68"/>
      <c r="C539" s="76" t="str">
        <f aca="false">IF(B539="","",IFERROR(INDEX(PE_Nom,MATCH(B539,PE_Mat,0)),"Matricule inconnu"))</f>
        <v/>
      </c>
      <c r="D539" s="76" t="str">
        <f aca="false">IF(B539="","",IFERROR(INDEX(PE_Fonction,MATCH(B539,PE_Mat,0)),""))</f>
        <v/>
      </c>
      <c r="E539" s="76" t="str">
        <f aca="false">IF(B539="","",IFERROR(INDEX(PE_Equipe,MATCH(B539,PE_Mat,0)),""))</f>
        <v/>
      </c>
      <c r="F539" s="25"/>
      <c r="G539" s="25"/>
      <c r="H539" s="68"/>
      <c r="I539" s="89"/>
      <c r="J539" s="31" t="str">
        <f aca="false">IF(B539="","",IFERROR(INDEX(PE_Taux,MATCH(B539,PE_Mat,0)),0))</f>
        <v/>
      </c>
      <c r="K539" s="31" t="str">
        <f aca="false">IF(B539="","",IF(H539="A",0,IFERROR(N(I539)/P_Heures*J539,0)))</f>
        <v/>
      </c>
      <c r="L539" s="25"/>
    </row>
    <row r="540" customFormat="false" ht="15" hidden="false" customHeight="false" outlineLevel="0" collapsed="false">
      <c r="A540" s="69"/>
      <c r="B540" s="68"/>
      <c r="C540" s="76" t="str">
        <f aca="false">IF(B540="","",IFERROR(INDEX(PE_Nom,MATCH(B540,PE_Mat,0)),"Matricule inconnu"))</f>
        <v/>
      </c>
      <c r="D540" s="76" t="str">
        <f aca="false">IF(B540="","",IFERROR(INDEX(PE_Fonction,MATCH(B540,PE_Mat,0)),""))</f>
        <v/>
      </c>
      <c r="E540" s="76" t="str">
        <f aca="false">IF(B540="","",IFERROR(INDEX(PE_Equipe,MATCH(B540,PE_Mat,0)),""))</f>
        <v/>
      </c>
      <c r="F540" s="25"/>
      <c r="G540" s="25"/>
      <c r="H540" s="68"/>
      <c r="I540" s="89"/>
      <c r="J540" s="31" t="str">
        <f aca="false">IF(B540="","",IFERROR(INDEX(PE_Taux,MATCH(B540,PE_Mat,0)),0))</f>
        <v/>
      </c>
      <c r="K540" s="31" t="str">
        <f aca="false">IF(B540="","",IF(H540="A",0,IFERROR(N(I540)/P_Heures*J540,0)))</f>
        <v/>
      </c>
      <c r="L540" s="25"/>
    </row>
    <row r="541" customFormat="false" ht="15" hidden="false" customHeight="false" outlineLevel="0" collapsed="false">
      <c r="A541" s="69"/>
      <c r="B541" s="68"/>
      <c r="C541" s="76" t="str">
        <f aca="false">IF(B541="","",IFERROR(INDEX(PE_Nom,MATCH(B541,PE_Mat,0)),"Matricule inconnu"))</f>
        <v/>
      </c>
      <c r="D541" s="76" t="str">
        <f aca="false">IF(B541="","",IFERROR(INDEX(PE_Fonction,MATCH(B541,PE_Mat,0)),""))</f>
        <v/>
      </c>
      <c r="E541" s="76" t="str">
        <f aca="false">IF(B541="","",IFERROR(INDEX(PE_Equipe,MATCH(B541,PE_Mat,0)),""))</f>
        <v/>
      </c>
      <c r="F541" s="25"/>
      <c r="G541" s="25"/>
      <c r="H541" s="68"/>
      <c r="I541" s="89"/>
      <c r="J541" s="31" t="str">
        <f aca="false">IF(B541="","",IFERROR(INDEX(PE_Taux,MATCH(B541,PE_Mat,0)),0))</f>
        <v/>
      </c>
      <c r="K541" s="31" t="str">
        <f aca="false">IF(B541="","",IF(H541="A",0,IFERROR(N(I541)/P_Heures*J541,0)))</f>
        <v/>
      </c>
      <c r="L541" s="25"/>
    </row>
    <row r="542" customFormat="false" ht="15" hidden="false" customHeight="false" outlineLevel="0" collapsed="false">
      <c r="A542" s="69"/>
      <c r="B542" s="68"/>
      <c r="C542" s="76" t="str">
        <f aca="false">IF(B542="","",IFERROR(INDEX(PE_Nom,MATCH(B542,PE_Mat,0)),"Matricule inconnu"))</f>
        <v/>
      </c>
      <c r="D542" s="76" t="str">
        <f aca="false">IF(B542="","",IFERROR(INDEX(PE_Fonction,MATCH(B542,PE_Mat,0)),""))</f>
        <v/>
      </c>
      <c r="E542" s="76" t="str">
        <f aca="false">IF(B542="","",IFERROR(INDEX(PE_Equipe,MATCH(B542,PE_Mat,0)),""))</f>
        <v/>
      </c>
      <c r="F542" s="25"/>
      <c r="G542" s="25"/>
      <c r="H542" s="68"/>
      <c r="I542" s="89"/>
      <c r="J542" s="31" t="str">
        <f aca="false">IF(B542="","",IFERROR(INDEX(PE_Taux,MATCH(B542,PE_Mat,0)),0))</f>
        <v/>
      </c>
      <c r="K542" s="31" t="str">
        <f aca="false">IF(B542="","",IF(H542="A",0,IFERROR(N(I542)/P_Heures*J542,0)))</f>
        <v/>
      </c>
      <c r="L542" s="25"/>
    </row>
    <row r="543" customFormat="false" ht="15" hidden="false" customHeight="false" outlineLevel="0" collapsed="false">
      <c r="A543" s="69"/>
      <c r="B543" s="68"/>
      <c r="C543" s="76" t="str">
        <f aca="false">IF(B543="","",IFERROR(INDEX(PE_Nom,MATCH(B543,PE_Mat,0)),"Matricule inconnu"))</f>
        <v/>
      </c>
      <c r="D543" s="76" t="str">
        <f aca="false">IF(B543="","",IFERROR(INDEX(PE_Fonction,MATCH(B543,PE_Mat,0)),""))</f>
        <v/>
      </c>
      <c r="E543" s="76" t="str">
        <f aca="false">IF(B543="","",IFERROR(INDEX(PE_Equipe,MATCH(B543,PE_Mat,0)),""))</f>
        <v/>
      </c>
      <c r="F543" s="25"/>
      <c r="G543" s="25"/>
      <c r="H543" s="68"/>
      <c r="I543" s="89"/>
      <c r="J543" s="31" t="str">
        <f aca="false">IF(B543="","",IFERROR(INDEX(PE_Taux,MATCH(B543,PE_Mat,0)),0))</f>
        <v/>
      </c>
      <c r="K543" s="31" t="str">
        <f aca="false">IF(B543="","",IF(H543="A",0,IFERROR(N(I543)/P_Heures*J543,0)))</f>
        <v/>
      </c>
      <c r="L543" s="25"/>
    </row>
    <row r="544" customFormat="false" ht="15" hidden="false" customHeight="false" outlineLevel="0" collapsed="false">
      <c r="A544" s="69"/>
      <c r="B544" s="68"/>
      <c r="C544" s="76" t="str">
        <f aca="false">IF(B544="","",IFERROR(INDEX(PE_Nom,MATCH(B544,PE_Mat,0)),"Matricule inconnu"))</f>
        <v/>
      </c>
      <c r="D544" s="76" t="str">
        <f aca="false">IF(B544="","",IFERROR(INDEX(PE_Fonction,MATCH(B544,PE_Mat,0)),""))</f>
        <v/>
      </c>
      <c r="E544" s="76" t="str">
        <f aca="false">IF(B544="","",IFERROR(INDEX(PE_Equipe,MATCH(B544,PE_Mat,0)),""))</f>
        <v/>
      </c>
      <c r="F544" s="25"/>
      <c r="G544" s="25"/>
      <c r="H544" s="68"/>
      <c r="I544" s="89"/>
      <c r="J544" s="31" t="str">
        <f aca="false">IF(B544="","",IFERROR(INDEX(PE_Taux,MATCH(B544,PE_Mat,0)),0))</f>
        <v/>
      </c>
      <c r="K544" s="31" t="str">
        <f aca="false">IF(B544="","",IF(H544="A",0,IFERROR(N(I544)/P_Heures*J544,0)))</f>
        <v/>
      </c>
      <c r="L544" s="25"/>
    </row>
    <row r="545" customFormat="false" ht="15" hidden="false" customHeight="false" outlineLevel="0" collapsed="false">
      <c r="A545" s="69"/>
      <c r="B545" s="68"/>
      <c r="C545" s="76" t="str">
        <f aca="false">IF(B545="","",IFERROR(INDEX(PE_Nom,MATCH(B545,PE_Mat,0)),"Matricule inconnu"))</f>
        <v/>
      </c>
      <c r="D545" s="76" t="str">
        <f aca="false">IF(B545="","",IFERROR(INDEX(PE_Fonction,MATCH(B545,PE_Mat,0)),""))</f>
        <v/>
      </c>
      <c r="E545" s="76" t="str">
        <f aca="false">IF(B545="","",IFERROR(INDEX(PE_Equipe,MATCH(B545,PE_Mat,0)),""))</f>
        <v/>
      </c>
      <c r="F545" s="25"/>
      <c r="G545" s="25"/>
      <c r="H545" s="68"/>
      <c r="I545" s="89"/>
      <c r="J545" s="31" t="str">
        <f aca="false">IF(B545="","",IFERROR(INDEX(PE_Taux,MATCH(B545,PE_Mat,0)),0))</f>
        <v/>
      </c>
      <c r="K545" s="31" t="str">
        <f aca="false">IF(B545="","",IF(H545="A",0,IFERROR(N(I545)/P_Heures*J545,0)))</f>
        <v/>
      </c>
      <c r="L545" s="25"/>
    </row>
    <row r="546" customFormat="false" ht="15" hidden="false" customHeight="false" outlineLevel="0" collapsed="false">
      <c r="A546" s="69"/>
      <c r="B546" s="68"/>
      <c r="C546" s="76" t="str">
        <f aca="false">IF(B546="","",IFERROR(INDEX(PE_Nom,MATCH(B546,PE_Mat,0)),"Matricule inconnu"))</f>
        <v/>
      </c>
      <c r="D546" s="76" t="str">
        <f aca="false">IF(B546="","",IFERROR(INDEX(PE_Fonction,MATCH(B546,PE_Mat,0)),""))</f>
        <v/>
      </c>
      <c r="E546" s="76" t="str">
        <f aca="false">IF(B546="","",IFERROR(INDEX(PE_Equipe,MATCH(B546,PE_Mat,0)),""))</f>
        <v/>
      </c>
      <c r="F546" s="25"/>
      <c r="G546" s="25"/>
      <c r="H546" s="68"/>
      <c r="I546" s="89"/>
      <c r="J546" s="31" t="str">
        <f aca="false">IF(B546="","",IFERROR(INDEX(PE_Taux,MATCH(B546,PE_Mat,0)),0))</f>
        <v/>
      </c>
      <c r="K546" s="31" t="str">
        <f aca="false">IF(B546="","",IF(H546="A",0,IFERROR(N(I546)/P_Heures*J546,0)))</f>
        <v/>
      </c>
      <c r="L546" s="25"/>
    </row>
    <row r="547" customFormat="false" ht="15" hidden="false" customHeight="false" outlineLevel="0" collapsed="false">
      <c r="A547" s="69"/>
      <c r="B547" s="68"/>
      <c r="C547" s="76" t="str">
        <f aca="false">IF(B547="","",IFERROR(INDEX(PE_Nom,MATCH(B547,PE_Mat,0)),"Matricule inconnu"))</f>
        <v/>
      </c>
      <c r="D547" s="76" t="str">
        <f aca="false">IF(B547="","",IFERROR(INDEX(PE_Fonction,MATCH(B547,PE_Mat,0)),""))</f>
        <v/>
      </c>
      <c r="E547" s="76" t="str">
        <f aca="false">IF(B547="","",IFERROR(INDEX(PE_Equipe,MATCH(B547,PE_Mat,0)),""))</f>
        <v/>
      </c>
      <c r="F547" s="25"/>
      <c r="G547" s="25"/>
      <c r="H547" s="68"/>
      <c r="I547" s="89"/>
      <c r="J547" s="31" t="str">
        <f aca="false">IF(B547="","",IFERROR(INDEX(PE_Taux,MATCH(B547,PE_Mat,0)),0))</f>
        <v/>
      </c>
      <c r="K547" s="31" t="str">
        <f aca="false">IF(B547="","",IF(H547="A",0,IFERROR(N(I547)/P_Heures*J547,0)))</f>
        <v/>
      </c>
      <c r="L547" s="25"/>
    </row>
    <row r="548" customFormat="false" ht="15" hidden="false" customHeight="false" outlineLevel="0" collapsed="false">
      <c r="A548" s="69"/>
      <c r="B548" s="68"/>
      <c r="C548" s="76" t="str">
        <f aca="false">IF(B548="","",IFERROR(INDEX(PE_Nom,MATCH(B548,PE_Mat,0)),"Matricule inconnu"))</f>
        <v/>
      </c>
      <c r="D548" s="76" t="str">
        <f aca="false">IF(B548="","",IFERROR(INDEX(PE_Fonction,MATCH(B548,PE_Mat,0)),""))</f>
        <v/>
      </c>
      <c r="E548" s="76" t="str">
        <f aca="false">IF(B548="","",IFERROR(INDEX(PE_Equipe,MATCH(B548,PE_Mat,0)),""))</f>
        <v/>
      </c>
      <c r="F548" s="25"/>
      <c r="G548" s="25"/>
      <c r="H548" s="68"/>
      <c r="I548" s="89"/>
      <c r="J548" s="31" t="str">
        <f aca="false">IF(B548="","",IFERROR(INDEX(PE_Taux,MATCH(B548,PE_Mat,0)),0))</f>
        <v/>
      </c>
      <c r="K548" s="31" t="str">
        <f aca="false">IF(B548="","",IF(H548="A",0,IFERROR(N(I548)/P_Heures*J548,0)))</f>
        <v/>
      </c>
      <c r="L548" s="25"/>
    </row>
    <row r="549" customFormat="false" ht="15" hidden="false" customHeight="false" outlineLevel="0" collapsed="false">
      <c r="A549" s="69"/>
      <c r="B549" s="68"/>
      <c r="C549" s="76" t="str">
        <f aca="false">IF(B549="","",IFERROR(INDEX(PE_Nom,MATCH(B549,PE_Mat,0)),"Matricule inconnu"))</f>
        <v/>
      </c>
      <c r="D549" s="76" t="str">
        <f aca="false">IF(B549="","",IFERROR(INDEX(PE_Fonction,MATCH(B549,PE_Mat,0)),""))</f>
        <v/>
      </c>
      <c r="E549" s="76" t="str">
        <f aca="false">IF(B549="","",IFERROR(INDEX(PE_Equipe,MATCH(B549,PE_Mat,0)),""))</f>
        <v/>
      </c>
      <c r="F549" s="25"/>
      <c r="G549" s="25"/>
      <c r="H549" s="68"/>
      <c r="I549" s="89"/>
      <c r="J549" s="31" t="str">
        <f aca="false">IF(B549="","",IFERROR(INDEX(PE_Taux,MATCH(B549,PE_Mat,0)),0))</f>
        <v/>
      </c>
      <c r="K549" s="31" t="str">
        <f aca="false">IF(B549="","",IF(H549="A",0,IFERROR(N(I549)/P_Heures*J549,0)))</f>
        <v/>
      </c>
      <c r="L549" s="25"/>
    </row>
    <row r="550" customFormat="false" ht="15" hidden="false" customHeight="false" outlineLevel="0" collapsed="false">
      <c r="A550" s="69"/>
      <c r="B550" s="68"/>
      <c r="C550" s="76" t="str">
        <f aca="false">IF(B550="","",IFERROR(INDEX(PE_Nom,MATCH(B550,PE_Mat,0)),"Matricule inconnu"))</f>
        <v/>
      </c>
      <c r="D550" s="76" t="str">
        <f aca="false">IF(B550="","",IFERROR(INDEX(PE_Fonction,MATCH(B550,PE_Mat,0)),""))</f>
        <v/>
      </c>
      <c r="E550" s="76" t="str">
        <f aca="false">IF(B550="","",IFERROR(INDEX(PE_Equipe,MATCH(B550,PE_Mat,0)),""))</f>
        <v/>
      </c>
      <c r="F550" s="25"/>
      <c r="G550" s="25"/>
      <c r="H550" s="68"/>
      <c r="I550" s="89"/>
      <c r="J550" s="31" t="str">
        <f aca="false">IF(B550="","",IFERROR(INDEX(PE_Taux,MATCH(B550,PE_Mat,0)),0))</f>
        <v/>
      </c>
      <c r="K550" s="31" t="str">
        <f aca="false">IF(B550="","",IF(H550="A",0,IFERROR(N(I550)/P_Heures*J550,0)))</f>
        <v/>
      </c>
      <c r="L550" s="25"/>
    </row>
    <row r="551" customFormat="false" ht="15" hidden="false" customHeight="false" outlineLevel="0" collapsed="false">
      <c r="A551" s="69"/>
      <c r="B551" s="68"/>
      <c r="C551" s="76" t="str">
        <f aca="false">IF(B551="","",IFERROR(INDEX(PE_Nom,MATCH(B551,PE_Mat,0)),"Matricule inconnu"))</f>
        <v/>
      </c>
      <c r="D551" s="76" t="str">
        <f aca="false">IF(B551="","",IFERROR(INDEX(PE_Fonction,MATCH(B551,PE_Mat,0)),""))</f>
        <v/>
      </c>
      <c r="E551" s="76" t="str">
        <f aca="false">IF(B551="","",IFERROR(INDEX(PE_Equipe,MATCH(B551,PE_Mat,0)),""))</f>
        <v/>
      </c>
      <c r="F551" s="25"/>
      <c r="G551" s="25"/>
      <c r="H551" s="68"/>
      <c r="I551" s="89"/>
      <c r="J551" s="31" t="str">
        <f aca="false">IF(B551="","",IFERROR(INDEX(PE_Taux,MATCH(B551,PE_Mat,0)),0))</f>
        <v/>
      </c>
      <c r="K551" s="31" t="str">
        <f aca="false">IF(B551="","",IF(H551="A",0,IFERROR(N(I551)/P_Heures*J551,0)))</f>
        <v/>
      </c>
      <c r="L551" s="25"/>
    </row>
    <row r="552" customFormat="false" ht="15" hidden="false" customHeight="false" outlineLevel="0" collapsed="false">
      <c r="A552" s="69"/>
      <c r="B552" s="68"/>
      <c r="C552" s="76" t="str">
        <f aca="false">IF(B552="","",IFERROR(INDEX(PE_Nom,MATCH(B552,PE_Mat,0)),"Matricule inconnu"))</f>
        <v/>
      </c>
      <c r="D552" s="76" t="str">
        <f aca="false">IF(B552="","",IFERROR(INDEX(PE_Fonction,MATCH(B552,PE_Mat,0)),""))</f>
        <v/>
      </c>
      <c r="E552" s="76" t="str">
        <f aca="false">IF(B552="","",IFERROR(INDEX(PE_Equipe,MATCH(B552,PE_Mat,0)),""))</f>
        <v/>
      </c>
      <c r="F552" s="25"/>
      <c r="G552" s="25"/>
      <c r="H552" s="68"/>
      <c r="I552" s="89"/>
      <c r="J552" s="31" t="str">
        <f aca="false">IF(B552="","",IFERROR(INDEX(PE_Taux,MATCH(B552,PE_Mat,0)),0))</f>
        <v/>
      </c>
      <c r="K552" s="31" t="str">
        <f aca="false">IF(B552="","",IF(H552="A",0,IFERROR(N(I552)/P_Heures*J552,0)))</f>
        <v/>
      </c>
      <c r="L552" s="25"/>
    </row>
    <row r="553" customFormat="false" ht="15" hidden="false" customHeight="false" outlineLevel="0" collapsed="false">
      <c r="A553" s="69"/>
      <c r="B553" s="68"/>
      <c r="C553" s="76" t="str">
        <f aca="false">IF(B553="","",IFERROR(INDEX(PE_Nom,MATCH(B553,PE_Mat,0)),"Matricule inconnu"))</f>
        <v/>
      </c>
      <c r="D553" s="76" t="str">
        <f aca="false">IF(B553="","",IFERROR(INDEX(PE_Fonction,MATCH(B553,PE_Mat,0)),""))</f>
        <v/>
      </c>
      <c r="E553" s="76" t="str">
        <f aca="false">IF(B553="","",IFERROR(INDEX(PE_Equipe,MATCH(B553,PE_Mat,0)),""))</f>
        <v/>
      </c>
      <c r="F553" s="25"/>
      <c r="G553" s="25"/>
      <c r="H553" s="68"/>
      <c r="I553" s="89"/>
      <c r="J553" s="31" t="str">
        <f aca="false">IF(B553="","",IFERROR(INDEX(PE_Taux,MATCH(B553,PE_Mat,0)),0))</f>
        <v/>
      </c>
      <c r="K553" s="31" t="str">
        <f aca="false">IF(B553="","",IF(H553="A",0,IFERROR(N(I553)/P_Heures*J553,0)))</f>
        <v/>
      </c>
      <c r="L553" s="25"/>
    </row>
    <row r="554" customFormat="false" ht="15" hidden="false" customHeight="false" outlineLevel="0" collapsed="false">
      <c r="A554" s="69"/>
      <c r="B554" s="68"/>
      <c r="C554" s="76" t="str">
        <f aca="false">IF(B554="","",IFERROR(INDEX(PE_Nom,MATCH(B554,PE_Mat,0)),"Matricule inconnu"))</f>
        <v/>
      </c>
      <c r="D554" s="76" t="str">
        <f aca="false">IF(B554="","",IFERROR(INDEX(PE_Fonction,MATCH(B554,PE_Mat,0)),""))</f>
        <v/>
      </c>
      <c r="E554" s="76" t="str">
        <f aca="false">IF(B554="","",IFERROR(INDEX(PE_Equipe,MATCH(B554,PE_Mat,0)),""))</f>
        <v/>
      </c>
      <c r="F554" s="25"/>
      <c r="G554" s="25"/>
      <c r="H554" s="68"/>
      <c r="I554" s="89"/>
      <c r="J554" s="31" t="str">
        <f aca="false">IF(B554="","",IFERROR(INDEX(PE_Taux,MATCH(B554,PE_Mat,0)),0))</f>
        <v/>
      </c>
      <c r="K554" s="31" t="str">
        <f aca="false">IF(B554="","",IF(H554="A",0,IFERROR(N(I554)/P_Heures*J554,0)))</f>
        <v/>
      </c>
      <c r="L554" s="25"/>
    </row>
    <row r="555" customFormat="false" ht="15" hidden="false" customHeight="false" outlineLevel="0" collapsed="false">
      <c r="A555" s="69"/>
      <c r="B555" s="68"/>
      <c r="C555" s="76" t="str">
        <f aca="false">IF(B555="","",IFERROR(INDEX(PE_Nom,MATCH(B555,PE_Mat,0)),"Matricule inconnu"))</f>
        <v/>
      </c>
      <c r="D555" s="76" t="str">
        <f aca="false">IF(B555="","",IFERROR(INDEX(PE_Fonction,MATCH(B555,PE_Mat,0)),""))</f>
        <v/>
      </c>
      <c r="E555" s="76" t="str">
        <f aca="false">IF(B555="","",IFERROR(INDEX(PE_Equipe,MATCH(B555,PE_Mat,0)),""))</f>
        <v/>
      </c>
      <c r="F555" s="25"/>
      <c r="G555" s="25"/>
      <c r="H555" s="68"/>
      <c r="I555" s="89"/>
      <c r="J555" s="31" t="str">
        <f aca="false">IF(B555="","",IFERROR(INDEX(PE_Taux,MATCH(B555,PE_Mat,0)),0))</f>
        <v/>
      </c>
      <c r="K555" s="31" t="str">
        <f aca="false">IF(B555="","",IF(H555="A",0,IFERROR(N(I555)/P_Heures*J555,0)))</f>
        <v/>
      </c>
      <c r="L555" s="25"/>
    </row>
    <row r="556" customFormat="false" ht="15" hidden="false" customHeight="false" outlineLevel="0" collapsed="false">
      <c r="A556" s="69"/>
      <c r="B556" s="68"/>
      <c r="C556" s="76" t="str">
        <f aca="false">IF(B556="","",IFERROR(INDEX(PE_Nom,MATCH(B556,PE_Mat,0)),"Matricule inconnu"))</f>
        <v/>
      </c>
      <c r="D556" s="76" t="str">
        <f aca="false">IF(B556="","",IFERROR(INDEX(PE_Fonction,MATCH(B556,PE_Mat,0)),""))</f>
        <v/>
      </c>
      <c r="E556" s="76" t="str">
        <f aca="false">IF(B556="","",IFERROR(INDEX(PE_Equipe,MATCH(B556,PE_Mat,0)),""))</f>
        <v/>
      </c>
      <c r="F556" s="25"/>
      <c r="G556" s="25"/>
      <c r="H556" s="68"/>
      <c r="I556" s="89"/>
      <c r="J556" s="31" t="str">
        <f aca="false">IF(B556="","",IFERROR(INDEX(PE_Taux,MATCH(B556,PE_Mat,0)),0))</f>
        <v/>
      </c>
      <c r="K556" s="31" t="str">
        <f aca="false">IF(B556="","",IF(H556="A",0,IFERROR(N(I556)/P_Heures*J556,0)))</f>
        <v/>
      </c>
      <c r="L556" s="25"/>
    </row>
    <row r="557" customFormat="false" ht="15" hidden="false" customHeight="false" outlineLevel="0" collapsed="false">
      <c r="A557" s="69"/>
      <c r="B557" s="68"/>
      <c r="C557" s="76" t="str">
        <f aca="false">IF(B557="","",IFERROR(INDEX(PE_Nom,MATCH(B557,PE_Mat,0)),"Matricule inconnu"))</f>
        <v/>
      </c>
      <c r="D557" s="76" t="str">
        <f aca="false">IF(B557="","",IFERROR(INDEX(PE_Fonction,MATCH(B557,PE_Mat,0)),""))</f>
        <v/>
      </c>
      <c r="E557" s="76" t="str">
        <f aca="false">IF(B557="","",IFERROR(INDEX(PE_Equipe,MATCH(B557,PE_Mat,0)),""))</f>
        <v/>
      </c>
      <c r="F557" s="25"/>
      <c r="G557" s="25"/>
      <c r="H557" s="68"/>
      <c r="I557" s="89"/>
      <c r="J557" s="31" t="str">
        <f aca="false">IF(B557="","",IFERROR(INDEX(PE_Taux,MATCH(B557,PE_Mat,0)),0))</f>
        <v/>
      </c>
      <c r="K557" s="31" t="str">
        <f aca="false">IF(B557="","",IF(H557="A",0,IFERROR(N(I557)/P_Heures*J557,0)))</f>
        <v/>
      </c>
      <c r="L557" s="25"/>
    </row>
    <row r="558" customFormat="false" ht="15" hidden="false" customHeight="false" outlineLevel="0" collapsed="false">
      <c r="A558" s="69"/>
      <c r="B558" s="68"/>
      <c r="C558" s="76" t="str">
        <f aca="false">IF(B558="","",IFERROR(INDEX(PE_Nom,MATCH(B558,PE_Mat,0)),"Matricule inconnu"))</f>
        <v/>
      </c>
      <c r="D558" s="76" t="str">
        <f aca="false">IF(B558="","",IFERROR(INDEX(PE_Fonction,MATCH(B558,PE_Mat,0)),""))</f>
        <v/>
      </c>
      <c r="E558" s="76" t="str">
        <f aca="false">IF(B558="","",IFERROR(INDEX(PE_Equipe,MATCH(B558,PE_Mat,0)),""))</f>
        <v/>
      </c>
      <c r="F558" s="25"/>
      <c r="G558" s="25"/>
      <c r="H558" s="68"/>
      <c r="I558" s="89"/>
      <c r="J558" s="31" t="str">
        <f aca="false">IF(B558="","",IFERROR(INDEX(PE_Taux,MATCH(B558,PE_Mat,0)),0))</f>
        <v/>
      </c>
      <c r="K558" s="31" t="str">
        <f aca="false">IF(B558="","",IF(H558="A",0,IFERROR(N(I558)/P_Heures*J558,0)))</f>
        <v/>
      </c>
      <c r="L558" s="25"/>
    </row>
    <row r="559" customFormat="false" ht="15" hidden="false" customHeight="false" outlineLevel="0" collapsed="false">
      <c r="A559" s="69"/>
      <c r="B559" s="68"/>
      <c r="C559" s="76" t="str">
        <f aca="false">IF(B559="","",IFERROR(INDEX(PE_Nom,MATCH(B559,PE_Mat,0)),"Matricule inconnu"))</f>
        <v/>
      </c>
      <c r="D559" s="76" t="str">
        <f aca="false">IF(B559="","",IFERROR(INDEX(PE_Fonction,MATCH(B559,PE_Mat,0)),""))</f>
        <v/>
      </c>
      <c r="E559" s="76" t="str">
        <f aca="false">IF(B559="","",IFERROR(INDEX(PE_Equipe,MATCH(B559,PE_Mat,0)),""))</f>
        <v/>
      </c>
      <c r="F559" s="25"/>
      <c r="G559" s="25"/>
      <c r="H559" s="68"/>
      <c r="I559" s="89"/>
      <c r="J559" s="31" t="str">
        <f aca="false">IF(B559="","",IFERROR(INDEX(PE_Taux,MATCH(B559,PE_Mat,0)),0))</f>
        <v/>
      </c>
      <c r="K559" s="31" t="str">
        <f aca="false">IF(B559="","",IF(H559="A",0,IFERROR(N(I559)/P_Heures*J559,0)))</f>
        <v/>
      </c>
      <c r="L559" s="25"/>
    </row>
    <row r="560" customFormat="false" ht="15" hidden="false" customHeight="false" outlineLevel="0" collapsed="false">
      <c r="A560" s="69"/>
      <c r="B560" s="68"/>
      <c r="C560" s="76" t="str">
        <f aca="false">IF(B560="","",IFERROR(INDEX(PE_Nom,MATCH(B560,PE_Mat,0)),"Matricule inconnu"))</f>
        <v/>
      </c>
      <c r="D560" s="76" t="str">
        <f aca="false">IF(B560="","",IFERROR(INDEX(PE_Fonction,MATCH(B560,PE_Mat,0)),""))</f>
        <v/>
      </c>
      <c r="E560" s="76" t="str">
        <f aca="false">IF(B560="","",IFERROR(INDEX(PE_Equipe,MATCH(B560,PE_Mat,0)),""))</f>
        <v/>
      </c>
      <c r="F560" s="25"/>
      <c r="G560" s="25"/>
      <c r="H560" s="68"/>
      <c r="I560" s="89"/>
      <c r="J560" s="31" t="str">
        <f aca="false">IF(B560="","",IFERROR(INDEX(PE_Taux,MATCH(B560,PE_Mat,0)),0))</f>
        <v/>
      </c>
      <c r="K560" s="31" t="str">
        <f aca="false">IF(B560="","",IF(H560="A",0,IFERROR(N(I560)/P_Heures*J560,0)))</f>
        <v/>
      </c>
      <c r="L560" s="25"/>
    </row>
    <row r="561" customFormat="false" ht="15" hidden="false" customHeight="false" outlineLevel="0" collapsed="false">
      <c r="A561" s="69"/>
      <c r="B561" s="68"/>
      <c r="C561" s="76" t="str">
        <f aca="false">IF(B561="","",IFERROR(INDEX(PE_Nom,MATCH(B561,PE_Mat,0)),"Matricule inconnu"))</f>
        <v/>
      </c>
      <c r="D561" s="76" t="str">
        <f aca="false">IF(B561="","",IFERROR(INDEX(PE_Fonction,MATCH(B561,PE_Mat,0)),""))</f>
        <v/>
      </c>
      <c r="E561" s="76" t="str">
        <f aca="false">IF(B561="","",IFERROR(INDEX(PE_Equipe,MATCH(B561,PE_Mat,0)),""))</f>
        <v/>
      </c>
      <c r="F561" s="25"/>
      <c r="G561" s="25"/>
      <c r="H561" s="68"/>
      <c r="I561" s="89"/>
      <c r="J561" s="31" t="str">
        <f aca="false">IF(B561="","",IFERROR(INDEX(PE_Taux,MATCH(B561,PE_Mat,0)),0))</f>
        <v/>
      </c>
      <c r="K561" s="31" t="str">
        <f aca="false">IF(B561="","",IF(H561="A",0,IFERROR(N(I561)/P_Heures*J561,0)))</f>
        <v/>
      </c>
      <c r="L561" s="25"/>
    </row>
    <row r="562" customFormat="false" ht="15" hidden="false" customHeight="false" outlineLevel="0" collapsed="false">
      <c r="A562" s="69"/>
      <c r="B562" s="68"/>
      <c r="C562" s="76" t="str">
        <f aca="false">IF(B562="","",IFERROR(INDEX(PE_Nom,MATCH(B562,PE_Mat,0)),"Matricule inconnu"))</f>
        <v/>
      </c>
      <c r="D562" s="76" t="str">
        <f aca="false">IF(B562="","",IFERROR(INDEX(PE_Fonction,MATCH(B562,PE_Mat,0)),""))</f>
        <v/>
      </c>
      <c r="E562" s="76" t="str">
        <f aca="false">IF(B562="","",IFERROR(INDEX(PE_Equipe,MATCH(B562,PE_Mat,0)),""))</f>
        <v/>
      </c>
      <c r="F562" s="25"/>
      <c r="G562" s="25"/>
      <c r="H562" s="68"/>
      <c r="I562" s="89"/>
      <c r="J562" s="31" t="str">
        <f aca="false">IF(B562="","",IFERROR(INDEX(PE_Taux,MATCH(B562,PE_Mat,0)),0))</f>
        <v/>
      </c>
      <c r="K562" s="31" t="str">
        <f aca="false">IF(B562="","",IF(H562="A",0,IFERROR(N(I562)/P_Heures*J562,0)))</f>
        <v/>
      </c>
      <c r="L562" s="25"/>
    </row>
    <row r="563" customFormat="false" ht="15" hidden="false" customHeight="false" outlineLevel="0" collapsed="false">
      <c r="A563" s="69"/>
      <c r="B563" s="68"/>
      <c r="C563" s="76" t="str">
        <f aca="false">IF(B563="","",IFERROR(INDEX(PE_Nom,MATCH(B563,PE_Mat,0)),"Matricule inconnu"))</f>
        <v/>
      </c>
      <c r="D563" s="76" t="str">
        <f aca="false">IF(B563="","",IFERROR(INDEX(PE_Fonction,MATCH(B563,PE_Mat,0)),""))</f>
        <v/>
      </c>
      <c r="E563" s="76" t="str">
        <f aca="false">IF(B563="","",IFERROR(INDEX(PE_Equipe,MATCH(B563,PE_Mat,0)),""))</f>
        <v/>
      </c>
      <c r="F563" s="25"/>
      <c r="G563" s="25"/>
      <c r="H563" s="68"/>
      <c r="I563" s="89"/>
      <c r="J563" s="31" t="str">
        <f aca="false">IF(B563="","",IFERROR(INDEX(PE_Taux,MATCH(B563,PE_Mat,0)),0))</f>
        <v/>
      </c>
      <c r="K563" s="31" t="str">
        <f aca="false">IF(B563="","",IF(H563="A",0,IFERROR(N(I563)/P_Heures*J563,0)))</f>
        <v/>
      </c>
      <c r="L563" s="25"/>
    </row>
    <row r="564" customFormat="false" ht="15" hidden="false" customHeight="false" outlineLevel="0" collapsed="false">
      <c r="A564" s="69"/>
      <c r="B564" s="68"/>
      <c r="C564" s="76" t="str">
        <f aca="false">IF(B564="","",IFERROR(INDEX(PE_Nom,MATCH(B564,PE_Mat,0)),"Matricule inconnu"))</f>
        <v/>
      </c>
      <c r="D564" s="76" t="str">
        <f aca="false">IF(B564="","",IFERROR(INDEX(PE_Fonction,MATCH(B564,PE_Mat,0)),""))</f>
        <v/>
      </c>
      <c r="E564" s="76" t="str">
        <f aca="false">IF(B564="","",IFERROR(INDEX(PE_Equipe,MATCH(B564,PE_Mat,0)),""))</f>
        <v/>
      </c>
      <c r="F564" s="25"/>
      <c r="G564" s="25"/>
      <c r="H564" s="68"/>
      <c r="I564" s="89"/>
      <c r="J564" s="31" t="str">
        <f aca="false">IF(B564="","",IFERROR(INDEX(PE_Taux,MATCH(B564,PE_Mat,0)),0))</f>
        <v/>
      </c>
      <c r="K564" s="31" t="str">
        <f aca="false">IF(B564="","",IF(H564="A",0,IFERROR(N(I564)/P_Heures*J564,0)))</f>
        <v/>
      </c>
      <c r="L564" s="25"/>
    </row>
    <row r="565" customFormat="false" ht="15" hidden="false" customHeight="false" outlineLevel="0" collapsed="false">
      <c r="A565" s="69"/>
      <c r="B565" s="68"/>
      <c r="C565" s="76" t="str">
        <f aca="false">IF(B565="","",IFERROR(INDEX(PE_Nom,MATCH(B565,PE_Mat,0)),"Matricule inconnu"))</f>
        <v/>
      </c>
      <c r="D565" s="76" t="str">
        <f aca="false">IF(B565="","",IFERROR(INDEX(PE_Fonction,MATCH(B565,PE_Mat,0)),""))</f>
        <v/>
      </c>
      <c r="E565" s="76" t="str">
        <f aca="false">IF(B565="","",IFERROR(INDEX(PE_Equipe,MATCH(B565,PE_Mat,0)),""))</f>
        <v/>
      </c>
      <c r="F565" s="25"/>
      <c r="G565" s="25"/>
      <c r="H565" s="68"/>
      <c r="I565" s="89"/>
      <c r="J565" s="31" t="str">
        <f aca="false">IF(B565="","",IFERROR(INDEX(PE_Taux,MATCH(B565,PE_Mat,0)),0))</f>
        <v/>
      </c>
      <c r="K565" s="31" t="str">
        <f aca="false">IF(B565="","",IF(H565="A",0,IFERROR(N(I565)/P_Heures*J565,0)))</f>
        <v/>
      </c>
      <c r="L565" s="25"/>
    </row>
    <row r="566" customFormat="false" ht="15" hidden="false" customHeight="false" outlineLevel="0" collapsed="false">
      <c r="A566" s="69"/>
      <c r="B566" s="68"/>
      <c r="C566" s="76" t="str">
        <f aca="false">IF(B566="","",IFERROR(INDEX(PE_Nom,MATCH(B566,PE_Mat,0)),"Matricule inconnu"))</f>
        <v/>
      </c>
      <c r="D566" s="76" t="str">
        <f aca="false">IF(B566="","",IFERROR(INDEX(PE_Fonction,MATCH(B566,PE_Mat,0)),""))</f>
        <v/>
      </c>
      <c r="E566" s="76" t="str">
        <f aca="false">IF(B566="","",IFERROR(INDEX(PE_Equipe,MATCH(B566,PE_Mat,0)),""))</f>
        <v/>
      </c>
      <c r="F566" s="25"/>
      <c r="G566" s="25"/>
      <c r="H566" s="68"/>
      <c r="I566" s="89"/>
      <c r="J566" s="31" t="str">
        <f aca="false">IF(B566="","",IFERROR(INDEX(PE_Taux,MATCH(B566,PE_Mat,0)),0))</f>
        <v/>
      </c>
      <c r="K566" s="31" t="str">
        <f aca="false">IF(B566="","",IF(H566="A",0,IFERROR(N(I566)/P_Heures*J566,0)))</f>
        <v/>
      </c>
      <c r="L566" s="25"/>
    </row>
    <row r="567" customFormat="false" ht="15" hidden="false" customHeight="false" outlineLevel="0" collapsed="false">
      <c r="A567" s="69"/>
      <c r="B567" s="68"/>
      <c r="C567" s="76" t="str">
        <f aca="false">IF(B567="","",IFERROR(INDEX(PE_Nom,MATCH(B567,PE_Mat,0)),"Matricule inconnu"))</f>
        <v/>
      </c>
      <c r="D567" s="76" t="str">
        <f aca="false">IF(B567="","",IFERROR(INDEX(PE_Fonction,MATCH(B567,PE_Mat,0)),""))</f>
        <v/>
      </c>
      <c r="E567" s="76" t="str">
        <f aca="false">IF(B567="","",IFERROR(INDEX(PE_Equipe,MATCH(B567,PE_Mat,0)),""))</f>
        <v/>
      </c>
      <c r="F567" s="25"/>
      <c r="G567" s="25"/>
      <c r="H567" s="68"/>
      <c r="I567" s="89"/>
      <c r="J567" s="31" t="str">
        <f aca="false">IF(B567="","",IFERROR(INDEX(PE_Taux,MATCH(B567,PE_Mat,0)),0))</f>
        <v/>
      </c>
      <c r="K567" s="31" t="str">
        <f aca="false">IF(B567="","",IF(H567="A",0,IFERROR(N(I567)/P_Heures*J567,0)))</f>
        <v/>
      </c>
      <c r="L567" s="25"/>
    </row>
    <row r="568" customFormat="false" ht="15" hidden="false" customHeight="false" outlineLevel="0" collapsed="false">
      <c r="A568" s="69"/>
      <c r="B568" s="68"/>
      <c r="C568" s="76" t="str">
        <f aca="false">IF(B568="","",IFERROR(INDEX(PE_Nom,MATCH(B568,PE_Mat,0)),"Matricule inconnu"))</f>
        <v/>
      </c>
      <c r="D568" s="76" t="str">
        <f aca="false">IF(B568="","",IFERROR(INDEX(PE_Fonction,MATCH(B568,PE_Mat,0)),""))</f>
        <v/>
      </c>
      <c r="E568" s="76" t="str">
        <f aca="false">IF(B568="","",IFERROR(INDEX(PE_Equipe,MATCH(B568,PE_Mat,0)),""))</f>
        <v/>
      </c>
      <c r="F568" s="25"/>
      <c r="G568" s="25"/>
      <c r="H568" s="68"/>
      <c r="I568" s="89"/>
      <c r="J568" s="31" t="str">
        <f aca="false">IF(B568="","",IFERROR(INDEX(PE_Taux,MATCH(B568,PE_Mat,0)),0))</f>
        <v/>
      </c>
      <c r="K568" s="31" t="str">
        <f aca="false">IF(B568="","",IF(H568="A",0,IFERROR(N(I568)/P_Heures*J568,0)))</f>
        <v/>
      </c>
      <c r="L568" s="25"/>
    </row>
    <row r="569" customFormat="false" ht="15" hidden="false" customHeight="false" outlineLevel="0" collapsed="false">
      <c r="A569" s="69"/>
      <c r="B569" s="68"/>
      <c r="C569" s="76" t="str">
        <f aca="false">IF(B569="","",IFERROR(INDEX(PE_Nom,MATCH(B569,PE_Mat,0)),"Matricule inconnu"))</f>
        <v/>
      </c>
      <c r="D569" s="76" t="str">
        <f aca="false">IF(B569="","",IFERROR(INDEX(PE_Fonction,MATCH(B569,PE_Mat,0)),""))</f>
        <v/>
      </c>
      <c r="E569" s="76" t="str">
        <f aca="false">IF(B569="","",IFERROR(INDEX(PE_Equipe,MATCH(B569,PE_Mat,0)),""))</f>
        <v/>
      </c>
      <c r="F569" s="25"/>
      <c r="G569" s="25"/>
      <c r="H569" s="68"/>
      <c r="I569" s="89"/>
      <c r="J569" s="31" t="str">
        <f aca="false">IF(B569="","",IFERROR(INDEX(PE_Taux,MATCH(B569,PE_Mat,0)),0))</f>
        <v/>
      </c>
      <c r="K569" s="31" t="str">
        <f aca="false">IF(B569="","",IF(H569="A",0,IFERROR(N(I569)/P_Heures*J569,0)))</f>
        <v/>
      </c>
      <c r="L569" s="25"/>
    </row>
    <row r="570" customFormat="false" ht="15" hidden="false" customHeight="false" outlineLevel="0" collapsed="false">
      <c r="A570" s="69"/>
      <c r="B570" s="68"/>
      <c r="C570" s="76" t="str">
        <f aca="false">IF(B570="","",IFERROR(INDEX(PE_Nom,MATCH(B570,PE_Mat,0)),"Matricule inconnu"))</f>
        <v/>
      </c>
      <c r="D570" s="76" t="str">
        <f aca="false">IF(B570="","",IFERROR(INDEX(PE_Fonction,MATCH(B570,PE_Mat,0)),""))</f>
        <v/>
      </c>
      <c r="E570" s="76" t="str">
        <f aca="false">IF(B570="","",IFERROR(INDEX(PE_Equipe,MATCH(B570,PE_Mat,0)),""))</f>
        <v/>
      </c>
      <c r="F570" s="25"/>
      <c r="G570" s="25"/>
      <c r="H570" s="68"/>
      <c r="I570" s="89"/>
      <c r="J570" s="31" t="str">
        <f aca="false">IF(B570="","",IFERROR(INDEX(PE_Taux,MATCH(B570,PE_Mat,0)),0))</f>
        <v/>
      </c>
      <c r="K570" s="31" t="str">
        <f aca="false">IF(B570="","",IF(H570="A",0,IFERROR(N(I570)/P_Heures*J570,0)))</f>
        <v/>
      </c>
      <c r="L570" s="25"/>
    </row>
    <row r="571" customFormat="false" ht="15" hidden="false" customHeight="false" outlineLevel="0" collapsed="false">
      <c r="A571" s="69"/>
      <c r="B571" s="68"/>
      <c r="C571" s="76" t="str">
        <f aca="false">IF(B571="","",IFERROR(INDEX(PE_Nom,MATCH(B571,PE_Mat,0)),"Matricule inconnu"))</f>
        <v/>
      </c>
      <c r="D571" s="76" t="str">
        <f aca="false">IF(B571="","",IFERROR(INDEX(PE_Fonction,MATCH(B571,PE_Mat,0)),""))</f>
        <v/>
      </c>
      <c r="E571" s="76" t="str">
        <f aca="false">IF(B571="","",IFERROR(INDEX(PE_Equipe,MATCH(B571,PE_Mat,0)),""))</f>
        <v/>
      </c>
      <c r="F571" s="25"/>
      <c r="G571" s="25"/>
      <c r="H571" s="68"/>
      <c r="I571" s="89"/>
      <c r="J571" s="31" t="str">
        <f aca="false">IF(B571="","",IFERROR(INDEX(PE_Taux,MATCH(B571,PE_Mat,0)),0))</f>
        <v/>
      </c>
      <c r="K571" s="31" t="str">
        <f aca="false">IF(B571="","",IF(H571="A",0,IFERROR(N(I571)/P_Heures*J571,0)))</f>
        <v/>
      </c>
      <c r="L571" s="25"/>
    </row>
    <row r="572" customFormat="false" ht="15" hidden="false" customHeight="false" outlineLevel="0" collapsed="false">
      <c r="A572" s="69"/>
      <c r="B572" s="68"/>
      <c r="C572" s="76" t="str">
        <f aca="false">IF(B572="","",IFERROR(INDEX(PE_Nom,MATCH(B572,PE_Mat,0)),"Matricule inconnu"))</f>
        <v/>
      </c>
      <c r="D572" s="76" t="str">
        <f aca="false">IF(B572="","",IFERROR(INDEX(PE_Fonction,MATCH(B572,PE_Mat,0)),""))</f>
        <v/>
      </c>
      <c r="E572" s="76" t="str">
        <f aca="false">IF(B572="","",IFERROR(INDEX(PE_Equipe,MATCH(B572,PE_Mat,0)),""))</f>
        <v/>
      </c>
      <c r="F572" s="25"/>
      <c r="G572" s="25"/>
      <c r="H572" s="68"/>
      <c r="I572" s="89"/>
      <c r="J572" s="31" t="str">
        <f aca="false">IF(B572="","",IFERROR(INDEX(PE_Taux,MATCH(B572,PE_Mat,0)),0))</f>
        <v/>
      </c>
      <c r="K572" s="31" t="str">
        <f aca="false">IF(B572="","",IF(H572="A",0,IFERROR(N(I572)/P_Heures*J572,0)))</f>
        <v/>
      </c>
      <c r="L572" s="25"/>
    </row>
    <row r="573" customFormat="false" ht="15" hidden="false" customHeight="false" outlineLevel="0" collapsed="false">
      <c r="A573" s="69"/>
      <c r="B573" s="68"/>
      <c r="C573" s="76" t="str">
        <f aca="false">IF(B573="","",IFERROR(INDEX(PE_Nom,MATCH(B573,PE_Mat,0)),"Matricule inconnu"))</f>
        <v/>
      </c>
      <c r="D573" s="76" t="str">
        <f aca="false">IF(B573="","",IFERROR(INDEX(PE_Fonction,MATCH(B573,PE_Mat,0)),""))</f>
        <v/>
      </c>
      <c r="E573" s="76" t="str">
        <f aca="false">IF(B573="","",IFERROR(INDEX(PE_Equipe,MATCH(B573,PE_Mat,0)),""))</f>
        <v/>
      </c>
      <c r="F573" s="25"/>
      <c r="G573" s="25"/>
      <c r="H573" s="68"/>
      <c r="I573" s="89"/>
      <c r="J573" s="31" t="str">
        <f aca="false">IF(B573="","",IFERROR(INDEX(PE_Taux,MATCH(B573,PE_Mat,0)),0))</f>
        <v/>
      </c>
      <c r="K573" s="31" t="str">
        <f aca="false">IF(B573="","",IF(H573="A",0,IFERROR(N(I573)/P_Heures*J573,0)))</f>
        <v/>
      </c>
      <c r="L573" s="25"/>
    </row>
    <row r="574" customFormat="false" ht="15" hidden="false" customHeight="false" outlineLevel="0" collapsed="false">
      <c r="A574" s="69"/>
      <c r="B574" s="68"/>
      <c r="C574" s="76" t="str">
        <f aca="false">IF(B574="","",IFERROR(INDEX(PE_Nom,MATCH(B574,PE_Mat,0)),"Matricule inconnu"))</f>
        <v/>
      </c>
      <c r="D574" s="76" t="str">
        <f aca="false">IF(B574="","",IFERROR(INDEX(PE_Fonction,MATCH(B574,PE_Mat,0)),""))</f>
        <v/>
      </c>
      <c r="E574" s="76" t="str">
        <f aca="false">IF(B574="","",IFERROR(INDEX(PE_Equipe,MATCH(B574,PE_Mat,0)),""))</f>
        <v/>
      </c>
      <c r="F574" s="25"/>
      <c r="G574" s="25"/>
      <c r="H574" s="68"/>
      <c r="I574" s="89"/>
      <c r="J574" s="31" t="str">
        <f aca="false">IF(B574="","",IFERROR(INDEX(PE_Taux,MATCH(B574,PE_Mat,0)),0))</f>
        <v/>
      </c>
      <c r="K574" s="31" t="str">
        <f aca="false">IF(B574="","",IF(H574="A",0,IFERROR(N(I574)/P_Heures*J574,0)))</f>
        <v/>
      </c>
      <c r="L574" s="25"/>
    </row>
    <row r="575" customFormat="false" ht="15" hidden="false" customHeight="false" outlineLevel="0" collapsed="false">
      <c r="A575" s="69"/>
      <c r="B575" s="68"/>
      <c r="C575" s="76" t="str">
        <f aca="false">IF(B575="","",IFERROR(INDEX(PE_Nom,MATCH(B575,PE_Mat,0)),"Matricule inconnu"))</f>
        <v/>
      </c>
      <c r="D575" s="76" t="str">
        <f aca="false">IF(B575="","",IFERROR(INDEX(PE_Fonction,MATCH(B575,PE_Mat,0)),""))</f>
        <v/>
      </c>
      <c r="E575" s="76" t="str">
        <f aca="false">IF(B575="","",IFERROR(INDEX(PE_Equipe,MATCH(B575,PE_Mat,0)),""))</f>
        <v/>
      </c>
      <c r="F575" s="25"/>
      <c r="G575" s="25"/>
      <c r="H575" s="68"/>
      <c r="I575" s="89"/>
      <c r="J575" s="31" t="str">
        <f aca="false">IF(B575="","",IFERROR(INDEX(PE_Taux,MATCH(B575,PE_Mat,0)),0))</f>
        <v/>
      </c>
      <c r="K575" s="31" t="str">
        <f aca="false">IF(B575="","",IF(H575="A",0,IFERROR(N(I575)/P_Heures*J575,0)))</f>
        <v/>
      </c>
      <c r="L575" s="25"/>
    </row>
    <row r="576" customFormat="false" ht="15" hidden="false" customHeight="false" outlineLevel="0" collapsed="false">
      <c r="A576" s="69"/>
      <c r="B576" s="68"/>
      <c r="C576" s="76" t="str">
        <f aca="false">IF(B576="","",IFERROR(INDEX(PE_Nom,MATCH(B576,PE_Mat,0)),"Matricule inconnu"))</f>
        <v/>
      </c>
      <c r="D576" s="76" t="str">
        <f aca="false">IF(B576="","",IFERROR(INDEX(PE_Fonction,MATCH(B576,PE_Mat,0)),""))</f>
        <v/>
      </c>
      <c r="E576" s="76" t="str">
        <f aca="false">IF(B576="","",IFERROR(INDEX(PE_Equipe,MATCH(B576,PE_Mat,0)),""))</f>
        <v/>
      </c>
      <c r="F576" s="25"/>
      <c r="G576" s="25"/>
      <c r="H576" s="68"/>
      <c r="I576" s="89"/>
      <c r="J576" s="31" t="str">
        <f aca="false">IF(B576="","",IFERROR(INDEX(PE_Taux,MATCH(B576,PE_Mat,0)),0))</f>
        <v/>
      </c>
      <c r="K576" s="31" t="str">
        <f aca="false">IF(B576="","",IF(H576="A",0,IFERROR(N(I576)/P_Heures*J576,0)))</f>
        <v/>
      </c>
      <c r="L576" s="25"/>
    </row>
    <row r="577" customFormat="false" ht="15" hidden="false" customHeight="false" outlineLevel="0" collapsed="false">
      <c r="A577" s="69"/>
      <c r="B577" s="68"/>
      <c r="C577" s="76" t="str">
        <f aca="false">IF(B577="","",IFERROR(INDEX(PE_Nom,MATCH(B577,PE_Mat,0)),"Matricule inconnu"))</f>
        <v/>
      </c>
      <c r="D577" s="76" t="str">
        <f aca="false">IF(B577="","",IFERROR(INDEX(PE_Fonction,MATCH(B577,PE_Mat,0)),""))</f>
        <v/>
      </c>
      <c r="E577" s="76" t="str">
        <f aca="false">IF(B577="","",IFERROR(INDEX(PE_Equipe,MATCH(B577,PE_Mat,0)),""))</f>
        <v/>
      </c>
      <c r="F577" s="25"/>
      <c r="G577" s="25"/>
      <c r="H577" s="68"/>
      <c r="I577" s="89"/>
      <c r="J577" s="31" t="str">
        <f aca="false">IF(B577="","",IFERROR(INDEX(PE_Taux,MATCH(B577,PE_Mat,0)),0))</f>
        <v/>
      </c>
      <c r="K577" s="31" t="str">
        <f aca="false">IF(B577="","",IF(H577="A",0,IFERROR(N(I577)/P_Heures*J577,0)))</f>
        <v/>
      </c>
      <c r="L577" s="25"/>
    </row>
    <row r="578" customFormat="false" ht="15" hidden="false" customHeight="false" outlineLevel="0" collapsed="false">
      <c r="A578" s="69"/>
      <c r="B578" s="68"/>
      <c r="C578" s="76" t="str">
        <f aca="false">IF(B578="","",IFERROR(INDEX(PE_Nom,MATCH(B578,PE_Mat,0)),"Matricule inconnu"))</f>
        <v/>
      </c>
      <c r="D578" s="76" t="str">
        <f aca="false">IF(B578="","",IFERROR(INDEX(PE_Fonction,MATCH(B578,PE_Mat,0)),""))</f>
        <v/>
      </c>
      <c r="E578" s="76" t="str">
        <f aca="false">IF(B578="","",IFERROR(INDEX(PE_Equipe,MATCH(B578,PE_Mat,0)),""))</f>
        <v/>
      </c>
      <c r="F578" s="25"/>
      <c r="G578" s="25"/>
      <c r="H578" s="68"/>
      <c r="I578" s="89"/>
      <c r="J578" s="31" t="str">
        <f aca="false">IF(B578="","",IFERROR(INDEX(PE_Taux,MATCH(B578,PE_Mat,0)),0))</f>
        <v/>
      </c>
      <c r="K578" s="31" t="str">
        <f aca="false">IF(B578="","",IF(H578="A",0,IFERROR(N(I578)/P_Heures*J578,0)))</f>
        <v/>
      </c>
      <c r="L578" s="25"/>
    </row>
    <row r="579" customFormat="false" ht="15" hidden="false" customHeight="false" outlineLevel="0" collapsed="false">
      <c r="A579" s="69"/>
      <c r="B579" s="68"/>
      <c r="C579" s="76" t="str">
        <f aca="false">IF(B579="","",IFERROR(INDEX(PE_Nom,MATCH(B579,PE_Mat,0)),"Matricule inconnu"))</f>
        <v/>
      </c>
      <c r="D579" s="76" t="str">
        <f aca="false">IF(B579="","",IFERROR(INDEX(PE_Fonction,MATCH(B579,PE_Mat,0)),""))</f>
        <v/>
      </c>
      <c r="E579" s="76" t="str">
        <f aca="false">IF(B579="","",IFERROR(INDEX(PE_Equipe,MATCH(B579,PE_Mat,0)),""))</f>
        <v/>
      </c>
      <c r="F579" s="25"/>
      <c r="G579" s="25"/>
      <c r="H579" s="68"/>
      <c r="I579" s="89"/>
      <c r="J579" s="31" t="str">
        <f aca="false">IF(B579="","",IFERROR(INDEX(PE_Taux,MATCH(B579,PE_Mat,0)),0))</f>
        <v/>
      </c>
      <c r="K579" s="31" t="str">
        <f aca="false">IF(B579="","",IF(H579="A",0,IFERROR(N(I579)/P_Heures*J579,0)))</f>
        <v/>
      </c>
      <c r="L579" s="25"/>
    </row>
    <row r="580" customFormat="false" ht="15" hidden="false" customHeight="false" outlineLevel="0" collapsed="false">
      <c r="A580" s="69"/>
      <c r="B580" s="68"/>
      <c r="C580" s="76" t="str">
        <f aca="false">IF(B580="","",IFERROR(INDEX(PE_Nom,MATCH(B580,PE_Mat,0)),"Matricule inconnu"))</f>
        <v/>
      </c>
      <c r="D580" s="76" t="str">
        <f aca="false">IF(B580="","",IFERROR(INDEX(PE_Fonction,MATCH(B580,PE_Mat,0)),""))</f>
        <v/>
      </c>
      <c r="E580" s="76" t="str">
        <f aca="false">IF(B580="","",IFERROR(INDEX(PE_Equipe,MATCH(B580,PE_Mat,0)),""))</f>
        <v/>
      </c>
      <c r="F580" s="25"/>
      <c r="G580" s="25"/>
      <c r="H580" s="68"/>
      <c r="I580" s="89"/>
      <c r="J580" s="31" t="str">
        <f aca="false">IF(B580="","",IFERROR(INDEX(PE_Taux,MATCH(B580,PE_Mat,0)),0))</f>
        <v/>
      </c>
      <c r="K580" s="31" t="str">
        <f aca="false">IF(B580="","",IF(H580="A",0,IFERROR(N(I580)/P_Heures*J580,0)))</f>
        <v/>
      </c>
      <c r="L580" s="25"/>
    </row>
    <row r="581" customFormat="false" ht="15" hidden="false" customHeight="false" outlineLevel="0" collapsed="false">
      <c r="A581" s="69"/>
      <c r="B581" s="68"/>
      <c r="C581" s="76" t="str">
        <f aca="false">IF(B581="","",IFERROR(INDEX(PE_Nom,MATCH(B581,PE_Mat,0)),"Matricule inconnu"))</f>
        <v/>
      </c>
      <c r="D581" s="76" t="str">
        <f aca="false">IF(B581="","",IFERROR(INDEX(PE_Fonction,MATCH(B581,PE_Mat,0)),""))</f>
        <v/>
      </c>
      <c r="E581" s="76" t="str">
        <f aca="false">IF(B581="","",IFERROR(INDEX(PE_Equipe,MATCH(B581,PE_Mat,0)),""))</f>
        <v/>
      </c>
      <c r="F581" s="25"/>
      <c r="G581" s="25"/>
      <c r="H581" s="68"/>
      <c r="I581" s="89"/>
      <c r="J581" s="31" t="str">
        <f aca="false">IF(B581="","",IFERROR(INDEX(PE_Taux,MATCH(B581,PE_Mat,0)),0))</f>
        <v/>
      </c>
      <c r="K581" s="31" t="str">
        <f aca="false">IF(B581="","",IF(H581="A",0,IFERROR(N(I581)/P_Heures*J581,0)))</f>
        <v/>
      </c>
      <c r="L581" s="25"/>
    </row>
    <row r="582" customFormat="false" ht="15" hidden="false" customHeight="false" outlineLevel="0" collapsed="false">
      <c r="A582" s="69"/>
      <c r="B582" s="68"/>
      <c r="C582" s="76" t="str">
        <f aca="false">IF(B582="","",IFERROR(INDEX(PE_Nom,MATCH(B582,PE_Mat,0)),"Matricule inconnu"))</f>
        <v/>
      </c>
      <c r="D582" s="76" t="str">
        <f aca="false">IF(B582="","",IFERROR(INDEX(PE_Fonction,MATCH(B582,PE_Mat,0)),""))</f>
        <v/>
      </c>
      <c r="E582" s="76" t="str">
        <f aca="false">IF(B582="","",IFERROR(INDEX(PE_Equipe,MATCH(B582,PE_Mat,0)),""))</f>
        <v/>
      </c>
      <c r="F582" s="25"/>
      <c r="G582" s="25"/>
      <c r="H582" s="68"/>
      <c r="I582" s="89"/>
      <c r="J582" s="31" t="str">
        <f aca="false">IF(B582="","",IFERROR(INDEX(PE_Taux,MATCH(B582,PE_Mat,0)),0))</f>
        <v/>
      </c>
      <c r="K582" s="31" t="str">
        <f aca="false">IF(B582="","",IF(H582="A",0,IFERROR(N(I582)/P_Heures*J582,0)))</f>
        <v/>
      </c>
      <c r="L582" s="25"/>
    </row>
    <row r="583" customFormat="false" ht="15" hidden="false" customHeight="false" outlineLevel="0" collapsed="false">
      <c r="A583" s="69"/>
      <c r="B583" s="68"/>
      <c r="C583" s="76" t="str">
        <f aca="false">IF(B583="","",IFERROR(INDEX(PE_Nom,MATCH(B583,PE_Mat,0)),"Matricule inconnu"))</f>
        <v/>
      </c>
      <c r="D583" s="76" t="str">
        <f aca="false">IF(B583="","",IFERROR(INDEX(PE_Fonction,MATCH(B583,PE_Mat,0)),""))</f>
        <v/>
      </c>
      <c r="E583" s="76" t="str">
        <f aca="false">IF(B583="","",IFERROR(INDEX(PE_Equipe,MATCH(B583,PE_Mat,0)),""))</f>
        <v/>
      </c>
      <c r="F583" s="25"/>
      <c r="G583" s="25"/>
      <c r="H583" s="68"/>
      <c r="I583" s="89"/>
      <c r="J583" s="31" t="str">
        <f aca="false">IF(B583="","",IFERROR(INDEX(PE_Taux,MATCH(B583,PE_Mat,0)),0))</f>
        <v/>
      </c>
      <c r="K583" s="31" t="str">
        <f aca="false">IF(B583="","",IF(H583="A",0,IFERROR(N(I583)/P_Heures*J583,0)))</f>
        <v/>
      </c>
      <c r="L583" s="25"/>
    </row>
    <row r="584" customFormat="false" ht="15" hidden="false" customHeight="false" outlineLevel="0" collapsed="false">
      <c r="A584" s="69"/>
      <c r="B584" s="68"/>
      <c r="C584" s="76" t="str">
        <f aca="false">IF(B584="","",IFERROR(INDEX(PE_Nom,MATCH(B584,PE_Mat,0)),"Matricule inconnu"))</f>
        <v/>
      </c>
      <c r="D584" s="76" t="str">
        <f aca="false">IF(B584="","",IFERROR(INDEX(PE_Fonction,MATCH(B584,PE_Mat,0)),""))</f>
        <v/>
      </c>
      <c r="E584" s="76" t="str">
        <f aca="false">IF(B584="","",IFERROR(INDEX(PE_Equipe,MATCH(B584,PE_Mat,0)),""))</f>
        <v/>
      </c>
      <c r="F584" s="25"/>
      <c r="G584" s="25"/>
      <c r="H584" s="68"/>
      <c r="I584" s="89"/>
      <c r="J584" s="31" t="str">
        <f aca="false">IF(B584="","",IFERROR(INDEX(PE_Taux,MATCH(B584,PE_Mat,0)),0))</f>
        <v/>
      </c>
      <c r="K584" s="31" t="str">
        <f aca="false">IF(B584="","",IF(H584="A",0,IFERROR(N(I584)/P_Heures*J584,0)))</f>
        <v/>
      </c>
      <c r="L584" s="25"/>
    </row>
    <row r="585" customFormat="false" ht="15" hidden="false" customHeight="false" outlineLevel="0" collapsed="false">
      <c r="A585" s="69"/>
      <c r="B585" s="68"/>
      <c r="C585" s="76" t="str">
        <f aca="false">IF(B585="","",IFERROR(INDEX(PE_Nom,MATCH(B585,PE_Mat,0)),"Matricule inconnu"))</f>
        <v/>
      </c>
      <c r="D585" s="76" t="str">
        <f aca="false">IF(B585="","",IFERROR(INDEX(PE_Fonction,MATCH(B585,PE_Mat,0)),""))</f>
        <v/>
      </c>
      <c r="E585" s="76" t="str">
        <f aca="false">IF(B585="","",IFERROR(INDEX(PE_Equipe,MATCH(B585,PE_Mat,0)),""))</f>
        <v/>
      </c>
      <c r="F585" s="25"/>
      <c r="G585" s="25"/>
      <c r="H585" s="68"/>
      <c r="I585" s="89"/>
      <c r="J585" s="31" t="str">
        <f aca="false">IF(B585="","",IFERROR(INDEX(PE_Taux,MATCH(B585,PE_Mat,0)),0))</f>
        <v/>
      </c>
      <c r="K585" s="31" t="str">
        <f aca="false">IF(B585="","",IF(H585="A",0,IFERROR(N(I585)/P_Heures*J585,0)))</f>
        <v/>
      </c>
      <c r="L585" s="25"/>
    </row>
    <row r="586" customFormat="false" ht="15" hidden="false" customHeight="false" outlineLevel="0" collapsed="false">
      <c r="A586" s="69"/>
      <c r="B586" s="68"/>
      <c r="C586" s="76" t="str">
        <f aca="false">IF(B586="","",IFERROR(INDEX(PE_Nom,MATCH(B586,PE_Mat,0)),"Matricule inconnu"))</f>
        <v/>
      </c>
      <c r="D586" s="76" t="str">
        <f aca="false">IF(B586="","",IFERROR(INDEX(PE_Fonction,MATCH(B586,PE_Mat,0)),""))</f>
        <v/>
      </c>
      <c r="E586" s="76" t="str">
        <f aca="false">IF(B586="","",IFERROR(INDEX(PE_Equipe,MATCH(B586,PE_Mat,0)),""))</f>
        <v/>
      </c>
      <c r="F586" s="25"/>
      <c r="G586" s="25"/>
      <c r="H586" s="68"/>
      <c r="I586" s="89"/>
      <c r="J586" s="31" t="str">
        <f aca="false">IF(B586="","",IFERROR(INDEX(PE_Taux,MATCH(B586,PE_Mat,0)),0))</f>
        <v/>
      </c>
      <c r="K586" s="31" t="str">
        <f aca="false">IF(B586="","",IF(H586="A",0,IFERROR(N(I586)/P_Heures*J586,0)))</f>
        <v/>
      </c>
      <c r="L586" s="25"/>
    </row>
    <row r="587" customFormat="false" ht="15" hidden="false" customHeight="false" outlineLevel="0" collapsed="false">
      <c r="A587" s="69"/>
      <c r="B587" s="68"/>
      <c r="C587" s="76" t="str">
        <f aca="false">IF(B587="","",IFERROR(INDEX(PE_Nom,MATCH(B587,PE_Mat,0)),"Matricule inconnu"))</f>
        <v/>
      </c>
      <c r="D587" s="76" t="str">
        <f aca="false">IF(B587="","",IFERROR(INDEX(PE_Fonction,MATCH(B587,PE_Mat,0)),""))</f>
        <v/>
      </c>
      <c r="E587" s="76" t="str">
        <f aca="false">IF(B587="","",IFERROR(INDEX(PE_Equipe,MATCH(B587,PE_Mat,0)),""))</f>
        <v/>
      </c>
      <c r="F587" s="25"/>
      <c r="G587" s="25"/>
      <c r="H587" s="68"/>
      <c r="I587" s="89"/>
      <c r="J587" s="31" t="str">
        <f aca="false">IF(B587="","",IFERROR(INDEX(PE_Taux,MATCH(B587,PE_Mat,0)),0))</f>
        <v/>
      </c>
      <c r="K587" s="31" t="str">
        <f aca="false">IF(B587="","",IF(H587="A",0,IFERROR(N(I587)/P_Heures*J587,0)))</f>
        <v/>
      </c>
      <c r="L587" s="25"/>
    </row>
    <row r="588" customFormat="false" ht="15" hidden="false" customHeight="false" outlineLevel="0" collapsed="false">
      <c r="A588" s="69"/>
      <c r="B588" s="68"/>
      <c r="C588" s="76" t="str">
        <f aca="false">IF(B588="","",IFERROR(INDEX(PE_Nom,MATCH(B588,PE_Mat,0)),"Matricule inconnu"))</f>
        <v/>
      </c>
      <c r="D588" s="76" t="str">
        <f aca="false">IF(B588="","",IFERROR(INDEX(PE_Fonction,MATCH(B588,PE_Mat,0)),""))</f>
        <v/>
      </c>
      <c r="E588" s="76" t="str">
        <f aca="false">IF(B588="","",IFERROR(INDEX(PE_Equipe,MATCH(B588,PE_Mat,0)),""))</f>
        <v/>
      </c>
      <c r="F588" s="25"/>
      <c r="G588" s="25"/>
      <c r="H588" s="68"/>
      <c r="I588" s="89"/>
      <c r="J588" s="31" t="str">
        <f aca="false">IF(B588="","",IFERROR(INDEX(PE_Taux,MATCH(B588,PE_Mat,0)),0))</f>
        <v/>
      </c>
      <c r="K588" s="31" t="str">
        <f aca="false">IF(B588="","",IF(H588="A",0,IFERROR(N(I588)/P_Heures*J588,0)))</f>
        <v/>
      </c>
      <c r="L588" s="25"/>
    </row>
    <row r="589" customFormat="false" ht="15" hidden="false" customHeight="false" outlineLevel="0" collapsed="false">
      <c r="A589" s="69"/>
      <c r="B589" s="68"/>
      <c r="C589" s="76" t="str">
        <f aca="false">IF(B589="","",IFERROR(INDEX(PE_Nom,MATCH(B589,PE_Mat,0)),"Matricule inconnu"))</f>
        <v/>
      </c>
      <c r="D589" s="76" t="str">
        <f aca="false">IF(B589="","",IFERROR(INDEX(PE_Fonction,MATCH(B589,PE_Mat,0)),""))</f>
        <v/>
      </c>
      <c r="E589" s="76" t="str">
        <f aca="false">IF(B589="","",IFERROR(INDEX(PE_Equipe,MATCH(B589,PE_Mat,0)),""))</f>
        <v/>
      </c>
      <c r="F589" s="25"/>
      <c r="G589" s="25"/>
      <c r="H589" s="68"/>
      <c r="I589" s="89"/>
      <c r="J589" s="31" t="str">
        <f aca="false">IF(B589="","",IFERROR(INDEX(PE_Taux,MATCH(B589,PE_Mat,0)),0))</f>
        <v/>
      </c>
      <c r="K589" s="31" t="str">
        <f aca="false">IF(B589="","",IF(H589="A",0,IFERROR(N(I589)/P_Heures*J589,0)))</f>
        <v/>
      </c>
      <c r="L589" s="25"/>
    </row>
    <row r="590" customFormat="false" ht="15" hidden="false" customHeight="false" outlineLevel="0" collapsed="false">
      <c r="A590" s="69"/>
      <c r="B590" s="68"/>
      <c r="C590" s="76" t="str">
        <f aca="false">IF(B590="","",IFERROR(INDEX(PE_Nom,MATCH(B590,PE_Mat,0)),"Matricule inconnu"))</f>
        <v/>
      </c>
      <c r="D590" s="76" t="str">
        <f aca="false">IF(B590="","",IFERROR(INDEX(PE_Fonction,MATCH(B590,PE_Mat,0)),""))</f>
        <v/>
      </c>
      <c r="E590" s="76" t="str">
        <f aca="false">IF(B590="","",IFERROR(INDEX(PE_Equipe,MATCH(B590,PE_Mat,0)),""))</f>
        <v/>
      </c>
      <c r="F590" s="25"/>
      <c r="G590" s="25"/>
      <c r="H590" s="68"/>
      <c r="I590" s="89"/>
      <c r="J590" s="31" t="str">
        <f aca="false">IF(B590="","",IFERROR(INDEX(PE_Taux,MATCH(B590,PE_Mat,0)),0))</f>
        <v/>
      </c>
      <c r="K590" s="31" t="str">
        <f aca="false">IF(B590="","",IF(H590="A",0,IFERROR(N(I590)/P_Heures*J590,0)))</f>
        <v/>
      </c>
      <c r="L590" s="25"/>
    </row>
    <row r="591" customFormat="false" ht="15" hidden="false" customHeight="false" outlineLevel="0" collapsed="false">
      <c r="A591" s="69"/>
      <c r="B591" s="68"/>
      <c r="C591" s="76" t="str">
        <f aca="false">IF(B591="","",IFERROR(INDEX(PE_Nom,MATCH(B591,PE_Mat,0)),"Matricule inconnu"))</f>
        <v/>
      </c>
      <c r="D591" s="76" t="str">
        <f aca="false">IF(B591="","",IFERROR(INDEX(PE_Fonction,MATCH(B591,PE_Mat,0)),""))</f>
        <v/>
      </c>
      <c r="E591" s="76" t="str">
        <f aca="false">IF(B591="","",IFERROR(INDEX(PE_Equipe,MATCH(B591,PE_Mat,0)),""))</f>
        <v/>
      </c>
      <c r="F591" s="25"/>
      <c r="G591" s="25"/>
      <c r="H591" s="68"/>
      <c r="I591" s="89"/>
      <c r="J591" s="31" t="str">
        <f aca="false">IF(B591="","",IFERROR(INDEX(PE_Taux,MATCH(B591,PE_Mat,0)),0))</f>
        <v/>
      </c>
      <c r="K591" s="31" t="str">
        <f aca="false">IF(B591="","",IF(H591="A",0,IFERROR(N(I591)/P_Heures*J591,0)))</f>
        <v/>
      </c>
      <c r="L591" s="25"/>
    </row>
    <row r="592" customFormat="false" ht="15" hidden="false" customHeight="false" outlineLevel="0" collapsed="false">
      <c r="A592" s="69"/>
      <c r="B592" s="68"/>
      <c r="C592" s="76" t="str">
        <f aca="false">IF(B592="","",IFERROR(INDEX(PE_Nom,MATCH(B592,PE_Mat,0)),"Matricule inconnu"))</f>
        <v/>
      </c>
      <c r="D592" s="76" t="str">
        <f aca="false">IF(B592="","",IFERROR(INDEX(PE_Fonction,MATCH(B592,PE_Mat,0)),""))</f>
        <v/>
      </c>
      <c r="E592" s="76" t="str">
        <f aca="false">IF(B592="","",IFERROR(INDEX(PE_Equipe,MATCH(B592,PE_Mat,0)),""))</f>
        <v/>
      </c>
      <c r="F592" s="25"/>
      <c r="G592" s="25"/>
      <c r="H592" s="68"/>
      <c r="I592" s="89"/>
      <c r="J592" s="31" t="str">
        <f aca="false">IF(B592="","",IFERROR(INDEX(PE_Taux,MATCH(B592,PE_Mat,0)),0))</f>
        <v/>
      </c>
      <c r="K592" s="31" t="str">
        <f aca="false">IF(B592="","",IF(H592="A",0,IFERROR(N(I592)/P_Heures*J592,0)))</f>
        <v/>
      </c>
      <c r="L592" s="25"/>
    </row>
    <row r="593" customFormat="false" ht="15" hidden="false" customHeight="false" outlineLevel="0" collapsed="false">
      <c r="A593" s="69"/>
      <c r="B593" s="68"/>
      <c r="C593" s="76" t="str">
        <f aca="false">IF(B593="","",IFERROR(INDEX(PE_Nom,MATCH(B593,PE_Mat,0)),"Matricule inconnu"))</f>
        <v/>
      </c>
      <c r="D593" s="76" t="str">
        <f aca="false">IF(B593="","",IFERROR(INDEX(PE_Fonction,MATCH(B593,PE_Mat,0)),""))</f>
        <v/>
      </c>
      <c r="E593" s="76" t="str">
        <f aca="false">IF(B593="","",IFERROR(INDEX(PE_Equipe,MATCH(B593,PE_Mat,0)),""))</f>
        <v/>
      </c>
      <c r="F593" s="25"/>
      <c r="G593" s="25"/>
      <c r="H593" s="68"/>
      <c r="I593" s="89"/>
      <c r="J593" s="31" t="str">
        <f aca="false">IF(B593="","",IFERROR(INDEX(PE_Taux,MATCH(B593,PE_Mat,0)),0))</f>
        <v/>
      </c>
      <c r="K593" s="31" t="str">
        <f aca="false">IF(B593="","",IF(H593="A",0,IFERROR(N(I593)/P_Heures*J593,0)))</f>
        <v/>
      </c>
      <c r="L593" s="25"/>
    </row>
    <row r="594" customFormat="false" ht="15" hidden="false" customHeight="false" outlineLevel="0" collapsed="false">
      <c r="A594" s="69"/>
      <c r="B594" s="68"/>
      <c r="C594" s="76" t="str">
        <f aca="false">IF(B594="","",IFERROR(INDEX(PE_Nom,MATCH(B594,PE_Mat,0)),"Matricule inconnu"))</f>
        <v/>
      </c>
      <c r="D594" s="76" t="str">
        <f aca="false">IF(B594="","",IFERROR(INDEX(PE_Fonction,MATCH(B594,PE_Mat,0)),""))</f>
        <v/>
      </c>
      <c r="E594" s="76" t="str">
        <f aca="false">IF(B594="","",IFERROR(INDEX(PE_Equipe,MATCH(B594,PE_Mat,0)),""))</f>
        <v/>
      </c>
      <c r="F594" s="25"/>
      <c r="G594" s="25"/>
      <c r="H594" s="68"/>
      <c r="I594" s="89"/>
      <c r="J594" s="31" t="str">
        <f aca="false">IF(B594="","",IFERROR(INDEX(PE_Taux,MATCH(B594,PE_Mat,0)),0))</f>
        <v/>
      </c>
      <c r="K594" s="31" t="str">
        <f aca="false">IF(B594="","",IF(H594="A",0,IFERROR(N(I594)/P_Heures*J594,0)))</f>
        <v/>
      </c>
      <c r="L594" s="25"/>
    </row>
    <row r="595" customFormat="false" ht="15" hidden="false" customHeight="false" outlineLevel="0" collapsed="false">
      <c r="A595" s="69"/>
      <c r="B595" s="68"/>
      <c r="C595" s="76" t="str">
        <f aca="false">IF(B595="","",IFERROR(INDEX(PE_Nom,MATCH(B595,PE_Mat,0)),"Matricule inconnu"))</f>
        <v/>
      </c>
      <c r="D595" s="76" t="str">
        <f aca="false">IF(B595="","",IFERROR(INDEX(PE_Fonction,MATCH(B595,PE_Mat,0)),""))</f>
        <v/>
      </c>
      <c r="E595" s="76" t="str">
        <f aca="false">IF(B595="","",IFERROR(INDEX(PE_Equipe,MATCH(B595,PE_Mat,0)),""))</f>
        <v/>
      </c>
      <c r="F595" s="25"/>
      <c r="G595" s="25"/>
      <c r="H595" s="68"/>
      <c r="I595" s="89"/>
      <c r="J595" s="31" t="str">
        <f aca="false">IF(B595="","",IFERROR(INDEX(PE_Taux,MATCH(B595,PE_Mat,0)),0))</f>
        <v/>
      </c>
      <c r="K595" s="31" t="str">
        <f aca="false">IF(B595="","",IF(H595="A",0,IFERROR(N(I595)/P_Heures*J595,0)))</f>
        <v/>
      </c>
      <c r="L595" s="25"/>
    </row>
    <row r="596" customFormat="false" ht="15" hidden="false" customHeight="false" outlineLevel="0" collapsed="false">
      <c r="A596" s="69"/>
      <c r="B596" s="68"/>
      <c r="C596" s="76" t="str">
        <f aca="false">IF(B596="","",IFERROR(INDEX(PE_Nom,MATCH(B596,PE_Mat,0)),"Matricule inconnu"))</f>
        <v/>
      </c>
      <c r="D596" s="76" t="str">
        <f aca="false">IF(B596="","",IFERROR(INDEX(PE_Fonction,MATCH(B596,PE_Mat,0)),""))</f>
        <v/>
      </c>
      <c r="E596" s="76" t="str">
        <f aca="false">IF(B596="","",IFERROR(INDEX(PE_Equipe,MATCH(B596,PE_Mat,0)),""))</f>
        <v/>
      </c>
      <c r="F596" s="25"/>
      <c r="G596" s="25"/>
      <c r="H596" s="68"/>
      <c r="I596" s="89"/>
      <c r="J596" s="31" t="str">
        <f aca="false">IF(B596="","",IFERROR(INDEX(PE_Taux,MATCH(B596,PE_Mat,0)),0))</f>
        <v/>
      </c>
      <c r="K596" s="31" t="str">
        <f aca="false">IF(B596="","",IF(H596="A",0,IFERROR(N(I596)/P_Heures*J596,0)))</f>
        <v/>
      </c>
      <c r="L596" s="25"/>
    </row>
    <row r="597" customFormat="false" ht="15" hidden="false" customHeight="false" outlineLevel="0" collapsed="false">
      <c r="A597" s="69"/>
      <c r="B597" s="68"/>
      <c r="C597" s="76" t="str">
        <f aca="false">IF(B597="","",IFERROR(INDEX(PE_Nom,MATCH(B597,PE_Mat,0)),"Matricule inconnu"))</f>
        <v/>
      </c>
      <c r="D597" s="76" t="str">
        <f aca="false">IF(B597="","",IFERROR(INDEX(PE_Fonction,MATCH(B597,PE_Mat,0)),""))</f>
        <v/>
      </c>
      <c r="E597" s="76" t="str">
        <f aca="false">IF(B597="","",IFERROR(INDEX(PE_Equipe,MATCH(B597,PE_Mat,0)),""))</f>
        <v/>
      </c>
      <c r="F597" s="25"/>
      <c r="G597" s="25"/>
      <c r="H597" s="68"/>
      <c r="I597" s="89"/>
      <c r="J597" s="31" t="str">
        <f aca="false">IF(B597="","",IFERROR(INDEX(PE_Taux,MATCH(B597,PE_Mat,0)),0))</f>
        <v/>
      </c>
      <c r="K597" s="31" t="str">
        <f aca="false">IF(B597="","",IF(H597="A",0,IFERROR(N(I597)/P_Heures*J597,0)))</f>
        <v/>
      </c>
      <c r="L597" s="25"/>
    </row>
    <row r="598" customFormat="false" ht="15" hidden="false" customHeight="false" outlineLevel="0" collapsed="false">
      <c r="A598" s="69"/>
      <c r="B598" s="68"/>
      <c r="C598" s="76" t="str">
        <f aca="false">IF(B598="","",IFERROR(INDEX(PE_Nom,MATCH(B598,PE_Mat,0)),"Matricule inconnu"))</f>
        <v/>
      </c>
      <c r="D598" s="76" t="str">
        <f aca="false">IF(B598="","",IFERROR(INDEX(PE_Fonction,MATCH(B598,PE_Mat,0)),""))</f>
        <v/>
      </c>
      <c r="E598" s="76" t="str">
        <f aca="false">IF(B598="","",IFERROR(INDEX(PE_Equipe,MATCH(B598,PE_Mat,0)),""))</f>
        <v/>
      </c>
      <c r="F598" s="25"/>
      <c r="G598" s="25"/>
      <c r="H598" s="68"/>
      <c r="I598" s="89"/>
      <c r="J598" s="31" t="str">
        <f aca="false">IF(B598="","",IFERROR(INDEX(PE_Taux,MATCH(B598,PE_Mat,0)),0))</f>
        <v/>
      </c>
      <c r="K598" s="31" t="str">
        <f aca="false">IF(B598="","",IF(H598="A",0,IFERROR(N(I598)/P_Heures*J598,0)))</f>
        <v/>
      </c>
      <c r="L598" s="25"/>
    </row>
    <row r="599" customFormat="false" ht="15" hidden="false" customHeight="false" outlineLevel="0" collapsed="false">
      <c r="A599" s="69"/>
      <c r="B599" s="68"/>
      <c r="C599" s="76" t="str">
        <f aca="false">IF(B599="","",IFERROR(INDEX(PE_Nom,MATCH(B599,PE_Mat,0)),"Matricule inconnu"))</f>
        <v/>
      </c>
      <c r="D599" s="76" t="str">
        <f aca="false">IF(B599="","",IFERROR(INDEX(PE_Fonction,MATCH(B599,PE_Mat,0)),""))</f>
        <v/>
      </c>
      <c r="E599" s="76" t="str">
        <f aca="false">IF(B599="","",IFERROR(INDEX(PE_Equipe,MATCH(B599,PE_Mat,0)),""))</f>
        <v/>
      </c>
      <c r="F599" s="25"/>
      <c r="G599" s="25"/>
      <c r="H599" s="68"/>
      <c r="I599" s="89"/>
      <c r="J599" s="31" t="str">
        <f aca="false">IF(B599="","",IFERROR(INDEX(PE_Taux,MATCH(B599,PE_Mat,0)),0))</f>
        <v/>
      </c>
      <c r="K599" s="31" t="str">
        <f aca="false">IF(B599="","",IF(H599="A",0,IFERROR(N(I599)/P_Heures*J599,0)))</f>
        <v/>
      </c>
      <c r="L599" s="25"/>
    </row>
    <row r="600" customFormat="false" ht="15" hidden="false" customHeight="false" outlineLevel="0" collapsed="false">
      <c r="A600" s="69"/>
      <c r="B600" s="68"/>
      <c r="C600" s="76" t="str">
        <f aca="false">IF(B600="","",IFERROR(INDEX(PE_Nom,MATCH(B600,PE_Mat,0)),"Matricule inconnu"))</f>
        <v/>
      </c>
      <c r="D600" s="76" t="str">
        <f aca="false">IF(B600="","",IFERROR(INDEX(PE_Fonction,MATCH(B600,PE_Mat,0)),""))</f>
        <v/>
      </c>
      <c r="E600" s="76" t="str">
        <f aca="false">IF(B600="","",IFERROR(INDEX(PE_Equipe,MATCH(B600,PE_Mat,0)),""))</f>
        <v/>
      </c>
      <c r="F600" s="25"/>
      <c r="G600" s="25"/>
      <c r="H600" s="68"/>
      <c r="I600" s="89"/>
      <c r="J600" s="31" t="str">
        <f aca="false">IF(B600="","",IFERROR(INDEX(PE_Taux,MATCH(B600,PE_Mat,0)),0))</f>
        <v/>
      </c>
      <c r="K600" s="31" t="str">
        <f aca="false">IF(B600="","",IF(H600="A",0,IFERROR(N(I600)/P_Heures*J600,0)))</f>
        <v/>
      </c>
      <c r="L600" s="25"/>
    </row>
    <row r="601" customFormat="false" ht="15" hidden="false" customHeight="false" outlineLevel="0" collapsed="false">
      <c r="A601" s="69"/>
      <c r="B601" s="68"/>
      <c r="C601" s="76" t="str">
        <f aca="false">IF(B601="","",IFERROR(INDEX(PE_Nom,MATCH(B601,PE_Mat,0)),"Matricule inconnu"))</f>
        <v/>
      </c>
      <c r="D601" s="76" t="str">
        <f aca="false">IF(B601="","",IFERROR(INDEX(PE_Fonction,MATCH(B601,PE_Mat,0)),""))</f>
        <v/>
      </c>
      <c r="E601" s="76" t="str">
        <f aca="false">IF(B601="","",IFERROR(INDEX(PE_Equipe,MATCH(B601,PE_Mat,0)),""))</f>
        <v/>
      </c>
      <c r="F601" s="25"/>
      <c r="G601" s="25"/>
      <c r="H601" s="68"/>
      <c r="I601" s="89"/>
      <c r="J601" s="31" t="str">
        <f aca="false">IF(B601="","",IFERROR(INDEX(PE_Taux,MATCH(B601,PE_Mat,0)),0))</f>
        <v/>
      </c>
      <c r="K601" s="31" t="str">
        <f aca="false">IF(B601="","",IF(H601="A",0,IFERROR(N(I601)/P_Heures*J601,0)))</f>
        <v/>
      </c>
      <c r="L601" s="25"/>
    </row>
    <row r="602" customFormat="false" ht="15" hidden="false" customHeight="false" outlineLevel="0" collapsed="false">
      <c r="A602" s="69"/>
      <c r="B602" s="68"/>
      <c r="C602" s="76" t="str">
        <f aca="false">IF(B602="","",IFERROR(INDEX(PE_Nom,MATCH(B602,PE_Mat,0)),"Matricule inconnu"))</f>
        <v/>
      </c>
      <c r="D602" s="76" t="str">
        <f aca="false">IF(B602="","",IFERROR(INDEX(PE_Fonction,MATCH(B602,PE_Mat,0)),""))</f>
        <v/>
      </c>
      <c r="E602" s="76" t="str">
        <f aca="false">IF(B602="","",IFERROR(INDEX(PE_Equipe,MATCH(B602,PE_Mat,0)),""))</f>
        <v/>
      </c>
      <c r="F602" s="25"/>
      <c r="G602" s="25"/>
      <c r="H602" s="68"/>
      <c r="I602" s="89"/>
      <c r="J602" s="31" t="str">
        <f aca="false">IF(B602="","",IFERROR(INDEX(PE_Taux,MATCH(B602,PE_Mat,0)),0))</f>
        <v/>
      </c>
      <c r="K602" s="31" t="str">
        <f aca="false">IF(B602="","",IF(H602="A",0,IFERROR(N(I602)/P_Heures*J602,0)))</f>
        <v/>
      </c>
      <c r="L602" s="25"/>
    </row>
    <row r="603" customFormat="false" ht="15" hidden="false" customHeight="false" outlineLevel="0" collapsed="false">
      <c r="A603" s="69"/>
      <c r="B603" s="68"/>
      <c r="C603" s="76" t="str">
        <f aca="false">IF(B603="","",IFERROR(INDEX(PE_Nom,MATCH(B603,PE_Mat,0)),"Matricule inconnu"))</f>
        <v/>
      </c>
      <c r="D603" s="76" t="str">
        <f aca="false">IF(B603="","",IFERROR(INDEX(PE_Fonction,MATCH(B603,PE_Mat,0)),""))</f>
        <v/>
      </c>
      <c r="E603" s="76" t="str">
        <f aca="false">IF(B603="","",IFERROR(INDEX(PE_Equipe,MATCH(B603,PE_Mat,0)),""))</f>
        <v/>
      </c>
      <c r="F603" s="25"/>
      <c r="G603" s="25"/>
      <c r="H603" s="68"/>
      <c r="I603" s="89"/>
      <c r="J603" s="31" t="str">
        <f aca="false">IF(B603="","",IFERROR(INDEX(PE_Taux,MATCH(B603,PE_Mat,0)),0))</f>
        <v/>
      </c>
      <c r="K603" s="31" t="str">
        <f aca="false">IF(B603="","",IF(H603="A",0,IFERROR(N(I603)/P_Heures*J603,0)))</f>
        <v/>
      </c>
      <c r="L603" s="25"/>
    </row>
    <row r="604" customFormat="false" ht="15" hidden="false" customHeight="false" outlineLevel="0" collapsed="false">
      <c r="A604" s="69"/>
      <c r="B604" s="68"/>
      <c r="C604" s="76" t="str">
        <f aca="false">IF(B604="","",IFERROR(INDEX(PE_Nom,MATCH(B604,PE_Mat,0)),"Matricule inconnu"))</f>
        <v/>
      </c>
      <c r="D604" s="76" t="str">
        <f aca="false">IF(B604="","",IFERROR(INDEX(PE_Fonction,MATCH(B604,PE_Mat,0)),""))</f>
        <v/>
      </c>
      <c r="E604" s="76" t="str">
        <f aca="false">IF(B604="","",IFERROR(INDEX(PE_Equipe,MATCH(B604,PE_Mat,0)),""))</f>
        <v/>
      </c>
      <c r="F604" s="25"/>
      <c r="G604" s="25"/>
      <c r="H604" s="68"/>
      <c r="I604" s="89"/>
      <c r="J604" s="31" t="str">
        <f aca="false">IF(B604="","",IFERROR(INDEX(PE_Taux,MATCH(B604,PE_Mat,0)),0))</f>
        <v/>
      </c>
      <c r="K604" s="31" t="str">
        <f aca="false">IF(B604="","",IF(H604="A",0,IFERROR(N(I604)/P_Heures*J604,0)))</f>
        <v/>
      </c>
      <c r="L604" s="25"/>
    </row>
    <row r="605" customFormat="false" ht="15" hidden="false" customHeight="false" outlineLevel="0" collapsed="false">
      <c r="A605" s="69"/>
      <c r="B605" s="68"/>
      <c r="C605" s="76" t="str">
        <f aca="false">IF(B605="","",IFERROR(INDEX(PE_Nom,MATCH(B605,PE_Mat,0)),"Matricule inconnu"))</f>
        <v/>
      </c>
      <c r="D605" s="76" t="str">
        <f aca="false">IF(B605="","",IFERROR(INDEX(PE_Fonction,MATCH(B605,PE_Mat,0)),""))</f>
        <v/>
      </c>
      <c r="E605" s="76" t="str">
        <f aca="false">IF(B605="","",IFERROR(INDEX(PE_Equipe,MATCH(B605,PE_Mat,0)),""))</f>
        <v/>
      </c>
      <c r="F605" s="25"/>
      <c r="G605" s="25"/>
      <c r="H605" s="68"/>
      <c r="I605" s="89"/>
      <c r="J605" s="31" t="str">
        <f aca="false">IF(B605="","",IFERROR(INDEX(PE_Taux,MATCH(B605,PE_Mat,0)),0))</f>
        <v/>
      </c>
      <c r="K605" s="31" t="str">
        <f aca="false">IF(B605="","",IF(H605="A",0,IFERROR(N(I605)/P_Heures*J605,0)))</f>
        <v/>
      </c>
      <c r="L605" s="25"/>
    </row>
    <row r="606" customFormat="false" ht="15" hidden="false" customHeight="false" outlineLevel="0" collapsed="false">
      <c r="A606" s="69"/>
      <c r="B606" s="68"/>
      <c r="C606" s="76" t="str">
        <f aca="false">IF(B606="","",IFERROR(INDEX(PE_Nom,MATCH(B606,PE_Mat,0)),"Matricule inconnu"))</f>
        <v/>
      </c>
      <c r="D606" s="76" t="str">
        <f aca="false">IF(B606="","",IFERROR(INDEX(PE_Fonction,MATCH(B606,PE_Mat,0)),""))</f>
        <v/>
      </c>
      <c r="E606" s="76" t="str">
        <f aca="false">IF(B606="","",IFERROR(INDEX(PE_Equipe,MATCH(B606,PE_Mat,0)),""))</f>
        <v/>
      </c>
      <c r="F606" s="25"/>
      <c r="G606" s="25"/>
      <c r="H606" s="68"/>
      <c r="I606" s="89"/>
      <c r="J606" s="31" t="str">
        <f aca="false">IF(B606="","",IFERROR(INDEX(PE_Taux,MATCH(B606,PE_Mat,0)),0))</f>
        <v/>
      </c>
      <c r="K606" s="31" t="str">
        <f aca="false">IF(B606="","",IF(H606="A",0,IFERROR(N(I606)/P_Heures*J606,0)))</f>
        <v/>
      </c>
      <c r="L606" s="25"/>
    </row>
    <row r="607" customFormat="false" ht="15" hidden="false" customHeight="false" outlineLevel="0" collapsed="false">
      <c r="A607" s="69"/>
      <c r="B607" s="68"/>
      <c r="C607" s="76" t="str">
        <f aca="false">IF(B607="","",IFERROR(INDEX(PE_Nom,MATCH(B607,PE_Mat,0)),"Matricule inconnu"))</f>
        <v/>
      </c>
      <c r="D607" s="76" t="str">
        <f aca="false">IF(B607="","",IFERROR(INDEX(PE_Fonction,MATCH(B607,PE_Mat,0)),""))</f>
        <v/>
      </c>
      <c r="E607" s="76" t="str">
        <f aca="false">IF(B607="","",IFERROR(INDEX(PE_Equipe,MATCH(B607,PE_Mat,0)),""))</f>
        <v/>
      </c>
      <c r="F607" s="25"/>
      <c r="G607" s="25"/>
      <c r="H607" s="68"/>
      <c r="I607" s="89"/>
      <c r="J607" s="31" t="str">
        <f aca="false">IF(B607="","",IFERROR(INDEX(PE_Taux,MATCH(B607,PE_Mat,0)),0))</f>
        <v/>
      </c>
      <c r="K607" s="31" t="str">
        <f aca="false">IF(B607="","",IF(H607="A",0,IFERROR(N(I607)/P_Heures*J607,0)))</f>
        <v/>
      </c>
      <c r="L607" s="25"/>
    </row>
    <row r="608" customFormat="false" ht="15" hidden="false" customHeight="false" outlineLevel="0" collapsed="false">
      <c r="A608" s="69"/>
      <c r="B608" s="68"/>
      <c r="C608" s="76" t="str">
        <f aca="false">IF(B608="","",IFERROR(INDEX(PE_Nom,MATCH(B608,PE_Mat,0)),"Matricule inconnu"))</f>
        <v/>
      </c>
      <c r="D608" s="76" t="str">
        <f aca="false">IF(B608="","",IFERROR(INDEX(PE_Fonction,MATCH(B608,PE_Mat,0)),""))</f>
        <v/>
      </c>
      <c r="E608" s="76" t="str">
        <f aca="false">IF(B608="","",IFERROR(INDEX(PE_Equipe,MATCH(B608,PE_Mat,0)),""))</f>
        <v/>
      </c>
      <c r="F608" s="25"/>
      <c r="G608" s="25"/>
      <c r="H608" s="68"/>
      <c r="I608" s="89"/>
      <c r="J608" s="31" t="str">
        <f aca="false">IF(B608="","",IFERROR(INDEX(PE_Taux,MATCH(B608,PE_Mat,0)),0))</f>
        <v/>
      </c>
      <c r="K608" s="31" t="str">
        <f aca="false">IF(B608="","",IF(H608="A",0,IFERROR(N(I608)/P_Heures*J608,0)))</f>
        <v/>
      </c>
      <c r="L608" s="25"/>
    </row>
    <row r="609" customFormat="false" ht="15" hidden="false" customHeight="false" outlineLevel="0" collapsed="false">
      <c r="A609" s="69"/>
      <c r="B609" s="68"/>
      <c r="C609" s="76" t="str">
        <f aca="false">IF(B609="","",IFERROR(INDEX(PE_Nom,MATCH(B609,PE_Mat,0)),"Matricule inconnu"))</f>
        <v/>
      </c>
      <c r="D609" s="76" t="str">
        <f aca="false">IF(B609="","",IFERROR(INDEX(PE_Fonction,MATCH(B609,PE_Mat,0)),""))</f>
        <v/>
      </c>
      <c r="E609" s="76" t="str">
        <f aca="false">IF(B609="","",IFERROR(INDEX(PE_Equipe,MATCH(B609,PE_Mat,0)),""))</f>
        <v/>
      </c>
      <c r="F609" s="25"/>
      <c r="G609" s="25"/>
      <c r="H609" s="68"/>
      <c r="I609" s="89"/>
      <c r="J609" s="31" t="str">
        <f aca="false">IF(B609="","",IFERROR(INDEX(PE_Taux,MATCH(B609,PE_Mat,0)),0))</f>
        <v/>
      </c>
      <c r="K609" s="31" t="str">
        <f aca="false">IF(B609="","",IF(H609="A",0,IFERROR(N(I609)/P_Heures*J609,0)))</f>
        <v/>
      </c>
      <c r="L609" s="25"/>
    </row>
    <row r="610" customFormat="false" ht="15" hidden="false" customHeight="false" outlineLevel="0" collapsed="false">
      <c r="A610" s="69"/>
      <c r="B610" s="68"/>
      <c r="C610" s="76" t="str">
        <f aca="false">IF(B610="","",IFERROR(INDEX(PE_Nom,MATCH(B610,PE_Mat,0)),"Matricule inconnu"))</f>
        <v/>
      </c>
      <c r="D610" s="76" t="str">
        <f aca="false">IF(B610="","",IFERROR(INDEX(PE_Fonction,MATCH(B610,PE_Mat,0)),""))</f>
        <v/>
      </c>
      <c r="E610" s="76" t="str">
        <f aca="false">IF(B610="","",IFERROR(INDEX(PE_Equipe,MATCH(B610,PE_Mat,0)),""))</f>
        <v/>
      </c>
      <c r="F610" s="25"/>
      <c r="G610" s="25"/>
      <c r="H610" s="68"/>
      <c r="I610" s="89"/>
      <c r="J610" s="31" t="str">
        <f aca="false">IF(B610="","",IFERROR(INDEX(PE_Taux,MATCH(B610,PE_Mat,0)),0))</f>
        <v/>
      </c>
      <c r="K610" s="31" t="str">
        <f aca="false">IF(B610="","",IF(H610="A",0,IFERROR(N(I610)/P_Heures*J610,0)))</f>
        <v/>
      </c>
      <c r="L610" s="25"/>
    </row>
    <row r="611" customFormat="false" ht="15" hidden="false" customHeight="false" outlineLevel="0" collapsed="false">
      <c r="A611" s="69"/>
      <c r="B611" s="68"/>
      <c r="C611" s="76" t="str">
        <f aca="false">IF(B611="","",IFERROR(INDEX(PE_Nom,MATCH(B611,PE_Mat,0)),"Matricule inconnu"))</f>
        <v/>
      </c>
      <c r="D611" s="76" t="str">
        <f aca="false">IF(B611="","",IFERROR(INDEX(PE_Fonction,MATCH(B611,PE_Mat,0)),""))</f>
        <v/>
      </c>
      <c r="E611" s="76" t="str">
        <f aca="false">IF(B611="","",IFERROR(INDEX(PE_Equipe,MATCH(B611,PE_Mat,0)),""))</f>
        <v/>
      </c>
      <c r="F611" s="25"/>
      <c r="G611" s="25"/>
      <c r="H611" s="68"/>
      <c r="I611" s="89"/>
      <c r="J611" s="31" t="str">
        <f aca="false">IF(B611="","",IFERROR(INDEX(PE_Taux,MATCH(B611,PE_Mat,0)),0))</f>
        <v/>
      </c>
      <c r="K611" s="31" t="str">
        <f aca="false">IF(B611="","",IF(H611="A",0,IFERROR(N(I611)/P_Heures*J611,0)))</f>
        <v/>
      </c>
      <c r="L611" s="25"/>
    </row>
    <row r="612" customFormat="false" ht="15" hidden="false" customHeight="false" outlineLevel="0" collapsed="false">
      <c r="A612" s="69"/>
      <c r="B612" s="68"/>
      <c r="C612" s="76" t="str">
        <f aca="false">IF(B612="","",IFERROR(INDEX(PE_Nom,MATCH(B612,PE_Mat,0)),"Matricule inconnu"))</f>
        <v/>
      </c>
      <c r="D612" s="76" t="str">
        <f aca="false">IF(B612="","",IFERROR(INDEX(PE_Fonction,MATCH(B612,PE_Mat,0)),""))</f>
        <v/>
      </c>
      <c r="E612" s="76" t="str">
        <f aca="false">IF(B612="","",IFERROR(INDEX(PE_Equipe,MATCH(B612,PE_Mat,0)),""))</f>
        <v/>
      </c>
      <c r="F612" s="25"/>
      <c r="G612" s="25"/>
      <c r="H612" s="68"/>
      <c r="I612" s="89"/>
      <c r="J612" s="31" t="str">
        <f aca="false">IF(B612="","",IFERROR(INDEX(PE_Taux,MATCH(B612,PE_Mat,0)),0))</f>
        <v/>
      </c>
      <c r="K612" s="31" t="str">
        <f aca="false">IF(B612="","",IF(H612="A",0,IFERROR(N(I612)/P_Heures*J612,0)))</f>
        <v/>
      </c>
      <c r="L612" s="25"/>
    </row>
    <row r="613" customFormat="false" ht="15" hidden="false" customHeight="false" outlineLevel="0" collapsed="false">
      <c r="A613" s="69"/>
      <c r="B613" s="68"/>
      <c r="C613" s="76" t="str">
        <f aca="false">IF(B613="","",IFERROR(INDEX(PE_Nom,MATCH(B613,PE_Mat,0)),"Matricule inconnu"))</f>
        <v/>
      </c>
      <c r="D613" s="76" t="str">
        <f aca="false">IF(B613="","",IFERROR(INDEX(PE_Fonction,MATCH(B613,PE_Mat,0)),""))</f>
        <v/>
      </c>
      <c r="E613" s="76" t="str">
        <f aca="false">IF(B613="","",IFERROR(INDEX(PE_Equipe,MATCH(B613,PE_Mat,0)),""))</f>
        <v/>
      </c>
      <c r="F613" s="25"/>
      <c r="G613" s="25"/>
      <c r="H613" s="68"/>
      <c r="I613" s="89"/>
      <c r="J613" s="31" t="str">
        <f aca="false">IF(B613="","",IFERROR(INDEX(PE_Taux,MATCH(B613,PE_Mat,0)),0))</f>
        <v/>
      </c>
      <c r="K613" s="31" t="str">
        <f aca="false">IF(B613="","",IF(H613="A",0,IFERROR(N(I613)/P_Heures*J613,0)))</f>
        <v/>
      </c>
      <c r="L613" s="25"/>
    </row>
    <row r="614" customFormat="false" ht="15" hidden="false" customHeight="false" outlineLevel="0" collapsed="false">
      <c r="A614" s="69"/>
      <c r="B614" s="68"/>
      <c r="C614" s="76" t="str">
        <f aca="false">IF(B614="","",IFERROR(INDEX(PE_Nom,MATCH(B614,PE_Mat,0)),"Matricule inconnu"))</f>
        <v/>
      </c>
      <c r="D614" s="76" t="str">
        <f aca="false">IF(B614="","",IFERROR(INDEX(PE_Fonction,MATCH(B614,PE_Mat,0)),""))</f>
        <v/>
      </c>
      <c r="E614" s="76" t="str">
        <f aca="false">IF(B614="","",IFERROR(INDEX(PE_Equipe,MATCH(B614,PE_Mat,0)),""))</f>
        <v/>
      </c>
      <c r="F614" s="25"/>
      <c r="G614" s="25"/>
      <c r="H614" s="68"/>
      <c r="I614" s="89"/>
      <c r="J614" s="31" t="str">
        <f aca="false">IF(B614="","",IFERROR(INDEX(PE_Taux,MATCH(B614,PE_Mat,0)),0))</f>
        <v/>
      </c>
      <c r="K614" s="31" t="str">
        <f aca="false">IF(B614="","",IF(H614="A",0,IFERROR(N(I614)/P_Heures*J614,0)))</f>
        <v/>
      </c>
      <c r="L614" s="25"/>
    </row>
    <row r="615" customFormat="false" ht="15" hidden="false" customHeight="false" outlineLevel="0" collapsed="false">
      <c r="A615" s="69"/>
      <c r="B615" s="68"/>
      <c r="C615" s="76" t="str">
        <f aca="false">IF(B615="","",IFERROR(INDEX(PE_Nom,MATCH(B615,PE_Mat,0)),"Matricule inconnu"))</f>
        <v/>
      </c>
      <c r="D615" s="76" t="str">
        <f aca="false">IF(B615="","",IFERROR(INDEX(PE_Fonction,MATCH(B615,PE_Mat,0)),""))</f>
        <v/>
      </c>
      <c r="E615" s="76" t="str">
        <f aca="false">IF(B615="","",IFERROR(INDEX(PE_Equipe,MATCH(B615,PE_Mat,0)),""))</f>
        <v/>
      </c>
      <c r="F615" s="25"/>
      <c r="G615" s="25"/>
      <c r="H615" s="68"/>
      <c r="I615" s="89"/>
      <c r="J615" s="31" t="str">
        <f aca="false">IF(B615="","",IFERROR(INDEX(PE_Taux,MATCH(B615,PE_Mat,0)),0))</f>
        <v/>
      </c>
      <c r="K615" s="31" t="str">
        <f aca="false">IF(B615="","",IF(H615="A",0,IFERROR(N(I615)/P_Heures*J615,0)))</f>
        <v/>
      </c>
      <c r="L615" s="25"/>
    </row>
    <row r="616" customFormat="false" ht="15" hidden="false" customHeight="false" outlineLevel="0" collapsed="false">
      <c r="A616" s="69"/>
      <c r="B616" s="68"/>
      <c r="C616" s="76" t="str">
        <f aca="false">IF(B616="","",IFERROR(INDEX(PE_Nom,MATCH(B616,PE_Mat,0)),"Matricule inconnu"))</f>
        <v/>
      </c>
      <c r="D616" s="76" t="str">
        <f aca="false">IF(B616="","",IFERROR(INDEX(PE_Fonction,MATCH(B616,PE_Mat,0)),""))</f>
        <v/>
      </c>
      <c r="E616" s="76" t="str">
        <f aca="false">IF(B616="","",IFERROR(INDEX(PE_Equipe,MATCH(B616,PE_Mat,0)),""))</f>
        <v/>
      </c>
      <c r="F616" s="25"/>
      <c r="G616" s="25"/>
      <c r="H616" s="68"/>
      <c r="I616" s="89"/>
      <c r="J616" s="31" t="str">
        <f aca="false">IF(B616="","",IFERROR(INDEX(PE_Taux,MATCH(B616,PE_Mat,0)),0))</f>
        <v/>
      </c>
      <c r="K616" s="31" t="str">
        <f aca="false">IF(B616="","",IF(H616="A",0,IFERROR(N(I616)/P_Heures*J616,0)))</f>
        <v/>
      </c>
      <c r="L616" s="25"/>
    </row>
    <row r="617" customFormat="false" ht="15" hidden="false" customHeight="false" outlineLevel="0" collapsed="false">
      <c r="A617" s="69"/>
      <c r="B617" s="68"/>
      <c r="C617" s="76" t="str">
        <f aca="false">IF(B617="","",IFERROR(INDEX(PE_Nom,MATCH(B617,PE_Mat,0)),"Matricule inconnu"))</f>
        <v/>
      </c>
      <c r="D617" s="76" t="str">
        <f aca="false">IF(B617="","",IFERROR(INDEX(PE_Fonction,MATCH(B617,PE_Mat,0)),""))</f>
        <v/>
      </c>
      <c r="E617" s="76" t="str">
        <f aca="false">IF(B617="","",IFERROR(INDEX(PE_Equipe,MATCH(B617,PE_Mat,0)),""))</f>
        <v/>
      </c>
      <c r="F617" s="25"/>
      <c r="G617" s="25"/>
      <c r="H617" s="68"/>
      <c r="I617" s="89"/>
      <c r="J617" s="31" t="str">
        <f aca="false">IF(B617="","",IFERROR(INDEX(PE_Taux,MATCH(B617,PE_Mat,0)),0))</f>
        <v/>
      </c>
      <c r="K617" s="31" t="str">
        <f aca="false">IF(B617="","",IF(H617="A",0,IFERROR(N(I617)/P_Heures*J617,0)))</f>
        <v/>
      </c>
      <c r="L617" s="25"/>
    </row>
    <row r="618" customFormat="false" ht="15" hidden="false" customHeight="false" outlineLevel="0" collapsed="false">
      <c r="A618" s="69"/>
      <c r="B618" s="68"/>
      <c r="C618" s="76" t="str">
        <f aca="false">IF(B618="","",IFERROR(INDEX(PE_Nom,MATCH(B618,PE_Mat,0)),"Matricule inconnu"))</f>
        <v/>
      </c>
      <c r="D618" s="76" t="str">
        <f aca="false">IF(B618="","",IFERROR(INDEX(PE_Fonction,MATCH(B618,PE_Mat,0)),""))</f>
        <v/>
      </c>
      <c r="E618" s="76" t="str">
        <f aca="false">IF(B618="","",IFERROR(INDEX(PE_Equipe,MATCH(B618,PE_Mat,0)),""))</f>
        <v/>
      </c>
      <c r="F618" s="25"/>
      <c r="G618" s="25"/>
      <c r="H618" s="68"/>
      <c r="I618" s="89"/>
      <c r="J618" s="31" t="str">
        <f aca="false">IF(B618="","",IFERROR(INDEX(PE_Taux,MATCH(B618,PE_Mat,0)),0))</f>
        <v/>
      </c>
      <c r="K618" s="31" t="str">
        <f aca="false">IF(B618="","",IF(H618="A",0,IFERROR(N(I618)/P_Heures*J618,0)))</f>
        <v/>
      </c>
      <c r="L618" s="25"/>
    </row>
    <row r="619" customFormat="false" ht="15" hidden="false" customHeight="false" outlineLevel="0" collapsed="false">
      <c r="A619" s="69"/>
      <c r="B619" s="68"/>
      <c r="C619" s="76" t="str">
        <f aca="false">IF(B619="","",IFERROR(INDEX(PE_Nom,MATCH(B619,PE_Mat,0)),"Matricule inconnu"))</f>
        <v/>
      </c>
      <c r="D619" s="76" t="str">
        <f aca="false">IF(B619="","",IFERROR(INDEX(PE_Fonction,MATCH(B619,PE_Mat,0)),""))</f>
        <v/>
      </c>
      <c r="E619" s="76" t="str">
        <f aca="false">IF(B619="","",IFERROR(INDEX(PE_Equipe,MATCH(B619,PE_Mat,0)),""))</f>
        <v/>
      </c>
      <c r="F619" s="25"/>
      <c r="G619" s="25"/>
      <c r="H619" s="68"/>
      <c r="I619" s="89"/>
      <c r="J619" s="31" t="str">
        <f aca="false">IF(B619="","",IFERROR(INDEX(PE_Taux,MATCH(B619,PE_Mat,0)),0))</f>
        <v/>
      </c>
      <c r="K619" s="31" t="str">
        <f aca="false">IF(B619="","",IF(H619="A",0,IFERROR(N(I619)/P_Heures*J619,0)))</f>
        <v/>
      </c>
      <c r="L619" s="25"/>
    </row>
    <row r="620" customFormat="false" ht="15" hidden="false" customHeight="false" outlineLevel="0" collapsed="false">
      <c r="A620" s="69"/>
      <c r="B620" s="68"/>
      <c r="C620" s="76" t="str">
        <f aca="false">IF(B620="","",IFERROR(INDEX(PE_Nom,MATCH(B620,PE_Mat,0)),"Matricule inconnu"))</f>
        <v/>
      </c>
      <c r="D620" s="76" t="str">
        <f aca="false">IF(B620="","",IFERROR(INDEX(PE_Fonction,MATCH(B620,PE_Mat,0)),""))</f>
        <v/>
      </c>
      <c r="E620" s="76" t="str">
        <f aca="false">IF(B620="","",IFERROR(INDEX(PE_Equipe,MATCH(B620,PE_Mat,0)),""))</f>
        <v/>
      </c>
      <c r="F620" s="25"/>
      <c r="G620" s="25"/>
      <c r="H620" s="68"/>
      <c r="I620" s="89"/>
      <c r="J620" s="31" t="str">
        <f aca="false">IF(B620="","",IFERROR(INDEX(PE_Taux,MATCH(B620,PE_Mat,0)),0))</f>
        <v/>
      </c>
      <c r="K620" s="31" t="str">
        <f aca="false">IF(B620="","",IF(H620="A",0,IFERROR(N(I620)/P_Heures*J620,0)))</f>
        <v/>
      </c>
      <c r="L620" s="25"/>
    </row>
    <row r="621" customFormat="false" ht="15" hidden="false" customHeight="false" outlineLevel="0" collapsed="false">
      <c r="A621" s="69"/>
      <c r="B621" s="68"/>
      <c r="C621" s="76" t="str">
        <f aca="false">IF(B621="","",IFERROR(INDEX(PE_Nom,MATCH(B621,PE_Mat,0)),"Matricule inconnu"))</f>
        <v/>
      </c>
      <c r="D621" s="76" t="str">
        <f aca="false">IF(B621="","",IFERROR(INDEX(PE_Fonction,MATCH(B621,PE_Mat,0)),""))</f>
        <v/>
      </c>
      <c r="E621" s="76" t="str">
        <f aca="false">IF(B621="","",IFERROR(INDEX(PE_Equipe,MATCH(B621,PE_Mat,0)),""))</f>
        <v/>
      </c>
      <c r="F621" s="25"/>
      <c r="G621" s="25"/>
      <c r="H621" s="68"/>
      <c r="I621" s="89"/>
      <c r="J621" s="31" t="str">
        <f aca="false">IF(B621="","",IFERROR(INDEX(PE_Taux,MATCH(B621,PE_Mat,0)),0))</f>
        <v/>
      </c>
      <c r="K621" s="31" t="str">
        <f aca="false">IF(B621="","",IF(H621="A",0,IFERROR(N(I621)/P_Heures*J621,0)))</f>
        <v/>
      </c>
      <c r="L621" s="25"/>
    </row>
    <row r="622" customFormat="false" ht="15" hidden="false" customHeight="false" outlineLevel="0" collapsed="false">
      <c r="A622" s="69"/>
      <c r="B622" s="68"/>
      <c r="C622" s="76" t="str">
        <f aca="false">IF(B622="","",IFERROR(INDEX(PE_Nom,MATCH(B622,PE_Mat,0)),"Matricule inconnu"))</f>
        <v/>
      </c>
      <c r="D622" s="76" t="str">
        <f aca="false">IF(B622="","",IFERROR(INDEX(PE_Fonction,MATCH(B622,PE_Mat,0)),""))</f>
        <v/>
      </c>
      <c r="E622" s="76" t="str">
        <f aca="false">IF(B622="","",IFERROR(INDEX(PE_Equipe,MATCH(B622,PE_Mat,0)),""))</f>
        <v/>
      </c>
      <c r="F622" s="25"/>
      <c r="G622" s="25"/>
      <c r="H622" s="68"/>
      <c r="I622" s="89"/>
      <c r="J622" s="31" t="str">
        <f aca="false">IF(B622="","",IFERROR(INDEX(PE_Taux,MATCH(B622,PE_Mat,0)),0))</f>
        <v/>
      </c>
      <c r="K622" s="31" t="str">
        <f aca="false">IF(B622="","",IF(H622="A",0,IFERROR(N(I622)/P_Heures*J622,0)))</f>
        <v/>
      </c>
      <c r="L622" s="25"/>
    </row>
    <row r="623" customFormat="false" ht="15" hidden="false" customHeight="false" outlineLevel="0" collapsed="false">
      <c r="A623" s="69"/>
      <c r="B623" s="68"/>
      <c r="C623" s="76" t="str">
        <f aca="false">IF(B623="","",IFERROR(INDEX(PE_Nom,MATCH(B623,PE_Mat,0)),"Matricule inconnu"))</f>
        <v/>
      </c>
      <c r="D623" s="76" t="str">
        <f aca="false">IF(B623="","",IFERROR(INDEX(PE_Fonction,MATCH(B623,PE_Mat,0)),""))</f>
        <v/>
      </c>
      <c r="E623" s="76" t="str">
        <f aca="false">IF(B623="","",IFERROR(INDEX(PE_Equipe,MATCH(B623,PE_Mat,0)),""))</f>
        <v/>
      </c>
      <c r="F623" s="25"/>
      <c r="G623" s="25"/>
      <c r="H623" s="68"/>
      <c r="I623" s="89"/>
      <c r="J623" s="31" t="str">
        <f aca="false">IF(B623="","",IFERROR(INDEX(PE_Taux,MATCH(B623,PE_Mat,0)),0))</f>
        <v/>
      </c>
      <c r="K623" s="31" t="str">
        <f aca="false">IF(B623="","",IF(H623="A",0,IFERROR(N(I623)/P_Heures*J623,0)))</f>
        <v/>
      </c>
      <c r="L623" s="25"/>
    </row>
    <row r="624" customFormat="false" ht="15" hidden="false" customHeight="false" outlineLevel="0" collapsed="false">
      <c r="A624" s="69"/>
      <c r="B624" s="68"/>
      <c r="C624" s="76" t="str">
        <f aca="false">IF(B624="","",IFERROR(INDEX(PE_Nom,MATCH(B624,PE_Mat,0)),"Matricule inconnu"))</f>
        <v/>
      </c>
      <c r="D624" s="76" t="str">
        <f aca="false">IF(B624="","",IFERROR(INDEX(PE_Fonction,MATCH(B624,PE_Mat,0)),""))</f>
        <v/>
      </c>
      <c r="E624" s="76" t="str">
        <f aca="false">IF(B624="","",IFERROR(INDEX(PE_Equipe,MATCH(B624,PE_Mat,0)),""))</f>
        <v/>
      </c>
      <c r="F624" s="25"/>
      <c r="G624" s="25"/>
      <c r="H624" s="68"/>
      <c r="I624" s="89"/>
      <c r="J624" s="31" t="str">
        <f aca="false">IF(B624="","",IFERROR(INDEX(PE_Taux,MATCH(B624,PE_Mat,0)),0))</f>
        <v/>
      </c>
      <c r="K624" s="31" t="str">
        <f aca="false">IF(B624="","",IF(H624="A",0,IFERROR(N(I624)/P_Heures*J624,0)))</f>
        <v/>
      </c>
      <c r="L624" s="25"/>
    </row>
    <row r="625" customFormat="false" ht="15" hidden="false" customHeight="false" outlineLevel="0" collapsed="false">
      <c r="A625" s="69"/>
      <c r="B625" s="68"/>
      <c r="C625" s="76" t="str">
        <f aca="false">IF(B625="","",IFERROR(INDEX(PE_Nom,MATCH(B625,PE_Mat,0)),"Matricule inconnu"))</f>
        <v/>
      </c>
      <c r="D625" s="76" t="str">
        <f aca="false">IF(B625="","",IFERROR(INDEX(PE_Fonction,MATCH(B625,PE_Mat,0)),""))</f>
        <v/>
      </c>
      <c r="E625" s="76" t="str">
        <f aca="false">IF(B625="","",IFERROR(INDEX(PE_Equipe,MATCH(B625,PE_Mat,0)),""))</f>
        <v/>
      </c>
      <c r="F625" s="25"/>
      <c r="G625" s="25"/>
      <c r="H625" s="68"/>
      <c r="I625" s="89"/>
      <c r="J625" s="31" t="str">
        <f aca="false">IF(B625="","",IFERROR(INDEX(PE_Taux,MATCH(B625,PE_Mat,0)),0))</f>
        <v/>
      </c>
      <c r="K625" s="31" t="str">
        <f aca="false">IF(B625="","",IF(H625="A",0,IFERROR(N(I625)/P_Heures*J625,0)))</f>
        <v/>
      </c>
      <c r="L625" s="25"/>
    </row>
    <row r="626" customFormat="false" ht="15" hidden="false" customHeight="false" outlineLevel="0" collapsed="false">
      <c r="A626" s="69"/>
      <c r="B626" s="68"/>
      <c r="C626" s="76" t="str">
        <f aca="false">IF(B626="","",IFERROR(INDEX(PE_Nom,MATCH(B626,PE_Mat,0)),"Matricule inconnu"))</f>
        <v/>
      </c>
      <c r="D626" s="76" t="str">
        <f aca="false">IF(B626="","",IFERROR(INDEX(PE_Fonction,MATCH(B626,PE_Mat,0)),""))</f>
        <v/>
      </c>
      <c r="E626" s="76" t="str">
        <f aca="false">IF(B626="","",IFERROR(INDEX(PE_Equipe,MATCH(B626,PE_Mat,0)),""))</f>
        <v/>
      </c>
      <c r="F626" s="25"/>
      <c r="G626" s="25"/>
      <c r="H626" s="68"/>
      <c r="I626" s="89"/>
      <c r="J626" s="31" t="str">
        <f aca="false">IF(B626="","",IFERROR(INDEX(PE_Taux,MATCH(B626,PE_Mat,0)),0))</f>
        <v/>
      </c>
      <c r="K626" s="31" t="str">
        <f aca="false">IF(B626="","",IF(H626="A",0,IFERROR(N(I626)/P_Heures*J626,0)))</f>
        <v/>
      </c>
      <c r="L626" s="25"/>
    </row>
    <row r="627" customFormat="false" ht="15" hidden="false" customHeight="false" outlineLevel="0" collapsed="false">
      <c r="A627" s="69"/>
      <c r="B627" s="68"/>
      <c r="C627" s="76" t="str">
        <f aca="false">IF(B627="","",IFERROR(INDEX(PE_Nom,MATCH(B627,PE_Mat,0)),"Matricule inconnu"))</f>
        <v/>
      </c>
      <c r="D627" s="76" t="str">
        <f aca="false">IF(B627="","",IFERROR(INDEX(PE_Fonction,MATCH(B627,PE_Mat,0)),""))</f>
        <v/>
      </c>
      <c r="E627" s="76" t="str">
        <f aca="false">IF(B627="","",IFERROR(INDEX(PE_Equipe,MATCH(B627,PE_Mat,0)),""))</f>
        <v/>
      </c>
      <c r="F627" s="25"/>
      <c r="G627" s="25"/>
      <c r="H627" s="68"/>
      <c r="I627" s="89"/>
      <c r="J627" s="31" t="str">
        <f aca="false">IF(B627="","",IFERROR(INDEX(PE_Taux,MATCH(B627,PE_Mat,0)),0))</f>
        <v/>
      </c>
      <c r="K627" s="31" t="str">
        <f aca="false">IF(B627="","",IF(H627="A",0,IFERROR(N(I627)/P_Heures*J627,0)))</f>
        <v/>
      </c>
      <c r="L627" s="25"/>
    </row>
    <row r="628" customFormat="false" ht="15" hidden="false" customHeight="false" outlineLevel="0" collapsed="false">
      <c r="A628" s="69"/>
      <c r="B628" s="68"/>
      <c r="C628" s="76" t="str">
        <f aca="false">IF(B628="","",IFERROR(INDEX(PE_Nom,MATCH(B628,PE_Mat,0)),"Matricule inconnu"))</f>
        <v/>
      </c>
      <c r="D628" s="76" t="str">
        <f aca="false">IF(B628="","",IFERROR(INDEX(PE_Fonction,MATCH(B628,PE_Mat,0)),""))</f>
        <v/>
      </c>
      <c r="E628" s="76" t="str">
        <f aca="false">IF(B628="","",IFERROR(INDEX(PE_Equipe,MATCH(B628,PE_Mat,0)),""))</f>
        <v/>
      </c>
      <c r="F628" s="25"/>
      <c r="G628" s="25"/>
      <c r="H628" s="68"/>
      <c r="I628" s="89"/>
      <c r="J628" s="31" t="str">
        <f aca="false">IF(B628="","",IFERROR(INDEX(PE_Taux,MATCH(B628,PE_Mat,0)),0))</f>
        <v/>
      </c>
      <c r="K628" s="31" t="str">
        <f aca="false">IF(B628="","",IF(H628="A",0,IFERROR(N(I628)/P_Heures*J628,0)))</f>
        <v/>
      </c>
      <c r="L628" s="25"/>
    </row>
    <row r="629" customFormat="false" ht="15" hidden="false" customHeight="false" outlineLevel="0" collapsed="false">
      <c r="A629" s="69"/>
      <c r="B629" s="68"/>
      <c r="C629" s="76" t="str">
        <f aca="false">IF(B629="","",IFERROR(INDEX(PE_Nom,MATCH(B629,PE_Mat,0)),"Matricule inconnu"))</f>
        <v/>
      </c>
      <c r="D629" s="76" t="str">
        <f aca="false">IF(B629="","",IFERROR(INDEX(PE_Fonction,MATCH(B629,PE_Mat,0)),""))</f>
        <v/>
      </c>
      <c r="E629" s="76" t="str">
        <f aca="false">IF(B629="","",IFERROR(INDEX(PE_Equipe,MATCH(B629,PE_Mat,0)),""))</f>
        <v/>
      </c>
      <c r="F629" s="25"/>
      <c r="G629" s="25"/>
      <c r="H629" s="68"/>
      <c r="I629" s="89"/>
      <c r="J629" s="31" t="str">
        <f aca="false">IF(B629="","",IFERROR(INDEX(PE_Taux,MATCH(B629,PE_Mat,0)),0))</f>
        <v/>
      </c>
      <c r="K629" s="31" t="str">
        <f aca="false">IF(B629="","",IF(H629="A",0,IFERROR(N(I629)/P_Heures*J629,0)))</f>
        <v/>
      </c>
      <c r="L629" s="25"/>
    </row>
    <row r="630" customFormat="false" ht="15" hidden="false" customHeight="false" outlineLevel="0" collapsed="false">
      <c r="A630" s="69"/>
      <c r="B630" s="68"/>
      <c r="C630" s="76" t="str">
        <f aca="false">IF(B630="","",IFERROR(INDEX(PE_Nom,MATCH(B630,PE_Mat,0)),"Matricule inconnu"))</f>
        <v/>
      </c>
      <c r="D630" s="76" t="str">
        <f aca="false">IF(B630="","",IFERROR(INDEX(PE_Fonction,MATCH(B630,PE_Mat,0)),""))</f>
        <v/>
      </c>
      <c r="E630" s="76" t="str">
        <f aca="false">IF(B630="","",IFERROR(INDEX(PE_Equipe,MATCH(B630,PE_Mat,0)),""))</f>
        <v/>
      </c>
      <c r="F630" s="25"/>
      <c r="G630" s="25"/>
      <c r="H630" s="68"/>
      <c r="I630" s="89"/>
      <c r="J630" s="31" t="str">
        <f aca="false">IF(B630="","",IFERROR(INDEX(PE_Taux,MATCH(B630,PE_Mat,0)),0))</f>
        <v/>
      </c>
      <c r="K630" s="31" t="str">
        <f aca="false">IF(B630="","",IF(H630="A",0,IFERROR(N(I630)/P_Heures*J630,0)))</f>
        <v/>
      </c>
      <c r="L630" s="25"/>
    </row>
    <row r="631" customFormat="false" ht="15" hidden="false" customHeight="false" outlineLevel="0" collapsed="false">
      <c r="A631" s="69"/>
      <c r="B631" s="68"/>
      <c r="C631" s="76" t="str">
        <f aca="false">IF(B631="","",IFERROR(INDEX(PE_Nom,MATCH(B631,PE_Mat,0)),"Matricule inconnu"))</f>
        <v/>
      </c>
      <c r="D631" s="76" t="str">
        <f aca="false">IF(B631="","",IFERROR(INDEX(PE_Fonction,MATCH(B631,PE_Mat,0)),""))</f>
        <v/>
      </c>
      <c r="E631" s="76" t="str">
        <f aca="false">IF(B631="","",IFERROR(INDEX(PE_Equipe,MATCH(B631,PE_Mat,0)),""))</f>
        <v/>
      </c>
      <c r="F631" s="25"/>
      <c r="G631" s="25"/>
      <c r="H631" s="68"/>
      <c r="I631" s="89"/>
      <c r="J631" s="31" t="str">
        <f aca="false">IF(B631="","",IFERROR(INDEX(PE_Taux,MATCH(B631,PE_Mat,0)),0))</f>
        <v/>
      </c>
      <c r="K631" s="31" t="str">
        <f aca="false">IF(B631="","",IF(H631="A",0,IFERROR(N(I631)/P_Heures*J631,0)))</f>
        <v/>
      </c>
      <c r="L631" s="25"/>
    </row>
    <row r="632" customFormat="false" ht="15" hidden="false" customHeight="false" outlineLevel="0" collapsed="false">
      <c r="A632" s="69"/>
      <c r="B632" s="68"/>
      <c r="C632" s="76" t="str">
        <f aca="false">IF(B632="","",IFERROR(INDEX(PE_Nom,MATCH(B632,PE_Mat,0)),"Matricule inconnu"))</f>
        <v/>
      </c>
      <c r="D632" s="76" t="str">
        <f aca="false">IF(B632="","",IFERROR(INDEX(PE_Fonction,MATCH(B632,PE_Mat,0)),""))</f>
        <v/>
      </c>
      <c r="E632" s="76" t="str">
        <f aca="false">IF(B632="","",IFERROR(INDEX(PE_Equipe,MATCH(B632,PE_Mat,0)),""))</f>
        <v/>
      </c>
      <c r="F632" s="25"/>
      <c r="G632" s="25"/>
      <c r="H632" s="68"/>
      <c r="I632" s="89"/>
      <c r="J632" s="31" t="str">
        <f aca="false">IF(B632="","",IFERROR(INDEX(PE_Taux,MATCH(B632,PE_Mat,0)),0))</f>
        <v/>
      </c>
      <c r="K632" s="31" t="str">
        <f aca="false">IF(B632="","",IF(H632="A",0,IFERROR(N(I632)/P_Heures*J632,0)))</f>
        <v/>
      </c>
      <c r="L632" s="25"/>
    </row>
    <row r="633" customFormat="false" ht="15" hidden="false" customHeight="false" outlineLevel="0" collapsed="false">
      <c r="A633" s="69"/>
      <c r="B633" s="68"/>
      <c r="C633" s="76" t="str">
        <f aca="false">IF(B633="","",IFERROR(INDEX(PE_Nom,MATCH(B633,PE_Mat,0)),"Matricule inconnu"))</f>
        <v/>
      </c>
      <c r="D633" s="76" t="str">
        <f aca="false">IF(B633="","",IFERROR(INDEX(PE_Fonction,MATCH(B633,PE_Mat,0)),""))</f>
        <v/>
      </c>
      <c r="E633" s="76" t="str">
        <f aca="false">IF(B633="","",IFERROR(INDEX(PE_Equipe,MATCH(B633,PE_Mat,0)),""))</f>
        <v/>
      </c>
      <c r="F633" s="25"/>
      <c r="G633" s="25"/>
      <c r="H633" s="68"/>
      <c r="I633" s="89"/>
      <c r="J633" s="31" t="str">
        <f aca="false">IF(B633="","",IFERROR(INDEX(PE_Taux,MATCH(B633,PE_Mat,0)),0))</f>
        <v/>
      </c>
      <c r="K633" s="31" t="str">
        <f aca="false">IF(B633="","",IF(H633="A",0,IFERROR(N(I633)/P_Heures*J633,0)))</f>
        <v/>
      </c>
      <c r="L633" s="25"/>
    </row>
    <row r="634" customFormat="false" ht="15" hidden="false" customHeight="false" outlineLevel="0" collapsed="false">
      <c r="A634" s="69"/>
      <c r="B634" s="68"/>
      <c r="C634" s="76" t="str">
        <f aca="false">IF(B634="","",IFERROR(INDEX(PE_Nom,MATCH(B634,PE_Mat,0)),"Matricule inconnu"))</f>
        <v/>
      </c>
      <c r="D634" s="76" t="str">
        <f aca="false">IF(B634="","",IFERROR(INDEX(PE_Fonction,MATCH(B634,PE_Mat,0)),""))</f>
        <v/>
      </c>
      <c r="E634" s="76" t="str">
        <f aca="false">IF(B634="","",IFERROR(INDEX(PE_Equipe,MATCH(B634,PE_Mat,0)),""))</f>
        <v/>
      </c>
      <c r="F634" s="25"/>
      <c r="G634" s="25"/>
      <c r="H634" s="68"/>
      <c r="I634" s="89"/>
      <c r="J634" s="31" t="str">
        <f aca="false">IF(B634="","",IFERROR(INDEX(PE_Taux,MATCH(B634,PE_Mat,0)),0))</f>
        <v/>
      </c>
      <c r="K634" s="31" t="str">
        <f aca="false">IF(B634="","",IF(H634="A",0,IFERROR(N(I634)/P_Heures*J634,0)))</f>
        <v/>
      </c>
      <c r="L634" s="25"/>
    </row>
    <row r="635" customFormat="false" ht="15" hidden="false" customHeight="false" outlineLevel="0" collapsed="false">
      <c r="A635" s="69"/>
      <c r="B635" s="68"/>
      <c r="C635" s="76" t="str">
        <f aca="false">IF(B635="","",IFERROR(INDEX(PE_Nom,MATCH(B635,PE_Mat,0)),"Matricule inconnu"))</f>
        <v/>
      </c>
      <c r="D635" s="76" t="str">
        <f aca="false">IF(B635="","",IFERROR(INDEX(PE_Fonction,MATCH(B635,PE_Mat,0)),""))</f>
        <v/>
      </c>
      <c r="E635" s="76" t="str">
        <f aca="false">IF(B635="","",IFERROR(INDEX(PE_Equipe,MATCH(B635,PE_Mat,0)),""))</f>
        <v/>
      </c>
      <c r="F635" s="25"/>
      <c r="G635" s="25"/>
      <c r="H635" s="68"/>
      <c r="I635" s="89"/>
      <c r="J635" s="31" t="str">
        <f aca="false">IF(B635="","",IFERROR(INDEX(PE_Taux,MATCH(B635,PE_Mat,0)),0))</f>
        <v/>
      </c>
      <c r="K635" s="31" t="str">
        <f aca="false">IF(B635="","",IF(H635="A",0,IFERROR(N(I635)/P_Heures*J635,0)))</f>
        <v/>
      </c>
      <c r="L635" s="25"/>
    </row>
    <row r="636" customFormat="false" ht="15" hidden="false" customHeight="false" outlineLevel="0" collapsed="false">
      <c r="A636" s="69"/>
      <c r="B636" s="68"/>
      <c r="C636" s="76" t="str">
        <f aca="false">IF(B636="","",IFERROR(INDEX(PE_Nom,MATCH(B636,PE_Mat,0)),"Matricule inconnu"))</f>
        <v/>
      </c>
      <c r="D636" s="76" t="str">
        <f aca="false">IF(B636="","",IFERROR(INDEX(PE_Fonction,MATCH(B636,PE_Mat,0)),""))</f>
        <v/>
      </c>
      <c r="E636" s="76" t="str">
        <f aca="false">IF(B636="","",IFERROR(INDEX(PE_Equipe,MATCH(B636,PE_Mat,0)),""))</f>
        <v/>
      </c>
      <c r="F636" s="25"/>
      <c r="G636" s="25"/>
      <c r="H636" s="68"/>
      <c r="I636" s="89"/>
      <c r="J636" s="31" t="str">
        <f aca="false">IF(B636="","",IFERROR(INDEX(PE_Taux,MATCH(B636,PE_Mat,0)),0))</f>
        <v/>
      </c>
      <c r="K636" s="31" t="str">
        <f aca="false">IF(B636="","",IF(H636="A",0,IFERROR(N(I636)/P_Heures*J636,0)))</f>
        <v/>
      </c>
      <c r="L636" s="25"/>
    </row>
    <row r="637" customFormat="false" ht="15" hidden="false" customHeight="false" outlineLevel="0" collapsed="false">
      <c r="A637" s="69"/>
      <c r="B637" s="68"/>
      <c r="C637" s="76" t="str">
        <f aca="false">IF(B637="","",IFERROR(INDEX(PE_Nom,MATCH(B637,PE_Mat,0)),"Matricule inconnu"))</f>
        <v/>
      </c>
      <c r="D637" s="76" t="str">
        <f aca="false">IF(B637="","",IFERROR(INDEX(PE_Fonction,MATCH(B637,PE_Mat,0)),""))</f>
        <v/>
      </c>
      <c r="E637" s="76" t="str">
        <f aca="false">IF(B637="","",IFERROR(INDEX(PE_Equipe,MATCH(B637,PE_Mat,0)),""))</f>
        <v/>
      </c>
      <c r="F637" s="25"/>
      <c r="G637" s="25"/>
      <c r="H637" s="68"/>
      <c r="I637" s="89"/>
      <c r="J637" s="31" t="str">
        <f aca="false">IF(B637="","",IFERROR(INDEX(PE_Taux,MATCH(B637,PE_Mat,0)),0))</f>
        <v/>
      </c>
      <c r="K637" s="31" t="str">
        <f aca="false">IF(B637="","",IF(H637="A",0,IFERROR(N(I637)/P_Heures*J637,0)))</f>
        <v/>
      </c>
      <c r="L637" s="25"/>
    </row>
    <row r="638" customFormat="false" ht="15" hidden="false" customHeight="false" outlineLevel="0" collapsed="false">
      <c r="A638" s="69"/>
      <c r="B638" s="68"/>
      <c r="C638" s="76" t="str">
        <f aca="false">IF(B638="","",IFERROR(INDEX(PE_Nom,MATCH(B638,PE_Mat,0)),"Matricule inconnu"))</f>
        <v/>
      </c>
      <c r="D638" s="76" t="str">
        <f aca="false">IF(B638="","",IFERROR(INDEX(PE_Fonction,MATCH(B638,PE_Mat,0)),""))</f>
        <v/>
      </c>
      <c r="E638" s="76" t="str">
        <f aca="false">IF(B638="","",IFERROR(INDEX(PE_Equipe,MATCH(B638,PE_Mat,0)),""))</f>
        <v/>
      </c>
      <c r="F638" s="25"/>
      <c r="G638" s="25"/>
      <c r="H638" s="68"/>
      <c r="I638" s="89"/>
      <c r="J638" s="31" t="str">
        <f aca="false">IF(B638="","",IFERROR(INDEX(PE_Taux,MATCH(B638,PE_Mat,0)),0))</f>
        <v/>
      </c>
      <c r="K638" s="31" t="str">
        <f aca="false">IF(B638="","",IF(H638="A",0,IFERROR(N(I638)/P_Heures*J638,0)))</f>
        <v/>
      </c>
      <c r="L638" s="25"/>
    </row>
    <row r="639" customFormat="false" ht="15" hidden="false" customHeight="false" outlineLevel="0" collapsed="false">
      <c r="A639" s="69"/>
      <c r="B639" s="68"/>
      <c r="C639" s="76" t="str">
        <f aca="false">IF(B639="","",IFERROR(INDEX(PE_Nom,MATCH(B639,PE_Mat,0)),"Matricule inconnu"))</f>
        <v/>
      </c>
      <c r="D639" s="76" t="str">
        <f aca="false">IF(B639="","",IFERROR(INDEX(PE_Fonction,MATCH(B639,PE_Mat,0)),""))</f>
        <v/>
      </c>
      <c r="E639" s="76" t="str">
        <f aca="false">IF(B639="","",IFERROR(INDEX(PE_Equipe,MATCH(B639,PE_Mat,0)),""))</f>
        <v/>
      </c>
      <c r="F639" s="25"/>
      <c r="G639" s="25"/>
      <c r="H639" s="68"/>
      <c r="I639" s="89"/>
      <c r="J639" s="31" t="str">
        <f aca="false">IF(B639="","",IFERROR(INDEX(PE_Taux,MATCH(B639,PE_Mat,0)),0))</f>
        <v/>
      </c>
      <c r="K639" s="31" t="str">
        <f aca="false">IF(B639="","",IF(H639="A",0,IFERROR(N(I639)/P_Heures*J639,0)))</f>
        <v/>
      </c>
      <c r="L639" s="25"/>
    </row>
    <row r="640" customFormat="false" ht="15" hidden="false" customHeight="false" outlineLevel="0" collapsed="false">
      <c r="A640" s="69"/>
      <c r="B640" s="68"/>
      <c r="C640" s="76" t="str">
        <f aca="false">IF(B640="","",IFERROR(INDEX(PE_Nom,MATCH(B640,PE_Mat,0)),"Matricule inconnu"))</f>
        <v/>
      </c>
      <c r="D640" s="76" t="str">
        <f aca="false">IF(B640="","",IFERROR(INDEX(PE_Fonction,MATCH(B640,PE_Mat,0)),""))</f>
        <v/>
      </c>
      <c r="E640" s="76" t="str">
        <f aca="false">IF(B640="","",IFERROR(INDEX(PE_Equipe,MATCH(B640,PE_Mat,0)),""))</f>
        <v/>
      </c>
      <c r="F640" s="25"/>
      <c r="G640" s="25"/>
      <c r="H640" s="68"/>
      <c r="I640" s="89"/>
      <c r="J640" s="31" t="str">
        <f aca="false">IF(B640="","",IFERROR(INDEX(PE_Taux,MATCH(B640,PE_Mat,0)),0))</f>
        <v/>
      </c>
      <c r="K640" s="31" t="str">
        <f aca="false">IF(B640="","",IF(H640="A",0,IFERROR(N(I640)/P_Heures*J640,0)))</f>
        <v/>
      </c>
      <c r="L640" s="25"/>
    </row>
    <row r="641" customFormat="false" ht="15" hidden="false" customHeight="false" outlineLevel="0" collapsed="false">
      <c r="A641" s="69"/>
      <c r="B641" s="68"/>
      <c r="C641" s="76" t="str">
        <f aca="false">IF(B641="","",IFERROR(INDEX(PE_Nom,MATCH(B641,PE_Mat,0)),"Matricule inconnu"))</f>
        <v/>
      </c>
      <c r="D641" s="76" t="str">
        <f aca="false">IF(B641="","",IFERROR(INDEX(PE_Fonction,MATCH(B641,PE_Mat,0)),""))</f>
        <v/>
      </c>
      <c r="E641" s="76" t="str">
        <f aca="false">IF(B641="","",IFERROR(INDEX(PE_Equipe,MATCH(B641,PE_Mat,0)),""))</f>
        <v/>
      </c>
      <c r="F641" s="25"/>
      <c r="G641" s="25"/>
      <c r="H641" s="68"/>
      <c r="I641" s="89"/>
      <c r="J641" s="31" t="str">
        <f aca="false">IF(B641="","",IFERROR(INDEX(PE_Taux,MATCH(B641,PE_Mat,0)),0))</f>
        <v/>
      </c>
      <c r="K641" s="31" t="str">
        <f aca="false">IF(B641="","",IF(H641="A",0,IFERROR(N(I641)/P_Heures*J641,0)))</f>
        <v/>
      </c>
      <c r="L641" s="25"/>
    </row>
    <row r="642" customFormat="false" ht="15" hidden="false" customHeight="false" outlineLevel="0" collapsed="false">
      <c r="A642" s="69"/>
      <c r="B642" s="68"/>
      <c r="C642" s="76" t="str">
        <f aca="false">IF(B642="","",IFERROR(INDEX(PE_Nom,MATCH(B642,PE_Mat,0)),"Matricule inconnu"))</f>
        <v/>
      </c>
      <c r="D642" s="76" t="str">
        <f aca="false">IF(B642="","",IFERROR(INDEX(PE_Fonction,MATCH(B642,PE_Mat,0)),""))</f>
        <v/>
      </c>
      <c r="E642" s="76" t="str">
        <f aca="false">IF(B642="","",IFERROR(INDEX(PE_Equipe,MATCH(B642,PE_Mat,0)),""))</f>
        <v/>
      </c>
      <c r="F642" s="25"/>
      <c r="G642" s="25"/>
      <c r="H642" s="68"/>
      <c r="I642" s="89"/>
      <c r="J642" s="31" t="str">
        <f aca="false">IF(B642="","",IFERROR(INDEX(PE_Taux,MATCH(B642,PE_Mat,0)),0))</f>
        <v/>
      </c>
      <c r="K642" s="31" t="str">
        <f aca="false">IF(B642="","",IF(H642="A",0,IFERROR(N(I642)/P_Heures*J642,0)))</f>
        <v/>
      </c>
      <c r="L642" s="25"/>
    </row>
    <row r="643" customFormat="false" ht="15" hidden="false" customHeight="false" outlineLevel="0" collapsed="false">
      <c r="A643" s="69"/>
      <c r="B643" s="68"/>
      <c r="C643" s="76" t="str">
        <f aca="false">IF(B643="","",IFERROR(INDEX(PE_Nom,MATCH(B643,PE_Mat,0)),"Matricule inconnu"))</f>
        <v/>
      </c>
      <c r="D643" s="76" t="str">
        <f aca="false">IF(B643="","",IFERROR(INDEX(PE_Fonction,MATCH(B643,PE_Mat,0)),""))</f>
        <v/>
      </c>
      <c r="E643" s="76" t="str">
        <f aca="false">IF(B643="","",IFERROR(INDEX(PE_Equipe,MATCH(B643,PE_Mat,0)),""))</f>
        <v/>
      </c>
      <c r="F643" s="25"/>
      <c r="G643" s="25"/>
      <c r="H643" s="68"/>
      <c r="I643" s="89"/>
      <c r="J643" s="31" t="str">
        <f aca="false">IF(B643="","",IFERROR(INDEX(PE_Taux,MATCH(B643,PE_Mat,0)),0))</f>
        <v/>
      </c>
      <c r="K643" s="31" t="str">
        <f aca="false">IF(B643="","",IF(H643="A",0,IFERROR(N(I643)/P_Heures*J643,0)))</f>
        <v/>
      </c>
      <c r="L643" s="25"/>
    </row>
    <row r="644" customFormat="false" ht="15" hidden="false" customHeight="false" outlineLevel="0" collapsed="false">
      <c r="A644" s="69"/>
      <c r="B644" s="68"/>
      <c r="C644" s="76" t="str">
        <f aca="false">IF(B644="","",IFERROR(INDEX(PE_Nom,MATCH(B644,PE_Mat,0)),"Matricule inconnu"))</f>
        <v/>
      </c>
      <c r="D644" s="76" t="str">
        <f aca="false">IF(B644="","",IFERROR(INDEX(PE_Fonction,MATCH(B644,PE_Mat,0)),""))</f>
        <v/>
      </c>
      <c r="E644" s="76" t="str">
        <f aca="false">IF(B644="","",IFERROR(INDEX(PE_Equipe,MATCH(B644,PE_Mat,0)),""))</f>
        <v/>
      </c>
      <c r="F644" s="25"/>
      <c r="G644" s="25"/>
      <c r="H644" s="68"/>
      <c r="I644" s="89"/>
      <c r="J644" s="31" t="str">
        <f aca="false">IF(B644="","",IFERROR(INDEX(PE_Taux,MATCH(B644,PE_Mat,0)),0))</f>
        <v/>
      </c>
      <c r="K644" s="31" t="str">
        <f aca="false">IF(B644="","",IF(H644="A",0,IFERROR(N(I644)/P_Heures*J644,0)))</f>
        <v/>
      </c>
      <c r="L644" s="25"/>
    </row>
    <row r="645" customFormat="false" ht="15" hidden="false" customHeight="false" outlineLevel="0" collapsed="false">
      <c r="A645" s="69"/>
      <c r="B645" s="68"/>
      <c r="C645" s="76" t="str">
        <f aca="false">IF(B645="","",IFERROR(INDEX(PE_Nom,MATCH(B645,PE_Mat,0)),"Matricule inconnu"))</f>
        <v/>
      </c>
      <c r="D645" s="76" t="str">
        <f aca="false">IF(B645="","",IFERROR(INDEX(PE_Fonction,MATCH(B645,PE_Mat,0)),""))</f>
        <v/>
      </c>
      <c r="E645" s="76" t="str">
        <f aca="false">IF(B645="","",IFERROR(INDEX(PE_Equipe,MATCH(B645,PE_Mat,0)),""))</f>
        <v/>
      </c>
      <c r="F645" s="25"/>
      <c r="G645" s="25"/>
      <c r="H645" s="68"/>
      <c r="I645" s="89"/>
      <c r="J645" s="31" t="str">
        <f aca="false">IF(B645="","",IFERROR(INDEX(PE_Taux,MATCH(B645,PE_Mat,0)),0))</f>
        <v/>
      </c>
      <c r="K645" s="31" t="str">
        <f aca="false">IF(B645="","",IF(H645="A",0,IFERROR(N(I645)/P_Heures*J645,0)))</f>
        <v/>
      </c>
      <c r="L645" s="25"/>
    </row>
    <row r="646" customFormat="false" ht="15" hidden="false" customHeight="false" outlineLevel="0" collapsed="false">
      <c r="A646" s="69"/>
      <c r="B646" s="68"/>
      <c r="C646" s="76" t="str">
        <f aca="false">IF(B646="","",IFERROR(INDEX(PE_Nom,MATCH(B646,PE_Mat,0)),"Matricule inconnu"))</f>
        <v/>
      </c>
      <c r="D646" s="76" t="str">
        <f aca="false">IF(B646="","",IFERROR(INDEX(PE_Fonction,MATCH(B646,PE_Mat,0)),""))</f>
        <v/>
      </c>
      <c r="E646" s="76" t="str">
        <f aca="false">IF(B646="","",IFERROR(INDEX(PE_Equipe,MATCH(B646,PE_Mat,0)),""))</f>
        <v/>
      </c>
      <c r="F646" s="25"/>
      <c r="G646" s="25"/>
      <c r="H646" s="68"/>
      <c r="I646" s="89"/>
      <c r="J646" s="31" t="str">
        <f aca="false">IF(B646="","",IFERROR(INDEX(PE_Taux,MATCH(B646,PE_Mat,0)),0))</f>
        <v/>
      </c>
      <c r="K646" s="31" t="str">
        <f aca="false">IF(B646="","",IF(H646="A",0,IFERROR(N(I646)/P_Heures*J646,0)))</f>
        <v/>
      </c>
      <c r="L646" s="25"/>
    </row>
    <row r="647" customFormat="false" ht="15" hidden="false" customHeight="false" outlineLevel="0" collapsed="false">
      <c r="A647" s="69"/>
      <c r="B647" s="68"/>
      <c r="C647" s="76" t="str">
        <f aca="false">IF(B647="","",IFERROR(INDEX(PE_Nom,MATCH(B647,PE_Mat,0)),"Matricule inconnu"))</f>
        <v/>
      </c>
      <c r="D647" s="76" t="str">
        <f aca="false">IF(B647="","",IFERROR(INDEX(PE_Fonction,MATCH(B647,PE_Mat,0)),""))</f>
        <v/>
      </c>
      <c r="E647" s="76" t="str">
        <f aca="false">IF(B647="","",IFERROR(INDEX(PE_Equipe,MATCH(B647,PE_Mat,0)),""))</f>
        <v/>
      </c>
      <c r="F647" s="25"/>
      <c r="G647" s="25"/>
      <c r="H647" s="68"/>
      <c r="I647" s="89"/>
      <c r="J647" s="31" t="str">
        <f aca="false">IF(B647="","",IFERROR(INDEX(PE_Taux,MATCH(B647,PE_Mat,0)),0))</f>
        <v/>
      </c>
      <c r="K647" s="31" t="str">
        <f aca="false">IF(B647="","",IF(H647="A",0,IFERROR(N(I647)/P_Heures*J647,0)))</f>
        <v/>
      </c>
      <c r="L647" s="25"/>
    </row>
    <row r="648" customFormat="false" ht="15" hidden="false" customHeight="false" outlineLevel="0" collapsed="false">
      <c r="A648" s="69"/>
      <c r="B648" s="68"/>
      <c r="C648" s="76" t="str">
        <f aca="false">IF(B648="","",IFERROR(INDEX(PE_Nom,MATCH(B648,PE_Mat,0)),"Matricule inconnu"))</f>
        <v/>
      </c>
      <c r="D648" s="76" t="str">
        <f aca="false">IF(B648="","",IFERROR(INDEX(PE_Fonction,MATCH(B648,PE_Mat,0)),""))</f>
        <v/>
      </c>
      <c r="E648" s="76" t="str">
        <f aca="false">IF(B648="","",IFERROR(INDEX(PE_Equipe,MATCH(B648,PE_Mat,0)),""))</f>
        <v/>
      </c>
      <c r="F648" s="25"/>
      <c r="G648" s="25"/>
      <c r="H648" s="68"/>
      <c r="I648" s="89"/>
      <c r="J648" s="31" t="str">
        <f aca="false">IF(B648="","",IFERROR(INDEX(PE_Taux,MATCH(B648,PE_Mat,0)),0))</f>
        <v/>
      </c>
      <c r="K648" s="31" t="str">
        <f aca="false">IF(B648="","",IF(H648="A",0,IFERROR(N(I648)/P_Heures*J648,0)))</f>
        <v/>
      </c>
      <c r="L648" s="25"/>
    </row>
    <row r="649" customFormat="false" ht="15" hidden="false" customHeight="false" outlineLevel="0" collapsed="false">
      <c r="A649" s="69"/>
      <c r="B649" s="68"/>
      <c r="C649" s="76" t="str">
        <f aca="false">IF(B649="","",IFERROR(INDEX(PE_Nom,MATCH(B649,PE_Mat,0)),"Matricule inconnu"))</f>
        <v/>
      </c>
      <c r="D649" s="76" t="str">
        <f aca="false">IF(B649="","",IFERROR(INDEX(PE_Fonction,MATCH(B649,PE_Mat,0)),""))</f>
        <v/>
      </c>
      <c r="E649" s="76" t="str">
        <f aca="false">IF(B649="","",IFERROR(INDEX(PE_Equipe,MATCH(B649,PE_Mat,0)),""))</f>
        <v/>
      </c>
      <c r="F649" s="25"/>
      <c r="G649" s="25"/>
      <c r="H649" s="68"/>
      <c r="I649" s="89"/>
      <c r="J649" s="31" t="str">
        <f aca="false">IF(B649="","",IFERROR(INDEX(PE_Taux,MATCH(B649,PE_Mat,0)),0))</f>
        <v/>
      </c>
      <c r="K649" s="31" t="str">
        <f aca="false">IF(B649="","",IF(H649="A",0,IFERROR(N(I649)/P_Heures*J649,0)))</f>
        <v/>
      </c>
      <c r="L649" s="25"/>
    </row>
    <row r="650" customFormat="false" ht="15" hidden="false" customHeight="false" outlineLevel="0" collapsed="false">
      <c r="A650" s="69"/>
      <c r="B650" s="68"/>
      <c r="C650" s="76" t="str">
        <f aca="false">IF(B650="","",IFERROR(INDEX(PE_Nom,MATCH(B650,PE_Mat,0)),"Matricule inconnu"))</f>
        <v/>
      </c>
      <c r="D650" s="76" t="str">
        <f aca="false">IF(B650="","",IFERROR(INDEX(PE_Fonction,MATCH(B650,PE_Mat,0)),""))</f>
        <v/>
      </c>
      <c r="E650" s="76" t="str">
        <f aca="false">IF(B650="","",IFERROR(INDEX(PE_Equipe,MATCH(B650,PE_Mat,0)),""))</f>
        <v/>
      </c>
      <c r="F650" s="25"/>
      <c r="G650" s="25"/>
      <c r="H650" s="68"/>
      <c r="I650" s="89"/>
      <c r="J650" s="31" t="str">
        <f aca="false">IF(B650="","",IFERROR(INDEX(PE_Taux,MATCH(B650,PE_Mat,0)),0))</f>
        <v/>
      </c>
      <c r="K650" s="31" t="str">
        <f aca="false">IF(B650="","",IF(H650="A",0,IFERROR(N(I650)/P_Heures*J650,0)))</f>
        <v/>
      </c>
      <c r="L650" s="25"/>
    </row>
    <row r="651" customFormat="false" ht="15" hidden="false" customHeight="false" outlineLevel="0" collapsed="false">
      <c r="A651" s="69"/>
      <c r="B651" s="68"/>
      <c r="C651" s="76" t="str">
        <f aca="false">IF(B651="","",IFERROR(INDEX(PE_Nom,MATCH(B651,PE_Mat,0)),"Matricule inconnu"))</f>
        <v/>
      </c>
      <c r="D651" s="76" t="str">
        <f aca="false">IF(B651="","",IFERROR(INDEX(PE_Fonction,MATCH(B651,PE_Mat,0)),""))</f>
        <v/>
      </c>
      <c r="E651" s="76" t="str">
        <f aca="false">IF(B651="","",IFERROR(INDEX(PE_Equipe,MATCH(B651,PE_Mat,0)),""))</f>
        <v/>
      </c>
      <c r="F651" s="25"/>
      <c r="G651" s="25"/>
      <c r="H651" s="68"/>
      <c r="I651" s="89"/>
      <c r="J651" s="31" t="str">
        <f aca="false">IF(B651="","",IFERROR(INDEX(PE_Taux,MATCH(B651,PE_Mat,0)),0))</f>
        <v/>
      </c>
      <c r="K651" s="31" t="str">
        <f aca="false">IF(B651="","",IF(H651="A",0,IFERROR(N(I651)/P_Heures*J651,0)))</f>
        <v/>
      </c>
      <c r="L651" s="25"/>
    </row>
    <row r="652" customFormat="false" ht="15" hidden="false" customHeight="false" outlineLevel="0" collapsed="false">
      <c r="A652" s="69"/>
      <c r="B652" s="68"/>
      <c r="C652" s="76" t="str">
        <f aca="false">IF(B652="","",IFERROR(INDEX(PE_Nom,MATCH(B652,PE_Mat,0)),"Matricule inconnu"))</f>
        <v/>
      </c>
      <c r="D652" s="76" t="str">
        <f aca="false">IF(B652="","",IFERROR(INDEX(PE_Fonction,MATCH(B652,PE_Mat,0)),""))</f>
        <v/>
      </c>
      <c r="E652" s="76" t="str">
        <f aca="false">IF(B652="","",IFERROR(INDEX(PE_Equipe,MATCH(B652,PE_Mat,0)),""))</f>
        <v/>
      </c>
      <c r="F652" s="25"/>
      <c r="G652" s="25"/>
      <c r="H652" s="68"/>
      <c r="I652" s="89"/>
      <c r="J652" s="31" t="str">
        <f aca="false">IF(B652="","",IFERROR(INDEX(PE_Taux,MATCH(B652,PE_Mat,0)),0))</f>
        <v/>
      </c>
      <c r="K652" s="31" t="str">
        <f aca="false">IF(B652="","",IF(H652="A",0,IFERROR(N(I652)/P_Heures*J652,0)))</f>
        <v/>
      </c>
      <c r="L652" s="25"/>
    </row>
    <row r="653" customFormat="false" ht="15" hidden="false" customHeight="false" outlineLevel="0" collapsed="false">
      <c r="A653" s="69"/>
      <c r="B653" s="68"/>
      <c r="C653" s="76" t="str">
        <f aca="false">IF(B653="","",IFERROR(INDEX(PE_Nom,MATCH(B653,PE_Mat,0)),"Matricule inconnu"))</f>
        <v/>
      </c>
      <c r="D653" s="76" t="str">
        <f aca="false">IF(B653="","",IFERROR(INDEX(PE_Fonction,MATCH(B653,PE_Mat,0)),""))</f>
        <v/>
      </c>
      <c r="E653" s="76" t="str">
        <f aca="false">IF(B653="","",IFERROR(INDEX(PE_Equipe,MATCH(B653,PE_Mat,0)),""))</f>
        <v/>
      </c>
      <c r="F653" s="25"/>
      <c r="G653" s="25"/>
      <c r="H653" s="68"/>
      <c r="I653" s="89"/>
      <c r="J653" s="31" t="str">
        <f aca="false">IF(B653="","",IFERROR(INDEX(PE_Taux,MATCH(B653,PE_Mat,0)),0))</f>
        <v/>
      </c>
      <c r="K653" s="31" t="str">
        <f aca="false">IF(B653="","",IF(H653="A",0,IFERROR(N(I653)/P_Heures*J653,0)))</f>
        <v/>
      </c>
      <c r="L653" s="25"/>
    </row>
    <row r="654" customFormat="false" ht="15" hidden="false" customHeight="false" outlineLevel="0" collapsed="false">
      <c r="A654" s="69"/>
      <c r="B654" s="68"/>
      <c r="C654" s="76" t="str">
        <f aca="false">IF(B654="","",IFERROR(INDEX(PE_Nom,MATCH(B654,PE_Mat,0)),"Matricule inconnu"))</f>
        <v/>
      </c>
      <c r="D654" s="76" t="str">
        <f aca="false">IF(B654="","",IFERROR(INDEX(PE_Fonction,MATCH(B654,PE_Mat,0)),""))</f>
        <v/>
      </c>
      <c r="E654" s="76" t="str">
        <f aca="false">IF(B654="","",IFERROR(INDEX(PE_Equipe,MATCH(B654,PE_Mat,0)),""))</f>
        <v/>
      </c>
      <c r="F654" s="25"/>
      <c r="G654" s="25"/>
      <c r="H654" s="68"/>
      <c r="I654" s="89"/>
      <c r="J654" s="31" t="str">
        <f aca="false">IF(B654="","",IFERROR(INDEX(PE_Taux,MATCH(B654,PE_Mat,0)),0))</f>
        <v/>
      </c>
      <c r="K654" s="31" t="str">
        <f aca="false">IF(B654="","",IF(H654="A",0,IFERROR(N(I654)/P_Heures*J654,0)))</f>
        <v/>
      </c>
      <c r="L654" s="25"/>
    </row>
    <row r="655" customFormat="false" ht="15" hidden="false" customHeight="false" outlineLevel="0" collapsed="false">
      <c r="A655" s="69"/>
      <c r="B655" s="68"/>
      <c r="C655" s="76" t="str">
        <f aca="false">IF(B655="","",IFERROR(INDEX(PE_Nom,MATCH(B655,PE_Mat,0)),"Matricule inconnu"))</f>
        <v/>
      </c>
      <c r="D655" s="76" t="str">
        <f aca="false">IF(B655="","",IFERROR(INDEX(PE_Fonction,MATCH(B655,PE_Mat,0)),""))</f>
        <v/>
      </c>
      <c r="E655" s="76" t="str">
        <f aca="false">IF(B655="","",IFERROR(INDEX(PE_Equipe,MATCH(B655,PE_Mat,0)),""))</f>
        <v/>
      </c>
      <c r="F655" s="25"/>
      <c r="G655" s="25"/>
      <c r="H655" s="68"/>
      <c r="I655" s="89"/>
      <c r="J655" s="31" t="str">
        <f aca="false">IF(B655="","",IFERROR(INDEX(PE_Taux,MATCH(B655,PE_Mat,0)),0))</f>
        <v/>
      </c>
      <c r="K655" s="31" t="str">
        <f aca="false">IF(B655="","",IF(H655="A",0,IFERROR(N(I655)/P_Heures*J655,0)))</f>
        <v/>
      </c>
      <c r="L655" s="25"/>
    </row>
    <row r="656" customFormat="false" ht="15" hidden="false" customHeight="false" outlineLevel="0" collapsed="false">
      <c r="A656" s="69"/>
      <c r="B656" s="68"/>
      <c r="C656" s="76" t="str">
        <f aca="false">IF(B656="","",IFERROR(INDEX(PE_Nom,MATCH(B656,PE_Mat,0)),"Matricule inconnu"))</f>
        <v/>
      </c>
      <c r="D656" s="76" t="str">
        <f aca="false">IF(B656="","",IFERROR(INDEX(PE_Fonction,MATCH(B656,PE_Mat,0)),""))</f>
        <v/>
      </c>
      <c r="E656" s="76" t="str">
        <f aca="false">IF(B656="","",IFERROR(INDEX(PE_Equipe,MATCH(B656,PE_Mat,0)),""))</f>
        <v/>
      </c>
      <c r="F656" s="25"/>
      <c r="G656" s="25"/>
      <c r="H656" s="68"/>
      <c r="I656" s="89"/>
      <c r="J656" s="31" t="str">
        <f aca="false">IF(B656="","",IFERROR(INDEX(PE_Taux,MATCH(B656,PE_Mat,0)),0))</f>
        <v/>
      </c>
      <c r="K656" s="31" t="str">
        <f aca="false">IF(B656="","",IF(H656="A",0,IFERROR(N(I656)/P_Heures*J656,0)))</f>
        <v/>
      </c>
      <c r="L656" s="25"/>
    </row>
    <row r="657" customFormat="false" ht="15" hidden="false" customHeight="false" outlineLevel="0" collapsed="false">
      <c r="A657" s="69"/>
      <c r="B657" s="68"/>
      <c r="C657" s="76" t="str">
        <f aca="false">IF(B657="","",IFERROR(INDEX(PE_Nom,MATCH(B657,PE_Mat,0)),"Matricule inconnu"))</f>
        <v/>
      </c>
      <c r="D657" s="76" t="str">
        <f aca="false">IF(B657="","",IFERROR(INDEX(PE_Fonction,MATCH(B657,PE_Mat,0)),""))</f>
        <v/>
      </c>
      <c r="E657" s="76" t="str">
        <f aca="false">IF(B657="","",IFERROR(INDEX(PE_Equipe,MATCH(B657,PE_Mat,0)),""))</f>
        <v/>
      </c>
      <c r="F657" s="25"/>
      <c r="G657" s="25"/>
      <c r="H657" s="68"/>
      <c r="I657" s="89"/>
      <c r="J657" s="31" t="str">
        <f aca="false">IF(B657="","",IFERROR(INDEX(PE_Taux,MATCH(B657,PE_Mat,0)),0))</f>
        <v/>
      </c>
      <c r="K657" s="31" t="str">
        <f aca="false">IF(B657="","",IF(H657="A",0,IFERROR(N(I657)/P_Heures*J657,0)))</f>
        <v/>
      </c>
      <c r="L657" s="25"/>
    </row>
    <row r="658" customFormat="false" ht="15" hidden="false" customHeight="false" outlineLevel="0" collapsed="false">
      <c r="A658" s="69"/>
      <c r="B658" s="68"/>
      <c r="C658" s="76" t="str">
        <f aca="false">IF(B658="","",IFERROR(INDEX(PE_Nom,MATCH(B658,PE_Mat,0)),"Matricule inconnu"))</f>
        <v/>
      </c>
      <c r="D658" s="76" t="str">
        <f aca="false">IF(B658="","",IFERROR(INDEX(PE_Fonction,MATCH(B658,PE_Mat,0)),""))</f>
        <v/>
      </c>
      <c r="E658" s="76" t="str">
        <f aca="false">IF(B658="","",IFERROR(INDEX(PE_Equipe,MATCH(B658,PE_Mat,0)),""))</f>
        <v/>
      </c>
      <c r="F658" s="25"/>
      <c r="G658" s="25"/>
      <c r="H658" s="68"/>
      <c r="I658" s="89"/>
      <c r="J658" s="31" t="str">
        <f aca="false">IF(B658="","",IFERROR(INDEX(PE_Taux,MATCH(B658,PE_Mat,0)),0))</f>
        <v/>
      </c>
      <c r="K658" s="31" t="str">
        <f aca="false">IF(B658="","",IF(H658="A",0,IFERROR(N(I658)/P_Heures*J658,0)))</f>
        <v/>
      </c>
      <c r="L658" s="25"/>
    </row>
    <row r="659" customFormat="false" ht="15" hidden="false" customHeight="false" outlineLevel="0" collapsed="false">
      <c r="A659" s="69"/>
      <c r="B659" s="68"/>
      <c r="C659" s="76" t="str">
        <f aca="false">IF(B659="","",IFERROR(INDEX(PE_Nom,MATCH(B659,PE_Mat,0)),"Matricule inconnu"))</f>
        <v/>
      </c>
      <c r="D659" s="76" t="str">
        <f aca="false">IF(B659="","",IFERROR(INDEX(PE_Fonction,MATCH(B659,PE_Mat,0)),""))</f>
        <v/>
      </c>
      <c r="E659" s="76" t="str">
        <f aca="false">IF(B659="","",IFERROR(INDEX(PE_Equipe,MATCH(B659,PE_Mat,0)),""))</f>
        <v/>
      </c>
      <c r="F659" s="25"/>
      <c r="G659" s="25"/>
      <c r="H659" s="68"/>
      <c r="I659" s="89"/>
      <c r="J659" s="31" t="str">
        <f aca="false">IF(B659="","",IFERROR(INDEX(PE_Taux,MATCH(B659,PE_Mat,0)),0))</f>
        <v/>
      </c>
      <c r="K659" s="31" t="str">
        <f aca="false">IF(B659="","",IF(H659="A",0,IFERROR(N(I659)/P_Heures*J659,0)))</f>
        <v/>
      </c>
      <c r="L659" s="25"/>
    </row>
    <row r="660" customFormat="false" ht="15" hidden="false" customHeight="false" outlineLevel="0" collapsed="false">
      <c r="A660" s="69"/>
      <c r="B660" s="68"/>
      <c r="C660" s="76" t="str">
        <f aca="false">IF(B660="","",IFERROR(INDEX(PE_Nom,MATCH(B660,PE_Mat,0)),"Matricule inconnu"))</f>
        <v/>
      </c>
      <c r="D660" s="76" t="str">
        <f aca="false">IF(B660="","",IFERROR(INDEX(PE_Fonction,MATCH(B660,PE_Mat,0)),""))</f>
        <v/>
      </c>
      <c r="E660" s="76" t="str">
        <f aca="false">IF(B660="","",IFERROR(INDEX(PE_Equipe,MATCH(B660,PE_Mat,0)),""))</f>
        <v/>
      </c>
      <c r="F660" s="25"/>
      <c r="G660" s="25"/>
      <c r="H660" s="68"/>
      <c r="I660" s="89"/>
      <c r="J660" s="31" t="str">
        <f aca="false">IF(B660="","",IFERROR(INDEX(PE_Taux,MATCH(B660,PE_Mat,0)),0))</f>
        <v/>
      </c>
      <c r="K660" s="31" t="str">
        <f aca="false">IF(B660="","",IF(H660="A",0,IFERROR(N(I660)/P_Heures*J660,0)))</f>
        <v/>
      </c>
      <c r="L660" s="25"/>
    </row>
    <row r="661" customFormat="false" ht="15" hidden="false" customHeight="false" outlineLevel="0" collapsed="false">
      <c r="A661" s="69"/>
      <c r="B661" s="68"/>
      <c r="C661" s="76" t="str">
        <f aca="false">IF(B661="","",IFERROR(INDEX(PE_Nom,MATCH(B661,PE_Mat,0)),"Matricule inconnu"))</f>
        <v/>
      </c>
      <c r="D661" s="76" t="str">
        <f aca="false">IF(B661="","",IFERROR(INDEX(PE_Fonction,MATCH(B661,PE_Mat,0)),""))</f>
        <v/>
      </c>
      <c r="E661" s="76" t="str">
        <f aca="false">IF(B661="","",IFERROR(INDEX(PE_Equipe,MATCH(B661,PE_Mat,0)),""))</f>
        <v/>
      </c>
      <c r="F661" s="25"/>
      <c r="G661" s="25"/>
      <c r="H661" s="68"/>
      <c r="I661" s="89"/>
      <c r="J661" s="31" t="str">
        <f aca="false">IF(B661="","",IFERROR(INDEX(PE_Taux,MATCH(B661,PE_Mat,0)),0))</f>
        <v/>
      </c>
      <c r="K661" s="31" t="str">
        <f aca="false">IF(B661="","",IF(H661="A",0,IFERROR(N(I661)/P_Heures*J661,0)))</f>
        <v/>
      </c>
      <c r="L661" s="25"/>
    </row>
    <row r="662" customFormat="false" ht="15" hidden="false" customHeight="false" outlineLevel="0" collapsed="false">
      <c r="A662" s="69"/>
      <c r="B662" s="68"/>
      <c r="C662" s="76" t="str">
        <f aca="false">IF(B662="","",IFERROR(INDEX(PE_Nom,MATCH(B662,PE_Mat,0)),"Matricule inconnu"))</f>
        <v/>
      </c>
      <c r="D662" s="76" t="str">
        <f aca="false">IF(B662="","",IFERROR(INDEX(PE_Fonction,MATCH(B662,PE_Mat,0)),""))</f>
        <v/>
      </c>
      <c r="E662" s="76" t="str">
        <f aca="false">IF(B662="","",IFERROR(INDEX(PE_Equipe,MATCH(B662,PE_Mat,0)),""))</f>
        <v/>
      </c>
      <c r="F662" s="25"/>
      <c r="G662" s="25"/>
      <c r="H662" s="68"/>
      <c r="I662" s="89"/>
      <c r="J662" s="31" t="str">
        <f aca="false">IF(B662="","",IFERROR(INDEX(PE_Taux,MATCH(B662,PE_Mat,0)),0))</f>
        <v/>
      </c>
      <c r="K662" s="31" t="str">
        <f aca="false">IF(B662="","",IF(H662="A",0,IFERROR(N(I662)/P_Heures*J662,0)))</f>
        <v/>
      </c>
      <c r="L662" s="25"/>
    </row>
    <row r="663" customFormat="false" ht="15" hidden="false" customHeight="false" outlineLevel="0" collapsed="false">
      <c r="A663" s="69"/>
      <c r="B663" s="68"/>
      <c r="C663" s="76" t="str">
        <f aca="false">IF(B663="","",IFERROR(INDEX(PE_Nom,MATCH(B663,PE_Mat,0)),"Matricule inconnu"))</f>
        <v/>
      </c>
      <c r="D663" s="76" t="str">
        <f aca="false">IF(B663="","",IFERROR(INDEX(PE_Fonction,MATCH(B663,PE_Mat,0)),""))</f>
        <v/>
      </c>
      <c r="E663" s="76" t="str">
        <f aca="false">IF(B663="","",IFERROR(INDEX(PE_Equipe,MATCH(B663,PE_Mat,0)),""))</f>
        <v/>
      </c>
      <c r="F663" s="25"/>
      <c r="G663" s="25"/>
      <c r="H663" s="68"/>
      <c r="I663" s="89"/>
      <c r="J663" s="31" t="str">
        <f aca="false">IF(B663="","",IFERROR(INDEX(PE_Taux,MATCH(B663,PE_Mat,0)),0))</f>
        <v/>
      </c>
      <c r="K663" s="31" t="str">
        <f aca="false">IF(B663="","",IF(H663="A",0,IFERROR(N(I663)/P_Heures*J663,0)))</f>
        <v/>
      </c>
      <c r="L663" s="25"/>
    </row>
    <row r="664" customFormat="false" ht="15" hidden="false" customHeight="false" outlineLevel="0" collapsed="false">
      <c r="A664" s="69"/>
      <c r="B664" s="68"/>
      <c r="C664" s="76" t="str">
        <f aca="false">IF(B664="","",IFERROR(INDEX(PE_Nom,MATCH(B664,PE_Mat,0)),"Matricule inconnu"))</f>
        <v/>
      </c>
      <c r="D664" s="76" t="str">
        <f aca="false">IF(B664="","",IFERROR(INDEX(PE_Fonction,MATCH(B664,PE_Mat,0)),""))</f>
        <v/>
      </c>
      <c r="E664" s="76" t="str">
        <f aca="false">IF(B664="","",IFERROR(INDEX(PE_Equipe,MATCH(B664,PE_Mat,0)),""))</f>
        <v/>
      </c>
      <c r="F664" s="25"/>
      <c r="G664" s="25"/>
      <c r="H664" s="68"/>
      <c r="I664" s="89"/>
      <c r="J664" s="31" t="str">
        <f aca="false">IF(B664="","",IFERROR(INDEX(PE_Taux,MATCH(B664,PE_Mat,0)),0))</f>
        <v/>
      </c>
      <c r="K664" s="31" t="str">
        <f aca="false">IF(B664="","",IF(H664="A",0,IFERROR(N(I664)/P_Heures*J664,0)))</f>
        <v/>
      </c>
      <c r="L664" s="25"/>
    </row>
    <row r="665" customFormat="false" ht="15" hidden="false" customHeight="false" outlineLevel="0" collapsed="false">
      <c r="A665" s="69"/>
      <c r="B665" s="68"/>
      <c r="C665" s="76" t="str">
        <f aca="false">IF(B665="","",IFERROR(INDEX(PE_Nom,MATCH(B665,PE_Mat,0)),"Matricule inconnu"))</f>
        <v/>
      </c>
      <c r="D665" s="76" t="str">
        <f aca="false">IF(B665="","",IFERROR(INDEX(PE_Fonction,MATCH(B665,PE_Mat,0)),""))</f>
        <v/>
      </c>
      <c r="E665" s="76" t="str">
        <f aca="false">IF(B665="","",IFERROR(INDEX(PE_Equipe,MATCH(B665,PE_Mat,0)),""))</f>
        <v/>
      </c>
      <c r="F665" s="25"/>
      <c r="G665" s="25"/>
      <c r="H665" s="68"/>
      <c r="I665" s="89"/>
      <c r="J665" s="31" t="str">
        <f aca="false">IF(B665="","",IFERROR(INDEX(PE_Taux,MATCH(B665,PE_Mat,0)),0))</f>
        <v/>
      </c>
      <c r="K665" s="31" t="str">
        <f aca="false">IF(B665="","",IF(H665="A",0,IFERROR(N(I665)/P_Heures*J665,0)))</f>
        <v/>
      </c>
      <c r="L665" s="25"/>
    </row>
    <row r="666" customFormat="false" ht="15" hidden="false" customHeight="false" outlineLevel="0" collapsed="false">
      <c r="A666" s="69"/>
      <c r="B666" s="68"/>
      <c r="C666" s="76" t="str">
        <f aca="false">IF(B666="","",IFERROR(INDEX(PE_Nom,MATCH(B666,PE_Mat,0)),"Matricule inconnu"))</f>
        <v/>
      </c>
      <c r="D666" s="76" t="str">
        <f aca="false">IF(B666="","",IFERROR(INDEX(PE_Fonction,MATCH(B666,PE_Mat,0)),""))</f>
        <v/>
      </c>
      <c r="E666" s="76" t="str">
        <f aca="false">IF(B666="","",IFERROR(INDEX(PE_Equipe,MATCH(B666,PE_Mat,0)),""))</f>
        <v/>
      </c>
      <c r="F666" s="25"/>
      <c r="G666" s="25"/>
      <c r="H666" s="68"/>
      <c r="I666" s="89"/>
      <c r="J666" s="31" t="str">
        <f aca="false">IF(B666="","",IFERROR(INDEX(PE_Taux,MATCH(B666,PE_Mat,0)),0))</f>
        <v/>
      </c>
      <c r="K666" s="31" t="str">
        <f aca="false">IF(B666="","",IF(H666="A",0,IFERROR(N(I666)/P_Heures*J666,0)))</f>
        <v/>
      </c>
      <c r="L666" s="25"/>
    </row>
    <row r="667" customFormat="false" ht="15" hidden="false" customHeight="false" outlineLevel="0" collapsed="false">
      <c r="A667" s="69"/>
      <c r="B667" s="68"/>
      <c r="C667" s="76" t="str">
        <f aca="false">IF(B667="","",IFERROR(INDEX(PE_Nom,MATCH(B667,PE_Mat,0)),"Matricule inconnu"))</f>
        <v/>
      </c>
      <c r="D667" s="76" t="str">
        <f aca="false">IF(B667="","",IFERROR(INDEX(PE_Fonction,MATCH(B667,PE_Mat,0)),""))</f>
        <v/>
      </c>
      <c r="E667" s="76" t="str">
        <f aca="false">IF(B667="","",IFERROR(INDEX(PE_Equipe,MATCH(B667,PE_Mat,0)),""))</f>
        <v/>
      </c>
      <c r="F667" s="25"/>
      <c r="G667" s="25"/>
      <c r="H667" s="68"/>
      <c r="I667" s="89"/>
      <c r="J667" s="31" t="str">
        <f aca="false">IF(B667="","",IFERROR(INDEX(PE_Taux,MATCH(B667,PE_Mat,0)),0))</f>
        <v/>
      </c>
      <c r="K667" s="31" t="str">
        <f aca="false">IF(B667="","",IF(H667="A",0,IFERROR(N(I667)/P_Heures*J667,0)))</f>
        <v/>
      </c>
      <c r="L667" s="25"/>
    </row>
    <row r="668" customFormat="false" ht="15" hidden="false" customHeight="false" outlineLevel="0" collapsed="false">
      <c r="A668" s="69"/>
      <c r="B668" s="68"/>
      <c r="C668" s="76" t="str">
        <f aca="false">IF(B668="","",IFERROR(INDEX(PE_Nom,MATCH(B668,PE_Mat,0)),"Matricule inconnu"))</f>
        <v/>
      </c>
      <c r="D668" s="76" t="str">
        <f aca="false">IF(B668="","",IFERROR(INDEX(PE_Fonction,MATCH(B668,PE_Mat,0)),""))</f>
        <v/>
      </c>
      <c r="E668" s="76" t="str">
        <f aca="false">IF(B668="","",IFERROR(INDEX(PE_Equipe,MATCH(B668,PE_Mat,0)),""))</f>
        <v/>
      </c>
      <c r="F668" s="25"/>
      <c r="G668" s="25"/>
      <c r="H668" s="68"/>
      <c r="I668" s="89"/>
      <c r="J668" s="31" t="str">
        <f aca="false">IF(B668="","",IFERROR(INDEX(PE_Taux,MATCH(B668,PE_Mat,0)),0))</f>
        <v/>
      </c>
      <c r="K668" s="31" t="str">
        <f aca="false">IF(B668="","",IF(H668="A",0,IFERROR(N(I668)/P_Heures*J668,0)))</f>
        <v/>
      </c>
      <c r="L668" s="25"/>
    </row>
    <row r="669" customFormat="false" ht="15" hidden="false" customHeight="false" outlineLevel="0" collapsed="false">
      <c r="A669" s="69"/>
      <c r="B669" s="68"/>
      <c r="C669" s="76" t="str">
        <f aca="false">IF(B669="","",IFERROR(INDEX(PE_Nom,MATCH(B669,PE_Mat,0)),"Matricule inconnu"))</f>
        <v/>
      </c>
      <c r="D669" s="76" t="str">
        <f aca="false">IF(B669="","",IFERROR(INDEX(PE_Fonction,MATCH(B669,PE_Mat,0)),""))</f>
        <v/>
      </c>
      <c r="E669" s="76" t="str">
        <f aca="false">IF(B669="","",IFERROR(INDEX(PE_Equipe,MATCH(B669,PE_Mat,0)),""))</f>
        <v/>
      </c>
      <c r="F669" s="25"/>
      <c r="G669" s="25"/>
      <c r="H669" s="68"/>
      <c r="I669" s="89"/>
      <c r="J669" s="31" t="str">
        <f aca="false">IF(B669="","",IFERROR(INDEX(PE_Taux,MATCH(B669,PE_Mat,0)),0))</f>
        <v/>
      </c>
      <c r="K669" s="31" t="str">
        <f aca="false">IF(B669="","",IF(H669="A",0,IFERROR(N(I669)/P_Heures*J669,0)))</f>
        <v/>
      </c>
      <c r="L669" s="25"/>
    </row>
    <row r="670" customFormat="false" ht="15" hidden="false" customHeight="false" outlineLevel="0" collapsed="false">
      <c r="A670" s="69"/>
      <c r="B670" s="68"/>
      <c r="C670" s="76" t="str">
        <f aca="false">IF(B670="","",IFERROR(INDEX(PE_Nom,MATCH(B670,PE_Mat,0)),"Matricule inconnu"))</f>
        <v/>
      </c>
      <c r="D670" s="76" t="str">
        <f aca="false">IF(B670="","",IFERROR(INDEX(PE_Fonction,MATCH(B670,PE_Mat,0)),""))</f>
        <v/>
      </c>
      <c r="E670" s="76" t="str">
        <f aca="false">IF(B670="","",IFERROR(INDEX(PE_Equipe,MATCH(B670,PE_Mat,0)),""))</f>
        <v/>
      </c>
      <c r="F670" s="25"/>
      <c r="G670" s="25"/>
      <c r="H670" s="68"/>
      <c r="I670" s="89"/>
      <c r="J670" s="31" t="str">
        <f aca="false">IF(B670="","",IFERROR(INDEX(PE_Taux,MATCH(B670,PE_Mat,0)),0))</f>
        <v/>
      </c>
      <c r="K670" s="31" t="str">
        <f aca="false">IF(B670="","",IF(H670="A",0,IFERROR(N(I670)/P_Heures*J670,0)))</f>
        <v/>
      </c>
      <c r="L670" s="25"/>
    </row>
    <row r="671" customFormat="false" ht="15" hidden="false" customHeight="false" outlineLevel="0" collapsed="false">
      <c r="A671" s="69"/>
      <c r="B671" s="68"/>
      <c r="C671" s="76" t="str">
        <f aca="false">IF(B671="","",IFERROR(INDEX(PE_Nom,MATCH(B671,PE_Mat,0)),"Matricule inconnu"))</f>
        <v/>
      </c>
      <c r="D671" s="76" t="str">
        <f aca="false">IF(B671="","",IFERROR(INDEX(PE_Fonction,MATCH(B671,PE_Mat,0)),""))</f>
        <v/>
      </c>
      <c r="E671" s="76" t="str">
        <f aca="false">IF(B671="","",IFERROR(INDEX(PE_Equipe,MATCH(B671,PE_Mat,0)),""))</f>
        <v/>
      </c>
      <c r="F671" s="25"/>
      <c r="G671" s="25"/>
      <c r="H671" s="68"/>
      <c r="I671" s="89"/>
      <c r="J671" s="31" t="str">
        <f aca="false">IF(B671="","",IFERROR(INDEX(PE_Taux,MATCH(B671,PE_Mat,0)),0))</f>
        <v/>
      </c>
      <c r="K671" s="31" t="str">
        <f aca="false">IF(B671="","",IF(H671="A",0,IFERROR(N(I671)/P_Heures*J671,0)))</f>
        <v/>
      </c>
      <c r="L671" s="25"/>
    </row>
    <row r="672" customFormat="false" ht="15" hidden="false" customHeight="false" outlineLevel="0" collapsed="false">
      <c r="A672" s="69"/>
      <c r="B672" s="68"/>
      <c r="C672" s="76" t="str">
        <f aca="false">IF(B672="","",IFERROR(INDEX(PE_Nom,MATCH(B672,PE_Mat,0)),"Matricule inconnu"))</f>
        <v/>
      </c>
      <c r="D672" s="76" t="str">
        <f aca="false">IF(B672="","",IFERROR(INDEX(PE_Fonction,MATCH(B672,PE_Mat,0)),""))</f>
        <v/>
      </c>
      <c r="E672" s="76" t="str">
        <f aca="false">IF(B672="","",IFERROR(INDEX(PE_Equipe,MATCH(B672,PE_Mat,0)),""))</f>
        <v/>
      </c>
      <c r="F672" s="25"/>
      <c r="G672" s="25"/>
      <c r="H672" s="68"/>
      <c r="I672" s="89"/>
      <c r="J672" s="31" t="str">
        <f aca="false">IF(B672="","",IFERROR(INDEX(PE_Taux,MATCH(B672,PE_Mat,0)),0))</f>
        <v/>
      </c>
      <c r="K672" s="31" t="str">
        <f aca="false">IF(B672="","",IF(H672="A",0,IFERROR(N(I672)/P_Heures*J672,0)))</f>
        <v/>
      </c>
      <c r="L672" s="25"/>
    </row>
    <row r="673" customFormat="false" ht="15" hidden="false" customHeight="false" outlineLevel="0" collapsed="false">
      <c r="A673" s="69"/>
      <c r="B673" s="68"/>
      <c r="C673" s="76" t="str">
        <f aca="false">IF(B673="","",IFERROR(INDEX(PE_Nom,MATCH(B673,PE_Mat,0)),"Matricule inconnu"))</f>
        <v/>
      </c>
      <c r="D673" s="76" t="str">
        <f aca="false">IF(B673="","",IFERROR(INDEX(PE_Fonction,MATCH(B673,PE_Mat,0)),""))</f>
        <v/>
      </c>
      <c r="E673" s="76" t="str">
        <f aca="false">IF(B673="","",IFERROR(INDEX(PE_Equipe,MATCH(B673,PE_Mat,0)),""))</f>
        <v/>
      </c>
      <c r="F673" s="25"/>
      <c r="G673" s="25"/>
      <c r="H673" s="68"/>
      <c r="I673" s="89"/>
      <c r="J673" s="31" t="str">
        <f aca="false">IF(B673="","",IFERROR(INDEX(PE_Taux,MATCH(B673,PE_Mat,0)),0))</f>
        <v/>
      </c>
      <c r="K673" s="31" t="str">
        <f aca="false">IF(B673="","",IF(H673="A",0,IFERROR(N(I673)/P_Heures*J673,0)))</f>
        <v/>
      </c>
      <c r="L673" s="25"/>
    </row>
    <row r="674" customFormat="false" ht="15" hidden="false" customHeight="false" outlineLevel="0" collapsed="false">
      <c r="A674" s="69"/>
      <c r="B674" s="68"/>
      <c r="C674" s="76" t="str">
        <f aca="false">IF(B674="","",IFERROR(INDEX(PE_Nom,MATCH(B674,PE_Mat,0)),"Matricule inconnu"))</f>
        <v/>
      </c>
      <c r="D674" s="76" t="str">
        <f aca="false">IF(B674="","",IFERROR(INDEX(PE_Fonction,MATCH(B674,PE_Mat,0)),""))</f>
        <v/>
      </c>
      <c r="E674" s="76" t="str">
        <f aca="false">IF(B674="","",IFERROR(INDEX(PE_Equipe,MATCH(B674,PE_Mat,0)),""))</f>
        <v/>
      </c>
      <c r="F674" s="25"/>
      <c r="G674" s="25"/>
      <c r="H674" s="68"/>
      <c r="I674" s="89"/>
      <c r="J674" s="31" t="str">
        <f aca="false">IF(B674="","",IFERROR(INDEX(PE_Taux,MATCH(B674,PE_Mat,0)),0))</f>
        <v/>
      </c>
      <c r="K674" s="31" t="str">
        <f aca="false">IF(B674="","",IF(H674="A",0,IFERROR(N(I674)/P_Heures*J674,0)))</f>
        <v/>
      </c>
      <c r="L674" s="25"/>
    </row>
    <row r="675" customFormat="false" ht="15" hidden="false" customHeight="false" outlineLevel="0" collapsed="false">
      <c r="A675" s="69"/>
      <c r="B675" s="68"/>
      <c r="C675" s="76" t="str">
        <f aca="false">IF(B675="","",IFERROR(INDEX(PE_Nom,MATCH(B675,PE_Mat,0)),"Matricule inconnu"))</f>
        <v/>
      </c>
      <c r="D675" s="76" t="str">
        <f aca="false">IF(B675="","",IFERROR(INDEX(PE_Fonction,MATCH(B675,PE_Mat,0)),""))</f>
        <v/>
      </c>
      <c r="E675" s="76" t="str">
        <f aca="false">IF(B675="","",IFERROR(INDEX(PE_Equipe,MATCH(B675,PE_Mat,0)),""))</f>
        <v/>
      </c>
      <c r="F675" s="25"/>
      <c r="G675" s="25"/>
      <c r="H675" s="68"/>
      <c r="I675" s="89"/>
      <c r="J675" s="31" t="str">
        <f aca="false">IF(B675="","",IFERROR(INDEX(PE_Taux,MATCH(B675,PE_Mat,0)),0))</f>
        <v/>
      </c>
      <c r="K675" s="31" t="str">
        <f aca="false">IF(B675="","",IF(H675="A",0,IFERROR(N(I675)/P_Heures*J675,0)))</f>
        <v/>
      </c>
      <c r="L675" s="25"/>
    </row>
    <row r="676" customFormat="false" ht="15" hidden="false" customHeight="false" outlineLevel="0" collapsed="false">
      <c r="A676" s="69"/>
      <c r="B676" s="68"/>
      <c r="C676" s="76" t="str">
        <f aca="false">IF(B676="","",IFERROR(INDEX(PE_Nom,MATCH(B676,PE_Mat,0)),"Matricule inconnu"))</f>
        <v/>
      </c>
      <c r="D676" s="76" t="str">
        <f aca="false">IF(B676="","",IFERROR(INDEX(PE_Fonction,MATCH(B676,PE_Mat,0)),""))</f>
        <v/>
      </c>
      <c r="E676" s="76" t="str">
        <f aca="false">IF(B676="","",IFERROR(INDEX(PE_Equipe,MATCH(B676,PE_Mat,0)),""))</f>
        <v/>
      </c>
      <c r="F676" s="25"/>
      <c r="G676" s="25"/>
      <c r="H676" s="68"/>
      <c r="I676" s="89"/>
      <c r="J676" s="31" t="str">
        <f aca="false">IF(B676="","",IFERROR(INDEX(PE_Taux,MATCH(B676,PE_Mat,0)),0))</f>
        <v/>
      </c>
      <c r="K676" s="31" t="str">
        <f aca="false">IF(B676="","",IF(H676="A",0,IFERROR(N(I676)/P_Heures*J676,0)))</f>
        <v/>
      </c>
      <c r="L676" s="25"/>
    </row>
    <row r="677" customFormat="false" ht="15" hidden="false" customHeight="false" outlineLevel="0" collapsed="false">
      <c r="A677" s="69"/>
      <c r="B677" s="68"/>
      <c r="C677" s="76" t="str">
        <f aca="false">IF(B677="","",IFERROR(INDEX(PE_Nom,MATCH(B677,PE_Mat,0)),"Matricule inconnu"))</f>
        <v/>
      </c>
      <c r="D677" s="76" t="str">
        <f aca="false">IF(B677="","",IFERROR(INDEX(PE_Fonction,MATCH(B677,PE_Mat,0)),""))</f>
        <v/>
      </c>
      <c r="E677" s="76" t="str">
        <f aca="false">IF(B677="","",IFERROR(INDEX(PE_Equipe,MATCH(B677,PE_Mat,0)),""))</f>
        <v/>
      </c>
      <c r="F677" s="25"/>
      <c r="G677" s="25"/>
      <c r="H677" s="68"/>
      <c r="I677" s="89"/>
      <c r="J677" s="31" t="str">
        <f aca="false">IF(B677="","",IFERROR(INDEX(PE_Taux,MATCH(B677,PE_Mat,0)),0))</f>
        <v/>
      </c>
      <c r="K677" s="31" t="str">
        <f aca="false">IF(B677="","",IF(H677="A",0,IFERROR(N(I677)/P_Heures*J677,0)))</f>
        <v/>
      </c>
      <c r="L677" s="25"/>
    </row>
    <row r="678" customFormat="false" ht="15" hidden="false" customHeight="false" outlineLevel="0" collapsed="false">
      <c r="A678" s="69"/>
      <c r="B678" s="68"/>
      <c r="C678" s="76" t="str">
        <f aca="false">IF(B678="","",IFERROR(INDEX(PE_Nom,MATCH(B678,PE_Mat,0)),"Matricule inconnu"))</f>
        <v/>
      </c>
      <c r="D678" s="76" t="str">
        <f aca="false">IF(B678="","",IFERROR(INDEX(PE_Fonction,MATCH(B678,PE_Mat,0)),""))</f>
        <v/>
      </c>
      <c r="E678" s="76" t="str">
        <f aca="false">IF(B678="","",IFERROR(INDEX(PE_Equipe,MATCH(B678,PE_Mat,0)),""))</f>
        <v/>
      </c>
      <c r="F678" s="25"/>
      <c r="G678" s="25"/>
      <c r="H678" s="68"/>
      <c r="I678" s="89"/>
      <c r="J678" s="31" t="str">
        <f aca="false">IF(B678="","",IFERROR(INDEX(PE_Taux,MATCH(B678,PE_Mat,0)),0))</f>
        <v/>
      </c>
      <c r="K678" s="31" t="str">
        <f aca="false">IF(B678="","",IF(H678="A",0,IFERROR(N(I678)/P_Heures*J678,0)))</f>
        <v/>
      </c>
      <c r="L678" s="25"/>
    </row>
    <row r="679" customFormat="false" ht="15" hidden="false" customHeight="false" outlineLevel="0" collapsed="false">
      <c r="A679" s="69"/>
      <c r="B679" s="68"/>
      <c r="C679" s="76" t="str">
        <f aca="false">IF(B679="","",IFERROR(INDEX(PE_Nom,MATCH(B679,PE_Mat,0)),"Matricule inconnu"))</f>
        <v/>
      </c>
      <c r="D679" s="76" t="str">
        <f aca="false">IF(B679="","",IFERROR(INDEX(PE_Fonction,MATCH(B679,PE_Mat,0)),""))</f>
        <v/>
      </c>
      <c r="E679" s="76" t="str">
        <f aca="false">IF(B679="","",IFERROR(INDEX(PE_Equipe,MATCH(B679,PE_Mat,0)),""))</f>
        <v/>
      </c>
      <c r="F679" s="25"/>
      <c r="G679" s="25"/>
      <c r="H679" s="68"/>
      <c r="I679" s="89"/>
      <c r="J679" s="31" t="str">
        <f aca="false">IF(B679="","",IFERROR(INDEX(PE_Taux,MATCH(B679,PE_Mat,0)),0))</f>
        <v/>
      </c>
      <c r="K679" s="31" t="str">
        <f aca="false">IF(B679="","",IF(H679="A",0,IFERROR(N(I679)/P_Heures*J679,0)))</f>
        <v/>
      </c>
      <c r="L679" s="25"/>
    </row>
    <row r="680" customFormat="false" ht="15" hidden="false" customHeight="false" outlineLevel="0" collapsed="false">
      <c r="A680" s="69"/>
      <c r="B680" s="68"/>
      <c r="C680" s="76" t="str">
        <f aca="false">IF(B680="","",IFERROR(INDEX(PE_Nom,MATCH(B680,PE_Mat,0)),"Matricule inconnu"))</f>
        <v/>
      </c>
      <c r="D680" s="76" t="str">
        <f aca="false">IF(B680="","",IFERROR(INDEX(PE_Fonction,MATCH(B680,PE_Mat,0)),""))</f>
        <v/>
      </c>
      <c r="E680" s="76" t="str">
        <f aca="false">IF(B680="","",IFERROR(INDEX(PE_Equipe,MATCH(B680,PE_Mat,0)),""))</f>
        <v/>
      </c>
      <c r="F680" s="25"/>
      <c r="G680" s="25"/>
      <c r="H680" s="68"/>
      <c r="I680" s="89"/>
      <c r="J680" s="31" t="str">
        <f aca="false">IF(B680="","",IFERROR(INDEX(PE_Taux,MATCH(B680,PE_Mat,0)),0))</f>
        <v/>
      </c>
      <c r="K680" s="31" t="str">
        <f aca="false">IF(B680="","",IF(H680="A",0,IFERROR(N(I680)/P_Heures*J680,0)))</f>
        <v/>
      </c>
      <c r="L680" s="25"/>
    </row>
    <row r="681" customFormat="false" ht="15" hidden="false" customHeight="false" outlineLevel="0" collapsed="false">
      <c r="A681" s="69"/>
      <c r="B681" s="68"/>
      <c r="C681" s="76" t="str">
        <f aca="false">IF(B681="","",IFERROR(INDEX(PE_Nom,MATCH(B681,PE_Mat,0)),"Matricule inconnu"))</f>
        <v/>
      </c>
      <c r="D681" s="76" t="str">
        <f aca="false">IF(B681="","",IFERROR(INDEX(PE_Fonction,MATCH(B681,PE_Mat,0)),""))</f>
        <v/>
      </c>
      <c r="E681" s="76" t="str">
        <f aca="false">IF(B681="","",IFERROR(INDEX(PE_Equipe,MATCH(B681,PE_Mat,0)),""))</f>
        <v/>
      </c>
      <c r="F681" s="25"/>
      <c r="G681" s="25"/>
      <c r="H681" s="68"/>
      <c r="I681" s="89"/>
      <c r="J681" s="31" t="str">
        <f aca="false">IF(B681="","",IFERROR(INDEX(PE_Taux,MATCH(B681,PE_Mat,0)),0))</f>
        <v/>
      </c>
      <c r="K681" s="31" t="str">
        <f aca="false">IF(B681="","",IF(H681="A",0,IFERROR(N(I681)/P_Heures*J681,0)))</f>
        <v/>
      </c>
      <c r="L681" s="25"/>
    </row>
    <row r="682" customFormat="false" ht="15" hidden="false" customHeight="false" outlineLevel="0" collapsed="false">
      <c r="A682" s="69"/>
      <c r="B682" s="68"/>
      <c r="C682" s="76" t="str">
        <f aca="false">IF(B682="","",IFERROR(INDEX(PE_Nom,MATCH(B682,PE_Mat,0)),"Matricule inconnu"))</f>
        <v/>
      </c>
      <c r="D682" s="76" t="str">
        <f aca="false">IF(B682="","",IFERROR(INDEX(PE_Fonction,MATCH(B682,PE_Mat,0)),""))</f>
        <v/>
      </c>
      <c r="E682" s="76" t="str">
        <f aca="false">IF(B682="","",IFERROR(INDEX(PE_Equipe,MATCH(B682,PE_Mat,0)),""))</f>
        <v/>
      </c>
      <c r="F682" s="25"/>
      <c r="G682" s="25"/>
      <c r="H682" s="68"/>
      <c r="I682" s="89"/>
      <c r="J682" s="31" t="str">
        <f aca="false">IF(B682="","",IFERROR(INDEX(PE_Taux,MATCH(B682,PE_Mat,0)),0))</f>
        <v/>
      </c>
      <c r="K682" s="31" t="str">
        <f aca="false">IF(B682="","",IF(H682="A",0,IFERROR(N(I682)/P_Heures*J682,0)))</f>
        <v/>
      </c>
      <c r="L682" s="25"/>
    </row>
    <row r="683" customFormat="false" ht="15" hidden="false" customHeight="false" outlineLevel="0" collapsed="false">
      <c r="A683" s="69"/>
      <c r="B683" s="68"/>
      <c r="C683" s="76" t="str">
        <f aca="false">IF(B683="","",IFERROR(INDEX(PE_Nom,MATCH(B683,PE_Mat,0)),"Matricule inconnu"))</f>
        <v/>
      </c>
      <c r="D683" s="76" t="str">
        <f aca="false">IF(B683="","",IFERROR(INDEX(PE_Fonction,MATCH(B683,PE_Mat,0)),""))</f>
        <v/>
      </c>
      <c r="E683" s="76" t="str">
        <f aca="false">IF(B683="","",IFERROR(INDEX(PE_Equipe,MATCH(B683,PE_Mat,0)),""))</f>
        <v/>
      </c>
      <c r="F683" s="25"/>
      <c r="G683" s="25"/>
      <c r="H683" s="68"/>
      <c r="I683" s="89"/>
      <c r="J683" s="31" t="str">
        <f aca="false">IF(B683="","",IFERROR(INDEX(PE_Taux,MATCH(B683,PE_Mat,0)),0))</f>
        <v/>
      </c>
      <c r="K683" s="31" t="str">
        <f aca="false">IF(B683="","",IF(H683="A",0,IFERROR(N(I683)/P_Heures*J683,0)))</f>
        <v/>
      </c>
      <c r="L683" s="25"/>
    </row>
    <row r="684" customFormat="false" ht="15" hidden="false" customHeight="false" outlineLevel="0" collapsed="false">
      <c r="A684" s="69"/>
      <c r="B684" s="68"/>
      <c r="C684" s="76" t="str">
        <f aca="false">IF(B684="","",IFERROR(INDEX(PE_Nom,MATCH(B684,PE_Mat,0)),"Matricule inconnu"))</f>
        <v/>
      </c>
      <c r="D684" s="76" t="str">
        <f aca="false">IF(B684="","",IFERROR(INDEX(PE_Fonction,MATCH(B684,PE_Mat,0)),""))</f>
        <v/>
      </c>
      <c r="E684" s="76" t="str">
        <f aca="false">IF(B684="","",IFERROR(INDEX(PE_Equipe,MATCH(B684,PE_Mat,0)),""))</f>
        <v/>
      </c>
      <c r="F684" s="25"/>
      <c r="G684" s="25"/>
      <c r="H684" s="68"/>
      <c r="I684" s="89"/>
      <c r="J684" s="31" t="str">
        <f aca="false">IF(B684="","",IFERROR(INDEX(PE_Taux,MATCH(B684,PE_Mat,0)),0))</f>
        <v/>
      </c>
      <c r="K684" s="31" t="str">
        <f aca="false">IF(B684="","",IF(H684="A",0,IFERROR(N(I684)/P_Heures*J684,0)))</f>
        <v/>
      </c>
      <c r="L684" s="25"/>
    </row>
    <row r="685" customFormat="false" ht="15" hidden="false" customHeight="false" outlineLevel="0" collapsed="false">
      <c r="A685" s="69"/>
      <c r="B685" s="68"/>
      <c r="C685" s="76" t="str">
        <f aca="false">IF(B685="","",IFERROR(INDEX(PE_Nom,MATCH(B685,PE_Mat,0)),"Matricule inconnu"))</f>
        <v/>
      </c>
      <c r="D685" s="76" t="str">
        <f aca="false">IF(B685="","",IFERROR(INDEX(PE_Fonction,MATCH(B685,PE_Mat,0)),""))</f>
        <v/>
      </c>
      <c r="E685" s="76" t="str">
        <f aca="false">IF(B685="","",IFERROR(INDEX(PE_Equipe,MATCH(B685,PE_Mat,0)),""))</f>
        <v/>
      </c>
      <c r="F685" s="25"/>
      <c r="G685" s="25"/>
      <c r="H685" s="68"/>
      <c r="I685" s="89"/>
      <c r="J685" s="31" t="str">
        <f aca="false">IF(B685="","",IFERROR(INDEX(PE_Taux,MATCH(B685,PE_Mat,0)),0))</f>
        <v/>
      </c>
      <c r="K685" s="31" t="str">
        <f aca="false">IF(B685="","",IF(H685="A",0,IFERROR(N(I685)/P_Heures*J685,0)))</f>
        <v/>
      </c>
      <c r="L685" s="25"/>
    </row>
    <row r="686" customFormat="false" ht="15" hidden="false" customHeight="false" outlineLevel="0" collapsed="false">
      <c r="A686" s="69"/>
      <c r="B686" s="68"/>
      <c r="C686" s="76" t="str">
        <f aca="false">IF(B686="","",IFERROR(INDEX(PE_Nom,MATCH(B686,PE_Mat,0)),"Matricule inconnu"))</f>
        <v/>
      </c>
      <c r="D686" s="76" t="str">
        <f aca="false">IF(B686="","",IFERROR(INDEX(PE_Fonction,MATCH(B686,PE_Mat,0)),""))</f>
        <v/>
      </c>
      <c r="E686" s="76" t="str">
        <f aca="false">IF(B686="","",IFERROR(INDEX(PE_Equipe,MATCH(B686,PE_Mat,0)),""))</f>
        <v/>
      </c>
      <c r="F686" s="25"/>
      <c r="G686" s="25"/>
      <c r="H686" s="68"/>
      <c r="I686" s="89"/>
      <c r="J686" s="31" t="str">
        <f aca="false">IF(B686="","",IFERROR(INDEX(PE_Taux,MATCH(B686,PE_Mat,0)),0))</f>
        <v/>
      </c>
      <c r="K686" s="31" t="str">
        <f aca="false">IF(B686="","",IF(H686="A",0,IFERROR(N(I686)/P_Heures*J686,0)))</f>
        <v/>
      </c>
      <c r="L686" s="25"/>
    </row>
    <row r="687" customFormat="false" ht="15" hidden="false" customHeight="false" outlineLevel="0" collapsed="false">
      <c r="A687" s="69"/>
      <c r="B687" s="68"/>
      <c r="C687" s="76" t="str">
        <f aca="false">IF(B687="","",IFERROR(INDEX(PE_Nom,MATCH(B687,PE_Mat,0)),"Matricule inconnu"))</f>
        <v/>
      </c>
      <c r="D687" s="76" t="str">
        <f aca="false">IF(B687="","",IFERROR(INDEX(PE_Fonction,MATCH(B687,PE_Mat,0)),""))</f>
        <v/>
      </c>
      <c r="E687" s="76" t="str">
        <f aca="false">IF(B687="","",IFERROR(INDEX(PE_Equipe,MATCH(B687,PE_Mat,0)),""))</f>
        <v/>
      </c>
      <c r="F687" s="25"/>
      <c r="G687" s="25"/>
      <c r="H687" s="68"/>
      <c r="I687" s="89"/>
      <c r="J687" s="31" t="str">
        <f aca="false">IF(B687="","",IFERROR(INDEX(PE_Taux,MATCH(B687,PE_Mat,0)),0))</f>
        <v/>
      </c>
      <c r="K687" s="31" t="str">
        <f aca="false">IF(B687="","",IF(H687="A",0,IFERROR(N(I687)/P_Heures*J687,0)))</f>
        <v/>
      </c>
      <c r="L687" s="25"/>
    </row>
    <row r="688" customFormat="false" ht="15" hidden="false" customHeight="false" outlineLevel="0" collapsed="false">
      <c r="A688" s="69"/>
      <c r="B688" s="68"/>
      <c r="C688" s="76" t="str">
        <f aca="false">IF(B688="","",IFERROR(INDEX(PE_Nom,MATCH(B688,PE_Mat,0)),"Matricule inconnu"))</f>
        <v/>
      </c>
      <c r="D688" s="76" t="str">
        <f aca="false">IF(B688="","",IFERROR(INDEX(PE_Fonction,MATCH(B688,PE_Mat,0)),""))</f>
        <v/>
      </c>
      <c r="E688" s="76" t="str">
        <f aca="false">IF(B688="","",IFERROR(INDEX(PE_Equipe,MATCH(B688,PE_Mat,0)),""))</f>
        <v/>
      </c>
      <c r="F688" s="25"/>
      <c r="G688" s="25"/>
      <c r="H688" s="68"/>
      <c r="I688" s="89"/>
      <c r="J688" s="31" t="str">
        <f aca="false">IF(B688="","",IFERROR(INDEX(PE_Taux,MATCH(B688,PE_Mat,0)),0))</f>
        <v/>
      </c>
      <c r="K688" s="31" t="str">
        <f aca="false">IF(B688="","",IF(H688="A",0,IFERROR(N(I688)/P_Heures*J688,0)))</f>
        <v/>
      </c>
      <c r="L688" s="25"/>
    </row>
    <row r="689" customFormat="false" ht="15" hidden="false" customHeight="false" outlineLevel="0" collapsed="false">
      <c r="A689" s="69"/>
      <c r="B689" s="68"/>
      <c r="C689" s="76" t="str">
        <f aca="false">IF(B689="","",IFERROR(INDEX(PE_Nom,MATCH(B689,PE_Mat,0)),"Matricule inconnu"))</f>
        <v/>
      </c>
      <c r="D689" s="76" t="str">
        <f aca="false">IF(B689="","",IFERROR(INDEX(PE_Fonction,MATCH(B689,PE_Mat,0)),""))</f>
        <v/>
      </c>
      <c r="E689" s="76" t="str">
        <f aca="false">IF(B689="","",IFERROR(INDEX(PE_Equipe,MATCH(B689,PE_Mat,0)),""))</f>
        <v/>
      </c>
      <c r="F689" s="25"/>
      <c r="G689" s="25"/>
      <c r="H689" s="68"/>
      <c r="I689" s="89"/>
      <c r="J689" s="31" t="str">
        <f aca="false">IF(B689="","",IFERROR(INDEX(PE_Taux,MATCH(B689,PE_Mat,0)),0))</f>
        <v/>
      </c>
      <c r="K689" s="31" t="str">
        <f aca="false">IF(B689="","",IF(H689="A",0,IFERROR(N(I689)/P_Heures*J689,0)))</f>
        <v/>
      </c>
      <c r="L689" s="25"/>
    </row>
    <row r="690" customFormat="false" ht="15" hidden="false" customHeight="false" outlineLevel="0" collapsed="false">
      <c r="A690" s="69"/>
      <c r="B690" s="68"/>
      <c r="C690" s="76" t="str">
        <f aca="false">IF(B690="","",IFERROR(INDEX(PE_Nom,MATCH(B690,PE_Mat,0)),"Matricule inconnu"))</f>
        <v/>
      </c>
      <c r="D690" s="76" t="str">
        <f aca="false">IF(B690="","",IFERROR(INDEX(PE_Fonction,MATCH(B690,PE_Mat,0)),""))</f>
        <v/>
      </c>
      <c r="E690" s="76" t="str">
        <f aca="false">IF(B690="","",IFERROR(INDEX(PE_Equipe,MATCH(B690,PE_Mat,0)),""))</f>
        <v/>
      </c>
      <c r="F690" s="25"/>
      <c r="G690" s="25"/>
      <c r="H690" s="68"/>
      <c r="I690" s="89"/>
      <c r="J690" s="31" t="str">
        <f aca="false">IF(B690="","",IFERROR(INDEX(PE_Taux,MATCH(B690,PE_Mat,0)),0))</f>
        <v/>
      </c>
      <c r="K690" s="31" t="str">
        <f aca="false">IF(B690="","",IF(H690="A",0,IFERROR(N(I690)/P_Heures*J690,0)))</f>
        <v/>
      </c>
      <c r="L690" s="25"/>
    </row>
    <row r="691" customFormat="false" ht="15" hidden="false" customHeight="false" outlineLevel="0" collapsed="false">
      <c r="A691" s="69"/>
      <c r="B691" s="68"/>
      <c r="C691" s="76" t="str">
        <f aca="false">IF(B691="","",IFERROR(INDEX(PE_Nom,MATCH(B691,PE_Mat,0)),"Matricule inconnu"))</f>
        <v/>
      </c>
      <c r="D691" s="76" t="str">
        <f aca="false">IF(B691="","",IFERROR(INDEX(PE_Fonction,MATCH(B691,PE_Mat,0)),""))</f>
        <v/>
      </c>
      <c r="E691" s="76" t="str">
        <f aca="false">IF(B691="","",IFERROR(INDEX(PE_Equipe,MATCH(B691,PE_Mat,0)),""))</f>
        <v/>
      </c>
      <c r="F691" s="25"/>
      <c r="G691" s="25"/>
      <c r="H691" s="68"/>
      <c r="I691" s="89"/>
      <c r="J691" s="31" t="str">
        <f aca="false">IF(B691="","",IFERROR(INDEX(PE_Taux,MATCH(B691,PE_Mat,0)),0))</f>
        <v/>
      </c>
      <c r="K691" s="31" t="str">
        <f aca="false">IF(B691="","",IF(H691="A",0,IFERROR(N(I691)/P_Heures*J691,0)))</f>
        <v/>
      </c>
      <c r="L691" s="25"/>
    </row>
    <row r="692" customFormat="false" ht="15" hidden="false" customHeight="false" outlineLevel="0" collapsed="false">
      <c r="A692" s="69"/>
      <c r="B692" s="68"/>
      <c r="C692" s="76" t="str">
        <f aca="false">IF(B692="","",IFERROR(INDEX(PE_Nom,MATCH(B692,PE_Mat,0)),"Matricule inconnu"))</f>
        <v/>
      </c>
      <c r="D692" s="76" t="str">
        <f aca="false">IF(B692="","",IFERROR(INDEX(PE_Fonction,MATCH(B692,PE_Mat,0)),""))</f>
        <v/>
      </c>
      <c r="E692" s="76" t="str">
        <f aca="false">IF(B692="","",IFERROR(INDEX(PE_Equipe,MATCH(B692,PE_Mat,0)),""))</f>
        <v/>
      </c>
      <c r="F692" s="25"/>
      <c r="G692" s="25"/>
      <c r="H692" s="68"/>
      <c r="I692" s="89"/>
      <c r="J692" s="31" t="str">
        <f aca="false">IF(B692="","",IFERROR(INDEX(PE_Taux,MATCH(B692,PE_Mat,0)),0))</f>
        <v/>
      </c>
      <c r="K692" s="31" t="str">
        <f aca="false">IF(B692="","",IF(H692="A",0,IFERROR(N(I692)/P_Heures*J692,0)))</f>
        <v/>
      </c>
      <c r="L692" s="25"/>
    </row>
    <row r="693" customFormat="false" ht="15" hidden="false" customHeight="false" outlineLevel="0" collapsed="false">
      <c r="A693" s="69"/>
      <c r="B693" s="68"/>
      <c r="C693" s="76" t="str">
        <f aca="false">IF(B693="","",IFERROR(INDEX(PE_Nom,MATCH(B693,PE_Mat,0)),"Matricule inconnu"))</f>
        <v/>
      </c>
      <c r="D693" s="76" t="str">
        <f aca="false">IF(B693="","",IFERROR(INDEX(PE_Fonction,MATCH(B693,PE_Mat,0)),""))</f>
        <v/>
      </c>
      <c r="E693" s="76" t="str">
        <f aca="false">IF(B693="","",IFERROR(INDEX(PE_Equipe,MATCH(B693,PE_Mat,0)),""))</f>
        <v/>
      </c>
      <c r="F693" s="25"/>
      <c r="G693" s="25"/>
      <c r="H693" s="68"/>
      <c r="I693" s="89"/>
      <c r="J693" s="31" t="str">
        <f aca="false">IF(B693="","",IFERROR(INDEX(PE_Taux,MATCH(B693,PE_Mat,0)),0))</f>
        <v/>
      </c>
      <c r="K693" s="31" t="str">
        <f aca="false">IF(B693="","",IF(H693="A",0,IFERROR(N(I693)/P_Heures*J693,0)))</f>
        <v/>
      </c>
      <c r="L693" s="25"/>
    </row>
    <row r="694" customFormat="false" ht="15" hidden="false" customHeight="false" outlineLevel="0" collapsed="false">
      <c r="A694" s="69"/>
      <c r="B694" s="68"/>
      <c r="C694" s="76" t="str">
        <f aca="false">IF(B694="","",IFERROR(INDEX(PE_Nom,MATCH(B694,PE_Mat,0)),"Matricule inconnu"))</f>
        <v/>
      </c>
      <c r="D694" s="76" t="str">
        <f aca="false">IF(B694="","",IFERROR(INDEX(PE_Fonction,MATCH(B694,PE_Mat,0)),""))</f>
        <v/>
      </c>
      <c r="E694" s="76" t="str">
        <f aca="false">IF(B694="","",IFERROR(INDEX(PE_Equipe,MATCH(B694,PE_Mat,0)),""))</f>
        <v/>
      </c>
      <c r="F694" s="25"/>
      <c r="G694" s="25"/>
      <c r="H694" s="68"/>
      <c r="I694" s="89"/>
      <c r="J694" s="31" t="str">
        <f aca="false">IF(B694="","",IFERROR(INDEX(PE_Taux,MATCH(B694,PE_Mat,0)),0))</f>
        <v/>
      </c>
      <c r="K694" s="31" t="str">
        <f aca="false">IF(B694="","",IF(H694="A",0,IFERROR(N(I694)/P_Heures*J694,0)))</f>
        <v/>
      </c>
      <c r="L694" s="25"/>
    </row>
    <row r="695" customFormat="false" ht="15" hidden="false" customHeight="false" outlineLevel="0" collapsed="false">
      <c r="A695" s="69"/>
      <c r="B695" s="68"/>
      <c r="C695" s="76" t="str">
        <f aca="false">IF(B695="","",IFERROR(INDEX(PE_Nom,MATCH(B695,PE_Mat,0)),"Matricule inconnu"))</f>
        <v/>
      </c>
      <c r="D695" s="76" t="str">
        <f aca="false">IF(B695="","",IFERROR(INDEX(PE_Fonction,MATCH(B695,PE_Mat,0)),""))</f>
        <v/>
      </c>
      <c r="E695" s="76" t="str">
        <f aca="false">IF(B695="","",IFERROR(INDEX(PE_Equipe,MATCH(B695,PE_Mat,0)),""))</f>
        <v/>
      </c>
      <c r="F695" s="25"/>
      <c r="G695" s="25"/>
      <c r="H695" s="68"/>
      <c r="I695" s="89"/>
      <c r="J695" s="31" t="str">
        <f aca="false">IF(B695="","",IFERROR(INDEX(PE_Taux,MATCH(B695,PE_Mat,0)),0))</f>
        <v/>
      </c>
      <c r="K695" s="31" t="str">
        <f aca="false">IF(B695="","",IF(H695="A",0,IFERROR(N(I695)/P_Heures*J695,0)))</f>
        <v/>
      </c>
      <c r="L695" s="25"/>
    </row>
    <row r="696" customFormat="false" ht="15" hidden="false" customHeight="false" outlineLevel="0" collapsed="false">
      <c r="A696" s="69"/>
      <c r="B696" s="68"/>
      <c r="C696" s="76" t="str">
        <f aca="false">IF(B696="","",IFERROR(INDEX(PE_Nom,MATCH(B696,PE_Mat,0)),"Matricule inconnu"))</f>
        <v/>
      </c>
      <c r="D696" s="76" t="str">
        <f aca="false">IF(B696="","",IFERROR(INDEX(PE_Fonction,MATCH(B696,PE_Mat,0)),""))</f>
        <v/>
      </c>
      <c r="E696" s="76" t="str">
        <f aca="false">IF(B696="","",IFERROR(INDEX(PE_Equipe,MATCH(B696,PE_Mat,0)),""))</f>
        <v/>
      </c>
      <c r="F696" s="25"/>
      <c r="G696" s="25"/>
      <c r="H696" s="68"/>
      <c r="I696" s="89"/>
      <c r="J696" s="31" t="str">
        <f aca="false">IF(B696="","",IFERROR(INDEX(PE_Taux,MATCH(B696,PE_Mat,0)),0))</f>
        <v/>
      </c>
      <c r="K696" s="31" t="str">
        <f aca="false">IF(B696="","",IF(H696="A",0,IFERROR(N(I696)/P_Heures*J696,0)))</f>
        <v/>
      </c>
      <c r="L696" s="25"/>
    </row>
    <row r="697" customFormat="false" ht="15" hidden="false" customHeight="false" outlineLevel="0" collapsed="false">
      <c r="A697" s="69"/>
      <c r="B697" s="68"/>
      <c r="C697" s="76" t="str">
        <f aca="false">IF(B697="","",IFERROR(INDEX(PE_Nom,MATCH(B697,PE_Mat,0)),"Matricule inconnu"))</f>
        <v/>
      </c>
      <c r="D697" s="76" t="str">
        <f aca="false">IF(B697="","",IFERROR(INDEX(PE_Fonction,MATCH(B697,PE_Mat,0)),""))</f>
        <v/>
      </c>
      <c r="E697" s="76" t="str">
        <f aca="false">IF(B697="","",IFERROR(INDEX(PE_Equipe,MATCH(B697,PE_Mat,0)),""))</f>
        <v/>
      </c>
      <c r="F697" s="25"/>
      <c r="G697" s="25"/>
      <c r="H697" s="68"/>
      <c r="I697" s="89"/>
      <c r="J697" s="31" t="str">
        <f aca="false">IF(B697="","",IFERROR(INDEX(PE_Taux,MATCH(B697,PE_Mat,0)),0))</f>
        <v/>
      </c>
      <c r="K697" s="31" t="str">
        <f aca="false">IF(B697="","",IF(H697="A",0,IFERROR(N(I697)/P_Heures*J697,0)))</f>
        <v/>
      </c>
      <c r="L697" s="25"/>
    </row>
    <row r="698" customFormat="false" ht="15" hidden="false" customHeight="false" outlineLevel="0" collapsed="false">
      <c r="A698" s="69"/>
      <c r="B698" s="68"/>
      <c r="C698" s="76" t="str">
        <f aca="false">IF(B698="","",IFERROR(INDEX(PE_Nom,MATCH(B698,PE_Mat,0)),"Matricule inconnu"))</f>
        <v/>
      </c>
      <c r="D698" s="76" t="str">
        <f aca="false">IF(B698="","",IFERROR(INDEX(PE_Fonction,MATCH(B698,PE_Mat,0)),""))</f>
        <v/>
      </c>
      <c r="E698" s="76" t="str">
        <f aca="false">IF(B698="","",IFERROR(INDEX(PE_Equipe,MATCH(B698,PE_Mat,0)),""))</f>
        <v/>
      </c>
      <c r="F698" s="25"/>
      <c r="G698" s="25"/>
      <c r="H698" s="68"/>
      <c r="I698" s="89"/>
      <c r="J698" s="31" t="str">
        <f aca="false">IF(B698="","",IFERROR(INDEX(PE_Taux,MATCH(B698,PE_Mat,0)),0))</f>
        <v/>
      </c>
      <c r="K698" s="31" t="str">
        <f aca="false">IF(B698="","",IF(H698="A",0,IFERROR(N(I698)/P_Heures*J698,0)))</f>
        <v/>
      </c>
      <c r="L698" s="25"/>
    </row>
    <row r="699" customFormat="false" ht="15" hidden="false" customHeight="false" outlineLevel="0" collapsed="false">
      <c r="A699" s="69"/>
      <c r="B699" s="68"/>
      <c r="C699" s="76" t="str">
        <f aca="false">IF(B699="","",IFERROR(INDEX(PE_Nom,MATCH(B699,PE_Mat,0)),"Matricule inconnu"))</f>
        <v/>
      </c>
      <c r="D699" s="76" t="str">
        <f aca="false">IF(B699="","",IFERROR(INDEX(PE_Fonction,MATCH(B699,PE_Mat,0)),""))</f>
        <v/>
      </c>
      <c r="E699" s="76" t="str">
        <f aca="false">IF(B699="","",IFERROR(INDEX(PE_Equipe,MATCH(B699,PE_Mat,0)),""))</f>
        <v/>
      </c>
      <c r="F699" s="25"/>
      <c r="G699" s="25"/>
      <c r="H699" s="68"/>
      <c r="I699" s="89"/>
      <c r="J699" s="31" t="str">
        <f aca="false">IF(B699="","",IFERROR(INDEX(PE_Taux,MATCH(B699,PE_Mat,0)),0))</f>
        <v/>
      </c>
      <c r="K699" s="31" t="str">
        <f aca="false">IF(B699="","",IF(H699="A",0,IFERROR(N(I699)/P_Heures*J699,0)))</f>
        <v/>
      </c>
      <c r="L699" s="25"/>
    </row>
    <row r="700" customFormat="false" ht="15" hidden="false" customHeight="false" outlineLevel="0" collapsed="false">
      <c r="A700" s="69"/>
      <c r="B700" s="68"/>
      <c r="C700" s="76" t="str">
        <f aca="false">IF(B700="","",IFERROR(INDEX(PE_Nom,MATCH(B700,PE_Mat,0)),"Matricule inconnu"))</f>
        <v/>
      </c>
      <c r="D700" s="76" t="str">
        <f aca="false">IF(B700="","",IFERROR(INDEX(PE_Fonction,MATCH(B700,PE_Mat,0)),""))</f>
        <v/>
      </c>
      <c r="E700" s="76" t="str">
        <f aca="false">IF(B700="","",IFERROR(INDEX(PE_Equipe,MATCH(B700,PE_Mat,0)),""))</f>
        <v/>
      </c>
      <c r="F700" s="25"/>
      <c r="G700" s="25"/>
      <c r="H700" s="68"/>
      <c r="I700" s="89"/>
      <c r="J700" s="31" t="str">
        <f aca="false">IF(B700="","",IFERROR(INDEX(PE_Taux,MATCH(B700,PE_Mat,0)),0))</f>
        <v/>
      </c>
      <c r="K700" s="31" t="str">
        <f aca="false">IF(B700="","",IF(H700="A",0,IFERROR(N(I700)/P_Heures*J700,0)))</f>
        <v/>
      </c>
      <c r="L700" s="25"/>
    </row>
    <row r="701" customFormat="false" ht="15" hidden="false" customHeight="false" outlineLevel="0" collapsed="false">
      <c r="A701" s="69"/>
      <c r="B701" s="68"/>
      <c r="C701" s="76" t="str">
        <f aca="false">IF(B701="","",IFERROR(INDEX(PE_Nom,MATCH(B701,PE_Mat,0)),"Matricule inconnu"))</f>
        <v/>
      </c>
      <c r="D701" s="76" t="str">
        <f aca="false">IF(B701="","",IFERROR(INDEX(PE_Fonction,MATCH(B701,PE_Mat,0)),""))</f>
        <v/>
      </c>
      <c r="E701" s="76" t="str">
        <f aca="false">IF(B701="","",IFERROR(INDEX(PE_Equipe,MATCH(B701,PE_Mat,0)),""))</f>
        <v/>
      </c>
      <c r="F701" s="25"/>
      <c r="G701" s="25"/>
      <c r="H701" s="68"/>
      <c r="I701" s="89"/>
      <c r="J701" s="31" t="str">
        <f aca="false">IF(B701="","",IFERROR(INDEX(PE_Taux,MATCH(B701,PE_Mat,0)),0))</f>
        <v/>
      </c>
      <c r="K701" s="31" t="str">
        <f aca="false">IF(B701="","",IF(H701="A",0,IFERROR(N(I701)/P_Heures*J701,0)))</f>
        <v/>
      </c>
      <c r="L701" s="25"/>
    </row>
    <row r="702" customFormat="false" ht="15" hidden="false" customHeight="false" outlineLevel="0" collapsed="false">
      <c r="A702" s="69"/>
      <c r="B702" s="68"/>
      <c r="C702" s="76" t="str">
        <f aca="false">IF(B702="","",IFERROR(INDEX(PE_Nom,MATCH(B702,PE_Mat,0)),"Matricule inconnu"))</f>
        <v/>
      </c>
      <c r="D702" s="76" t="str">
        <f aca="false">IF(B702="","",IFERROR(INDEX(PE_Fonction,MATCH(B702,PE_Mat,0)),""))</f>
        <v/>
      </c>
      <c r="E702" s="76" t="str">
        <f aca="false">IF(B702="","",IFERROR(INDEX(PE_Equipe,MATCH(B702,PE_Mat,0)),""))</f>
        <v/>
      </c>
      <c r="F702" s="25"/>
      <c r="G702" s="25"/>
      <c r="H702" s="68"/>
      <c r="I702" s="89"/>
      <c r="J702" s="31" t="str">
        <f aca="false">IF(B702="","",IFERROR(INDEX(PE_Taux,MATCH(B702,PE_Mat,0)),0))</f>
        <v/>
      </c>
      <c r="K702" s="31" t="str">
        <f aca="false">IF(B702="","",IF(H702="A",0,IFERROR(N(I702)/P_Heures*J702,0)))</f>
        <v/>
      </c>
      <c r="L702" s="25"/>
    </row>
    <row r="703" customFormat="false" ht="15" hidden="false" customHeight="false" outlineLevel="0" collapsed="false">
      <c r="A703" s="69"/>
      <c r="B703" s="68"/>
      <c r="C703" s="76" t="str">
        <f aca="false">IF(B703="","",IFERROR(INDEX(PE_Nom,MATCH(B703,PE_Mat,0)),"Matricule inconnu"))</f>
        <v/>
      </c>
      <c r="D703" s="76" t="str">
        <f aca="false">IF(B703="","",IFERROR(INDEX(PE_Fonction,MATCH(B703,PE_Mat,0)),""))</f>
        <v/>
      </c>
      <c r="E703" s="76" t="str">
        <f aca="false">IF(B703="","",IFERROR(INDEX(PE_Equipe,MATCH(B703,PE_Mat,0)),""))</f>
        <v/>
      </c>
      <c r="F703" s="25"/>
      <c r="G703" s="25"/>
      <c r="H703" s="68"/>
      <c r="I703" s="89"/>
      <c r="J703" s="31" t="str">
        <f aca="false">IF(B703="","",IFERROR(INDEX(PE_Taux,MATCH(B703,PE_Mat,0)),0))</f>
        <v/>
      </c>
      <c r="K703" s="31" t="str">
        <f aca="false">IF(B703="","",IF(H703="A",0,IFERROR(N(I703)/P_Heures*J703,0)))</f>
        <v/>
      </c>
      <c r="L703" s="25"/>
    </row>
    <row r="704" customFormat="false" ht="15" hidden="false" customHeight="false" outlineLevel="0" collapsed="false">
      <c r="A704" s="69"/>
      <c r="B704" s="68"/>
      <c r="C704" s="76" t="str">
        <f aca="false">IF(B704="","",IFERROR(INDEX(PE_Nom,MATCH(B704,PE_Mat,0)),"Matricule inconnu"))</f>
        <v/>
      </c>
      <c r="D704" s="76" t="str">
        <f aca="false">IF(B704="","",IFERROR(INDEX(PE_Fonction,MATCH(B704,PE_Mat,0)),""))</f>
        <v/>
      </c>
      <c r="E704" s="76" t="str">
        <f aca="false">IF(B704="","",IFERROR(INDEX(PE_Equipe,MATCH(B704,PE_Mat,0)),""))</f>
        <v/>
      </c>
      <c r="F704" s="25"/>
      <c r="G704" s="25"/>
      <c r="H704" s="68"/>
      <c r="I704" s="89"/>
      <c r="J704" s="31" t="str">
        <f aca="false">IF(B704="","",IFERROR(INDEX(PE_Taux,MATCH(B704,PE_Mat,0)),0))</f>
        <v/>
      </c>
      <c r="K704" s="31" t="str">
        <f aca="false">IF(B704="","",IF(H704="A",0,IFERROR(N(I704)/P_Heures*J704,0)))</f>
        <v/>
      </c>
      <c r="L704" s="25"/>
    </row>
    <row r="705" customFormat="false" ht="15" hidden="false" customHeight="false" outlineLevel="0" collapsed="false">
      <c r="A705" s="69"/>
      <c r="B705" s="68"/>
      <c r="C705" s="76" t="str">
        <f aca="false">IF(B705="","",IFERROR(INDEX(PE_Nom,MATCH(B705,PE_Mat,0)),"Matricule inconnu"))</f>
        <v/>
      </c>
      <c r="D705" s="76" t="str">
        <f aca="false">IF(B705="","",IFERROR(INDEX(PE_Fonction,MATCH(B705,PE_Mat,0)),""))</f>
        <v/>
      </c>
      <c r="E705" s="76" t="str">
        <f aca="false">IF(B705="","",IFERROR(INDEX(PE_Equipe,MATCH(B705,PE_Mat,0)),""))</f>
        <v/>
      </c>
      <c r="F705" s="25"/>
      <c r="G705" s="25"/>
      <c r="H705" s="68"/>
      <c r="I705" s="89"/>
      <c r="J705" s="31" t="str">
        <f aca="false">IF(B705="","",IFERROR(INDEX(PE_Taux,MATCH(B705,PE_Mat,0)),0))</f>
        <v/>
      </c>
      <c r="K705" s="31" t="str">
        <f aca="false">IF(B705="","",IF(H705="A",0,IFERROR(N(I705)/P_Heures*J705,0)))</f>
        <v/>
      </c>
      <c r="L705" s="25"/>
    </row>
    <row r="706" customFormat="false" ht="15" hidden="false" customHeight="false" outlineLevel="0" collapsed="false">
      <c r="A706" s="69"/>
      <c r="B706" s="68"/>
      <c r="C706" s="76" t="str">
        <f aca="false">IF(B706="","",IFERROR(INDEX(PE_Nom,MATCH(B706,PE_Mat,0)),"Matricule inconnu"))</f>
        <v/>
      </c>
      <c r="D706" s="76" t="str">
        <f aca="false">IF(B706="","",IFERROR(INDEX(PE_Fonction,MATCH(B706,PE_Mat,0)),""))</f>
        <v/>
      </c>
      <c r="E706" s="76" t="str">
        <f aca="false">IF(B706="","",IFERROR(INDEX(PE_Equipe,MATCH(B706,PE_Mat,0)),""))</f>
        <v/>
      </c>
      <c r="F706" s="25"/>
      <c r="G706" s="25"/>
      <c r="H706" s="68"/>
      <c r="I706" s="89"/>
      <c r="J706" s="31" t="str">
        <f aca="false">IF(B706="","",IFERROR(INDEX(PE_Taux,MATCH(B706,PE_Mat,0)),0))</f>
        <v/>
      </c>
      <c r="K706" s="31" t="str">
        <f aca="false">IF(B706="","",IF(H706="A",0,IFERROR(N(I706)/P_Heures*J706,0)))</f>
        <v/>
      </c>
      <c r="L706" s="25"/>
    </row>
    <row r="707" customFormat="false" ht="15" hidden="false" customHeight="false" outlineLevel="0" collapsed="false">
      <c r="A707" s="69"/>
      <c r="B707" s="68"/>
      <c r="C707" s="76" t="str">
        <f aca="false">IF(B707="","",IFERROR(INDEX(PE_Nom,MATCH(B707,PE_Mat,0)),"Matricule inconnu"))</f>
        <v/>
      </c>
      <c r="D707" s="76" t="str">
        <f aca="false">IF(B707="","",IFERROR(INDEX(PE_Fonction,MATCH(B707,PE_Mat,0)),""))</f>
        <v/>
      </c>
      <c r="E707" s="76" t="str">
        <f aca="false">IF(B707="","",IFERROR(INDEX(PE_Equipe,MATCH(B707,PE_Mat,0)),""))</f>
        <v/>
      </c>
      <c r="F707" s="25"/>
      <c r="G707" s="25"/>
      <c r="H707" s="68"/>
      <c r="I707" s="89"/>
      <c r="J707" s="31" t="str">
        <f aca="false">IF(B707="","",IFERROR(INDEX(PE_Taux,MATCH(B707,PE_Mat,0)),0))</f>
        <v/>
      </c>
      <c r="K707" s="31" t="str">
        <f aca="false">IF(B707="","",IF(H707="A",0,IFERROR(N(I707)/P_Heures*J707,0)))</f>
        <v/>
      </c>
      <c r="L707" s="25"/>
    </row>
    <row r="708" customFormat="false" ht="15" hidden="false" customHeight="false" outlineLevel="0" collapsed="false">
      <c r="A708" s="69"/>
      <c r="B708" s="68"/>
      <c r="C708" s="76" t="str">
        <f aca="false">IF(B708="","",IFERROR(INDEX(PE_Nom,MATCH(B708,PE_Mat,0)),"Matricule inconnu"))</f>
        <v/>
      </c>
      <c r="D708" s="76" t="str">
        <f aca="false">IF(B708="","",IFERROR(INDEX(PE_Fonction,MATCH(B708,PE_Mat,0)),""))</f>
        <v/>
      </c>
      <c r="E708" s="76" t="str">
        <f aca="false">IF(B708="","",IFERROR(INDEX(PE_Equipe,MATCH(B708,PE_Mat,0)),""))</f>
        <v/>
      </c>
      <c r="F708" s="25"/>
      <c r="G708" s="25"/>
      <c r="H708" s="68"/>
      <c r="I708" s="89"/>
      <c r="J708" s="31" t="str">
        <f aca="false">IF(B708="","",IFERROR(INDEX(PE_Taux,MATCH(B708,PE_Mat,0)),0))</f>
        <v/>
      </c>
      <c r="K708" s="31" t="str">
        <f aca="false">IF(B708="","",IF(H708="A",0,IFERROR(N(I708)/P_Heures*J708,0)))</f>
        <v/>
      </c>
      <c r="L708" s="25"/>
    </row>
    <row r="709" customFormat="false" ht="15" hidden="false" customHeight="false" outlineLevel="0" collapsed="false">
      <c r="A709" s="69"/>
      <c r="B709" s="68"/>
      <c r="C709" s="76" t="str">
        <f aca="false">IF(B709="","",IFERROR(INDEX(PE_Nom,MATCH(B709,PE_Mat,0)),"Matricule inconnu"))</f>
        <v/>
      </c>
      <c r="D709" s="76" t="str">
        <f aca="false">IF(B709="","",IFERROR(INDEX(PE_Fonction,MATCH(B709,PE_Mat,0)),""))</f>
        <v/>
      </c>
      <c r="E709" s="76" t="str">
        <f aca="false">IF(B709="","",IFERROR(INDEX(PE_Equipe,MATCH(B709,PE_Mat,0)),""))</f>
        <v/>
      </c>
      <c r="F709" s="25"/>
      <c r="G709" s="25"/>
      <c r="H709" s="68"/>
      <c r="I709" s="89"/>
      <c r="J709" s="31" t="str">
        <f aca="false">IF(B709="","",IFERROR(INDEX(PE_Taux,MATCH(B709,PE_Mat,0)),0))</f>
        <v/>
      </c>
      <c r="K709" s="31" t="str">
        <f aca="false">IF(B709="","",IF(H709="A",0,IFERROR(N(I709)/P_Heures*J709,0)))</f>
        <v/>
      </c>
      <c r="L709" s="25"/>
    </row>
    <row r="710" customFormat="false" ht="15" hidden="false" customHeight="false" outlineLevel="0" collapsed="false">
      <c r="A710" s="69"/>
      <c r="B710" s="68"/>
      <c r="C710" s="76" t="str">
        <f aca="false">IF(B710="","",IFERROR(INDEX(PE_Nom,MATCH(B710,PE_Mat,0)),"Matricule inconnu"))</f>
        <v/>
      </c>
      <c r="D710" s="76" t="str">
        <f aca="false">IF(B710="","",IFERROR(INDEX(PE_Fonction,MATCH(B710,PE_Mat,0)),""))</f>
        <v/>
      </c>
      <c r="E710" s="76" t="str">
        <f aca="false">IF(B710="","",IFERROR(INDEX(PE_Equipe,MATCH(B710,PE_Mat,0)),""))</f>
        <v/>
      </c>
      <c r="F710" s="25"/>
      <c r="G710" s="25"/>
      <c r="H710" s="68"/>
      <c r="I710" s="89"/>
      <c r="J710" s="31" t="str">
        <f aca="false">IF(B710="","",IFERROR(INDEX(PE_Taux,MATCH(B710,PE_Mat,0)),0))</f>
        <v/>
      </c>
      <c r="K710" s="31" t="str">
        <f aca="false">IF(B710="","",IF(H710="A",0,IFERROR(N(I710)/P_Heures*J710,0)))</f>
        <v/>
      </c>
      <c r="L710" s="25"/>
    </row>
    <row r="711" customFormat="false" ht="15" hidden="false" customHeight="false" outlineLevel="0" collapsed="false">
      <c r="A711" s="69"/>
      <c r="B711" s="68"/>
      <c r="C711" s="76" t="str">
        <f aca="false">IF(B711="","",IFERROR(INDEX(PE_Nom,MATCH(B711,PE_Mat,0)),"Matricule inconnu"))</f>
        <v/>
      </c>
      <c r="D711" s="76" t="str">
        <f aca="false">IF(B711="","",IFERROR(INDEX(PE_Fonction,MATCH(B711,PE_Mat,0)),""))</f>
        <v/>
      </c>
      <c r="E711" s="76" t="str">
        <f aca="false">IF(B711="","",IFERROR(INDEX(PE_Equipe,MATCH(B711,PE_Mat,0)),""))</f>
        <v/>
      </c>
      <c r="F711" s="25"/>
      <c r="G711" s="25"/>
      <c r="H711" s="68"/>
      <c r="I711" s="89"/>
      <c r="J711" s="31" t="str">
        <f aca="false">IF(B711="","",IFERROR(INDEX(PE_Taux,MATCH(B711,PE_Mat,0)),0))</f>
        <v/>
      </c>
      <c r="K711" s="31" t="str">
        <f aca="false">IF(B711="","",IF(H711="A",0,IFERROR(N(I711)/P_Heures*J711,0)))</f>
        <v/>
      </c>
      <c r="L711" s="25"/>
    </row>
    <row r="712" customFormat="false" ht="15" hidden="false" customHeight="false" outlineLevel="0" collapsed="false">
      <c r="A712" s="69"/>
      <c r="B712" s="68"/>
      <c r="C712" s="76" t="str">
        <f aca="false">IF(B712="","",IFERROR(INDEX(PE_Nom,MATCH(B712,PE_Mat,0)),"Matricule inconnu"))</f>
        <v/>
      </c>
      <c r="D712" s="76" t="str">
        <f aca="false">IF(B712="","",IFERROR(INDEX(PE_Fonction,MATCH(B712,PE_Mat,0)),""))</f>
        <v/>
      </c>
      <c r="E712" s="76" t="str">
        <f aca="false">IF(B712="","",IFERROR(INDEX(PE_Equipe,MATCH(B712,PE_Mat,0)),""))</f>
        <v/>
      </c>
      <c r="F712" s="25"/>
      <c r="G712" s="25"/>
      <c r="H712" s="68"/>
      <c r="I712" s="89"/>
      <c r="J712" s="31" t="str">
        <f aca="false">IF(B712="","",IFERROR(INDEX(PE_Taux,MATCH(B712,PE_Mat,0)),0))</f>
        <v/>
      </c>
      <c r="K712" s="31" t="str">
        <f aca="false">IF(B712="","",IF(H712="A",0,IFERROR(N(I712)/P_Heures*J712,0)))</f>
        <v/>
      </c>
      <c r="L712" s="25"/>
    </row>
    <row r="713" customFormat="false" ht="15" hidden="false" customHeight="false" outlineLevel="0" collapsed="false">
      <c r="A713" s="69"/>
      <c r="B713" s="68"/>
      <c r="C713" s="76" t="str">
        <f aca="false">IF(B713="","",IFERROR(INDEX(PE_Nom,MATCH(B713,PE_Mat,0)),"Matricule inconnu"))</f>
        <v/>
      </c>
      <c r="D713" s="76" t="str">
        <f aca="false">IF(B713="","",IFERROR(INDEX(PE_Fonction,MATCH(B713,PE_Mat,0)),""))</f>
        <v/>
      </c>
      <c r="E713" s="76" t="str">
        <f aca="false">IF(B713="","",IFERROR(INDEX(PE_Equipe,MATCH(B713,PE_Mat,0)),""))</f>
        <v/>
      </c>
      <c r="F713" s="25"/>
      <c r="G713" s="25"/>
      <c r="H713" s="68"/>
      <c r="I713" s="89"/>
      <c r="J713" s="31" t="str">
        <f aca="false">IF(B713="","",IFERROR(INDEX(PE_Taux,MATCH(B713,PE_Mat,0)),0))</f>
        <v/>
      </c>
      <c r="K713" s="31" t="str">
        <f aca="false">IF(B713="","",IF(H713="A",0,IFERROR(N(I713)/P_Heures*J713,0)))</f>
        <v/>
      </c>
      <c r="L713" s="25"/>
    </row>
    <row r="714" customFormat="false" ht="15" hidden="false" customHeight="false" outlineLevel="0" collapsed="false">
      <c r="A714" s="69"/>
      <c r="B714" s="68"/>
      <c r="C714" s="76" t="str">
        <f aca="false">IF(B714="","",IFERROR(INDEX(PE_Nom,MATCH(B714,PE_Mat,0)),"Matricule inconnu"))</f>
        <v/>
      </c>
      <c r="D714" s="76" t="str">
        <f aca="false">IF(B714="","",IFERROR(INDEX(PE_Fonction,MATCH(B714,PE_Mat,0)),""))</f>
        <v/>
      </c>
      <c r="E714" s="76" t="str">
        <f aca="false">IF(B714="","",IFERROR(INDEX(PE_Equipe,MATCH(B714,PE_Mat,0)),""))</f>
        <v/>
      </c>
      <c r="F714" s="25"/>
      <c r="G714" s="25"/>
      <c r="H714" s="68"/>
      <c r="I714" s="89"/>
      <c r="J714" s="31" t="str">
        <f aca="false">IF(B714="","",IFERROR(INDEX(PE_Taux,MATCH(B714,PE_Mat,0)),0))</f>
        <v/>
      </c>
      <c r="K714" s="31" t="str">
        <f aca="false">IF(B714="","",IF(H714="A",0,IFERROR(N(I714)/P_Heures*J714,0)))</f>
        <v/>
      </c>
      <c r="L714" s="25"/>
    </row>
    <row r="715" customFormat="false" ht="15" hidden="false" customHeight="false" outlineLevel="0" collapsed="false">
      <c r="A715" s="69"/>
      <c r="B715" s="68"/>
      <c r="C715" s="76" t="str">
        <f aca="false">IF(B715="","",IFERROR(INDEX(PE_Nom,MATCH(B715,PE_Mat,0)),"Matricule inconnu"))</f>
        <v/>
      </c>
      <c r="D715" s="76" t="str">
        <f aca="false">IF(B715="","",IFERROR(INDEX(PE_Fonction,MATCH(B715,PE_Mat,0)),""))</f>
        <v/>
      </c>
      <c r="E715" s="76" t="str">
        <f aca="false">IF(B715="","",IFERROR(INDEX(PE_Equipe,MATCH(B715,PE_Mat,0)),""))</f>
        <v/>
      </c>
      <c r="F715" s="25"/>
      <c r="G715" s="25"/>
      <c r="H715" s="68"/>
      <c r="I715" s="89"/>
      <c r="J715" s="31" t="str">
        <f aca="false">IF(B715="","",IFERROR(INDEX(PE_Taux,MATCH(B715,PE_Mat,0)),0))</f>
        <v/>
      </c>
      <c r="K715" s="31" t="str">
        <f aca="false">IF(B715="","",IF(H715="A",0,IFERROR(N(I715)/P_Heures*J715,0)))</f>
        <v/>
      </c>
      <c r="L715" s="25"/>
    </row>
    <row r="716" customFormat="false" ht="15" hidden="false" customHeight="false" outlineLevel="0" collapsed="false">
      <c r="A716" s="69"/>
      <c r="B716" s="68"/>
      <c r="C716" s="76" t="str">
        <f aca="false">IF(B716="","",IFERROR(INDEX(PE_Nom,MATCH(B716,PE_Mat,0)),"Matricule inconnu"))</f>
        <v/>
      </c>
      <c r="D716" s="76" t="str">
        <f aca="false">IF(B716="","",IFERROR(INDEX(PE_Fonction,MATCH(B716,PE_Mat,0)),""))</f>
        <v/>
      </c>
      <c r="E716" s="76" t="str">
        <f aca="false">IF(B716="","",IFERROR(INDEX(PE_Equipe,MATCH(B716,PE_Mat,0)),""))</f>
        <v/>
      </c>
      <c r="F716" s="25"/>
      <c r="G716" s="25"/>
      <c r="H716" s="68"/>
      <c r="I716" s="89"/>
      <c r="J716" s="31" t="str">
        <f aca="false">IF(B716="","",IFERROR(INDEX(PE_Taux,MATCH(B716,PE_Mat,0)),0))</f>
        <v/>
      </c>
      <c r="K716" s="31" t="str">
        <f aca="false">IF(B716="","",IF(H716="A",0,IFERROR(N(I716)/P_Heures*J716,0)))</f>
        <v/>
      </c>
      <c r="L716" s="25"/>
    </row>
    <row r="717" customFormat="false" ht="15" hidden="false" customHeight="false" outlineLevel="0" collapsed="false">
      <c r="A717" s="69"/>
      <c r="B717" s="68"/>
      <c r="C717" s="76" t="str">
        <f aca="false">IF(B717="","",IFERROR(INDEX(PE_Nom,MATCH(B717,PE_Mat,0)),"Matricule inconnu"))</f>
        <v/>
      </c>
      <c r="D717" s="76" t="str">
        <f aca="false">IF(B717="","",IFERROR(INDEX(PE_Fonction,MATCH(B717,PE_Mat,0)),""))</f>
        <v/>
      </c>
      <c r="E717" s="76" t="str">
        <f aca="false">IF(B717="","",IFERROR(INDEX(PE_Equipe,MATCH(B717,PE_Mat,0)),""))</f>
        <v/>
      </c>
      <c r="F717" s="25"/>
      <c r="G717" s="25"/>
      <c r="H717" s="68"/>
      <c r="I717" s="89"/>
      <c r="J717" s="31" t="str">
        <f aca="false">IF(B717="","",IFERROR(INDEX(PE_Taux,MATCH(B717,PE_Mat,0)),0))</f>
        <v/>
      </c>
      <c r="K717" s="31" t="str">
        <f aca="false">IF(B717="","",IF(H717="A",0,IFERROR(N(I717)/P_Heures*J717,0)))</f>
        <v/>
      </c>
      <c r="L717" s="25"/>
    </row>
    <row r="718" customFormat="false" ht="15" hidden="false" customHeight="false" outlineLevel="0" collapsed="false">
      <c r="A718" s="69"/>
      <c r="B718" s="68"/>
      <c r="C718" s="76" t="str">
        <f aca="false">IF(B718="","",IFERROR(INDEX(PE_Nom,MATCH(B718,PE_Mat,0)),"Matricule inconnu"))</f>
        <v/>
      </c>
      <c r="D718" s="76" t="str">
        <f aca="false">IF(B718="","",IFERROR(INDEX(PE_Fonction,MATCH(B718,PE_Mat,0)),""))</f>
        <v/>
      </c>
      <c r="E718" s="76" t="str">
        <f aca="false">IF(B718="","",IFERROR(INDEX(PE_Equipe,MATCH(B718,PE_Mat,0)),""))</f>
        <v/>
      </c>
      <c r="F718" s="25"/>
      <c r="G718" s="25"/>
      <c r="H718" s="68"/>
      <c r="I718" s="89"/>
      <c r="J718" s="31" t="str">
        <f aca="false">IF(B718="","",IFERROR(INDEX(PE_Taux,MATCH(B718,PE_Mat,0)),0))</f>
        <v/>
      </c>
      <c r="K718" s="31" t="str">
        <f aca="false">IF(B718="","",IF(H718="A",0,IFERROR(N(I718)/P_Heures*J718,0)))</f>
        <v/>
      </c>
      <c r="L718" s="25"/>
    </row>
    <row r="719" customFormat="false" ht="15" hidden="false" customHeight="false" outlineLevel="0" collapsed="false">
      <c r="A719" s="69"/>
      <c r="B719" s="68"/>
      <c r="C719" s="76" t="str">
        <f aca="false">IF(B719="","",IFERROR(INDEX(PE_Nom,MATCH(B719,PE_Mat,0)),"Matricule inconnu"))</f>
        <v/>
      </c>
      <c r="D719" s="76" t="str">
        <f aca="false">IF(B719="","",IFERROR(INDEX(PE_Fonction,MATCH(B719,PE_Mat,0)),""))</f>
        <v/>
      </c>
      <c r="E719" s="76" t="str">
        <f aca="false">IF(B719="","",IFERROR(INDEX(PE_Equipe,MATCH(B719,PE_Mat,0)),""))</f>
        <v/>
      </c>
      <c r="F719" s="25"/>
      <c r="G719" s="25"/>
      <c r="H719" s="68"/>
      <c r="I719" s="89"/>
      <c r="J719" s="31" t="str">
        <f aca="false">IF(B719="","",IFERROR(INDEX(PE_Taux,MATCH(B719,PE_Mat,0)),0))</f>
        <v/>
      </c>
      <c r="K719" s="31" t="str">
        <f aca="false">IF(B719="","",IF(H719="A",0,IFERROR(N(I719)/P_Heures*J719,0)))</f>
        <v/>
      </c>
      <c r="L719" s="25"/>
    </row>
    <row r="720" customFormat="false" ht="15" hidden="false" customHeight="false" outlineLevel="0" collapsed="false">
      <c r="A720" s="69"/>
      <c r="B720" s="68"/>
      <c r="C720" s="76" t="str">
        <f aca="false">IF(B720="","",IFERROR(INDEX(PE_Nom,MATCH(B720,PE_Mat,0)),"Matricule inconnu"))</f>
        <v/>
      </c>
      <c r="D720" s="76" t="str">
        <f aca="false">IF(B720="","",IFERROR(INDEX(PE_Fonction,MATCH(B720,PE_Mat,0)),""))</f>
        <v/>
      </c>
      <c r="E720" s="76" t="str">
        <f aca="false">IF(B720="","",IFERROR(INDEX(PE_Equipe,MATCH(B720,PE_Mat,0)),""))</f>
        <v/>
      </c>
      <c r="F720" s="25"/>
      <c r="G720" s="25"/>
      <c r="H720" s="68"/>
      <c r="I720" s="89"/>
      <c r="J720" s="31" t="str">
        <f aca="false">IF(B720="","",IFERROR(INDEX(PE_Taux,MATCH(B720,PE_Mat,0)),0))</f>
        <v/>
      </c>
      <c r="K720" s="31" t="str">
        <f aca="false">IF(B720="","",IF(H720="A",0,IFERROR(N(I720)/P_Heures*J720,0)))</f>
        <v/>
      </c>
      <c r="L720" s="25"/>
    </row>
    <row r="721" customFormat="false" ht="15" hidden="false" customHeight="false" outlineLevel="0" collapsed="false">
      <c r="A721" s="69"/>
      <c r="B721" s="68"/>
      <c r="C721" s="76" t="str">
        <f aca="false">IF(B721="","",IFERROR(INDEX(PE_Nom,MATCH(B721,PE_Mat,0)),"Matricule inconnu"))</f>
        <v/>
      </c>
      <c r="D721" s="76" t="str">
        <f aca="false">IF(B721="","",IFERROR(INDEX(PE_Fonction,MATCH(B721,PE_Mat,0)),""))</f>
        <v/>
      </c>
      <c r="E721" s="76" t="str">
        <f aca="false">IF(B721="","",IFERROR(INDEX(PE_Equipe,MATCH(B721,PE_Mat,0)),""))</f>
        <v/>
      </c>
      <c r="F721" s="25"/>
      <c r="G721" s="25"/>
      <c r="H721" s="68"/>
      <c r="I721" s="89"/>
      <c r="J721" s="31" t="str">
        <f aca="false">IF(B721="","",IFERROR(INDEX(PE_Taux,MATCH(B721,PE_Mat,0)),0))</f>
        <v/>
      </c>
      <c r="K721" s="31" t="str">
        <f aca="false">IF(B721="","",IF(H721="A",0,IFERROR(N(I721)/P_Heures*J721,0)))</f>
        <v/>
      </c>
      <c r="L721" s="25"/>
    </row>
    <row r="722" customFormat="false" ht="15" hidden="false" customHeight="false" outlineLevel="0" collapsed="false">
      <c r="A722" s="69"/>
      <c r="B722" s="68"/>
      <c r="C722" s="76" t="str">
        <f aca="false">IF(B722="","",IFERROR(INDEX(PE_Nom,MATCH(B722,PE_Mat,0)),"Matricule inconnu"))</f>
        <v/>
      </c>
      <c r="D722" s="76" t="str">
        <f aca="false">IF(B722="","",IFERROR(INDEX(PE_Fonction,MATCH(B722,PE_Mat,0)),""))</f>
        <v/>
      </c>
      <c r="E722" s="76" t="str">
        <f aca="false">IF(B722="","",IFERROR(INDEX(PE_Equipe,MATCH(B722,PE_Mat,0)),""))</f>
        <v/>
      </c>
      <c r="F722" s="25"/>
      <c r="G722" s="25"/>
      <c r="H722" s="68"/>
      <c r="I722" s="89"/>
      <c r="J722" s="31" t="str">
        <f aca="false">IF(B722="","",IFERROR(INDEX(PE_Taux,MATCH(B722,PE_Mat,0)),0))</f>
        <v/>
      </c>
      <c r="K722" s="31" t="str">
        <f aca="false">IF(B722="","",IF(H722="A",0,IFERROR(N(I722)/P_Heures*J722,0)))</f>
        <v/>
      </c>
      <c r="L722" s="25"/>
    </row>
    <row r="723" customFormat="false" ht="15" hidden="false" customHeight="false" outlineLevel="0" collapsed="false">
      <c r="A723" s="69"/>
      <c r="B723" s="68"/>
      <c r="C723" s="76" t="str">
        <f aca="false">IF(B723="","",IFERROR(INDEX(PE_Nom,MATCH(B723,PE_Mat,0)),"Matricule inconnu"))</f>
        <v/>
      </c>
      <c r="D723" s="76" t="str">
        <f aca="false">IF(B723="","",IFERROR(INDEX(PE_Fonction,MATCH(B723,PE_Mat,0)),""))</f>
        <v/>
      </c>
      <c r="E723" s="76" t="str">
        <f aca="false">IF(B723="","",IFERROR(INDEX(PE_Equipe,MATCH(B723,PE_Mat,0)),""))</f>
        <v/>
      </c>
      <c r="F723" s="25"/>
      <c r="G723" s="25"/>
      <c r="H723" s="68"/>
      <c r="I723" s="89"/>
      <c r="J723" s="31" t="str">
        <f aca="false">IF(B723="","",IFERROR(INDEX(PE_Taux,MATCH(B723,PE_Mat,0)),0))</f>
        <v/>
      </c>
      <c r="K723" s="31" t="str">
        <f aca="false">IF(B723="","",IF(H723="A",0,IFERROR(N(I723)/P_Heures*J723,0)))</f>
        <v/>
      </c>
      <c r="L723" s="25"/>
    </row>
    <row r="724" customFormat="false" ht="15" hidden="false" customHeight="false" outlineLevel="0" collapsed="false">
      <c r="A724" s="69"/>
      <c r="B724" s="68"/>
      <c r="C724" s="76" t="str">
        <f aca="false">IF(B724="","",IFERROR(INDEX(PE_Nom,MATCH(B724,PE_Mat,0)),"Matricule inconnu"))</f>
        <v/>
      </c>
      <c r="D724" s="76" t="str">
        <f aca="false">IF(B724="","",IFERROR(INDEX(PE_Fonction,MATCH(B724,PE_Mat,0)),""))</f>
        <v/>
      </c>
      <c r="E724" s="76" t="str">
        <f aca="false">IF(B724="","",IFERROR(INDEX(PE_Equipe,MATCH(B724,PE_Mat,0)),""))</f>
        <v/>
      </c>
      <c r="F724" s="25"/>
      <c r="G724" s="25"/>
      <c r="H724" s="68"/>
      <c r="I724" s="89"/>
      <c r="J724" s="31" t="str">
        <f aca="false">IF(B724="","",IFERROR(INDEX(PE_Taux,MATCH(B724,PE_Mat,0)),0))</f>
        <v/>
      </c>
      <c r="K724" s="31" t="str">
        <f aca="false">IF(B724="","",IF(H724="A",0,IFERROR(N(I724)/P_Heures*J724,0)))</f>
        <v/>
      </c>
      <c r="L724" s="25"/>
    </row>
    <row r="725" customFormat="false" ht="15" hidden="false" customHeight="false" outlineLevel="0" collapsed="false">
      <c r="A725" s="69"/>
      <c r="B725" s="68"/>
      <c r="C725" s="76" t="str">
        <f aca="false">IF(B725="","",IFERROR(INDEX(PE_Nom,MATCH(B725,PE_Mat,0)),"Matricule inconnu"))</f>
        <v/>
      </c>
      <c r="D725" s="76" t="str">
        <f aca="false">IF(B725="","",IFERROR(INDEX(PE_Fonction,MATCH(B725,PE_Mat,0)),""))</f>
        <v/>
      </c>
      <c r="E725" s="76" t="str">
        <f aca="false">IF(B725="","",IFERROR(INDEX(PE_Equipe,MATCH(B725,PE_Mat,0)),""))</f>
        <v/>
      </c>
      <c r="F725" s="25"/>
      <c r="G725" s="25"/>
      <c r="H725" s="68"/>
      <c r="I725" s="89"/>
      <c r="J725" s="31" t="str">
        <f aca="false">IF(B725="","",IFERROR(INDEX(PE_Taux,MATCH(B725,PE_Mat,0)),0))</f>
        <v/>
      </c>
      <c r="K725" s="31" t="str">
        <f aca="false">IF(B725="","",IF(H725="A",0,IFERROR(N(I725)/P_Heures*J725,0)))</f>
        <v/>
      </c>
      <c r="L725" s="25"/>
    </row>
    <row r="726" customFormat="false" ht="15" hidden="false" customHeight="false" outlineLevel="0" collapsed="false">
      <c r="A726" s="69"/>
      <c r="B726" s="68"/>
      <c r="C726" s="76" t="str">
        <f aca="false">IF(B726="","",IFERROR(INDEX(PE_Nom,MATCH(B726,PE_Mat,0)),"Matricule inconnu"))</f>
        <v/>
      </c>
      <c r="D726" s="76" t="str">
        <f aca="false">IF(B726="","",IFERROR(INDEX(PE_Fonction,MATCH(B726,PE_Mat,0)),""))</f>
        <v/>
      </c>
      <c r="E726" s="76" t="str">
        <f aca="false">IF(B726="","",IFERROR(INDEX(PE_Equipe,MATCH(B726,PE_Mat,0)),""))</f>
        <v/>
      </c>
      <c r="F726" s="25"/>
      <c r="G726" s="25"/>
      <c r="H726" s="68"/>
      <c r="I726" s="89"/>
      <c r="J726" s="31" t="str">
        <f aca="false">IF(B726="","",IFERROR(INDEX(PE_Taux,MATCH(B726,PE_Mat,0)),0))</f>
        <v/>
      </c>
      <c r="K726" s="31" t="str">
        <f aca="false">IF(B726="","",IF(H726="A",0,IFERROR(N(I726)/P_Heures*J726,0)))</f>
        <v/>
      </c>
      <c r="L726" s="25"/>
    </row>
    <row r="727" customFormat="false" ht="15" hidden="false" customHeight="false" outlineLevel="0" collapsed="false">
      <c r="A727" s="69"/>
      <c r="B727" s="68"/>
      <c r="C727" s="76" t="str">
        <f aca="false">IF(B727="","",IFERROR(INDEX(PE_Nom,MATCH(B727,PE_Mat,0)),"Matricule inconnu"))</f>
        <v/>
      </c>
      <c r="D727" s="76" t="str">
        <f aca="false">IF(B727="","",IFERROR(INDEX(PE_Fonction,MATCH(B727,PE_Mat,0)),""))</f>
        <v/>
      </c>
      <c r="E727" s="76" t="str">
        <f aca="false">IF(B727="","",IFERROR(INDEX(PE_Equipe,MATCH(B727,PE_Mat,0)),""))</f>
        <v/>
      </c>
      <c r="F727" s="25"/>
      <c r="G727" s="25"/>
      <c r="H727" s="68"/>
      <c r="I727" s="89"/>
      <c r="J727" s="31" t="str">
        <f aca="false">IF(B727="","",IFERROR(INDEX(PE_Taux,MATCH(B727,PE_Mat,0)),0))</f>
        <v/>
      </c>
      <c r="K727" s="31" t="str">
        <f aca="false">IF(B727="","",IF(H727="A",0,IFERROR(N(I727)/P_Heures*J727,0)))</f>
        <v/>
      </c>
      <c r="L727" s="25"/>
    </row>
    <row r="728" customFormat="false" ht="15" hidden="false" customHeight="false" outlineLevel="0" collapsed="false">
      <c r="A728" s="69"/>
      <c r="B728" s="68"/>
      <c r="C728" s="76" t="str">
        <f aca="false">IF(B728="","",IFERROR(INDEX(PE_Nom,MATCH(B728,PE_Mat,0)),"Matricule inconnu"))</f>
        <v/>
      </c>
      <c r="D728" s="76" t="str">
        <f aca="false">IF(B728="","",IFERROR(INDEX(PE_Fonction,MATCH(B728,PE_Mat,0)),""))</f>
        <v/>
      </c>
      <c r="E728" s="76" t="str">
        <f aca="false">IF(B728="","",IFERROR(INDEX(PE_Equipe,MATCH(B728,PE_Mat,0)),""))</f>
        <v/>
      </c>
      <c r="F728" s="25"/>
      <c r="G728" s="25"/>
      <c r="H728" s="68"/>
      <c r="I728" s="89"/>
      <c r="J728" s="31" t="str">
        <f aca="false">IF(B728="","",IFERROR(INDEX(PE_Taux,MATCH(B728,PE_Mat,0)),0))</f>
        <v/>
      </c>
      <c r="K728" s="31" t="str">
        <f aca="false">IF(B728="","",IF(H728="A",0,IFERROR(N(I728)/P_Heures*J728,0)))</f>
        <v/>
      </c>
      <c r="L728" s="25"/>
    </row>
    <row r="729" customFormat="false" ht="15" hidden="false" customHeight="false" outlineLevel="0" collapsed="false">
      <c r="A729" s="69"/>
      <c r="B729" s="68"/>
      <c r="C729" s="76" t="str">
        <f aca="false">IF(B729="","",IFERROR(INDEX(PE_Nom,MATCH(B729,PE_Mat,0)),"Matricule inconnu"))</f>
        <v/>
      </c>
      <c r="D729" s="76" t="str">
        <f aca="false">IF(B729="","",IFERROR(INDEX(PE_Fonction,MATCH(B729,PE_Mat,0)),""))</f>
        <v/>
      </c>
      <c r="E729" s="76" t="str">
        <f aca="false">IF(B729="","",IFERROR(INDEX(PE_Equipe,MATCH(B729,PE_Mat,0)),""))</f>
        <v/>
      </c>
      <c r="F729" s="25"/>
      <c r="G729" s="25"/>
      <c r="H729" s="68"/>
      <c r="I729" s="89"/>
      <c r="J729" s="31" t="str">
        <f aca="false">IF(B729="","",IFERROR(INDEX(PE_Taux,MATCH(B729,PE_Mat,0)),0))</f>
        <v/>
      </c>
      <c r="K729" s="31" t="str">
        <f aca="false">IF(B729="","",IF(H729="A",0,IFERROR(N(I729)/P_Heures*J729,0)))</f>
        <v/>
      </c>
      <c r="L729" s="25"/>
    </row>
    <row r="730" customFormat="false" ht="15" hidden="false" customHeight="false" outlineLevel="0" collapsed="false">
      <c r="A730" s="69"/>
      <c r="B730" s="68"/>
      <c r="C730" s="76" t="str">
        <f aca="false">IF(B730="","",IFERROR(INDEX(PE_Nom,MATCH(B730,PE_Mat,0)),"Matricule inconnu"))</f>
        <v/>
      </c>
      <c r="D730" s="76" t="str">
        <f aca="false">IF(B730="","",IFERROR(INDEX(PE_Fonction,MATCH(B730,PE_Mat,0)),""))</f>
        <v/>
      </c>
      <c r="E730" s="76" t="str">
        <f aca="false">IF(B730="","",IFERROR(INDEX(PE_Equipe,MATCH(B730,PE_Mat,0)),""))</f>
        <v/>
      </c>
      <c r="F730" s="25"/>
      <c r="G730" s="25"/>
      <c r="H730" s="68"/>
      <c r="I730" s="89"/>
      <c r="J730" s="31" t="str">
        <f aca="false">IF(B730="","",IFERROR(INDEX(PE_Taux,MATCH(B730,PE_Mat,0)),0))</f>
        <v/>
      </c>
      <c r="K730" s="31" t="str">
        <f aca="false">IF(B730="","",IF(H730="A",0,IFERROR(N(I730)/P_Heures*J730,0)))</f>
        <v/>
      </c>
      <c r="L730" s="25"/>
    </row>
    <row r="731" customFormat="false" ht="15" hidden="false" customHeight="false" outlineLevel="0" collapsed="false">
      <c r="A731" s="69"/>
      <c r="B731" s="68"/>
      <c r="C731" s="76" t="str">
        <f aca="false">IF(B731="","",IFERROR(INDEX(PE_Nom,MATCH(B731,PE_Mat,0)),"Matricule inconnu"))</f>
        <v/>
      </c>
      <c r="D731" s="76" t="str">
        <f aca="false">IF(B731="","",IFERROR(INDEX(PE_Fonction,MATCH(B731,PE_Mat,0)),""))</f>
        <v/>
      </c>
      <c r="E731" s="76" t="str">
        <f aca="false">IF(B731="","",IFERROR(INDEX(PE_Equipe,MATCH(B731,PE_Mat,0)),""))</f>
        <v/>
      </c>
      <c r="F731" s="25"/>
      <c r="G731" s="25"/>
      <c r="H731" s="68"/>
      <c r="I731" s="89"/>
      <c r="J731" s="31" t="str">
        <f aca="false">IF(B731="","",IFERROR(INDEX(PE_Taux,MATCH(B731,PE_Mat,0)),0))</f>
        <v/>
      </c>
      <c r="K731" s="31" t="str">
        <f aca="false">IF(B731="","",IF(H731="A",0,IFERROR(N(I731)/P_Heures*J731,0)))</f>
        <v/>
      </c>
      <c r="L731" s="25"/>
    </row>
    <row r="732" customFormat="false" ht="15" hidden="false" customHeight="false" outlineLevel="0" collapsed="false">
      <c r="A732" s="69"/>
      <c r="B732" s="68"/>
      <c r="C732" s="76" t="str">
        <f aca="false">IF(B732="","",IFERROR(INDEX(PE_Nom,MATCH(B732,PE_Mat,0)),"Matricule inconnu"))</f>
        <v/>
      </c>
      <c r="D732" s="76" t="str">
        <f aca="false">IF(B732="","",IFERROR(INDEX(PE_Fonction,MATCH(B732,PE_Mat,0)),""))</f>
        <v/>
      </c>
      <c r="E732" s="76" t="str">
        <f aca="false">IF(B732="","",IFERROR(INDEX(PE_Equipe,MATCH(B732,PE_Mat,0)),""))</f>
        <v/>
      </c>
      <c r="F732" s="25"/>
      <c r="G732" s="25"/>
      <c r="H732" s="68"/>
      <c r="I732" s="89"/>
      <c r="J732" s="31" t="str">
        <f aca="false">IF(B732="","",IFERROR(INDEX(PE_Taux,MATCH(B732,PE_Mat,0)),0))</f>
        <v/>
      </c>
      <c r="K732" s="31" t="str">
        <f aca="false">IF(B732="","",IF(H732="A",0,IFERROR(N(I732)/P_Heures*J732,0)))</f>
        <v/>
      </c>
      <c r="L732" s="25"/>
    </row>
    <row r="733" customFormat="false" ht="15" hidden="false" customHeight="false" outlineLevel="0" collapsed="false">
      <c r="A733" s="69"/>
      <c r="B733" s="68"/>
      <c r="C733" s="76" t="str">
        <f aca="false">IF(B733="","",IFERROR(INDEX(PE_Nom,MATCH(B733,PE_Mat,0)),"Matricule inconnu"))</f>
        <v/>
      </c>
      <c r="D733" s="76" t="str">
        <f aca="false">IF(B733="","",IFERROR(INDEX(PE_Fonction,MATCH(B733,PE_Mat,0)),""))</f>
        <v/>
      </c>
      <c r="E733" s="76" t="str">
        <f aca="false">IF(B733="","",IFERROR(INDEX(PE_Equipe,MATCH(B733,PE_Mat,0)),""))</f>
        <v/>
      </c>
      <c r="F733" s="25"/>
      <c r="G733" s="25"/>
      <c r="H733" s="68"/>
      <c r="I733" s="89"/>
      <c r="J733" s="31" t="str">
        <f aca="false">IF(B733="","",IFERROR(INDEX(PE_Taux,MATCH(B733,PE_Mat,0)),0))</f>
        <v/>
      </c>
      <c r="K733" s="31" t="str">
        <f aca="false">IF(B733="","",IF(H733="A",0,IFERROR(N(I733)/P_Heures*J733,0)))</f>
        <v/>
      </c>
      <c r="L733" s="25"/>
    </row>
    <row r="734" customFormat="false" ht="15" hidden="false" customHeight="false" outlineLevel="0" collapsed="false">
      <c r="A734" s="69"/>
      <c r="B734" s="68"/>
      <c r="C734" s="76" t="str">
        <f aca="false">IF(B734="","",IFERROR(INDEX(PE_Nom,MATCH(B734,PE_Mat,0)),"Matricule inconnu"))</f>
        <v/>
      </c>
      <c r="D734" s="76" t="str">
        <f aca="false">IF(B734="","",IFERROR(INDEX(PE_Fonction,MATCH(B734,PE_Mat,0)),""))</f>
        <v/>
      </c>
      <c r="E734" s="76" t="str">
        <f aca="false">IF(B734="","",IFERROR(INDEX(PE_Equipe,MATCH(B734,PE_Mat,0)),""))</f>
        <v/>
      </c>
      <c r="F734" s="25"/>
      <c r="G734" s="25"/>
      <c r="H734" s="68"/>
      <c r="I734" s="89"/>
      <c r="J734" s="31" t="str">
        <f aca="false">IF(B734="","",IFERROR(INDEX(PE_Taux,MATCH(B734,PE_Mat,0)),0))</f>
        <v/>
      </c>
      <c r="K734" s="31" t="str">
        <f aca="false">IF(B734="","",IF(H734="A",0,IFERROR(N(I734)/P_Heures*J734,0)))</f>
        <v/>
      </c>
      <c r="L734" s="25"/>
    </row>
    <row r="735" customFormat="false" ht="15" hidden="false" customHeight="false" outlineLevel="0" collapsed="false">
      <c r="A735" s="69"/>
      <c r="B735" s="68"/>
      <c r="C735" s="76" t="str">
        <f aca="false">IF(B735="","",IFERROR(INDEX(PE_Nom,MATCH(B735,PE_Mat,0)),"Matricule inconnu"))</f>
        <v/>
      </c>
      <c r="D735" s="76" t="str">
        <f aca="false">IF(B735="","",IFERROR(INDEX(PE_Fonction,MATCH(B735,PE_Mat,0)),""))</f>
        <v/>
      </c>
      <c r="E735" s="76" t="str">
        <f aca="false">IF(B735="","",IFERROR(INDEX(PE_Equipe,MATCH(B735,PE_Mat,0)),""))</f>
        <v/>
      </c>
      <c r="F735" s="25"/>
      <c r="G735" s="25"/>
      <c r="H735" s="68"/>
      <c r="I735" s="89"/>
      <c r="J735" s="31" t="str">
        <f aca="false">IF(B735="","",IFERROR(INDEX(PE_Taux,MATCH(B735,PE_Mat,0)),0))</f>
        <v/>
      </c>
      <c r="K735" s="31" t="str">
        <f aca="false">IF(B735="","",IF(H735="A",0,IFERROR(N(I735)/P_Heures*J735,0)))</f>
        <v/>
      </c>
      <c r="L735" s="25"/>
    </row>
    <row r="736" customFormat="false" ht="15" hidden="false" customHeight="false" outlineLevel="0" collapsed="false">
      <c r="A736" s="69"/>
      <c r="B736" s="68"/>
      <c r="C736" s="76" t="str">
        <f aca="false">IF(B736="","",IFERROR(INDEX(PE_Nom,MATCH(B736,PE_Mat,0)),"Matricule inconnu"))</f>
        <v/>
      </c>
      <c r="D736" s="76" t="str">
        <f aca="false">IF(B736="","",IFERROR(INDEX(PE_Fonction,MATCH(B736,PE_Mat,0)),""))</f>
        <v/>
      </c>
      <c r="E736" s="76" t="str">
        <f aca="false">IF(B736="","",IFERROR(INDEX(PE_Equipe,MATCH(B736,PE_Mat,0)),""))</f>
        <v/>
      </c>
      <c r="F736" s="25"/>
      <c r="G736" s="25"/>
      <c r="H736" s="68"/>
      <c r="I736" s="89"/>
      <c r="J736" s="31" t="str">
        <f aca="false">IF(B736="","",IFERROR(INDEX(PE_Taux,MATCH(B736,PE_Mat,0)),0))</f>
        <v/>
      </c>
      <c r="K736" s="31" t="str">
        <f aca="false">IF(B736="","",IF(H736="A",0,IFERROR(N(I736)/P_Heures*J736,0)))</f>
        <v/>
      </c>
      <c r="L736" s="25"/>
    </row>
    <row r="737" customFormat="false" ht="15" hidden="false" customHeight="false" outlineLevel="0" collapsed="false">
      <c r="A737" s="69"/>
      <c r="B737" s="68"/>
      <c r="C737" s="76" t="str">
        <f aca="false">IF(B737="","",IFERROR(INDEX(PE_Nom,MATCH(B737,PE_Mat,0)),"Matricule inconnu"))</f>
        <v/>
      </c>
      <c r="D737" s="76" t="str">
        <f aca="false">IF(B737="","",IFERROR(INDEX(PE_Fonction,MATCH(B737,PE_Mat,0)),""))</f>
        <v/>
      </c>
      <c r="E737" s="76" t="str">
        <f aca="false">IF(B737="","",IFERROR(INDEX(PE_Equipe,MATCH(B737,PE_Mat,0)),""))</f>
        <v/>
      </c>
      <c r="F737" s="25"/>
      <c r="G737" s="25"/>
      <c r="H737" s="68"/>
      <c r="I737" s="89"/>
      <c r="J737" s="31" t="str">
        <f aca="false">IF(B737="","",IFERROR(INDEX(PE_Taux,MATCH(B737,PE_Mat,0)),0))</f>
        <v/>
      </c>
      <c r="K737" s="31" t="str">
        <f aca="false">IF(B737="","",IF(H737="A",0,IFERROR(N(I737)/P_Heures*J737,0)))</f>
        <v/>
      </c>
      <c r="L737" s="25"/>
    </row>
    <row r="738" customFormat="false" ht="15" hidden="false" customHeight="false" outlineLevel="0" collapsed="false">
      <c r="A738" s="69"/>
      <c r="B738" s="68"/>
      <c r="C738" s="76" t="str">
        <f aca="false">IF(B738="","",IFERROR(INDEX(PE_Nom,MATCH(B738,PE_Mat,0)),"Matricule inconnu"))</f>
        <v/>
      </c>
      <c r="D738" s="76" t="str">
        <f aca="false">IF(B738="","",IFERROR(INDEX(PE_Fonction,MATCH(B738,PE_Mat,0)),""))</f>
        <v/>
      </c>
      <c r="E738" s="76" t="str">
        <f aca="false">IF(B738="","",IFERROR(INDEX(PE_Equipe,MATCH(B738,PE_Mat,0)),""))</f>
        <v/>
      </c>
      <c r="F738" s="25"/>
      <c r="G738" s="25"/>
      <c r="H738" s="68"/>
      <c r="I738" s="89"/>
      <c r="J738" s="31" t="str">
        <f aca="false">IF(B738="","",IFERROR(INDEX(PE_Taux,MATCH(B738,PE_Mat,0)),0))</f>
        <v/>
      </c>
      <c r="K738" s="31" t="str">
        <f aca="false">IF(B738="","",IF(H738="A",0,IFERROR(N(I738)/P_Heures*J738,0)))</f>
        <v/>
      </c>
      <c r="L738" s="25"/>
    </row>
    <row r="739" customFormat="false" ht="15" hidden="false" customHeight="false" outlineLevel="0" collapsed="false">
      <c r="A739" s="69"/>
      <c r="B739" s="68"/>
      <c r="C739" s="76" t="str">
        <f aca="false">IF(B739="","",IFERROR(INDEX(PE_Nom,MATCH(B739,PE_Mat,0)),"Matricule inconnu"))</f>
        <v/>
      </c>
      <c r="D739" s="76" t="str">
        <f aca="false">IF(B739="","",IFERROR(INDEX(PE_Fonction,MATCH(B739,PE_Mat,0)),""))</f>
        <v/>
      </c>
      <c r="E739" s="76" t="str">
        <f aca="false">IF(B739="","",IFERROR(INDEX(PE_Equipe,MATCH(B739,PE_Mat,0)),""))</f>
        <v/>
      </c>
      <c r="F739" s="25"/>
      <c r="G739" s="25"/>
      <c r="H739" s="68"/>
      <c r="I739" s="89"/>
      <c r="J739" s="31" t="str">
        <f aca="false">IF(B739="","",IFERROR(INDEX(PE_Taux,MATCH(B739,PE_Mat,0)),0))</f>
        <v/>
      </c>
      <c r="K739" s="31" t="str">
        <f aca="false">IF(B739="","",IF(H739="A",0,IFERROR(N(I739)/P_Heures*J739,0)))</f>
        <v/>
      </c>
      <c r="L739" s="25"/>
    </row>
    <row r="740" customFormat="false" ht="15" hidden="false" customHeight="false" outlineLevel="0" collapsed="false">
      <c r="A740" s="69"/>
      <c r="B740" s="68"/>
      <c r="C740" s="76" t="str">
        <f aca="false">IF(B740="","",IFERROR(INDEX(PE_Nom,MATCH(B740,PE_Mat,0)),"Matricule inconnu"))</f>
        <v/>
      </c>
      <c r="D740" s="76" t="str">
        <f aca="false">IF(B740="","",IFERROR(INDEX(PE_Fonction,MATCH(B740,PE_Mat,0)),""))</f>
        <v/>
      </c>
      <c r="E740" s="76" t="str">
        <f aca="false">IF(B740="","",IFERROR(INDEX(PE_Equipe,MATCH(B740,PE_Mat,0)),""))</f>
        <v/>
      </c>
      <c r="F740" s="25"/>
      <c r="G740" s="25"/>
      <c r="H740" s="68"/>
      <c r="I740" s="89"/>
      <c r="J740" s="31" t="str">
        <f aca="false">IF(B740="","",IFERROR(INDEX(PE_Taux,MATCH(B740,PE_Mat,0)),0))</f>
        <v/>
      </c>
      <c r="K740" s="31" t="str">
        <f aca="false">IF(B740="","",IF(H740="A",0,IFERROR(N(I740)/P_Heures*J740,0)))</f>
        <v/>
      </c>
      <c r="L740" s="25"/>
    </row>
    <row r="741" customFormat="false" ht="15" hidden="false" customHeight="false" outlineLevel="0" collapsed="false">
      <c r="A741" s="69"/>
      <c r="B741" s="68"/>
      <c r="C741" s="76" t="str">
        <f aca="false">IF(B741="","",IFERROR(INDEX(PE_Nom,MATCH(B741,PE_Mat,0)),"Matricule inconnu"))</f>
        <v/>
      </c>
      <c r="D741" s="76" t="str">
        <f aca="false">IF(B741="","",IFERROR(INDEX(PE_Fonction,MATCH(B741,PE_Mat,0)),""))</f>
        <v/>
      </c>
      <c r="E741" s="76" t="str">
        <f aca="false">IF(B741="","",IFERROR(INDEX(PE_Equipe,MATCH(B741,PE_Mat,0)),""))</f>
        <v/>
      </c>
      <c r="F741" s="25"/>
      <c r="G741" s="25"/>
      <c r="H741" s="68"/>
      <c r="I741" s="89"/>
      <c r="J741" s="31" t="str">
        <f aca="false">IF(B741="","",IFERROR(INDEX(PE_Taux,MATCH(B741,PE_Mat,0)),0))</f>
        <v/>
      </c>
      <c r="K741" s="31" t="str">
        <f aca="false">IF(B741="","",IF(H741="A",0,IFERROR(N(I741)/P_Heures*J741,0)))</f>
        <v/>
      </c>
      <c r="L741" s="25"/>
    </row>
    <row r="742" customFormat="false" ht="15" hidden="false" customHeight="false" outlineLevel="0" collapsed="false">
      <c r="A742" s="69"/>
      <c r="B742" s="68"/>
      <c r="C742" s="76" t="str">
        <f aca="false">IF(B742="","",IFERROR(INDEX(PE_Nom,MATCH(B742,PE_Mat,0)),"Matricule inconnu"))</f>
        <v/>
      </c>
      <c r="D742" s="76" t="str">
        <f aca="false">IF(B742="","",IFERROR(INDEX(PE_Fonction,MATCH(B742,PE_Mat,0)),""))</f>
        <v/>
      </c>
      <c r="E742" s="76" t="str">
        <f aca="false">IF(B742="","",IFERROR(INDEX(PE_Equipe,MATCH(B742,PE_Mat,0)),""))</f>
        <v/>
      </c>
      <c r="F742" s="25"/>
      <c r="G742" s="25"/>
      <c r="H742" s="68"/>
      <c r="I742" s="89"/>
      <c r="J742" s="31" t="str">
        <f aca="false">IF(B742="","",IFERROR(INDEX(PE_Taux,MATCH(B742,PE_Mat,0)),0))</f>
        <v/>
      </c>
      <c r="K742" s="31" t="str">
        <f aca="false">IF(B742="","",IF(H742="A",0,IFERROR(N(I742)/P_Heures*J742,0)))</f>
        <v/>
      </c>
      <c r="L742" s="25"/>
    </row>
    <row r="743" customFormat="false" ht="15" hidden="false" customHeight="false" outlineLevel="0" collapsed="false">
      <c r="A743" s="69"/>
      <c r="B743" s="68"/>
      <c r="C743" s="76" t="str">
        <f aca="false">IF(B743="","",IFERROR(INDEX(PE_Nom,MATCH(B743,PE_Mat,0)),"Matricule inconnu"))</f>
        <v/>
      </c>
      <c r="D743" s="76" t="str">
        <f aca="false">IF(B743="","",IFERROR(INDEX(PE_Fonction,MATCH(B743,PE_Mat,0)),""))</f>
        <v/>
      </c>
      <c r="E743" s="76" t="str">
        <f aca="false">IF(B743="","",IFERROR(INDEX(PE_Equipe,MATCH(B743,PE_Mat,0)),""))</f>
        <v/>
      </c>
      <c r="F743" s="25"/>
      <c r="G743" s="25"/>
      <c r="H743" s="68"/>
      <c r="I743" s="89"/>
      <c r="J743" s="31" t="str">
        <f aca="false">IF(B743="","",IFERROR(INDEX(PE_Taux,MATCH(B743,PE_Mat,0)),0))</f>
        <v/>
      </c>
      <c r="K743" s="31" t="str">
        <f aca="false">IF(B743="","",IF(H743="A",0,IFERROR(N(I743)/P_Heures*J743,0)))</f>
        <v/>
      </c>
      <c r="L743" s="25"/>
    </row>
    <row r="744" customFormat="false" ht="15" hidden="false" customHeight="false" outlineLevel="0" collapsed="false">
      <c r="A744" s="69"/>
      <c r="B744" s="68"/>
      <c r="C744" s="76" t="str">
        <f aca="false">IF(B744="","",IFERROR(INDEX(PE_Nom,MATCH(B744,PE_Mat,0)),"Matricule inconnu"))</f>
        <v/>
      </c>
      <c r="D744" s="76" t="str">
        <f aca="false">IF(B744="","",IFERROR(INDEX(PE_Fonction,MATCH(B744,PE_Mat,0)),""))</f>
        <v/>
      </c>
      <c r="E744" s="76" t="str">
        <f aca="false">IF(B744="","",IFERROR(INDEX(PE_Equipe,MATCH(B744,PE_Mat,0)),""))</f>
        <v/>
      </c>
      <c r="F744" s="25"/>
      <c r="G744" s="25"/>
      <c r="H744" s="68"/>
      <c r="I744" s="89"/>
      <c r="J744" s="31" t="str">
        <f aca="false">IF(B744="","",IFERROR(INDEX(PE_Taux,MATCH(B744,PE_Mat,0)),0))</f>
        <v/>
      </c>
      <c r="K744" s="31" t="str">
        <f aca="false">IF(B744="","",IF(H744="A",0,IFERROR(N(I744)/P_Heures*J744,0)))</f>
        <v/>
      </c>
      <c r="L744" s="25"/>
    </row>
    <row r="745" customFormat="false" ht="15" hidden="false" customHeight="false" outlineLevel="0" collapsed="false">
      <c r="A745" s="69"/>
      <c r="B745" s="68"/>
      <c r="C745" s="76" t="str">
        <f aca="false">IF(B745="","",IFERROR(INDEX(PE_Nom,MATCH(B745,PE_Mat,0)),"Matricule inconnu"))</f>
        <v/>
      </c>
      <c r="D745" s="76" t="str">
        <f aca="false">IF(B745="","",IFERROR(INDEX(PE_Fonction,MATCH(B745,PE_Mat,0)),""))</f>
        <v/>
      </c>
      <c r="E745" s="76" t="str">
        <f aca="false">IF(B745="","",IFERROR(INDEX(PE_Equipe,MATCH(B745,PE_Mat,0)),""))</f>
        <v/>
      </c>
      <c r="F745" s="25"/>
      <c r="G745" s="25"/>
      <c r="H745" s="68"/>
      <c r="I745" s="89"/>
      <c r="J745" s="31" t="str">
        <f aca="false">IF(B745="","",IFERROR(INDEX(PE_Taux,MATCH(B745,PE_Mat,0)),0))</f>
        <v/>
      </c>
      <c r="K745" s="31" t="str">
        <f aca="false">IF(B745="","",IF(H745="A",0,IFERROR(N(I745)/P_Heures*J745,0)))</f>
        <v/>
      </c>
      <c r="L745" s="25"/>
    </row>
    <row r="746" customFormat="false" ht="15" hidden="false" customHeight="false" outlineLevel="0" collapsed="false">
      <c r="A746" s="69"/>
      <c r="B746" s="68"/>
      <c r="C746" s="76" t="str">
        <f aca="false">IF(B746="","",IFERROR(INDEX(PE_Nom,MATCH(B746,PE_Mat,0)),"Matricule inconnu"))</f>
        <v/>
      </c>
      <c r="D746" s="76" t="str">
        <f aca="false">IF(B746="","",IFERROR(INDEX(PE_Fonction,MATCH(B746,PE_Mat,0)),""))</f>
        <v/>
      </c>
      <c r="E746" s="76" t="str">
        <f aca="false">IF(B746="","",IFERROR(INDEX(PE_Equipe,MATCH(B746,PE_Mat,0)),""))</f>
        <v/>
      </c>
      <c r="F746" s="25"/>
      <c r="G746" s="25"/>
      <c r="H746" s="68"/>
      <c r="I746" s="89"/>
      <c r="J746" s="31" t="str">
        <f aca="false">IF(B746="","",IFERROR(INDEX(PE_Taux,MATCH(B746,PE_Mat,0)),0))</f>
        <v/>
      </c>
      <c r="K746" s="31" t="str">
        <f aca="false">IF(B746="","",IF(H746="A",0,IFERROR(N(I746)/P_Heures*J746,0)))</f>
        <v/>
      </c>
      <c r="L746" s="25"/>
    </row>
    <row r="747" customFormat="false" ht="15" hidden="false" customHeight="false" outlineLevel="0" collapsed="false">
      <c r="A747" s="69"/>
      <c r="B747" s="68"/>
      <c r="C747" s="76" t="str">
        <f aca="false">IF(B747="","",IFERROR(INDEX(PE_Nom,MATCH(B747,PE_Mat,0)),"Matricule inconnu"))</f>
        <v/>
      </c>
      <c r="D747" s="76" t="str">
        <f aca="false">IF(B747="","",IFERROR(INDEX(PE_Fonction,MATCH(B747,PE_Mat,0)),""))</f>
        <v/>
      </c>
      <c r="E747" s="76" t="str">
        <f aca="false">IF(B747="","",IFERROR(INDEX(PE_Equipe,MATCH(B747,PE_Mat,0)),""))</f>
        <v/>
      </c>
      <c r="F747" s="25"/>
      <c r="G747" s="25"/>
      <c r="H747" s="68"/>
      <c r="I747" s="89"/>
      <c r="J747" s="31" t="str">
        <f aca="false">IF(B747="","",IFERROR(INDEX(PE_Taux,MATCH(B747,PE_Mat,0)),0))</f>
        <v/>
      </c>
      <c r="K747" s="31" t="str">
        <f aca="false">IF(B747="","",IF(H747="A",0,IFERROR(N(I747)/P_Heures*J747,0)))</f>
        <v/>
      </c>
      <c r="L747" s="25"/>
    </row>
    <row r="748" customFormat="false" ht="15" hidden="false" customHeight="false" outlineLevel="0" collapsed="false">
      <c r="A748" s="69"/>
      <c r="B748" s="68"/>
      <c r="C748" s="76" t="str">
        <f aca="false">IF(B748="","",IFERROR(INDEX(PE_Nom,MATCH(B748,PE_Mat,0)),"Matricule inconnu"))</f>
        <v/>
      </c>
      <c r="D748" s="76" t="str">
        <f aca="false">IF(B748="","",IFERROR(INDEX(PE_Fonction,MATCH(B748,PE_Mat,0)),""))</f>
        <v/>
      </c>
      <c r="E748" s="76" t="str">
        <f aca="false">IF(B748="","",IFERROR(INDEX(PE_Equipe,MATCH(B748,PE_Mat,0)),""))</f>
        <v/>
      </c>
      <c r="F748" s="25"/>
      <c r="G748" s="25"/>
      <c r="H748" s="68"/>
      <c r="I748" s="89"/>
      <c r="J748" s="31" t="str">
        <f aca="false">IF(B748="","",IFERROR(INDEX(PE_Taux,MATCH(B748,PE_Mat,0)),0))</f>
        <v/>
      </c>
      <c r="K748" s="31" t="str">
        <f aca="false">IF(B748="","",IF(H748="A",0,IFERROR(N(I748)/P_Heures*J748,0)))</f>
        <v/>
      </c>
      <c r="L748" s="25"/>
    </row>
    <row r="749" customFormat="false" ht="15" hidden="false" customHeight="false" outlineLevel="0" collapsed="false">
      <c r="A749" s="69"/>
      <c r="B749" s="68"/>
      <c r="C749" s="76" t="str">
        <f aca="false">IF(B749="","",IFERROR(INDEX(PE_Nom,MATCH(B749,PE_Mat,0)),"Matricule inconnu"))</f>
        <v/>
      </c>
      <c r="D749" s="76" t="str">
        <f aca="false">IF(B749="","",IFERROR(INDEX(PE_Fonction,MATCH(B749,PE_Mat,0)),""))</f>
        <v/>
      </c>
      <c r="E749" s="76" t="str">
        <f aca="false">IF(B749="","",IFERROR(INDEX(PE_Equipe,MATCH(B749,PE_Mat,0)),""))</f>
        <v/>
      </c>
      <c r="F749" s="25"/>
      <c r="G749" s="25"/>
      <c r="H749" s="68"/>
      <c r="I749" s="89"/>
      <c r="J749" s="31" t="str">
        <f aca="false">IF(B749="","",IFERROR(INDEX(PE_Taux,MATCH(B749,PE_Mat,0)),0))</f>
        <v/>
      </c>
      <c r="K749" s="31" t="str">
        <f aca="false">IF(B749="","",IF(H749="A",0,IFERROR(N(I749)/P_Heures*J749,0)))</f>
        <v/>
      </c>
      <c r="L749" s="25"/>
    </row>
    <row r="750" customFormat="false" ht="15" hidden="false" customHeight="false" outlineLevel="0" collapsed="false">
      <c r="A750" s="69"/>
      <c r="B750" s="68"/>
      <c r="C750" s="76" t="str">
        <f aca="false">IF(B750="","",IFERROR(INDEX(PE_Nom,MATCH(B750,PE_Mat,0)),"Matricule inconnu"))</f>
        <v/>
      </c>
      <c r="D750" s="76" t="str">
        <f aca="false">IF(B750="","",IFERROR(INDEX(PE_Fonction,MATCH(B750,PE_Mat,0)),""))</f>
        <v/>
      </c>
      <c r="E750" s="76" t="str">
        <f aca="false">IF(B750="","",IFERROR(INDEX(PE_Equipe,MATCH(B750,PE_Mat,0)),""))</f>
        <v/>
      </c>
      <c r="F750" s="25"/>
      <c r="G750" s="25"/>
      <c r="H750" s="68"/>
      <c r="I750" s="89"/>
      <c r="J750" s="31" t="str">
        <f aca="false">IF(B750="","",IFERROR(INDEX(PE_Taux,MATCH(B750,PE_Mat,0)),0))</f>
        <v/>
      </c>
      <c r="K750" s="31" t="str">
        <f aca="false">IF(B750="","",IF(H750="A",0,IFERROR(N(I750)/P_Heures*J750,0)))</f>
        <v/>
      </c>
      <c r="L750" s="25"/>
    </row>
    <row r="751" customFormat="false" ht="15" hidden="false" customHeight="false" outlineLevel="0" collapsed="false">
      <c r="A751" s="69"/>
      <c r="B751" s="68"/>
      <c r="C751" s="76" t="str">
        <f aca="false">IF(B751="","",IFERROR(INDEX(PE_Nom,MATCH(B751,PE_Mat,0)),"Matricule inconnu"))</f>
        <v/>
      </c>
      <c r="D751" s="76" t="str">
        <f aca="false">IF(B751="","",IFERROR(INDEX(PE_Fonction,MATCH(B751,PE_Mat,0)),""))</f>
        <v/>
      </c>
      <c r="E751" s="76" t="str">
        <f aca="false">IF(B751="","",IFERROR(INDEX(PE_Equipe,MATCH(B751,PE_Mat,0)),""))</f>
        <v/>
      </c>
      <c r="F751" s="25"/>
      <c r="G751" s="25"/>
      <c r="H751" s="68"/>
      <c r="I751" s="89"/>
      <c r="J751" s="31" t="str">
        <f aca="false">IF(B751="","",IFERROR(INDEX(PE_Taux,MATCH(B751,PE_Mat,0)),0))</f>
        <v/>
      </c>
      <c r="K751" s="31" t="str">
        <f aca="false">IF(B751="","",IF(H751="A",0,IFERROR(N(I751)/P_Heures*J751,0)))</f>
        <v/>
      </c>
      <c r="L751" s="25"/>
    </row>
    <row r="752" customFormat="false" ht="15" hidden="false" customHeight="false" outlineLevel="0" collapsed="false">
      <c r="A752" s="69"/>
      <c r="B752" s="68"/>
      <c r="C752" s="76" t="str">
        <f aca="false">IF(B752="","",IFERROR(INDEX(PE_Nom,MATCH(B752,PE_Mat,0)),"Matricule inconnu"))</f>
        <v/>
      </c>
      <c r="D752" s="76" t="str">
        <f aca="false">IF(B752="","",IFERROR(INDEX(PE_Fonction,MATCH(B752,PE_Mat,0)),""))</f>
        <v/>
      </c>
      <c r="E752" s="76" t="str">
        <f aca="false">IF(B752="","",IFERROR(INDEX(PE_Equipe,MATCH(B752,PE_Mat,0)),""))</f>
        <v/>
      </c>
      <c r="F752" s="25"/>
      <c r="G752" s="25"/>
      <c r="H752" s="68"/>
      <c r="I752" s="89"/>
      <c r="J752" s="31" t="str">
        <f aca="false">IF(B752="","",IFERROR(INDEX(PE_Taux,MATCH(B752,PE_Mat,0)),0))</f>
        <v/>
      </c>
      <c r="K752" s="31" t="str">
        <f aca="false">IF(B752="","",IF(H752="A",0,IFERROR(N(I752)/P_Heures*J752,0)))</f>
        <v/>
      </c>
      <c r="L752" s="25"/>
    </row>
    <row r="753" customFormat="false" ht="15" hidden="false" customHeight="false" outlineLevel="0" collapsed="false">
      <c r="A753" s="69"/>
      <c r="B753" s="68"/>
      <c r="C753" s="76" t="str">
        <f aca="false">IF(B753="","",IFERROR(INDEX(PE_Nom,MATCH(B753,PE_Mat,0)),"Matricule inconnu"))</f>
        <v/>
      </c>
      <c r="D753" s="76" t="str">
        <f aca="false">IF(B753="","",IFERROR(INDEX(PE_Fonction,MATCH(B753,PE_Mat,0)),""))</f>
        <v/>
      </c>
      <c r="E753" s="76" t="str">
        <f aca="false">IF(B753="","",IFERROR(INDEX(PE_Equipe,MATCH(B753,PE_Mat,0)),""))</f>
        <v/>
      </c>
      <c r="F753" s="25"/>
      <c r="G753" s="25"/>
      <c r="H753" s="68"/>
      <c r="I753" s="89"/>
      <c r="J753" s="31" t="str">
        <f aca="false">IF(B753="","",IFERROR(INDEX(PE_Taux,MATCH(B753,PE_Mat,0)),0))</f>
        <v/>
      </c>
      <c r="K753" s="31" t="str">
        <f aca="false">IF(B753="","",IF(H753="A",0,IFERROR(N(I753)/P_Heures*J753,0)))</f>
        <v/>
      </c>
      <c r="L753" s="25"/>
    </row>
    <row r="754" customFormat="false" ht="15" hidden="false" customHeight="false" outlineLevel="0" collapsed="false">
      <c r="A754" s="69"/>
      <c r="B754" s="68"/>
      <c r="C754" s="76" t="str">
        <f aca="false">IF(B754="","",IFERROR(INDEX(PE_Nom,MATCH(B754,PE_Mat,0)),"Matricule inconnu"))</f>
        <v/>
      </c>
      <c r="D754" s="76" t="str">
        <f aca="false">IF(B754="","",IFERROR(INDEX(PE_Fonction,MATCH(B754,PE_Mat,0)),""))</f>
        <v/>
      </c>
      <c r="E754" s="76" t="str">
        <f aca="false">IF(B754="","",IFERROR(INDEX(PE_Equipe,MATCH(B754,PE_Mat,0)),""))</f>
        <v/>
      </c>
      <c r="F754" s="25"/>
      <c r="G754" s="25"/>
      <c r="H754" s="68"/>
      <c r="I754" s="89"/>
      <c r="J754" s="31" t="str">
        <f aca="false">IF(B754="","",IFERROR(INDEX(PE_Taux,MATCH(B754,PE_Mat,0)),0))</f>
        <v/>
      </c>
      <c r="K754" s="31" t="str">
        <f aca="false">IF(B754="","",IF(H754="A",0,IFERROR(N(I754)/P_Heures*J754,0)))</f>
        <v/>
      </c>
      <c r="L754" s="25"/>
    </row>
    <row r="755" customFormat="false" ht="15" hidden="false" customHeight="false" outlineLevel="0" collapsed="false">
      <c r="A755" s="69"/>
      <c r="B755" s="68"/>
      <c r="C755" s="76" t="str">
        <f aca="false">IF(B755="","",IFERROR(INDEX(PE_Nom,MATCH(B755,PE_Mat,0)),"Matricule inconnu"))</f>
        <v/>
      </c>
      <c r="D755" s="76" t="str">
        <f aca="false">IF(B755="","",IFERROR(INDEX(PE_Fonction,MATCH(B755,PE_Mat,0)),""))</f>
        <v/>
      </c>
      <c r="E755" s="76" t="str">
        <f aca="false">IF(B755="","",IFERROR(INDEX(PE_Equipe,MATCH(B755,PE_Mat,0)),""))</f>
        <v/>
      </c>
      <c r="F755" s="25"/>
      <c r="G755" s="25"/>
      <c r="H755" s="68"/>
      <c r="I755" s="89"/>
      <c r="J755" s="31" t="str">
        <f aca="false">IF(B755="","",IFERROR(INDEX(PE_Taux,MATCH(B755,PE_Mat,0)),0))</f>
        <v/>
      </c>
      <c r="K755" s="31" t="str">
        <f aca="false">IF(B755="","",IF(H755="A",0,IFERROR(N(I755)/P_Heures*J755,0)))</f>
        <v/>
      </c>
      <c r="L755" s="25"/>
    </row>
    <row r="756" customFormat="false" ht="15" hidden="false" customHeight="false" outlineLevel="0" collapsed="false">
      <c r="A756" s="69"/>
      <c r="B756" s="68"/>
      <c r="C756" s="76" t="str">
        <f aca="false">IF(B756="","",IFERROR(INDEX(PE_Nom,MATCH(B756,PE_Mat,0)),"Matricule inconnu"))</f>
        <v/>
      </c>
      <c r="D756" s="76" t="str">
        <f aca="false">IF(B756="","",IFERROR(INDEX(PE_Fonction,MATCH(B756,PE_Mat,0)),""))</f>
        <v/>
      </c>
      <c r="E756" s="76" t="str">
        <f aca="false">IF(B756="","",IFERROR(INDEX(PE_Equipe,MATCH(B756,PE_Mat,0)),""))</f>
        <v/>
      </c>
      <c r="F756" s="25"/>
      <c r="G756" s="25"/>
      <c r="H756" s="68"/>
      <c r="I756" s="89"/>
      <c r="J756" s="31" t="str">
        <f aca="false">IF(B756="","",IFERROR(INDEX(PE_Taux,MATCH(B756,PE_Mat,0)),0))</f>
        <v/>
      </c>
      <c r="K756" s="31" t="str">
        <f aca="false">IF(B756="","",IF(H756="A",0,IFERROR(N(I756)/P_Heures*J756,0)))</f>
        <v/>
      </c>
      <c r="L756" s="25"/>
    </row>
    <row r="757" customFormat="false" ht="15" hidden="false" customHeight="false" outlineLevel="0" collapsed="false">
      <c r="A757" s="69"/>
      <c r="B757" s="68"/>
      <c r="C757" s="76" t="str">
        <f aca="false">IF(B757="","",IFERROR(INDEX(PE_Nom,MATCH(B757,PE_Mat,0)),"Matricule inconnu"))</f>
        <v/>
      </c>
      <c r="D757" s="76" t="str">
        <f aca="false">IF(B757="","",IFERROR(INDEX(PE_Fonction,MATCH(B757,PE_Mat,0)),""))</f>
        <v/>
      </c>
      <c r="E757" s="76" t="str">
        <f aca="false">IF(B757="","",IFERROR(INDEX(PE_Equipe,MATCH(B757,PE_Mat,0)),""))</f>
        <v/>
      </c>
      <c r="F757" s="25"/>
      <c r="G757" s="25"/>
      <c r="H757" s="68"/>
      <c r="I757" s="89"/>
      <c r="J757" s="31" t="str">
        <f aca="false">IF(B757="","",IFERROR(INDEX(PE_Taux,MATCH(B757,PE_Mat,0)),0))</f>
        <v/>
      </c>
      <c r="K757" s="31" t="str">
        <f aca="false">IF(B757="","",IF(H757="A",0,IFERROR(N(I757)/P_Heures*J757,0)))</f>
        <v/>
      </c>
      <c r="L757" s="25"/>
    </row>
    <row r="758" customFormat="false" ht="15" hidden="false" customHeight="false" outlineLevel="0" collapsed="false">
      <c r="A758" s="69"/>
      <c r="B758" s="68"/>
      <c r="C758" s="76" t="str">
        <f aca="false">IF(B758="","",IFERROR(INDEX(PE_Nom,MATCH(B758,PE_Mat,0)),"Matricule inconnu"))</f>
        <v/>
      </c>
      <c r="D758" s="76" t="str">
        <f aca="false">IF(B758="","",IFERROR(INDEX(PE_Fonction,MATCH(B758,PE_Mat,0)),""))</f>
        <v/>
      </c>
      <c r="E758" s="76" t="str">
        <f aca="false">IF(B758="","",IFERROR(INDEX(PE_Equipe,MATCH(B758,PE_Mat,0)),""))</f>
        <v/>
      </c>
      <c r="F758" s="25"/>
      <c r="G758" s="25"/>
      <c r="H758" s="68"/>
      <c r="I758" s="89"/>
      <c r="J758" s="31" t="str">
        <f aca="false">IF(B758="","",IFERROR(INDEX(PE_Taux,MATCH(B758,PE_Mat,0)),0))</f>
        <v/>
      </c>
      <c r="K758" s="31" t="str">
        <f aca="false">IF(B758="","",IF(H758="A",0,IFERROR(N(I758)/P_Heures*J758,0)))</f>
        <v/>
      </c>
      <c r="L758" s="25"/>
    </row>
    <row r="759" customFormat="false" ht="15" hidden="false" customHeight="false" outlineLevel="0" collapsed="false">
      <c r="A759" s="69"/>
      <c r="B759" s="68"/>
      <c r="C759" s="76" t="str">
        <f aca="false">IF(B759="","",IFERROR(INDEX(PE_Nom,MATCH(B759,PE_Mat,0)),"Matricule inconnu"))</f>
        <v/>
      </c>
      <c r="D759" s="76" t="str">
        <f aca="false">IF(B759="","",IFERROR(INDEX(PE_Fonction,MATCH(B759,PE_Mat,0)),""))</f>
        <v/>
      </c>
      <c r="E759" s="76" t="str">
        <f aca="false">IF(B759="","",IFERROR(INDEX(PE_Equipe,MATCH(B759,PE_Mat,0)),""))</f>
        <v/>
      </c>
      <c r="F759" s="25"/>
      <c r="G759" s="25"/>
      <c r="H759" s="68"/>
      <c r="I759" s="89"/>
      <c r="J759" s="31" t="str">
        <f aca="false">IF(B759="","",IFERROR(INDEX(PE_Taux,MATCH(B759,PE_Mat,0)),0))</f>
        <v/>
      </c>
      <c r="K759" s="31" t="str">
        <f aca="false">IF(B759="","",IF(H759="A",0,IFERROR(N(I759)/P_Heures*J759,0)))</f>
        <v/>
      </c>
      <c r="L759" s="25"/>
    </row>
    <row r="760" customFormat="false" ht="15" hidden="false" customHeight="false" outlineLevel="0" collapsed="false">
      <c r="A760" s="69"/>
      <c r="B760" s="68"/>
      <c r="C760" s="76" t="str">
        <f aca="false">IF(B760="","",IFERROR(INDEX(PE_Nom,MATCH(B760,PE_Mat,0)),"Matricule inconnu"))</f>
        <v/>
      </c>
      <c r="D760" s="76" t="str">
        <f aca="false">IF(B760="","",IFERROR(INDEX(PE_Fonction,MATCH(B760,PE_Mat,0)),""))</f>
        <v/>
      </c>
      <c r="E760" s="76" t="str">
        <f aca="false">IF(B760="","",IFERROR(INDEX(PE_Equipe,MATCH(B760,PE_Mat,0)),""))</f>
        <v/>
      </c>
      <c r="F760" s="25"/>
      <c r="G760" s="25"/>
      <c r="H760" s="68"/>
      <c r="I760" s="89"/>
      <c r="J760" s="31" t="str">
        <f aca="false">IF(B760="","",IFERROR(INDEX(PE_Taux,MATCH(B760,PE_Mat,0)),0))</f>
        <v/>
      </c>
      <c r="K760" s="31" t="str">
        <f aca="false">IF(B760="","",IF(H760="A",0,IFERROR(N(I760)/P_Heures*J760,0)))</f>
        <v/>
      </c>
      <c r="L760" s="25"/>
    </row>
    <row r="761" customFormat="false" ht="15" hidden="false" customHeight="false" outlineLevel="0" collapsed="false">
      <c r="A761" s="69"/>
      <c r="B761" s="68"/>
      <c r="C761" s="76" t="str">
        <f aca="false">IF(B761="","",IFERROR(INDEX(PE_Nom,MATCH(B761,PE_Mat,0)),"Matricule inconnu"))</f>
        <v/>
      </c>
      <c r="D761" s="76" t="str">
        <f aca="false">IF(B761="","",IFERROR(INDEX(PE_Fonction,MATCH(B761,PE_Mat,0)),""))</f>
        <v/>
      </c>
      <c r="E761" s="76" t="str">
        <f aca="false">IF(B761="","",IFERROR(INDEX(PE_Equipe,MATCH(B761,PE_Mat,0)),""))</f>
        <v/>
      </c>
      <c r="F761" s="25"/>
      <c r="G761" s="25"/>
      <c r="H761" s="68"/>
      <c r="I761" s="89"/>
      <c r="J761" s="31" t="str">
        <f aca="false">IF(B761="","",IFERROR(INDEX(PE_Taux,MATCH(B761,PE_Mat,0)),0))</f>
        <v/>
      </c>
      <c r="K761" s="31" t="str">
        <f aca="false">IF(B761="","",IF(H761="A",0,IFERROR(N(I761)/P_Heures*J761,0)))</f>
        <v/>
      </c>
      <c r="L761" s="25"/>
    </row>
    <row r="762" customFormat="false" ht="15" hidden="false" customHeight="false" outlineLevel="0" collapsed="false">
      <c r="A762" s="69"/>
      <c r="B762" s="68"/>
      <c r="C762" s="76" t="str">
        <f aca="false">IF(B762="","",IFERROR(INDEX(PE_Nom,MATCH(B762,PE_Mat,0)),"Matricule inconnu"))</f>
        <v/>
      </c>
      <c r="D762" s="76" t="str">
        <f aca="false">IF(B762="","",IFERROR(INDEX(PE_Fonction,MATCH(B762,PE_Mat,0)),""))</f>
        <v/>
      </c>
      <c r="E762" s="76" t="str">
        <f aca="false">IF(B762="","",IFERROR(INDEX(PE_Equipe,MATCH(B762,PE_Mat,0)),""))</f>
        <v/>
      </c>
      <c r="F762" s="25"/>
      <c r="G762" s="25"/>
      <c r="H762" s="68"/>
      <c r="I762" s="89"/>
      <c r="J762" s="31" t="str">
        <f aca="false">IF(B762="","",IFERROR(INDEX(PE_Taux,MATCH(B762,PE_Mat,0)),0))</f>
        <v/>
      </c>
      <c r="K762" s="31" t="str">
        <f aca="false">IF(B762="","",IF(H762="A",0,IFERROR(N(I762)/P_Heures*J762,0)))</f>
        <v/>
      </c>
      <c r="L762" s="25"/>
    </row>
    <row r="763" customFormat="false" ht="15" hidden="false" customHeight="false" outlineLevel="0" collapsed="false">
      <c r="A763" s="69"/>
      <c r="B763" s="68"/>
      <c r="C763" s="76" t="str">
        <f aca="false">IF(B763="","",IFERROR(INDEX(PE_Nom,MATCH(B763,PE_Mat,0)),"Matricule inconnu"))</f>
        <v/>
      </c>
      <c r="D763" s="76" t="str">
        <f aca="false">IF(B763="","",IFERROR(INDEX(PE_Fonction,MATCH(B763,PE_Mat,0)),""))</f>
        <v/>
      </c>
      <c r="E763" s="76" t="str">
        <f aca="false">IF(B763="","",IFERROR(INDEX(PE_Equipe,MATCH(B763,PE_Mat,0)),""))</f>
        <v/>
      </c>
      <c r="F763" s="25"/>
      <c r="G763" s="25"/>
      <c r="H763" s="68"/>
      <c r="I763" s="89"/>
      <c r="J763" s="31" t="str">
        <f aca="false">IF(B763="","",IFERROR(INDEX(PE_Taux,MATCH(B763,PE_Mat,0)),0))</f>
        <v/>
      </c>
      <c r="K763" s="31" t="str">
        <f aca="false">IF(B763="","",IF(H763="A",0,IFERROR(N(I763)/P_Heures*J763,0)))</f>
        <v/>
      </c>
      <c r="L763" s="25"/>
    </row>
    <row r="764" customFormat="false" ht="15" hidden="false" customHeight="false" outlineLevel="0" collapsed="false">
      <c r="A764" s="69"/>
      <c r="B764" s="68"/>
      <c r="C764" s="76" t="str">
        <f aca="false">IF(B764="","",IFERROR(INDEX(PE_Nom,MATCH(B764,PE_Mat,0)),"Matricule inconnu"))</f>
        <v/>
      </c>
      <c r="D764" s="76" t="str">
        <f aca="false">IF(B764="","",IFERROR(INDEX(PE_Fonction,MATCH(B764,PE_Mat,0)),""))</f>
        <v/>
      </c>
      <c r="E764" s="76" t="str">
        <f aca="false">IF(B764="","",IFERROR(INDEX(PE_Equipe,MATCH(B764,PE_Mat,0)),""))</f>
        <v/>
      </c>
      <c r="F764" s="25"/>
      <c r="G764" s="25"/>
      <c r="H764" s="68"/>
      <c r="I764" s="89"/>
      <c r="J764" s="31" t="str">
        <f aca="false">IF(B764="","",IFERROR(INDEX(PE_Taux,MATCH(B764,PE_Mat,0)),0))</f>
        <v/>
      </c>
      <c r="K764" s="31" t="str">
        <f aca="false">IF(B764="","",IF(H764="A",0,IFERROR(N(I764)/P_Heures*J764,0)))</f>
        <v/>
      </c>
      <c r="L764" s="25"/>
    </row>
    <row r="765" customFormat="false" ht="15" hidden="false" customHeight="false" outlineLevel="0" collapsed="false">
      <c r="A765" s="69"/>
      <c r="B765" s="68"/>
      <c r="C765" s="76" t="str">
        <f aca="false">IF(B765="","",IFERROR(INDEX(PE_Nom,MATCH(B765,PE_Mat,0)),"Matricule inconnu"))</f>
        <v/>
      </c>
      <c r="D765" s="76" t="str">
        <f aca="false">IF(B765="","",IFERROR(INDEX(PE_Fonction,MATCH(B765,PE_Mat,0)),""))</f>
        <v/>
      </c>
      <c r="E765" s="76" t="str">
        <f aca="false">IF(B765="","",IFERROR(INDEX(PE_Equipe,MATCH(B765,PE_Mat,0)),""))</f>
        <v/>
      </c>
      <c r="F765" s="25"/>
      <c r="G765" s="25"/>
      <c r="H765" s="68"/>
      <c r="I765" s="89"/>
      <c r="J765" s="31" t="str">
        <f aca="false">IF(B765="","",IFERROR(INDEX(PE_Taux,MATCH(B765,PE_Mat,0)),0))</f>
        <v/>
      </c>
      <c r="K765" s="31" t="str">
        <f aca="false">IF(B765="","",IF(H765="A",0,IFERROR(N(I765)/P_Heures*J765,0)))</f>
        <v/>
      </c>
      <c r="L765" s="25"/>
    </row>
    <row r="766" customFormat="false" ht="15" hidden="false" customHeight="false" outlineLevel="0" collapsed="false">
      <c r="A766" s="69"/>
      <c r="B766" s="68"/>
      <c r="C766" s="76" t="str">
        <f aca="false">IF(B766="","",IFERROR(INDEX(PE_Nom,MATCH(B766,PE_Mat,0)),"Matricule inconnu"))</f>
        <v/>
      </c>
      <c r="D766" s="76" t="str">
        <f aca="false">IF(B766="","",IFERROR(INDEX(PE_Fonction,MATCH(B766,PE_Mat,0)),""))</f>
        <v/>
      </c>
      <c r="E766" s="76" t="str">
        <f aca="false">IF(B766="","",IFERROR(INDEX(PE_Equipe,MATCH(B766,PE_Mat,0)),""))</f>
        <v/>
      </c>
      <c r="F766" s="25"/>
      <c r="G766" s="25"/>
      <c r="H766" s="68"/>
      <c r="I766" s="89"/>
      <c r="J766" s="31" t="str">
        <f aca="false">IF(B766="","",IFERROR(INDEX(PE_Taux,MATCH(B766,PE_Mat,0)),0))</f>
        <v/>
      </c>
      <c r="K766" s="31" t="str">
        <f aca="false">IF(B766="","",IF(H766="A",0,IFERROR(N(I766)/P_Heures*J766,0)))</f>
        <v/>
      </c>
      <c r="L766" s="25"/>
    </row>
    <row r="767" customFormat="false" ht="15" hidden="false" customHeight="false" outlineLevel="0" collapsed="false">
      <c r="A767" s="69"/>
      <c r="B767" s="68"/>
      <c r="C767" s="76" t="str">
        <f aca="false">IF(B767="","",IFERROR(INDEX(PE_Nom,MATCH(B767,PE_Mat,0)),"Matricule inconnu"))</f>
        <v/>
      </c>
      <c r="D767" s="76" t="str">
        <f aca="false">IF(B767="","",IFERROR(INDEX(PE_Fonction,MATCH(B767,PE_Mat,0)),""))</f>
        <v/>
      </c>
      <c r="E767" s="76" t="str">
        <f aca="false">IF(B767="","",IFERROR(INDEX(PE_Equipe,MATCH(B767,PE_Mat,0)),""))</f>
        <v/>
      </c>
      <c r="F767" s="25"/>
      <c r="G767" s="25"/>
      <c r="H767" s="68"/>
      <c r="I767" s="89"/>
      <c r="J767" s="31" t="str">
        <f aca="false">IF(B767="","",IFERROR(INDEX(PE_Taux,MATCH(B767,PE_Mat,0)),0))</f>
        <v/>
      </c>
      <c r="K767" s="31" t="str">
        <f aca="false">IF(B767="","",IF(H767="A",0,IFERROR(N(I767)/P_Heures*J767,0)))</f>
        <v/>
      </c>
      <c r="L767" s="25"/>
    </row>
    <row r="768" customFormat="false" ht="15" hidden="false" customHeight="false" outlineLevel="0" collapsed="false">
      <c r="A768" s="69"/>
      <c r="B768" s="68"/>
      <c r="C768" s="76" t="str">
        <f aca="false">IF(B768="","",IFERROR(INDEX(PE_Nom,MATCH(B768,PE_Mat,0)),"Matricule inconnu"))</f>
        <v/>
      </c>
      <c r="D768" s="76" t="str">
        <f aca="false">IF(B768="","",IFERROR(INDEX(PE_Fonction,MATCH(B768,PE_Mat,0)),""))</f>
        <v/>
      </c>
      <c r="E768" s="76" t="str">
        <f aca="false">IF(B768="","",IFERROR(INDEX(PE_Equipe,MATCH(B768,PE_Mat,0)),""))</f>
        <v/>
      </c>
      <c r="F768" s="25"/>
      <c r="G768" s="25"/>
      <c r="H768" s="68"/>
      <c r="I768" s="89"/>
      <c r="J768" s="31" t="str">
        <f aca="false">IF(B768="","",IFERROR(INDEX(PE_Taux,MATCH(B768,PE_Mat,0)),0))</f>
        <v/>
      </c>
      <c r="K768" s="31" t="str">
        <f aca="false">IF(B768="","",IF(H768="A",0,IFERROR(N(I768)/P_Heures*J768,0)))</f>
        <v/>
      </c>
      <c r="L768" s="25"/>
    </row>
    <row r="769" customFormat="false" ht="15" hidden="false" customHeight="false" outlineLevel="0" collapsed="false">
      <c r="A769" s="69"/>
      <c r="B769" s="68"/>
      <c r="C769" s="76" t="str">
        <f aca="false">IF(B769="","",IFERROR(INDEX(PE_Nom,MATCH(B769,PE_Mat,0)),"Matricule inconnu"))</f>
        <v/>
      </c>
      <c r="D769" s="76" t="str">
        <f aca="false">IF(B769="","",IFERROR(INDEX(PE_Fonction,MATCH(B769,PE_Mat,0)),""))</f>
        <v/>
      </c>
      <c r="E769" s="76" t="str">
        <f aca="false">IF(B769="","",IFERROR(INDEX(PE_Equipe,MATCH(B769,PE_Mat,0)),""))</f>
        <v/>
      </c>
      <c r="F769" s="25"/>
      <c r="G769" s="25"/>
      <c r="H769" s="68"/>
      <c r="I769" s="89"/>
      <c r="J769" s="31" t="str">
        <f aca="false">IF(B769="","",IFERROR(INDEX(PE_Taux,MATCH(B769,PE_Mat,0)),0))</f>
        <v/>
      </c>
      <c r="K769" s="31" t="str">
        <f aca="false">IF(B769="","",IF(H769="A",0,IFERROR(N(I769)/P_Heures*J769,0)))</f>
        <v/>
      </c>
      <c r="L769" s="25"/>
    </row>
    <row r="770" customFormat="false" ht="15" hidden="false" customHeight="false" outlineLevel="0" collapsed="false">
      <c r="A770" s="69"/>
      <c r="B770" s="68"/>
      <c r="C770" s="76" t="str">
        <f aca="false">IF(B770="","",IFERROR(INDEX(PE_Nom,MATCH(B770,PE_Mat,0)),"Matricule inconnu"))</f>
        <v/>
      </c>
      <c r="D770" s="76" t="str">
        <f aca="false">IF(B770="","",IFERROR(INDEX(PE_Fonction,MATCH(B770,PE_Mat,0)),""))</f>
        <v/>
      </c>
      <c r="E770" s="76" t="str">
        <f aca="false">IF(B770="","",IFERROR(INDEX(PE_Equipe,MATCH(B770,PE_Mat,0)),""))</f>
        <v/>
      </c>
      <c r="F770" s="25"/>
      <c r="G770" s="25"/>
      <c r="H770" s="68"/>
      <c r="I770" s="89"/>
      <c r="J770" s="31" t="str">
        <f aca="false">IF(B770="","",IFERROR(INDEX(PE_Taux,MATCH(B770,PE_Mat,0)),0))</f>
        <v/>
      </c>
      <c r="K770" s="31" t="str">
        <f aca="false">IF(B770="","",IF(H770="A",0,IFERROR(N(I770)/P_Heures*J770,0)))</f>
        <v/>
      </c>
      <c r="L770" s="25"/>
    </row>
    <row r="771" customFormat="false" ht="15" hidden="false" customHeight="false" outlineLevel="0" collapsed="false">
      <c r="A771" s="69"/>
      <c r="B771" s="68"/>
      <c r="C771" s="76" t="str">
        <f aca="false">IF(B771="","",IFERROR(INDEX(PE_Nom,MATCH(B771,PE_Mat,0)),"Matricule inconnu"))</f>
        <v/>
      </c>
      <c r="D771" s="76" t="str">
        <f aca="false">IF(B771="","",IFERROR(INDEX(PE_Fonction,MATCH(B771,PE_Mat,0)),""))</f>
        <v/>
      </c>
      <c r="E771" s="76" t="str">
        <f aca="false">IF(B771="","",IFERROR(INDEX(PE_Equipe,MATCH(B771,PE_Mat,0)),""))</f>
        <v/>
      </c>
      <c r="F771" s="25"/>
      <c r="G771" s="25"/>
      <c r="H771" s="68"/>
      <c r="I771" s="89"/>
      <c r="J771" s="31" t="str">
        <f aca="false">IF(B771="","",IFERROR(INDEX(PE_Taux,MATCH(B771,PE_Mat,0)),0))</f>
        <v/>
      </c>
      <c r="K771" s="31" t="str">
        <f aca="false">IF(B771="","",IF(H771="A",0,IFERROR(N(I771)/P_Heures*J771,0)))</f>
        <v/>
      </c>
      <c r="L771" s="25"/>
    </row>
    <row r="772" customFormat="false" ht="15" hidden="false" customHeight="false" outlineLevel="0" collapsed="false">
      <c r="A772" s="69"/>
      <c r="B772" s="68"/>
      <c r="C772" s="76" t="str">
        <f aca="false">IF(B772="","",IFERROR(INDEX(PE_Nom,MATCH(B772,PE_Mat,0)),"Matricule inconnu"))</f>
        <v/>
      </c>
      <c r="D772" s="76" t="str">
        <f aca="false">IF(B772="","",IFERROR(INDEX(PE_Fonction,MATCH(B772,PE_Mat,0)),""))</f>
        <v/>
      </c>
      <c r="E772" s="76" t="str">
        <f aca="false">IF(B772="","",IFERROR(INDEX(PE_Equipe,MATCH(B772,PE_Mat,0)),""))</f>
        <v/>
      </c>
      <c r="F772" s="25"/>
      <c r="G772" s="25"/>
      <c r="H772" s="68"/>
      <c r="I772" s="89"/>
      <c r="J772" s="31" t="str">
        <f aca="false">IF(B772="","",IFERROR(INDEX(PE_Taux,MATCH(B772,PE_Mat,0)),0))</f>
        <v/>
      </c>
      <c r="K772" s="31" t="str">
        <f aca="false">IF(B772="","",IF(H772="A",0,IFERROR(N(I772)/P_Heures*J772,0)))</f>
        <v/>
      </c>
      <c r="L772" s="25"/>
    </row>
    <row r="773" customFormat="false" ht="15" hidden="false" customHeight="false" outlineLevel="0" collapsed="false">
      <c r="A773" s="69"/>
      <c r="B773" s="68"/>
      <c r="C773" s="76" t="str">
        <f aca="false">IF(B773="","",IFERROR(INDEX(PE_Nom,MATCH(B773,PE_Mat,0)),"Matricule inconnu"))</f>
        <v/>
      </c>
      <c r="D773" s="76" t="str">
        <f aca="false">IF(B773="","",IFERROR(INDEX(PE_Fonction,MATCH(B773,PE_Mat,0)),""))</f>
        <v/>
      </c>
      <c r="E773" s="76" t="str">
        <f aca="false">IF(B773="","",IFERROR(INDEX(PE_Equipe,MATCH(B773,PE_Mat,0)),""))</f>
        <v/>
      </c>
      <c r="F773" s="25"/>
      <c r="G773" s="25"/>
      <c r="H773" s="68"/>
      <c r="I773" s="89"/>
      <c r="J773" s="31" t="str">
        <f aca="false">IF(B773="","",IFERROR(INDEX(PE_Taux,MATCH(B773,PE_Mat,0)),0))</f>
        <v/>
      </c>
      <c r="K773" s="31" t="str">
        <f aca="false">IF(B773="","",IF(H773="A",0,IFERROR(N(I773)/P_Heures*J773,0)))</f>
        <v/>
      </c>
      <c r="L773" s="25"/>
    </row>
    <row r="774" customFormat="false" ht="15" hidden="false" customHeight="false" outlineLevel="0" collapsed="false">
      <c r="A774" s="69"/>
      <c r="B774" s="68"/>
      <c r="C774" s="76" t="str">
        <f aca="false">IF(B774="","",IFERROR(INDEX(PE_Nom,MATCH(B774,PE_Mat,0)),"Matricule inconnu"))</f>
        <v/>
      </c>
      <c r="D774" s="76" t="str">
        <f aca="false">IF(B774="","",IFERROR(INDEX(PE_Fonction,MATCH(B774,PE_Mat,0)),""))</f>
        <v/>
      </c>
      <c r="E774" s="76" t="str">
        <f aca="false">IF(B774="","",IFERROR(INDEX(PE_Equipe,MATCH(B774,PE_Mat,0)),""))</f>
        <v/>
      </c>
      <c r="F774" s="25"/>
      <c r="G774" s="25"/>
      <c r="H774" s="68"/>
      <c r="I774" s="89"/>
      <c r="J774" s="31" t="str">
        <f aca="false">IF(B774="","",IFERROR(INDEX(PE_Taux,MATCH(B774,PE_Mat,0)),0))</f>
        <v/>
      </c>
      <c r="K774" s="31" t="str">
        <f aca="false">IF(B774="","",IF(H774="A",0,IFERROR(N(I774)/P_Heures*J774,0)))</f>
        <v/>
      </c>
      <c r="L774" s="25"/>
    </row>
    <row r="775" customFormat="false" ht="15" hidden="false" customHeight="false" outlineLevel="0" collapsed="false">
      <c r="A775" s="69"/>
      <c r="B775" s="68"/>
      <c r="C775" s="76" t="str">
        <f aca="false">IF(B775="","",IFERROR(INDEX(PE_Nom,MATCH(B775,PE_Mat,0)),"Matricule inconnu"))</f>
        <v/>
      </c>
      <c r="D775" s="76" t="str">
        <f aca="false">IF(B775="","",IFERROR(INDEX(PE_Fonction,MATCH(B775,PE_Mat,0)),""))</f>
        <v/>
      </c>
      <c r="E775" s="76" t="str">
        <f aca="false">IF(B775="","",IFERROR(INDEX(PE_Equipe,MATCH(B775,PE_Mat,0)),""))</f>
        <v/>
      </c>
      <c r="F775" s="25"/>
      <c r="G775" s="25"/>
      <c r="H775" s="68"/>
      <c r="I775" s="89"/>
      <c r="J775" s="31" t="str">
        <f aca="false">IF(B775="","",IFERROR(INDEX(PE_Taux,MATCH(B775,PE_Mat,0)),0))</f>
        <v/>
      </c>
      <c r="K775" s="31" t="str">
        <f aca="false">IF(B775="","",IF(H775="A",0,IFERROR(N(I775)/P_Heures*J775,0)))</f>
        <v/>
      </c>
      <c r="L775" s="25"/>
    </row>
    <row r="776" customFormat="false" ht="15" hidden="false" customHeight="false" outlineLevel="0" collapsed="false">
      <c r="A776" s="69"/>
      <c r="B776" s="68"/>
      <c r="C776" s="76" t="str">
        <f aca="false">IF(B776="","",IFERROR(INDEX(PE_Nom,MATCH(B776,PE_Mat,0)),"Matricule inconnu"))</f>
        <v/>
      </c>
      <c r="D776" s="76" t="str">
        <f aca="false">IF(B776="","",IFERROR(INDEX(PE_Fonction,MATCH(B776,PE_Mat,0)),""))</f>
        <v/>
      </c>
      <c r="E776" s="76" t="str">
        <f aca="false">IF(B776="","",IFERROR(INDEX(PE_Equipe,MATCH(B776,PE_Mat,0)),""))</f>
        <v/>
      </c>
      <c r="F776" s="25"/>
      <c r="G776" s="25"/>
      <c r="H776" s="68"/>
      <c r="I776" s="89"/>
      <c r="J776" s="31" t="str">
        <f aca="false">IF(B776="","",IFERROR(INDEX(PE_Taux,MATCH(B776,PE_Mat,0)),0))</f>
        <v/>
      </c>
      <c r="K776" s="31" t="str">
        <f aca="false">IF(B776="","",IF(H776="A",0,IFERROR(N(I776)/P_Heures*J776,0)))</f>
        <v/>
      </c>
      <c r="L776" s="25"/>
    </row>
    <row r="777" customFormat="false" ht="15" hidden="false" customHeight="false" outlineLevel="0" collapsed="false">
      <c r="A777" s="69"/>
      <c r="B777" s="68"/>
      <c r="C777" s="76" t="str">
        <f aca="false">IF(B777="","",IFERROR(INDEX(PE_Nom,MATCH(B777,PE_Mat,0)),"Matricule inconnu"))</f>
        <v/>
      </c>
      <c r="D777" s="76" t="str">
        <f aca="false">IF(B777="","",IFERROR(INDEX(PE_Fonction,MATCH(B777,PE_Mat,0)),""))</f>
        <v/>
      </c>
      <c r="E777" s="76" t="str">
        <f aca="false">IF(B777="","",IFERROR(INDEX(PE_Equipe,MATCH(B777,PE_Mat,0)),""))</f>
        <v/>
      </c>
      <c r="F777" s="25"/>
      <c r="G777" s="25"/>
      <c r="H777" s="68"/>
      <c r="I777" s="89"/>
      <c r="J777" s="31" t="str">
        <f aca="false">IF(B777="","",IFERROR(INDEX(PE_Taux,MATCH(B777,PE_Mat,0)),0))</f>
        <v/>
      </c>
      <c r="K777" s="31" t="str">
        <f aca="false">IF(B777="","",IF(H777="A",0,IFERROR(N(I777)/P_Heures*J777,0)))</f>
        <v/>
      </c>
      <c r="L777" s="25"/>
    </row>
    <row r="778" customFormat="false" ht="15" hidden="false" customHeight="false" outlineLevel="0" collapsed="false">
      <c r="A778" s="69"/>
      <c r="B778" s="68"/>
      <c r="C778" s="76" t="str">
        <f aca="false">IF(B778="","",IFERROR(INDEX(PE_Nom,MATCH(B778,PE_Mat,0)),"Matricule inconnu"))</f>
        <v/>
      </c>
      <c r="D778" s="76" t="str">
        <f aca="false">IF(B778="","",IFERROR(INDEX(PE_Fonction,MATCH(B778,PE_Mat,0)),""))</f>
        <v/>
      </c>
      <c r="E778" s="76" t="str">
        <f aca="false">IF(B778="","",IFERROR(INDEX(PE_Equipe,MATCH(B778,PE_Mat,0)),""))</f>
        <v/>
      </c>
      <c r="F778" s="25"/>
      <c r="G778" s="25"/>
      <c r="H778" s="68"/>
      <c r="I778" s="89"/>
      <c r="J778" s="31" t="str">
        <f aca="false">IF(B778="","",IFERROR(INDEX(PE_Taux,MATCH(B778,PE_Mat,0)),0))</f>
        <v/>
      </c>
      <c r="K778" s="31" t="str">
        <f aca="false">IF(B778="","",IF(H778="A",0,IFERROR(N(I778)/P_Heures*J778,0)))</f>
        <v/>
      </c>
      <c r="L778" s="25"/>
    </row>
    <row r="779" customFormat="false" ht="15" hidden="false" customHeight="false" outlineLevel="0" collapsed="false">
      <c r="A779" s="69"/>
      <c r="B779" s="68"/>
      <c r="C779" s="76" t="str">
        <f aca="false">IF(B779="","",IFERROR(INDEX(PE_Nom,MATCH(B779,PE_Mat,0)),"Matricule inconnu"))</f>
        <v/>
      </c>
      <c r="D779" s="76" t="str">
        <f aca="false">IF(B779="","",IFERROR(INDEX(PE_Fonction,MATCH(B779,PE_Mat,0)),""))</f>
        <v/>
      </c>
      <c r="E779" s="76" t="str">
        <f aca="false">IF(B779="","",IFERROR(INDEX(PE_Equipe,MATCH(B779,PE_Mat,0)),""))</f>
        <v/>
      </c>
      <c r="F779" s="25"/>
      <c r="G779" s="25"/>
      <c r="H779" s="68"/>
      <c r="I779" s="89"/>
      <c r="J779" s="31" t="str">
        <f aca="false">IF(B779="","",IFERROR(INDEX(PE_Taux,MATCH(B779,PE_Mat,0)),0))</f>
        <v/>
      </c>
      <c r="K779" s="31" t="str">
        <f aca="false">IF(B779="","",IF(H779="A",0,IFERROR(N(I779)/P_Heures*J779,0)))</f>
        <v/>
      </c>
      <c r="L779" s="25"/>
    </row>
    <row r="780" customFormat="false" ht="15" hidden="false" customHeight="false" outlineLevel="0" collapsed="false">
      <c r="A780" s="69"/>
      <c r="B780" s="68"/>
      <c r="C780" s="76" t="str">
        <f aca="false">IF(B780="","",IFERROR(INDEX(PE_Nom,MATCH(B780,PE_Mat,0)),"Matricule inconnu"))</f>
        <v/>
      </c>
      <c r="D780" s="76" t="str">
        <f aca="false">IF(B780="","",IFERROR(INDEX(PE_Fonction,MATCH(B780,PE_Mat,0)),""))</f>
        <v/>
      </c>
      <c r="E780" s="76" t="str">
        <f aca="false">IF(B780="","",IFERROR(INDEX(PE_Equipe,MATCH(B780,PE_Mat,0)),""))</f>
        <v/>
      </c>
      <c r="F780" s="25"/>
      <c r="G780" s="25"/>
      <c r="H780" s="68"/>
      <c r="I780" s="89"/>
      <c r="J780" s="31" t="str">
        <f aca="false">IF(B780="","",IFERROR(INDEX(PE_Taux,MATCH(B780,PE_Mat,0)),0))</f>
        <v/>
      </c>
      <c r="K780" s="31" t="str">
        <f aca="false">IF(B780="","",IF(H780="A",0,IFERROR(N(I780)/P_Heures*J780,0)))</f>
        <v/>
      </c>
      <c r="L780" s="25"/>
    </row>
    <row r="781" customFormat="false" ht="15" hidden="false" customHeight="false" outlineLevel="0" collapsed="false">
      <c r="A781" s="69"/>
      <c r="B781" s="68"/>
      <c r="C781" s="76" t="str">
        <f aca="false">IF(B781="","",IFERROR(INDEX(PE_Nom,MATCH(B781,PE_Mat,0)),"Matricule inconnu"))</f>
        <v/>
      </c>
      <c r="D781" s="76" t="str">
        <f aca="false">IF(B781="","",IFERROR(INDEX(PE_Fonction,MATCH(B781,PE_Mat,0)),""))</f>
        <v/>
      </c>
      <c r="E781" s="76" t="str">
        <f aca="false">IF(B781="","",IFERROR(INDEX(PE_Equipe,MATCH(B781,PE_Mat,0)),""))</f>
        <v/>
      </c>
      <c r="F781" s="25"/>
      <c r="G781" s="25"/>
      <c r="H781" s="68"/>
      <c r="I781" s="89"/>
      <c r="J781" s="31" t="str">
        <f aca="false">IF(B781="","",IFERROR(INDEX(PE_Taux,MATCH(B781,PE_Mat,0)),0))</f>
        <v/>
      </c>
      <c r="K781" s="31" t="str">
        <f aca="false">IF(B781="","",IF(H781="A",0,IFERROR(N(I781)/P_Heures*J781,0)))</f>
        <v/>
      </c>
      <c r="L781" s="25"/>
    </row>
    <row r="782" customFormat="false" ht="15" hidden="false" customHeight="false" outlineLevel="0" collapsed="false">
      <c r="A782" s="69"/>
      <c r="B782" s="68"/>
      <c r="C782" s="76" t="str">
        <f aca="false">IF(B782="","",IFERROR(INDEX(PE_Nom,MATCH(B782,PE_Mat,0)),"Matricule inconnu"))</f>
        <v/>
      </c>
      <c r="D782" s="76" t="str">
        <f aca="false">IF(B782="","",IFERROR(INDEX(PE_Fonction,MATCH(B782,PE_Mat,0)),""))</f>
        <v/>
      </c>
      <c r="E782" s="76" t="str">
        <f aca="false">IF(B782="","",IFERROR(INDEX(PE_Equipe,MATCH(B782,PE_Mat,0)),""))</f>
        <v/>
      </c>
      <c r="F782" s="25"/>
      <c r="G782" s="25"/>
      <c r="H782" s="68"/>
      <c r="I782" s="89"/>
      <c r="J782" s="31" t="str">
        <f aca="false">IF(B782="","",IFERROR(INDEX(PE_Taux,MATCH(B782,PE_Mat,0)),0))</f>
        <v/>
      </c>
      <c r="K782" s="31" t="str">
        <f aca="false">IF(B782="","",IF(H782="A",0,IFERROR(N(I782)/P_Heures*J782,0)))</f>
        <v/>
      </c>
      <c r="L782" s="25"/>
    </row>
    <row r="783" customFormat="false" ht="15" hidden="false" customHeight="false" outlineLevel="0" collapsed="false">
      <c r="A783" s="69"/>
      <c r="B783" s="68"/>
      <c r="C783" s="76" t="str">
        <f aca="false">IF(B783="","",IFERROR(INDEX(PE_Nom,MATCH(B783,PE_Mat,0)),"Matricule inconnu"))</f>
        <v/>
      </c>
      <c r="D783" s="76" t="str">
        <f aca="false">IF(B783="","",IFERROR(INDEX(PE_Fonction,MATCH(B783,PE_Mat,0)),""))</f>
        <v/>
      </c>
      <c r="E783" s="76" t="str">
        <f aca="false">IF(B783="","",IFERROR(INDEX(PE_Equipe,MATCH(B783,PE_Mat,0)),""))</f>
        <v/>
      </c>
      <c r="F783" s="25"/>
      <c r="G783" s="25"/>
      <c r="H783" s="68"/>
      <c r="I783" s="89"/>
      <c r="J783" s="31" t="str">
        <f aca="false">IF(B783="","",IFERROR(INDEX(PE_Taux,MATCH(B783,PE_Mat,0)),0))</f>
        <v/>
      </c>
      <c r="K783" s="31" t="str">
        <f aca="false">IF(B783="","",IF(H783="A",0,IFERROR(N(I783)/P_Heures*J783,0)))</f>
        <v/>
      </c>
      <c r="L783" s="25"/>
    </row>
    <row r="784" customFormat="false" ht="15" hidden="false" customHeight="false" outlineLevel="0" collapsed="false">
      <c r="A784" s="69"/>
      <c r="B784" s="68"/>
      <c r="C784" s="76" t="str">
        <f aca="false">IF(B784="","",IFERROR(INDEX(PE_Nom,MATCH(B784,PE_Mat,0)),"Matricule inconnu"))</f>
        <v/>
      </c>
      <c r="D784" s="76" t="str">
        <f aca="false">IF(B784="","",IFERROR(INDEX(PE_Fonction,MATCH(B784,PE_Mat,0)),""))</f>
        <v/>
      </c>
      <c r="E784" s="76" t="str">
        <f aca="false">IF(B784="","",IFERROR(INDEX(PE_Equipe,MATCH(B784,PE_Mat,0)),""))</f>
        <v/>
      </c>
      <c r="F784" s="25"/>
      <c r="G784" s="25"/>
      <c r="H784" s="68"/>
      <c r="I784" s="89"/>
      <c r="J784" s="31" t="str">
        <f aca="false">IF(B784="","",IFERROR(INDEX(PE_Taux,MATCH(B784,PE_Mat,0)),0))</f>
        <v/>
      </c>
      <c r="K784" s="31" t="str">
        <f aca="false">IF(B784="","",IF(H784="A",0,IFERROR(N(I784)/P_Heures*J784,0)))</f>
        <v/>
      </c>
      <c r="L784" s="25"/>
    </row>
    <row r="785" customFormat="false" ht="15" hidden="false" customHeight="false" outlineLevel="0" collapsed="false">
      <c r="A785" s="69"/>
      <c r="B785" s="68"/>
      <c r="C785" s="76" t="str">
        <f aca="false">IF(B785="","",IFERROR(INDEX(PE_Nom,MATCH(B785,PE_Mat,0)),"Matricule inconnu"))</f>
        <v/>
      </c>
      <c r="D785" s="76" t="str">
        <f aca="false">IF(B785="","",IFERROR(INDEX(PE_Fonction,MATCH(B785,PE_Mat,0)),""))</f>
        <v/>
      </c>
      <c r="E785" s="76" t="str">
        <f aca="false">IF(B785="","",IFERROR(INDEX(PE_Equipe,MATCH(B785,PE_Mat,0)),""))</f>
        <v/>
      </c>
      <c r="F785" s="25"/>
      <c r="G785" s="25"/>
      <c r="H785" s="68"/>
      <c r="I785" s="89"/>
      <c r="J785" s="31" t="str">
        <f aca="false">IF(B785="","",IFERROR(INDEX(PE_Taux,MATCH(B785,PE_Mat,0)),0))</f>
        <v/>
      </c>
      <c r="K785" s="31" t="str">
        <f aca="false">IF(B785="","",IF(H785="A",0,IFERROR(N(I785)/P_Heures*J785,0)))</f>
        <v/>
      </c>
      <c r="L785" s="25"/>
    </row>
    <row r="786" customFormat="false" ht="15" hidden="false" customHeight="false" outlineLevel="0" collapsed="false">
      <c r="A786" s="69"/>
      <c r="B786" s="68"/>
      <c r="C786" s="76" t="str">
        <f aca="false">IF(B786="","",IFERROR(INDEX(PE_Nom,MATCH(B786,PE_Mat,0)),"Matricule inconnu"))</f>
        <v/>
      </c>
      <c r="D786" s="76" t="str">
        <f aca="false">IF(B786="","",IFERROR(INDEX(PE_Fonction,MATCH(B786,PE_Mat,0)),""))</f>
        <v/>
      </c>
      <c r="E786" s="76" t="str">
        <f aca="false">IF(B786="","",IFERROR(INDEX(PE_Equipe,MATCH(B786,PE_Mat,0)),""))</f>
        <v/>
      </c>
      <c r="F786" s="25"/>
      <c r="G786" s="25"/>
      <c r="H786" s="68"/>
      <c r="I786" s="89"/>
      <c r="J786" s="31" t="str">
        <f aca="false">IF(B786="","",IFERROR(INDEX(PE_Taux,MATCH(B786,PE_Mat,0)),0))</f>
        <v/>
      </c>
      <c r="K786" s="31" t="str">
        <f aca="false">IF(B786="","",IF(H786="A",0,IFERROR(N(I786)/P_Heures*J786,0)))</f>
        <v/>
      </c>
      <c r="L786" s="25"/>
    </row>
    <row r="787" customFormat="false" ht="15" hidden="false" customHeight="false" outlineLevel="0" collapsed="false">
      <c r="A787" s="69"/>
      <c r="B787" s="68"/>
      <c r="C787" s="76" t="str">
        <f aca="false">IF(B787="","",IFERROR(INDEX(PE_Nom,MATCH(B787,PE_Mat,0)),"Matricule inconnu"))</f>
        <v/>
      </c>
      <c r="D787" s="76" t="str">
        <f aca="false">IF(B787="","",IFERROR(INDEX(PE_Fonction,MATCH(B787,PE_Mat,0)),""))</f>
        <v/>
      </c>
      <c r="E787" s="76" t="str">
        <f aca="false">IF(B787="","",IFERROR(INDEX(PE_Equipe,MATCH(B787,PE_Mat,0)),""))</f>
        <v/>
      </c>
      <c r="F787" s="25"/>
      <c r="G787" s="25"/>
      <c r="H787" s="68"/>
      <c r="I787" s="89"/>
      <c r="J787" s="31" t="str">
        <f aca="false">IF(B787="","",IFERROR(INDEX(PE_Taux,MATCH(B787,PE_Mat,0)),0))</f>
        <v/>
      </c>
      <c r="K787" s="31" t="str">
        <f aca="false">IF(B787="","",IF(H787="A",0,IFERROR(N(I787)/P_Heures*J787,0)))</f>
        <v/>
      </c>
      <c r="L787" s="25"/>
    </row>
    <row r="788" customFormat="false" ht="15" hidden="false" customHeight="false" outlineLevel="0" collapsed="false">
      <c r="A788" s="69"/>
      <c r="B788" s="68"/>
      <c r="C788" s="76" t="str">
        <f aca="false">IF(B788="","",IFERROR(INDEX(PE_Nom,MATCH(B788,PE_Mat,0)),"Matricule inconnu"))</f>
        <v/>
      </c>
      <c r="D788" s="76" t="str">
        <f aca="false">IF(B788="","",IFERROR(INDEX(PE_Fonction,MATCH(B788,PE_Mat,0)),""))</f>
        <v/>
      </c>
      <c r="E788" s="76" t="str">
        <f aca="false">IF(B788="","",IFERROR(INDEX(PE_Equipe,MATCH(B788,PE_Mat,0)),""))</f>
        <v/>
      </c>
      <c r="F788" s="25"/>
      <c r="G788" s="25"/>
      <c r="H788" s="68"/>
      <c r="I788" s="89"/>
      <c r="J788" s="31" t="str">
        <f aca="false">IF(B788="","",IFERROR(INDEX(PE_Taux,MATCH(B788,PE_Mat,0)),0))</f>
        <v/>
      </c>
      <c r="K788" s="31" t="str">
        <f aca="false">IF(B788="","",IF(H788="A",0,IFERROR(N(I788)/P_Heures*J788,0)))</f>
        <v/>
      </c>
      <c r="L788" s="25"/>
    </row>
    <row r="789" customFormat="false" ht="15" hidden="false" customHeight="false" outlineLevel="0" collapsed="false">
      <c r="A789" s="69"/>
      <c r="B789" s="68"/>
      <c r="C789" s="76" t="str">
        <f aca="false">IF(B789="","",IFERROR(INDEX(PE_Nom,MATCH(B789,PE_Mat,0)),"Matricule inconnu"))</f>
        <v/>
      </c>
      <c r="D789" s="76" t="str">
        <f aca="false">IF(B789="","",IFERROR(INDEX(PE_Fonction,MATCH(B789,PE_Mat,0)),""))</f>
        <v/>
      </c>
      <c r="E789" s="76" t="str">
        <f aca="false">IF(B789="","",IFERROR(INDEX(PE_Equipe,MATCH(B789,PE_Mat,0)),""))</f>
        <v/>
      </c>
      <c r="F789" s="25"/>
      <c r="G789" s="25"/>
      <c r="H789" s="68"/>
      <c r="I789" s="89"/>
      <c r="J789" s="31" t="str">
        <f aca="false">IF(B789="","",IFERROR(INDEX(PE_Taux,MATCH(B789,PE_Mat,0)),0))</f>
        <v/>
      </c>
      <c r="K789" s="31" t="str">
        <f aca="false">IF(B789="","",IF(H789="A",0,IFERROR(N(I789)/P_Heures*J789,0)))</f>
        <v/>
      </c>
      <c r="L789" s="25"/>
    </row>
    <row r="790" customFormat="false" ht="15" hidden="false" customHeight="false" outlineLevel="0" collapsed="false">
      <c r="A790" s="69"/>
      <c r="B790" s="68"/>
      <c r="C790" s="76" t="str">
        <f aca="false">IF(B790="","",IFERROR(INDEX(PE_Nom,MATCH(B790,PE_Mat,0)),"Matricule inconnu"))</f>
        <v/>
      </c>
      <c r="D790" s="76" t="str">
        <f aca="false">IF(B790="","",IFERROR(INDEX(PE_Fonction,MATCH(B790,PE_Mat,0)),""))</f>
        <v/>
      </c>
      <c r="E790" s="76" t="str">
        <f aca="false">IF(B790="","",IFERROR(INDEX(PE_Equipe,MATCH(B790,PE_Mat,0)),""))</f>
        <v/>
      </c>
      <c r="F790" s="25"/>
      <c r="G790" s="25"/>
      <c r="H790" s="68"/>
      <c r="I790" s="89"/>
      <c r="J790" s="31" t="str">
        <f aca="false">IF(B790="","",IFERROR(INDEX(PE_Taux,MATCH(B790,PE_Mat,0)),0))</f>
        <v/>
      </c>
      <c r="K790" s="31" t="str">
        <f aca="false">IF(B790="","",IF(H790="A",0,IFERROR(N(I790)/P_Heures*J790,0)))</f>
        <v/>
      </c>
      <c r="L790" s="25"/>
    </row>
    <row r="791" customFormat="false" ht="15" hidden="false" customHeight="false" outlineLevel="0" collapsed="false">
      <c r="A791" s="69"/>
      <c r="B791" s="68"/>
      <c r="C791" s="76" t="str">
        <f aca="false">IF(B791="","",IFERROR(INDEX(PE_Nom,MATCH(B791,PE_Mat,0)),"Matricule inconnu"))</f>
        <v/>
      </c>
      <c r="D791" s="76" t="str">
        <f aca="false">IF(B791="","",IFERROR(INDEX(PE_Fonction,MATCH(B791,PE_Mat,0)),""))</f>
        <v/>
      </c>
      <c r="E791" s="76" t="str">
        <f aca="false">IF(B791="","",IFERROR(INDEX(PE_Equipe,MATCH(B791,PE_Mat,0)),""))</f>
        <v/>
      </c>
      <c r="F791" s="25"/>
      <c r="G791" s="25"/>
      <c r="H791" s="68"/>
      <c r="I791" s="89"/>
      <c r="J791" s="31" t="str">
        <f aca="false">IF(B791="","",IFERROR(INDEX(PE_Taux,MATCH(B791,PE_Mat,0)),0))</f>
        <v/>
      </c>
      <c r="K791" s="31" t="str">
        <f aca="false">IF(B791="","",IF(H791="A",0,IFERROR(N(I791)/P_Heures*J791,0)))</f>
        <v/>
      </c>
      <c r="L791" s="25"/>
    </row>
    <row r="792" customFormat="false" ht="15" hidden="false" customHeight="false" outlineLevel="0" collapsed="false">
      <c r="A792" s="69"/>
      <c r="B792" s="68"/>
      <c r="C792" s="76" t="str">
        <f aca="false">IF(B792="","",IFERROR(INDEX(PE_Nom,MATCH(B792,PE_Mat,0)),"Matricule inconnu"))</f>
        <v/>
      </c>
      <c r="D792" s="76" t="str">
        <f aca="false">IF(B792="","",IFERROR(INDEX(PE_Fonction,MATCH(B792,PE_Mat,0)),""))</f>
        <v/>
      </c>
      <c r="E792" s="76" t="str">
        <f aca="false">IF(B792="","",IFERROR(INDEX(PE_Equipe,MATCH(B792,PE_Mat,0)),""))</f>
        <v/>
      </c>
      <c r="F792" s="25"/>
      <c r="G792" s="25"/>
      <c r="H792" s="68"/>
      <c r="I792" s="89"/>
      <c r="J792" s="31" t="str">
        <f aca="false">IF(B792="","",IFERROR(INDEX(PE_Taux,MATCH(B792,PE_Mat,0)),0))</f>
        <v/>
      </c>
      <c r="K792" s="31" t="str">
        <f aca="false">IF(B792="","",IF(H792="A",0,IFERROR(N(I792)/P_Heures*J792,0)))</f>
        <v/>
      </c>
      <c r="L792" s="25"/>
    </row>
    <row r="793" customFormat="false" ht="15" hidden="false" customHeight="false" outlineLevel="0" collapsed="false">
      <c r="A793" s="69"/>
      <c r="B793" s="68"/>
      <c r="C793" s="76" t="str">
        <f aca="false">IF(B793="","",IFERROR(INDEX(PE_Nom,MATCH(B793,PE_Mat,0)),"Matricule inconnu"))</f>
        <v/>
      </c>
      <c r="D793" s="76" t="str">
        <f aca="false">IF(B793="","",IFERROR(INDEX(PE_Fonction,MATCH(B793,PE_Mat,0)),""))</f>
        <v/>
      </c>
      <c r="E793" s="76" t="str">
        <f aca="false">IF(B793="","",IFERROR(INDEX(PE_Equipe,MATCH(B793,PE_Mat,0)),""))</f>
        <v/>
      </c>
      <c r="F793" s="25"/>
      <c r="G793" s="25"/>
      <c r="H793" s="68"/>
      <c r="I793" s="89"/>
      <c r="J793" s="31" t="str">
        <f aca="false">IF(B793="","",IFERROR(INDEX(PE_Taux,MATCH(B793,PE_Mat,0)),0))</f>
        <v/>
      </c>
      <c r="K793" s="31" t="str">
        <f aca="false">IF(B793="","",IF(H793="A",0,IFERROR(N(I793)/P_Heures*J793,0)))</f>
        <v/>
      </c>
      <c r="L793" s="25"/>
    </row>
    <row r="794" customFormat="false" ht="15" hidden="false" customHeight="false" outlineLevel="0" collapsed="false">
      <c r="A794" s="69"/>
      <c r="B794" s="68"/>
      <c r="C794" s="76" t="str">
        <f aca="false">IF(B794="","",IFERROR(INDEX(PE_Nom,MATCH(B794,PE_Mat,0)),"Matricule inconnu"))</f>
        <v/>
      </c>
      <c r="D794" s="76" t="str">
        <f aca="false">IF(B794="","",IFERROR(INDEX(PE_Fonction,MATCH(B794,PE_Mat,0)),""))</f>
        <v/>
      </c>
      <c r="E794" s="76" t="str">
        <f aca="false">IF(B794="","",IFERROR(INDEX(PE_Equipe,MATCH(B794,PE_Mat,0)),""))</f>
        <v/>
      </c>
      <c r="F794" s="25"/>
      <c r="G794" s="25"/>
      <c r="H794" s="68"/>
      <c r="I794" s="89"/>
      <c r="J794" s="31" t="str">
        <f aca="false">IF(B794="","",IFERROR(INDEX(PE_Taux,MATCH(B794,PE_Mat,0)),0))</f>
        <v/>
      </c>
      <c r="K794" s="31" t="str">
        <f aca="false">IF(B794="","",IF(H794="A",0,IFERROR(N(I794)/P_Heures*J794,0)))</f>
        <v/>
      </c>
      <c r="L794" s="25"/>
    </row>
    <row r="795" customFormat="false" ht="15" hidden="false" customHeight="false" outlineLevel="0" collapsed="false">
      <c r="A795" s="69"/>
      <c r="B795" s="68"/>
      <c r="C795" s="76" t="str">
        <f aca="false">IF(B795="","",IFERROR(INDEX(PE_Nom,MATCH(B795,PE_Mat,0)),"Matricule inconnu"))</f>
        <v/>
      </c>
      <c r="D795" s="76" t="str">
        <f aca="false">IF(B795="","",IFERROR(INDEX(PE_Fonction,MATCH(B795,PE_Mat,0)),""))</f>
        <v/>
      </c>
      <c r="E795" s="76" t="str">
        <f aca="false">IF(B795="","",IFERROR(INDEX(PE_Equipe,MATCH(B795,PE_Mat,0)),""))</f>
        <v/>
      </c>
      <c r="F795" s="25"/>
      <c r="G795" s="25"/>
      <c r="H795" s="68"/>
      <c r="I795" s="89"/>
      <c r="J795" s="31" t="str">
        <f aca="false">IF(B795="","",IFERROR(INDEX(PE_Taux,MATCH(B795,PE_Mat,0)),0))</f>
        <v/>
      </c>
      <c r="K795" s="31" t="str">
        <f aca="false">IF(B795="","",IF(H795="A",0,IFERROR(N(I795)/P_Heures*J795,0)))</f>
        <v/>
      </c>
      <c r="L795" s="25"/>
    </row>
    <row r="796" customFormat="false" ht="15" hidden="false" customHeight="false" outlineLevel="0" collapsed="false">
      <c r="A796" s="69"/>
      <c r="B796" s="68"/>
      <c r="C796" s="76" t="str">
        <f aca="false">IF(B796="","",IFERROR(INDEX(PE_Nom,MATCH(B796,PE_Mat,0)),"Matricule inconnu"))</f>
        <v/>
      </c>
      <c r="D796" s="76" t="str">
        <f aca="false">IF(B796="","",IFERROR(INDEX(PE_Fonction,MATCH(B796,PE_Mat,0)),""))</f>
        <v/>
      </c>
      <c r="E796" s="76" t="str">
        <f aca="false">IF(B796="","",IFERROR(INDEX(PE_Equipe,MATCH(B796,PE_Mat,0)),""))</f>
        <v/>
      </c>
      <c r="F796" s="25"/>
      <c r="G796" s="25"/>
      <c r="H796" s="68"/>
      <c r="I796" s="89"/>
      <c r="J796" s="31" t="str">
        <f aca="false">IF(B796="","",IFERROR(INDEX(PE_Taux,MATCH(B796,PE_Mat,0)),0))</f>
        <v/>
      </c>
      <c r="K796" s="31" t="str">
        <f aca="false">IF(B796="","",IF(H796="A",0,IFERROR(N(I796)/P_Heures*J796,0)))</f>
        <v/>
      </c>
      <c r="L796" s="25"/>
    </row>
    <row r="797" customFormat="false" ht="15" hidden="false" customHeight="false" outlineLevel="0" collapsed="false">
      <c r="A797" s="69"/>
      <c r="B797" s="68"/>
      <c r="C797" s="76" t="str">
        <f aca="false">IF(B797="","",IFERROR(INDEX(PE_Nom,MATCH(B797,PE_Mat,0)),"Matricule inconnu"))</f>
        <v/>
      </c>
      <c r="D797" s="76" t="str">
        <f aca="false">IF(B797="","",IFERROR(INDEX(PE_Fonction,MATCH(B797,PE_Mat,0)),""))</f>
        <v/>
      </c>
      <c r="E797" s="76" t="str">
        <f aca="false">IF(B797="","",IFERROR(INDEX(PE_Equipe,MATCH(B797,PE_Mat,0)),""))</f>
        <v/>
      </c>
      <c r="F797" s="25"/>
      <c r="G797" s="25"/>
      <c r="H797" s="68"/>
      <c r="I797" s="89"/>
      <c r="J797" s="31" t="str">
        <f aca="false">IF(B797="","",IFERROR(INDEX(PE_Taux,MATCH(B797,PE_Mat,0)),0))</f>
        <v/>
      </c>
      <c r="K797" s="31" t="str">
        <f aca="false">IF(B797="","",IF(H797="A",0,IFERROR(N(I797)/P_Heures*J797,0)))</f>
        <v/>
      </c>
      <c r="L797" s="25"/>
    </row>
    <row r="798" customFormat="false" ht="15" hidden="false" customHeight="false" outlineLevel="0" collapsed="false">
      <c r="A798" s="69"/>
      <c r="B798" s="68"/>
      <c r="C798" s="76" t="str">
        <f aca="false">IF(B798="","",IFERROR(INDEX(PE_Nom,MATCH(B798,PE_Mat,0)),"Matricule inconnu"))</f>
        <v/>
      </c>
      <c r="D798" s="76" t="str">
        <f aca="false">IF(B798="","",IFERROR(INDEX(PE_Fonction,MATCH(B798,PE_Mat,0)),""))</f>
        <v/>
      </c>
      <c r="E798" s="76" t="str">
        <f aca="false">IF(B798="","",IFERROR(INDEX(PE_Equipe,MATCH(B798,PE_Mat,0)),""))</f>
        <v/>
      </c>
      <c r="F798" s="25"/>
      <c r="G798" s="25"/>
      <c r="H798" s="68"/>
      <c r="I798" s="89"/>
      <c r="J798" s="31" t="str">
        <f aca="false">IF(B798="","",IFERROR(INDEX(PE_Taux,MATCH(B798,PE_Mat,0)),0))</f>
        <v/>
      </c>
      <c r="K798" s="31" t="str">
        <f aca="false">IF(B798="","",IF(H798="A",0,IFERROR(N(I798)/P_Heures*J798,0)))</f>
        <v/>
      </c>
      <c r="L798" s="25"/>
    </row>
    <row r="799" customFormat="false" ht="15" hidden="false" customHeight="false" outlineLevel="0" collapsed="false">
      <c r="A799" s="69"/>
      <c r="B799" s="68"/>
      <c r="C799" s="76" t="str">
        <f aca="false">IF(B799="","",IFERROR(INDEX(PE_Nom,MATCH(B799,PE_Mat,0)),"Matricule inconnu"))</f>
        <v/>
      </c>
      <c r="D799" s="76" t="str">
        <f aca="false">IF(B799="","",IFERROR(INDEX(PE_Fonction,MATCH(B799,PE_Mat,0)),""))</f>
        <v/>
      </c>
      <c r="E799" s="76" t="str">
        <f aca="false">IF(B799="","",IFERROR(INDEX(PE_Equipe,MATCH(B799,PE_Mat,0)),""))</f>
        <v/>
      </c>
      <c r="F799" s="25"/>
      <c r="G799" s="25"/>
      <c r="H799" s="68"/>
      <c r="I799" s="89"/>
      <c r="J799" s="31" t="str">
        <f aca="false">IF(B799="","",IFERROR(INDEX(PE_Taux,MATCH(B799,PE_Mat,0)),0))</f>
        <v/>
      </c>
      <c r="K799" s="31" t="str">
        <f aca="false">IF(B799="","",IF(H799="A",0,IFERROR(N(I799)/P_Heures*J799,0)))</f>
        <v/>
      </c>
      <c r="L799" s="25"/>
    </row>
    <row r="800" customFormat="false" ht="15" hidden="false" customHeight="false" outlineLevel="0" collapsed="false">
      <c r="A800" s="69"/>
      <c r="B800" s="68"/>
      <c r="C800" s="76" t="str">
        <f aca="false">IF(B800="","",IFERROR(INDEX(PE_Nom,MATCH(B800,PE_Mat,0)),"Matricule inconnu"))</f>
        <v/>
      </c>
      <c r="D800" s="76" t="str">
        <f aca="false">IF(B800="","",IFERROR(INDEX(PE_Fonction,MATCH(B800,PE_Mat,0)),""))</f>
        <v/>
      </c>
      <c r="E800" s="76" t="str">
        <f aca="false">IF(B800="","",IFERROR(INDEX(PE_Equipe,MATCH(B800,PE_Mat,0)),""))</f>
        <v/>
      </c>
      <c r="F800" s="25"/>
      <c r="G800" s="25"/>
      <c r="H800" s="68"/>
      <c r="I800" s="89"/>
      <c r="J800" s="31" t="str">
        <f aca="false">IF(B800="","",IFERROR(INDEX(PE_Taux,MATCH(B800,PE_Mat,0)),0))</f>
        <v/>
      </c>
      <c r="K800" s="31" t="str">
        <f aca="false">IF(B800="","",IF(H800="A",0,IFERROR(N(I800)/P_Heures*J800,0)))</f>
        <v/>
      </c>
      <c r="L800" s="25"/>
    </row>
    <row r="801" customFormat="false" ht="15" hidden="false" customHeight="false" outlineLevel="0" collapsed="false">
      <c r="A801" s="69"/>
      <c r="B801" s="68"/>
      <c r="C801" s="76" t="str">
        <f aca="false">IF(B801="","",IFERROR(INDEX(PE_Nom,MATCH(B801,PE_Mat,0)),"Matricule inconnu"))</f>
        <v/>
      </c>
      <c r="D801" s="76" t="str">
        <f aca="false">IF(B801="","",IFERROR(INDEX(PE_Fonction,MATCH(B801,PE_Mat,0)),""))</f>
        <v/>
      </c>
      <c r="E801" s="76" t="str">
        <f aca="false">IF(B801="","",IFERROR(INDEX(PE_Equipe,MATCH(B801,PE_Mat,0)),""))</f>
        <v/>
      </c>
      <c r="F801" s="25"/>
      <c r="G801" s="25"/>
      <c r="H801" s="68"/>
      <c r="I801" s="89"/>
      <c r="J801" s="31" t="str">
        <f aca="false">IF(B801="","",IFERROR(INDEX(PE_Taux,MATCH(B801,PE_Mat,0)),0))</f>
        <v/>
      </c>
      <c r="K801" s="31" t="str">
        <f aca="false">IF(B801="","",IF(H801="A",0,IFERROR(N(I801)/P_Heures*J801,0)))</f>
        <v/>
      </c>
      <c r="L801" s="25"/>
    </row>
    <row r="802" customFormat="false" ht="15" hidden="false" customHeight="false" outlineLevel="0" collapsed="false">
      <c r="A802" s="69"/>
      <c r="B802" s="68"/>
      <c r="C802" s="76" t="str">
        <f aca="false">IF(B802="","",IFERROR(INDEX(PE_Nom,MATCH(B802,PE_Mat,0)),"Matricule inconnu"))</f>
        <v/>
      </c>
      <c r="D802" s="76" t="str">
        <f aca="false">IF(B802="","",IFERROR(INDEX(PE_Fonction,MATCH(B802,PE_Mat,0)),""))</f>
        <v/>
      </c>
      <c r="E802" s="76" t="str">
        <f aca="false">IF(B802="","",IFERROR(INDEX(PE_Equipe,MATCH(B802,PE_Mat,0)),""))</f>
        <v/>
      </c>
      <c r="F802" s="25"/>
      <c r="G802" s="25"/>
      <c r="H802" s="68"/>
      <c r="I802" s="89"/>
      <c r="J802" s="31" t="str">
        <f aca="false">IF(B802="","",IFERROR(INDEX(PE_Taux,MATCH(B802,PE_Mat,0)),0))</f>
        <v/>
      </c>
      <c r="K802" s="31" t="str">
        <f aca="false">IF(B802="","",IF(H802="A",0,IFERROR(N(I802)/P_Heures*J802,0)))</f>
        <v/>
      </c>
      <c r="L802" s="25"/>
    </row>
    <row r="803" customFormat="false" ht="15" hidden="false" customHeight="false" outlineLevel="0" collapsed="false">
      <c r="A803" s="69"/>
      <c r="B803" s="68"/>
      <c r="C803" s="76" t="str">
        <f aca="false">IF(B803="","",IFERROR(INDEX(PE_Nom,MATCH(B803,PE_Mat,0)),"Matricule inconnu"))</f>
        <v/>
      </c>
      <c r="D803" s="76" t="str">
        <f aca="false">IF(B803="","",IFERROR(INDEX(PE_Fonction,MATCH(B803,PE_Mat,0)),""))</f>
        <v/>
      </c>
      <c r="E803" s="76" t="str">
        <f aca="false">IF(B803="","",IFERROR(INDEX(PE_Equipe,MATCH(B803,PE_Mat,0)),""))</f>
        <v/>
      </c>
      <c r="F803" s="25"/>
      <c r="G803" s="25"/>
      <c r="H803" s="68"/>
      <c r="I803" s="89"/>
      <c r="J803" s="31" t="str">
        <f aca="false">IF(B803="","",IFERROR(INDEX(PE_Taux,MATCH(B803,PE_Mat,0)),0))</f>
        <v/>
      </c>
      <c r="K803" s="31" t="str">
        <f aca="false">IF(B803="","",IF(H803="A",0,IFERROR(N(I803)/P_Heures*J803,0)))</f>
        <v/>
      </c>
      <c r="L803" s="25"/>
    </row>
    <row r="804" customFormat="false" ht="15" hidden="false" customHeight="false" outlineLevel="0" collapsed="false">
      <c r="A804" s="69"/>
      <c r="B804" s="68"/>
      <c r="C804" s="76" t="str">
        <f aca="false">IF(B804="","",IFERROR(INDEX(PE_Nom,MATCH(B804,PE_Mat,0)),"Matricule inconnu"))</f>
        <v/>
      </c>
      <c r="D804" s="76" t="str">
        <f aca="false">IF(B804="","",IFERROR(INDEX(PE_Fonction,MATCH(B804,PE_Mat,0)),""))</f>
        <v/>
      </c>
      <c r="E804" s="76" t="str">
        <f aca="false">IF(B804="","",IFERROR(INDEX(PE_Equipe,MATCH(B804,PE_Mat,0)),""))</f>
        <v/>
      </c>
      <c r="F804" s="25"/>
      <c r="G804" s="25"/>
      <c r="H804" s="68"/>
      <c r="I804" s="89"/>
      <c r="J804" s="31" t="str">
        <f aca="false">IF(B804="","",IFERROR(INDEX(PE_Taux,MATCH(B804,PE_Mat,0)),0))</f>
        <v/>
      </c>
      <c r="K804" s="31" t="str">
        <f aca="false">IF(B804="","",IF(H804="A",0,IFERROR(N(I804)/P_Heures*J804,0)))</f>
        <v/>
      </c>
      <c r="L804" s="25"/>
    </row>
    <row r="805" customFormat="false" ht="15" hidden="false" customHeight="false" outlineLevel="0" collapsed="false">
      <c r="A805" s="69"/>
      <c r="B805" s="68"/>
      <c r="C805" s="76" t="str">
        <f aca="false">IF(B805="","",IFERROR(INDEX(PE_Nom,MATCH(B805,PE_Mat,0)),"Matricule inconnu"))</f>
        <v/>
      </c>
      <c r="D805" s="76" t="str">
        <f aca="false">IF(B805="","",IFERROR(INDEX(PE_Fonction,MATCH(B805,PE_Mat,0)),""))</f>
        <v/>
      </c>
      <c r="E805" s="76" t="str">
        <f aca="false">IF(B805="","",IFERROR(INDEX(PE_Equipe,MATCH(B805,PE_Mat,0)),""))</f>
        <v/>
      </c>
      <c r="F805" s="25"/>
      <c r="G805" s="25"/>
      <c r="H805" s="68"/>
      <c r="I805" s="89"/>
      <c r="J805" s="31" t="str">
        <f aca="false">IF(B805="","",IFERROR(INDEX(PE_Taux,MATCH(B805,PE_Mat,0)),0))</f>
        <v/>
      </c>
      <c r="K805" s="31" t="str">
        <f aca="false">IF(B805="","",IF(H805="A",0,IFERROR(N(I805)/P_Heures*J805,0)))</f>
        <v/>
      </c>
      <c r="L805" s="25"/>
    </row>
    <row r="806" customFormat="false" ht="15" hidden="false" customHeight="false" outlineLevel="0" collapsed="false">
      <c r="A806" s="69"/>
      <c r="B806" s="68"/>
      <c r="C806" s="76" t="str">
        <f aca="false">IF(B806="","",IFERROR(INDEX(PE_Nom,MATCH(B806,PE_Mat,0)),"Matricule inconnu"))</f>
        <v/>
      </c>
      <c r="D806" s="76" t="str">
        <f aca="false">IF(B806="","",IFERROR(INDEX(PE_Fonction,MATCH(B806,PE_Mat,0)),""))</f>
        <v/>
      </c>
      <c r="E806" s="76" t="str">
        <f aca="false">IF(B806="","",IFERROR(INDEX(PE_Equipe,MATCH(B806,PE_Mat,0)),""))</f>
        <v/>
      </c>
      <c r="F806" s="25"/>
      <c r="G806" s="25"/>
      <c r="H806" s="68"/>
      <c r="I806" s="89"/>
      <c r="J806" s="31" t="str">
        <f aca="false">IF(B806="","",IFERROR(INDEX(PE_Taux,MATCH(B806,PE_Mat,0)),0))</f>
        <v/>
      </c>
      <c r="K806" s="31" t="str">
        <f aca="false">IF(B806="","",IF(H806="A",0,IFERROR(N(I806)/P_Heures*J806,0)))</f>
        <v/>
      </c>
      <c r="L806" s="25"/>
    </row>
    <row r="807" customFormat="false" ht="15" hidden="false" customHeight="false" outlineLevel="0" collapsed="false">
      <c r="A807" s="69"/>
      <c r="B807" s="68"/>
      <c r="C807" s="76" t="str">
        <f aca="false">IF(B807="","",IFERROR(INDEX(PE_Nom,MATCH(B807,PE_Mat,0)),"Matricule inconnu"))</f>
        <v/>
      </c>
      <c r="D807" s="76" t="str">
        <f aca="false">IF(B807="","",IFERROR(INDEX(PE_Fonction,MATCH(B807,PE_Mat,0)),""))</f>
        <v/>
      </c>
      <c r="E807" s="76" t="str">
        <f aca="false">IF(B807="","",IFERROR(INDEX(PE_Equipe,MATCH(B807,PE_Mat,0)),""))</f>
        <v/>
      </c>
      <c r="F807" s="25"/>
      <c r="G807" s="25"/>
      <c r="H807" s="68"/>
      <c r="I807" s="89"/>
      <c r="J807" s="31" t="str">
        <f aca="false">IF(B807="","",IFERROR(INDEX(PE_Taux,MATCH(B807,PE_Mat,0)),0))</f>
        <v/>
      </c>
      <c r="K807" s="31" t="str">
        <f aca="false">IF(B807="","",IF(H807="A",0,IFERROR(N(I807)/P_Heures*J807,0)))</f>
        <v/>
      </c>
      <c r="L807" s="25"/>
    </row>
    <row r="808" customFormat="false" ht="15" hidden="false" customHeight="false" outlineLevel="0" collapsed="false">
      <c r="A808" s="69"/>
      <c r="B808" s="68"/>
      <c r="C808" s="76" t="str">
        <f aca="false">IF(B808="","",IFERROR(INDEX(PE_Nom,MATCH(B808,PE_Mat,0)),"Matricule inconnu"))</f>
        <v/>
      </c>
      <c r="D808" s="76" t="str">
        <f aca="false">IF(B808="","",IFERROR(INDEX(PE_Fonction,MATCH(B808,PE_Mat,0)),""))</f>
        <v/>
      </c>
      <c r="E808" s="76" t="str">
        <f aca="false">IF(B808="","",IFERROR(INDEX(PE_Equipe,MATCH(B808,PE_Mat,0)),""))</f>
        <v/>
      </c>
      <c r="F808" s="25"/>
      <c r="G808" s="25"/>
      <c r="H808" s="68"/>
      <c r="I808" s="89"/>
      <c r="J808" s="31" t="str">
        <f aca="false">IF(B808="","",IFERROR(INDEX(PE_Taux,MATCH(B808,PE_Mat,0)),0))</f>
        <v/>
      </c>
      <c r="K808" s="31" t="str">
        <f aca="false">IF(B808="","",IF(H808="A",0,IFERROR(N(I808)/P_Heures*J808,0)))</f>
        <v/>
      </c>
      <c r="L808" s="25"/>
    </row>
    <row r="809" customFormat="false" ht="15" hidden="false" customHeight="false" outlineLevel="0" collapsed="false">
      <c r="A809" s="69"/>
      <c r="B809" s="68"/>
      <c r="C809" s="76" t="str">
        <f aca="false">IF(B809="","",IFERROR(INDEX(PE_Nom,MATCH(B809,PE_Mat,0)),"Matricule inconnu"))</f>
        <v/>
      </c>
      <c r="D809" s="76" t="str">
        <f aca="false">IF(B809="","",IFERROR(INDEX(PE_Fonction,MATCH(B809,PE_Mat,0)),""))</f>
        <v/>
      </c>
      <c r="E809" s="76" t="str">
        <f aca="false">IF(B809="","",IFERROR(INDEX(PE_Equipe,MATCH(B809,PE_Mat,0)),""))</f>
        <v/>
      </c>
      <c r="F809" s="25"/>
      <c r="G809" s="25"/>
      <c r="H809" s="68"/>
      <c r="I809" s="89"/>
      <c r="J809" s="31" t="str">
        <f aca="false">IF(B809="","",IFERROR(INDEX(PE_Taux,MATCH(B809,PE_Mat,0)),0))</f>
        <v/>
      </c>
      <c r="K809" s="31" t="str">
        <f aca="false">IF(B809="","",IF(H809="A",0,IFERROR(N(I809)/P_Heures*J809,0)))</f>
        <v/>
      </c>
      <c r="L809" s="25"/>
    </row>
    <row r="810" customFormat="false" ht="15" hidden="false" customHeight="false" outlineLevel="0" collapsed="false">
      <c r="A810" s="69"/>
      <c r="B810" s="68"/>
      <c r="C810" s="76" t="str">
        <f aca="false">IF(B810="","",IFERROR(INDEX(PE_Nom,MATCH(B810,PE_Mat,0)),"Matricule inconnu"))</f>
        <v/>
      </c>
      <c r="D810" s="76" t="str">
        <f aca="false">IF(B810="","",IFERROR(INDEX(PE_Fonction,MATCH(B810,PE_Mat,0)),""))</f>
        <v/>
      </c>
      <c r="E810" s="76" t="str">
        <f aca="false">IF(B810="","",IFERROR(INDEX(PE_Equipe,MATCH(B810,PE_Mat,0)),""))</f>
        <v/>
      </c>
      <c r="F810" s="25"/>
      <c r="G810" s="25"/>
      <c r="H810" s="68"/>
      <c r="I810" s="89"/>
      <c r="J810" s="31" t="str">
        <f aca="false">IF(B810="","",IFERROR(INDEX(PE_Taux,MATCH(B810,PE_Mat,0)),0))</f>
        <v/>
      </c>
      <c r="K810" s="31" t="str">
        <f aca="false">IF(B810="","",IF(H810="A",0,IFERROR(N(I810)/P_Heures*J810,0)))</f>
        <v/>
      </c>
      <c r="L810" s="25"/>
    </row>
    <row r="811" customFormat="false" ht="15" hidden="false" customHeight="false" outlineLevel="0" collapsed="false">
      <c r="A811" s="69"/>
      <c r="B811" s="68"/>
      <c r="C811" s="76" t="str">
        <f aca="false">IF(B811="","",IFERROR(INDEX(PE_Nom,MATCH(B811,PE_Mat,0)),"Matricule inconnu"))</f>
        <v/>
      </c>
      <c r="D811" s="76" t="str">
        <f aca="false">IF(B811="","",IFERROR(INDEX(PE_Fonction,MATCH(B811,PE_Mat,0)),""))</f>
        <v/>
      </c>
      <c r="E811" s="76" t="str">
        <f aca="false">IF(B811="","",IFERROR(INDEX(PE_Equipe,MATCH(B811,PE_Mat,0)),""))</f>
        <v/>
      </c>
      <c r="F811" s="25"/>
      <c r="G811" s="25"/>
      <c r="H811" s="68"/>
      <c r="I811" s="89"/>
      <c r="J811" s="31" t="str">
        <f aca="false">IF(B811="","",IFERROR(INDEX(PE_Taux,MATCH(B811,PE_Mat,0)),0))</f>
        <v/>
      </c>
      <c r="K811" s="31" t="str">
        <f aca="false">IF(B811="","",IF(H811="A",0,IFERROR(N(I811)/P_Heures*J811,0)))</f>
        <v/>
      </c>
      <c r="L811" s="25"/>
    </row>
    <row r="812" customFormat="false" ht="15" hidden="false" customHeight="false" outlineLevel="0" collapsed="false">
      <c r="A812" s="69"/>
      <c r="B812" s="68"/>
      <c r="C812" s="76" t="str">
        <f aca="false">IF(B812="","",IFERROR(INDEX(PE_Nom,MATCH(B812,PE_Mat,0)),"Matricule inconnu"))</f>
        <v/>
      </c>
      <c r="D812" s="76" t="str">
        <f aca="false">IF(B812="","",IFERROR(INDEX(PE_Fonction,MATCH(B812,PE_Mat,0)),""))</f>
        <v/>
      </c>
      <c r="E812" s="76" t="str">
        <f aca="false">IF(B812="","",IFERROR(INDEX(PE_Equipe,MATCH(B812,PE_Mat,0)),""))</f>
        <v/>
      </c>
      <c r="F812" s="25"/>
      <c r="G812" s="25"/>
      <c r="H812" s="68"/>
      <c r="I812" s="89"/>
      <c r="J812" s="31" t="str">
        <f aca="false">IF(B812="","",IFERROR(INDEX(PE_Taux,MATCH(B812,PE_Mat,0)),0))</f>
        <v/>
      </c>
      <c r="K812" s="31" t="str">
        <f aca="false">IF(B812="","",IF(H812="A",0,IFERROR(N(I812)/P_Heures*J812,0)))</f>
        <v/>
      </c>
      <c r="L812" s="25"/>
    </row>
    <row r="813" customFormat="false" ht="15" hidden="false" customHeight="false" outlineLevel="0" collapsed="false">
      <c r="A813" s="69"/>
      <c r="B813" s="68"/>
      <c r="C813" s="76" t="str">
        <f aca="false">IF(B813="","",IFERROR(INDEX(PE_Nom,MATCH(B813,PE_Mat,0)),"Matricule inconnu"))</f>
        <v/>
      </c>
      <c r="D813" s="76" t="str">
        <f aca="false">IF(B813="","",IFERROR(INDEX(PE_Fonction,MATCH(B813,PE_Mat,0)),""))</f>
        <v/>
      </c>
      <c r="E813" s="76" t="str">
        <f aca="false">IF(B813="","",IFERROR(INDEX(PE_Equipe,MATCH(B813,PE_Mat,0)),""))</f>
        <v/>
      </c>
      <c r="F813" s="25"/>
      <c r="G813" s="25"/>
      <c r="H813" s="68"/>
      <c r="I813" s="89"/>
      <c r="J813" s="31" t="str">
        <f aca="false">IF(B813="","",IFERROR(INDEX(PE_Taux,MATCH(B813,PE_Mat,0)),0))</f>
        <v/>
      </c>
      <c r="K813" s="31" t="str">
        <f aca="false">IF(B813="","",IF(H813="A",0,IFERROR(N(I813)/P_Heures*J813,0)))</f>
        <v/>
      </c>
      <c r="L813" s="25"/>
    </row>
    <row r="814" customFormat="false" ht="15" hidden="false" customHeight="false" outlineLevel="0" collapsed="false">
      <c r="A814" s="69"/>
      <c r="B814" s="68"/>
      <c r="C814" s="76" t="str">
        <f aca="false">IF(B814="","",IFERROR(INDEX(PE_Nom,MATCH(B814,PE_Mat,0)),"Matricule inconnu"))</f>
        <v/>
      </c>
      <c r="D814" s="76" t="str">
        <f aca="false">IF(B814="","",IFERROR(INDEX(PE_Fonction,MATCH(B814,PE_Mat,0)),""))</f>
        <v/>
      </c>
      <c r="E814" s="76" t="str">
        <f aca="false">IF(B814="","",IFERROR(INDEX(PE_Equipe,MATCH(B814,PE_Mat,0)),""))</f>
        <v/>
      </c>
      <c r="F814" s="25"/>
      <c r="G814" s="25"/>
      <c r="H814" s="68"/>
      <c r="I814" s="89"/>
      <c r="J814" s="31" t="str">
        <f aca="false">IF(B814="","",IFERROR(INDEX(PE_Taux,MATCH(B814,PE_Mat,0)),0))</f>
        <v/>
      </c>
      <c r="K814" s="31" t="str">
        <f aca="false">IF(B814="","",IF(H814="A",0,IFERROR(N(I814)/P_Heures*J814,0)))</f>
        <v/>
      </c>
      <c r="L814" s="25"/>
    </row>
    <row r="815" customFormat="false" ht="15" hidden="false" customHeight="false" outlineLevel="0" collapsed="false">
      <c r="A815" s="69"/>
      <c r="B815" s="68"/>
      <c r="C815" s="76" t="str">
        <f aca="false">IF(B815="","",IFERROR(INDEX(PE_Nom,MATCH(B815,PE_Mat,0)),"Matricule inconnu"))</f>
        <v/>
      </c>
      <c r="D815" s="76" t="str">
        <f aca="false">IF(B815="","",IFERROR(INDEX(PE_Fonction,MATCH(B815,PE_Mat,0)),""))</f>
        <v/>
      </c>
      <c r="E815" s="76" t="str">
        <f aca="false">IF(B815="","",IFERROR(INDEX(PE_Equipe,MATCH(B815,PE_Mat,0)),""))</f>
        <v/>
      </c>
      <c r="F815" s="25"/>
      <c r="G815" s="25"/>
      <c r="H815" s="68"/>
      <c r="I815" s="89"/>
      <c r="J815" s="31" t="str">
        <f aca="false">IF(B815="","",IFERROR(INDEX(PE_Taux,MATCH(B815,PE_Mat,0)),0))</f>
        <v/>
      </c>
      <c r="K815" s="31" t="str">
        <f aca="false">IF(B815="","",IF(H815="A",0,IFERROR(N(I815)/P_Heures*J815,0)))</f>
        <v/>
      </c>
      <c r="L815" s="25"/>
    </row>
    <row r="816" customFormat="false" ht="15" hidden="false" customHeight="false" outlineLevel="0" collapsed="false">
      <c r="A816" s="69"/>
      <c r="B816" s="68"/>
      <c r="C816" s="76" t="str">
        <f aca="false">IF(B816="","",IFERROR(INDEX(PE_Nom,MATCH(B816,PE_Mat,0)),"Matricule inconnu"))</f>
        <v/>
      </c>
      <c r="D816" s="76" t="str">
        <f aca="false">IF(B816="","",IFERROR(INDEX(PE_Fonction,MATCH(B816,PE_Mat,0)),""))</f>
        <v/>
      </c>
      <c r="E816" s="76" t="str">
        <f aca="false">IF(B816="","",IFERROR(INDEX(PE_Equipe,MATCH(B816,PE_Mat,0)),""))</f>
        <v/>
      </c>
      <c r="F816" s="25"/>
      <c r="G816" s="25"/>
      <c r="H816" s="68"/>
      <c r="I816" s="89"/>
      <c r="J816" s="31" t="str">
        <f aca="false">IF(B816="","",IFERROR(INDEX(PE_Taux,MATCH(B816,PE_Mat,0)),0))</f>
        <v/>
      </c>
      <c r="K816" s="31" t="str">
        <f aca="false">IF(B816="","",IF(H816="A",0,IFERROR(N(I816)/P_Heures*J816,0)))</f>
        <v/>
      </c>
      <c r="L816" s="25"/>
    </row>
    <row r="817" customFormat="false" ht="15" hidden="false" customHeight="false" outlineLevel="0" collapsed="false">
      <c r="A817" s="69"/>
      <c r="B817" s="68"/>
      <c r="C817" s="76" t="str">
        <f aca="false">IF(B817="","",IFERROR(INDEX(PE_Nom,MATCH(B817,PE_Mat,0)),"Matricule inconnu"))</f>
        <v/>
      </c>
      <c r="D817" s="76" t="str">
        <f aca="false">IF(B817="","",IFERROR(INDEX(PE_Fonction,MATCH(B817,PE_Mat,0)),""))</f>
        <v/>
      </c>
      <c r="E817" s="76" t="str">
        <f aca="false">IF(B817="","",IFERROR(INDEX(PE_Equipe,MATCH(B817,PE_Mat,0)),""))</f>
        <v/>
      </c>
      <c r="F817" s="25"/>
      <c r="G817" s="25"/>
      <c r="H817" s="68"/>
      <c r="I817" s="89"/>
      <c r="J817" s="31" t="str">
        <f aca="false">IF(B817="","",IFERROR(INDEX(PE_Taux,MATCH(B817,PE_Mat,0)),0))</f>
        <v/>
      </c>
      <c r="K817" s="31" t="str">
        <f aca="false">IF(B817="","",IF(H817="A",0,IFERROR(N(I817)/P_Heures*J817,0)))</f>
        <v/>
      </c>
      <c r="L817" s="25"/>
    </row>
    <row r="818" customFormat="false" ht="15" hidden="false" customHeight="false" outlineLevel="0" collapsed="false">
      <c r="A818" s="69"/>
      <c r="B818" s="68"/>
      <c r="C818" s="76" t="str">
        <f aca="false">IF(B818="","",IFERROR(INDEX(PE_Nom,MATCH(B818,PE_Mat,0)),"Matricule inconnu"))</f>
        <v/>
      </c>
      <c r="D818" s="76" t="str">
        <f aca="false">IF(B818="","",IFERROR(INDEX(PE_Fonction,MATCH(B818,PE_Mat,0)),""))</f>
        <v/>
      </c>
      <c r="E818" s="76" t="str">
        <f aca="false">IF(B818="","",IFERROR(INDEX(PE_Equipe,MATCH(B818,PE_Mat,0)),""))</f>
        <v/>
      </c>
      <c r="F818" s="25"/>
      <c r="G818" s="25"/>
      <c r="H818" s="68"/>
      <c r="I818" s="89"/>
      <c r="J818" s="31" t="str">
        <f aca="false">IF(B818="","",IFERROR(INDEX(PE_Taux,MATCH(B818,PE_Mat,0)),0))</f>
        <v/>
      </c>
      <c r="K818" s="31" t="str">
        <f aca="false">IF(B818="","",IF(H818="A",0,IFERROR(N(I818)/P_Heures*J818,0)))</f>
        <v/>
      </c>
      <c r="L818" s="25"/>
    </row>
    <row r="819" customFormat="false" ht="15" hidden="false" customHeight="false" outlineLevel="0" collapsed="false">
      <c r="A819" s="69"/>
      <c r="B819" s="68"/>
      <c r="C819" s="76" t="str">
        <f aca="false">IF(B819="","",IFERROR(INDEX(PE_Nom,MATCH(B819,PE_Mat,0)),"Matricule inconnu"))</f>
        <v/>
      </c>
      <c r="D819" s="76" t="str">
        <f aca="false">IF(B819="","",IFERROR(INDEX(PE_Fonction,MATCH(B819,PE_Mat,0)),""))</f>
        <v/>
      </c>
      <c r="E819" s="76" t="str">
        <f aca="false">IF(B819="","",IFERROR(INDEX(PE_Equipe,MATCH(B819,PE_Mat,0)),""))</f>
        <v/>
      </c>
      <c r="F819" s="25"/>
      <c r="G819" s="25"/>
      <c r="H819" s="68"/>
      <c r="I819" s="89"/>
      <c r="J819" s="31" t="str">
        <f aca="false">IF(B819="","",IFERROR(INDEX(PE_Taux,MATCH(B819,PE_Mat,0)),0))</f>
        <v/>
      </c>
      <c r="K819" s="31" t="str">
        <f aca="false">IF(B819="","",IF(H819="A",0,IFERROR(N(I819)/P_Heures*J819,0)))</f>
        <v/>
      </c>
      <c r="L819" s="25"/>
    </row>
    <row r="820" customFormat="false" ht="15" hidden="false" customHeight="false" outlineLevel="0" collapsed="false">
      <c r="A820" s="69"/>
      <c r="B820" s="68"/>
      <c r="C820" s="76" t="str">
        <f aca="false">IF(B820="","",IFERROR(INDEX(PE_Nom,MATCH(B820,PE_Mat,0)),"Matricule inconnu"))</f>
        <v/>
      </c>
      <c r="D820" s="76" t="str">
        <f aca="false">IF(B820="","",IFERROR(INDEX(PE_Fonction,MATCH(B820,PE_Mat,0)),""))</f>
        <v/>
      </c>
      <c r="E820" s="76" t="str">
        <f aca="false">IF(B820="","",IFERROR(INDEX(PE_Equipe,MATCH(B820,PE_Mat,0)),""))</f>
        <v/>
      </c>
      <c r="F820" s="25"/>
      <c r="G820" s="25"/>
      <c r="H820" s="68"/>
      <c r="I820" s="89"/>
      <c r="J820" s="31" t="str">
        <f aca="false">IF(B820="","",IFERROR(INDEX(PE_Taux,MATCH(B820,PE_Mat,0)),0))</f>
        <v/>
      </c>
      <c r="K820" s="31" t="str">
        <f aca="false">IF(B820="","",IF(H820="A",0,IFERROR(N(I820)/P_Heures*J820,0)))</f>
        <v/>
      </c>
      <c r="L820" s="25"/>
    </row>
    <row r="821" customFormat="false" ht="15" hidden="false" customHeight="false" outlineLevel="0" collapsed="false">
      <c r="A821" s="69"/>
      <c r="B821" s="68"/>
      <c r="C821" s="76" t="str">
        <f aca="false">IF(B821="","",IFERROR(INDEX(PE_Nom,MATCH(B821,PE_Mat,0)),"Matricule inconnu"))</f>
        <v/>
      </c>
      <c r="D821" s="76" t="str">
        <f aca="false">IF(B821="","",IFERROR(INDEX(PE_Fonction,MATCH(B821,PE_Mat,0)),""))</f>
        <v/>
      </c>
      <c r="E821" s="76" t="str">
        <f aca="false">IF(B821="","",IFERROR(INDEX(PE_Equipe,MATCH(B821,PE_Mat,0)),""))</f>
        <v/>
      </c>
      <c r="F821" s="25"/>
      <c r="G821" s="25"/>
      <c r="H821" s="68"/>
      <c r="I821" s="89"/>
      <c r="J821" s="31" t="str">
        <f aca="false">IF(B821="","",IFERROR(INDEX(PE_Taux,MATCH(B821,PE_Mat,0)),0))</f>
        <v/>
      </c>
      <c r="K821" s="31" t="str">
        <f aca="false">IF(B821="","",IF(H821="A",0,IFERROR(N(I821)/P_Heures*J821,0)))</f>
        <v/>
      </c>
      <c r="L821" s="25"/>
    </row>
    <row r="822" customFormat="false" ht="15" hidden="false" customHeight="false" outlineLevel="0" collapsed="false">
      <c r="A822" s="69"/>
      <c r="B822" s="68"/>
      <c r="C822" s="76" t="str">
        <f aca="false">IF(B822="","",IFERROR(INDEX(PE_Nom,MATCH(B822,PE_Mat,0)),"Matricule inconnu"))</f>
        <v/>
      </c>
      <c r="D822" s="76" t="str">
        <f aca="false">IF(B822="","",IFERROR(INDEX(PE_Fonction,MATCH(B822,PE_Mat,0)),""))</f>
        <v/>
      </c>
      <c r="E822" s="76" t="str">
        <f aca="false">IF(B822="","",IFERROR(INDEX(PE_Equipe,MATCH(B822,PE_Mat,0)),""))</f>
        <v/>
      </c>
      <c r="F822" s="25"/>
      <c r="G822" s="25"/>
      <c r="H822" s="68"/>
      <c r="I822" s="89"/>
      <c r="J822" s="31" t="str">
        <f aca="false">IF(B822="","",IFERROR(INDEX(PE_Taux,MATCH(B822,PE_Mat,0)),0))</f>
        <v/>
      </c>
      <c r="K822" s="31" t="str">
        <f aca="false">IF(B822="","",IF(H822="A",0,IFERROR(N(I822)/P_Heures*J822,0)))</f>
        <v/>
      </c>
      <c r="L822" s="25"/>
    </row>
    <row r="823" customFormat="false" ht="15" hidden="false" customHeight="false" outlineLevel="0" collapsed="false">
      <c r="A823" s="69"/>
      <c r="B823" s="68"/>
      <c r="C823" s="76" t="str">
        <f aca="false">IF(B823="","",IFERROR(INDEX(PE_Nom,MATCH(B823,PE_Mat,0)),"Matricule inconnu"))</f>
        <v/>
      </c>
      <c r="D823" s="76" t="str">
        <f aca="false">IF(B823="","",IFERROR(INDEX(PE_Fonction,MATCH(B823,PE_Mat,0)),""))</f>
        <v/>
      </c>
      <c r="E823" s="76" t="str">
        <f aca="false">IF(B823="","",IFERROR(INDEX(PE_Equipe,MATCH(B823,PE_Mat,0)),""))</f>
        <v/>
      </c>
      <c r="F823" s="25"/>
      <c r="G823" s="25"/>
      <c r="H823" s="68"/>
      <c r="I823" s="89"/>
      <c r="J823" s="31" t="str">
        <f aca="false">IF(B823="","",IFERROR(INDEX(PE_Taux,MATCH(B823,PE_Mat,0)),0))</f>
        <v/>
      </c>
      <c r="K823" s="31" t="str">
        <f aca="false">IF(B823="","",IF(H823="A",0,IFERROR(N(I823)/P_Heures*J823,0)))</f>
        <v/>
      </c>
      <c r="L823" s="25"/>
    </row>
    <row r="824" customFormat="false" ht="15" hidden="false" customHeight="false" outlineLevel="0" collapsed="false">
      <c r="A824" s="69"/>
      <c r="B824" s="68"/>
      <c r="C824" s="76" t="str">
        <f aca="false">IF(B824="","",IFERROR(INDEX(PE_Nom,MATCH(B824,PE_Mat,0)),"Matricule inconnu"))</f>
        <v/>
      </c>
      <c r="D824" s="76" t="str">
        <f aca="false">IF(B824="","",IFERROR(INDEX(PE_Fonction,MATCH(B824,PE_Mat,0)),""))</f>
        <v/>
      </c>
      <c r="E824" s="76" t="str">
        <f aca="false">IF(B824="","",IFERROR(INDEX(PE_Equipe,MATCH(B824,PE_Mat,0)),""))</f>
        <v/>
      </c>
      <c r="F824" s="25"/>
      <c r="G824" s="25"/>
      <c r="H824" s="68"/>
      <c r="I824" s="89"/>
      <c r="J824" s="31" t="str">
        <f aca="false">IF(B824="","",IFERROR(INDEX(PE_Taux,MATCH(B824,PE_Mat,0)),0))</f>
        <v/>
      </c>
      <c r="K824" s="31" t="str">
        <f aca="false">IF(B824="","",IF(H824="A",0,IFERROR(N(I824)/P_Heures*J824,0)))</f>
        <v/>
      </c>
      <c r="L824" s="25"/>
    </row>
    <row r="825" customFormat="false" ht="15" hidden="false" customHeight="false" outlineLevel="0" collapsed="false">
      <c r="A825" s="69"/>
      <c r="B825" s="68"/>
      <c r="C825" s="76" t="str">
        <f aca="false">IF(B825="","",IFERROR(INDEX(PE_Nom,MATCH(B825,PE_Mat,0)),"Matricule inconnu"))</f>
        <v/>
      </c>
      <c r="D825" s="76" t="str">
        <f aca="false">IF(B825="","",IFERROR(INDEX(PE_Fonction,MATCH(B825,PE_Mat,0)),""))</f>
        <v/>
      </c>
      <c r="E825" s="76" t="str">
        <f aca="false">IF(B825="","",IFERROR(INDEX(PE_Equipe,MATCH(B825,PE_Mat,0)),""))</f>
        <v/>
      </c>
      <c r="F825" s="25"/>
      <c r="G825" s="25"/>
      <c r="H825" s="68"/>
      <c r="I825" s="89"/>
      <c r="J825" s="31" t="str">
        <f aca="false">IF(B825="","",IFERROR(INDEX(PE_Taux,MATCH(B825,PE_Mat,0)),0))</f>
        <v/>
      </c>
      <c r="K825" s="31" t="str">
        <f aca="false">IF(B825="","",IF(H825="A",0,IFERROR(N(I825)/P_Heures*J825,0)))</f>
        <v/>
      </c>
      <c r="L825" s="25"/>
    </row>
    <row r="826" customFormat="false" ht="15" hidden="false" customHeight="false" outlineLevel="0" collapsed="false">
      <c r="A826" s="69"/>
      <c r="B826" s="68"/>
      <c r="C826" s="76" t="str">
        <f aca="false">IF(B826="","",IFERROR(INDEX(PE_Nom,MATCH(B826,PE_Mat,0)),"Matricule inconnu"))</f>
        <v/>
      </c>
      <c r="D826" s="76" t="str">
        <f aca="false">IF(B826="","",IFERROR(INDEX(PE_Fonction,MATCH(B826,PE_Mat,0)),""))</f>
        <v/>
      </c>
      <c r="E826" s="76" t="str">
        <f aca="false">IF(B826="","",IFERROR(INDEX(PE_Equipe,MATCH(B826,PE_Mat,0)),""))</f>
        <v/>
      </c>
      <c r="F826" s="25"/>
      <c r="G826" s="25"/>
      <c r="H826" s="68"/>
      <c r="I826" s="89"/>
      <c r="J826" s="31" t="str">
        <f aca="false">IF(B826="","",IFERROR(INDEX(PE_Taux,MATCH(B826,PE_Mat,0)),0))</f>
        <v/>
      </c>
      <c r="K826" s="31" t="str">
        <f aca="false">IF(B826="","",IF(H826="A",0,IFERROR(N(I826)/P_Heures*J826,0)))</f>
        <v/>
      </c>
      <c r="L826" s="25"/>
    </row>
    <row r="827" customFormat="false" ht="15" hidden="false" customHeight="false" outlineLevel="0" collapsed="false">
      <c r="A827" s="69"/>
      <c r="B827" s="68"/>
      <c r="C827" s="76" t="str">
        <f aca="false">IF(B827="","",IFERROR(INDEX(PE_Nom,MATCH(B827,PE_Mat,0)),"Matricule inconnu"))</f>
        <v/>
      </c>
      <c r="D827" s="76" t="str">
        <f aca="false">IF(B827="","",IFERROR(INDEX(PE_Fonction,MATCH(B827,PE_Mat,0)),""))</f>
        <v/>
      </c>
      <c r="E827" s="76" t="str">
        <f aca="false">IF(B827="","",IFERROR(INDEX(PE_Equipe,MATCH(B827,PE_Mat,0)),""))</f>
        <v/>
      </c>
      <c r="F827" s="25"/>
      <c r="G827" s="25"/>
      <c r="H827" s="68"/>
      <c r="I827" s="89"/>
      <c r="J827" s="31" t="str">
        <f aca="false">IF(B827="","",IFERROR(INDEX(PE_Taux,MATCH(B827,PE_Mat,0)),0))</f>
        <v/>
      </c>
      <c r="K827" s="31" t="str">
        <f aca="false">IF(B827="","",IF(H827="A",0,IFERROR(N(I827)/P_Heures*J827,0)))</f>
        <v/>
      </c>
      <c r="L827" s="25"/>
    </row>
    <row r="828" customFormat="false" ht="15" hidden="false" customHeight="false" outlineLevel="0" collapsed="false">
      <c r="A828" s="69"/>
      <c r="B828" s="68"/>
      <c r="C828" s="76" t="str">
        <f aca="false">IF(B828="","",IFERROR(INDEX(PE_Nom,MATCH(B828,PE_Mat,0)),"Matricule inconnu"))</f>
        <v/>
      </c>
      <c r="D828" s="76" t="str">
        <f aca="false">IF(B828="","",IFERROR(INDEX(PE_Fonction,MATCH(B828,PE_Mat,0)),""))</f>
        <v/>
      </c>
      <c r="E828" s="76" t="str">
        <f aca="false">IF(B828="","",IFERROR(INDEX(PE_Equipe,MATCH(B828,PE_Mat,0)),""))</f>
        <v/>
      </c>
      <c r="F828" s="25"/>
      <c r="G828" s="25"/>
      <c r="H828" s="68"/>
      <c r="I828" s="89"/>
      <c r="J828" s="31" t="str">
        <f aca="false">IF(B828="","",IFERROR(INDEX(PE_Taux,MATCH(B828,PE_Mat,0)),0))</f>
        <v/>
      </c>
      <c r="K828" s="31" t="str">
        <f aca="false">IF(B828="","",IF(H828="A",0,IFERROR(N(I828)/P_Heures*J828,0)))</f>
        <v/>
      </c>
      <c r="L828" s="25"/>
    </row>
    <row r="829" customFormat="false" ht="15" hidden="false" customHeight="false" outlineLevel="0" collapsed="false">
      <c r="A829" s="69"/>
      <c r="B829" s="68"/>
      <c r="C829" s="76" t="str">
        <f aca="false">IF(B829="","",IFERROR(INDEX(PE_Nom,MATCH(B829,PE_Mat,0)),"Matricule inconnu"))</f>
        <v/>
      </c>
      <c r="D829" s="76" t="str">
        <f aca="false">IF(B829="","",IFERROR(INDEX(PE_Fonction,MATCH(B829,PE_Mat,0)),""))</f>
        <v/>
      </c>
      <c r="E829" s="76" t="str">
        <f aca="false">IF(B829="","",IFERROR(INDEX(PE_Equipe,MATCH(B829,PE_Mat,0)),""))</f>
        <v/>
      </c>
      <c r="F829" s="25"/>
      <c r="G829" s="25"/>
      <c r="H829" s="68"/>
      <c r="I829" s="89"/>
      <c r="J829" s="31" t="str">
        <f aca="false">IF(B829="","",IFERROR(INDEX(PE_Taux,MATCH(B829,PE_Mat,0)),0))</f>
        <v/>
      </c>
      <c r="K829" s="31" t="str">
        <f aca="false">IF(B829="","",IF(H829="A",0,IFERROR(N(I829)/P_Heures*J829,0)))</f>
        <v/>
      </c>
      <c r="L829" s="25"/>
    </row>
    <row r="830" customFormat="false" ht="15" hidden="false" customHeight="false" outlineLevel="0" collapsed="false">
      <c r="A830" s="69"/>
      <c r="B830" s="68"/>
      <c r="C830" s="76" t="str">
        <f aca="false">IF(B830="","",IFERROR(INDEX(PE_Nom,MATCH(B830,PE_Mat,0)),"Matricule inconnu"))</f>
        <v/>
      </c>
      <c r="D830" s="76" t="str">
        <f aca="false">IF(B830="","",IFERROR(INDEX(PE_Fonction,MATCH(B830,PE_Mat,0)),""))</f>
        <v/>
      </c>
      <c r="E830" s="76" t="str">
        <f aca="false">IF(B830="","",IFERROR(INDEX(PE_Equipe,MATCH(B830,PE_Mat,0)),""))</f>
        <v/>
      </c>
      <c r="F830" s="25"/>
      <c r="G830" s="25"/>
      <c r="H830" s="68"/>
      <c r="I830" s="89"/>
      <c r="J830" s="31" t="str">
        <f aca="false">IF(B830="","",IFERROR(INDEX(PE_Taux,MATCH(B830,PE_Mat,0)),0))</f>
        <v/>
      </c>
      <c r="K830" s="31" t="str">
        <f aca="false">IF(B830="","",IF(H830="A",0,IFERROR(N(I830)/P_Heures*J830,0)))</f>
        <v/>
      </c>
      <c r="L830" s="25"/>
    </row>
    <row r="831" customFormat="false" ht="15" hidden="false" customHeight="false" outlineLevel="0" collapsed="false">
      <c r="A831" s="69"/>
      <c r="B831" s="68"/>
      <c r="C831" s="76" t="str">
        <f aca="false">IF(B831="","",IFERROR(INDEX(PE_Nom,MATCH(B831,PE_Mat,0)),"Matricule inconnu"))</f>
        <v/>
      </c>
      <c r="D831" s="76" t="str">
        <f aca="false">IF(B831="","",IFERROR(INDEX(PE_Fonction,MATCH(B831,PE_Mat,0)),""))</f>
        <v/>
      </c>
      <c r="E831" s="76" t="str">
        <f aca="false">IF(B831="","",IFERROR(INDEX(PE_Equipe,MATCH(B831,PE_Mat,0)),""))</f>
        <v/>
      </c>
      <c r="F831" s="25"/>
      <c r="G831" s="25"/>
      <c r="H831" s="68"/>
      <c r="I831" s="89"/>
      <c r="J831" s="31" t="str">
        <f aca="false">IF(B831="","",IFERROR(INDEX(PE_Taux,MATCH(B831,PE_Mat,0)),0))</f>
        <v/>
      </c>
      <c r="K831" s="31" t="str">
        <f aca="false">IF(B831="","",IF(H831="A",0,IFERROR(N(I831)/P_Heures*J831,0)))</f>
        <v/>
      </c>
      <c r="L831" s="25"/>
    </row>
    <row r="832" customFormat="false" ht="15" hidden="false" customHeight="false" outlineLevel="0" collapsed="false">
      <c r="A832" s="69"/>
      <c r="B832" s="68"/>
      <c r="C832" s="76" t="str">
        <f aca="false">IF(B832="","",IFERROR(INDEX(PE_Nom,MATCH(B832,PE_Mat,0)),"Matricule inconnu"))</f>
        <v/>
      </c>
      <c r="D832" s="76" t="str">
        <f aca="false">IF(B832="","",IFERROR(INDEX(PE_Fonction,MATCH(B832,PE_Mat,0)),""))</f>
        <v/>
      </c>
      <c r="E832" s="76" t="str">
        <f aca="false">IF(B832="","",IFERROR(INDEX(PE_Equipe,MATCH(B832,PE_Mat,0)),""))</f>
        <v/>
      </c>
      <c r="F832" s="25"/>
      <c r="G832" s="25"/>
      <c r="H832" s="68"/>
      <c r="I832" s="89"/>
      <c r="J832" s="31" t="str">
        <f aca="false">IF(B832="","",IFERROR(INDEX(PE_Taux,MATCH(B832,PE_Mat,0)),0))</f>
        <v/>
      </c>
      <c r="K832" s="31" t="str">
        <f aca="false">IF(B832="","",IF(H832="A",0,IFERROR(N(I832)/P_Heures*J832,0)))</f>
        <v/>
      </c>
      <c r="L832" s="25"/>
    </row>
    <row r="833" customFormat="false" ht="15" hidden="false" customHeight="false" outlineLevel="0" collapsed="false">
      <c r="A833" s="69"/>
      <c r="B833" s="68"/>
      <c r="C833" s="76" t="str">
        <f aca="false">IF(B833="","",IFERROR(INDEX(PE_Nom,MATCH(B833,PE_Mat,0)),"Matricule inconnu"))</f>
        <v/>
      </c>
      <c r="D833" s="76" t="str">
        <f aca="false">IF(B833="","",IFERROR(INDEX(PE_Fonction,MATCH(B833,PE_Mat,0)),""))</f>
        <v/>
      </c>
      <c r="E833" s="76" t="str">
        <f aca="false">IF(B833="","",IFERROR(INDEX(PE_Equipe,MATCH(B833,PE_Mat,0)),""))</f>
        <v/>
      </c>
      <c r="F833" s="25"/>
      <c r="G833" s="25"/>
      <c r="H833" s="68"/>
      <c r="I833" s="89"/>
      <c r="J833" s="31" t="str">
        <f aca="false">IF(B833="","",IFERROR(INDEX(PE_Taux,MATCH(B833,PE_Mat,0)),0))</f>
        <v/>
      </c>
      <c r="K833" s="31" t="str">
        <f aca="false">IF(B833="","",IF(H833="A",0,IFERROR(N(I833)/P_Heures*J833,0)))</f>
        <v/>
      </c>
      <c r="L833" s="25"/>
    </row>
    <row r="834" customFormat="false" ht="15" hidden="false" customHeight="false" outlineLevel="0" collapsed="false">
      <c r="A834" s="69"/>
      <c r="B834" s="68"/>
      <c r="C834" s="76" t="str">
        <f aca="false">IF(B834="","",IFERROR(INDEX(PE_Nom,MATCH(B834,PE_Mat,0)),"Matricule inconnu"))</f>
        <v/>
      </c>
      <c r="D834" s="76" t="str">
        <f aca="false">IF(B834="","",IFERROR(INDEX(PE_Fonction,MATCH(B834,PE_Mat,0)),""))</f>
        <v/>
      </c>
      <c r="E834" s="76" t="str">
        <f aca="false">IF(B834="","",IFERROR(INDEX(PE_Equipe,MATCH(B834,PE_Mat,0)),""))</f>
        <v/>
      </c>
      <c r="F834" s="25"/>
      <c r="G834" s="25"/>
      <c r="H834" s="68"/>
      <c r="I834" s="89"/>
      <c r="J834" s="31" t="str">
        <f aca="false">IF(B834="","",IFERROR(INDEX(PE_Taux,MATCH(B834,PE_Mat,0)),0))</f>
        <v/>
      </c>
      <c r="K834" s="31" t="str">
        <f aca="false">IF(B834="","",IF(H834="A",0,IFERROR(N(I834)/P_Heures*J834,0)))</f>
        <v/>
      </c>
      <c r="L834" s="25"/>
    </row>
    <row r="835" customFormat="false" ht="15" hidden="false" customHeight="false" outlineLevel="0" collapsed="false">
      <c r="A835" s="69"/>
      <c r="B835" s="68"/>
      <c r="C835" s="76" t="str">
        <f aca="false">IF(B835="","",IFERROR(INDEX(PE_Nom,MATCH(B835,PE_Mat,0)),"Matricule inconnu"))</f>
        <v/>
      </c>
      <c r="D835" s="76" t="str">
        <f aca="false">IF(B835="","",IFERROR(INDEX(PE_Fonction,MATCH(B835,PE_Mat,0)),""))</f>
        <v/>
      </c>
      <c r="E835" s="76" t="str">
        <f aca="false">IF(B835="","",IFERROR(INDEX(PE_Equipe,MATCH(B835,PE_Mat,0)),""))</f>
        <v/>
      </c>
      <c r="F835" s="25"/>
      <c r="G835" s="25"/>
      <c r="H835" s="68"/>
      <c r="I835" s="89"/>
      <c r="J835" s="31" t="str">
        <f aca="false">IF(B835="","",IFERROR(INDEX(PE_Taux,MATCH(B835,PE_Mat,0)),0))</f>
        <v/>
      </c>
      <c r="K835" s="31" t="str">
        <f aca="false">IF(B835="","",IF(H835="A",0,IFERROR(N(I835)/P_Heures*J835,0)))</f>
        <v/>
      </c>
      <c r="L835" s="25"/>
    </row>
    <row r="836" customFormat="false" ht="15" hidden="false" customHeight="false" outlineLevel="0" collapsed="false">
      <c r="A836" s="69"/>
      <c r="B836" s="68"/>
      <c r="C836" s="76" t="str">
        <f aca="false">IF(B836="","",IFERROR(INDEX(PE_Nom,MATCH(B836,PE_Mat,0)),"Matricule inconnu"))</f>
        <v/>
      </c>
      <c r="D836" s="76" t="str">
        <f aca="false">IF(B836="","",IFERROR(INDEX(PE_Fonction,MATCH(B836,PE_Mat,0)),""))</f>
        <v/>
      </c>
      <c r="E836" s="76" t="str">
        <f aca="false">IF(B836="","",IFERROR(INDEX(PE_Equipe,MATCH(B836,PE_Mat,0)),""))</f>
        <v/>
      </c>
      <c r="F836" s="25"/>
      <c r="G836" s="25"/>
      <c r="H836" s="68"/>
      <c r="I836" s="89"/>
      <c r="J836" s="31" t="str">
        <f aca="false">IF(B836="","",IFERROR(INDEX(PE_Taux,MATCH(B836,PE_Mat,0)),0))</f>
        <v/>
      </c>
      <c r="K836" s="31" t="str">
        <f aca="false">IF(B836="","",IF(H836="A",0,IFERROR(N(I836)/P_Heures*J836,0)))</f>
        <v/>
      </c>
      <c r="L836" s="25"/>
    </row>
    <row r="837" customFormat="false" ht="15" hidden="false" customHeight="false" outlineLevel="0" collapsed="false">
      <c r="A837" s="69"/>
      <c r="B837" s="68"/>
      <c r="C837" s="76" t="str">
        <f aca="false">IF(B837="","",IFERROR(INDEX(PE_Nom,MATCH(B837,PE_Mat,0)),"Matricule inconnu"))</f>
        <v/>
      </c>
      <c r="D837" s="76" t="str">
        <f aca="false">IF(B837="","",IFERROR(INDEX(PE_Fonction,MATCH(B837,PE_Mat,0)),""))</f>
        <v/>
      </c>
      <c r="E837" s="76" t="str">
        <f aca="false">IF(B837="","",IFERROR(INDEX(PE_Equipe,MATCH(B837,PE_Mat,0)),""))</f>
        <v/>
      </c>
      <c r="F837" s="25"/>
      <c r="G837" s="25"/>
      <c r="H837" s="68"/>
      <c r="I837" s="89"/>
      <c r="J837" s="31" t="str">
        <f aca="false">IF(B837="","",IFERROR(INDEX(PE_Taux,MATCH(B837,PE_Mat,0)),0))</f>
        <v/>
      </c>
      <c r="K837" s="31" t="str">
        <f aca="false">IF(B837="","",IF(H837="A",0,IFERROR(N(I837)/P_Heures*J837,0)))</f>
        <v/>
      </c>
      <c r="L837" s="25"/>
    </row>
    <row r="838" customFormat="false" ht="15" hidden="false" customHeight="false" outlineLevel="0" collapsed="false">
      <c r="A838" s="69"/>
      <c r="B838" s="68"/>
      <c r="C838" s="76" t="str">
        <f aca="false">IF(B838="","",IFERROR(INDEX(PE_Nom,MATCH(B838,PE_Mat,0)),"Matricule inconnu"))</f>
        <v/>
      </c>
      <c r="D838" s="76" t="str">
        <f aca="false">IF(B838="","",IFERROR(INDEX(PE_Fonction,MATCH(B838,PE_Mat,0)),""))</f>
        <v/>
      </c>
      <c r="E838" s="76" t="str">
        <f aca="false">IF(B838="","",IFERROR(INDEX(PE_Equipe,MATCH(B838,PE_Mat,0)),""))</f>
        <v/>
      </c>
      <c r="F838" s="25"/>
      <c r="G838" s="25"/>
      <c r="H838" s="68"/>
      <c r="I838" s="89"/>
      <c r="J838" s="31" t="str">
        <f aca="false">IF(B838="","",IFERROR(INDEX(PE_Taux,MATCH(B838,PE_Mat,0)),0))</f>
        <v/>
      </c>
      <c r="K838" s="31" t="str">
        <f aca="false">IF(B838="","",IF(H838="A",0,IFERROR(N(I838)/P_Heures*J838,0)))</f>
        <v/>
      </c>
      <c r="L838" s="25"/>
    </row>
    <row r="839" customFormat="false" ht="15" hidden="false" customHeight="false" outlineLevel="0" collapsed="false">
      <c r="A839" s="69"/>
      <c r="B839" s="68"/>
      <c r="C839" s="76" t="str">
        <f aca="false">IF(B839="","",IFERROR(INDEX(PE_Nom,MATCH(B839,PE_Mat,0)),"Matricule inconnu"))</f>
        <v/>
      </c>
      <c r="D839" s="76" t="str">
        <f aca="false">IF(B839="","",IFERROR(INDEX(PE_Fonction,MATCH(B839,PE_Mat,0)),""))</f>
        <v/>
      </c>
      <c r="E839" s="76" t="str">
        <f aca="false">IF(B839="","",IFERROR(INDEX(PE_Equipe,MATCH(B839,PE_Mat,0)),""))</f>
        <v/>
      </c>
      <c r="F839" s="25"/>
      <c r="G839" s="25"/>
      <c r="H839" s="68"/>
      <c r="I839" s="89"/>
      <c r="J839" s="31" t="str">
        <f aca="false">IF(B839="","",IFERROR(INDEX(PE_Taux,MATCH(B839,PE_Mat,0)),0))</f>
        <v/>
      </c>
      <c r="K839" s="31" t="str">
        <f aca="false">IF(B839="","",IF(H839="A",0,IFERROR(N(I839)/P_Heures*J839,0)))</f>
        <v/>
      </c>
      <c r="L839" s="25"/>
    </row>
    <row r="840" customFormat="false" ht="15" hidden="false" customHeight="false" outlineLevel="0" collapsed="false">
      <c r="A840" s="69"/>
      <c r="B840" s="68"/>
      <c r="C840" s="76" t="str">
        <f aca="false">IF(B840="","",IFERROR(INDEX(PE_Nom,MATCH(B840,PE_Mat,0)),"Matricule inconnu"))</f>
        <v/>
      </c>
      <c r="D840" s="76" t="str">
        <f aca="false">IF(B840="","",IFERROR(INDEX(PE_Fonction,MATCH(B840,PE_Mat,0)),""))</f>
        <v/>
      </c>
      <c r="E840" s="76" t="str">
        <f aca="false">IF(B840="","",IFERROR(INDEX(PE_Equipe,MATCH(B840,PE_Mat,0)),""))</f>
        <v/>
      </c>
      <c r="F840" s="25"/>
      <c r="G840" s="25"/>
      <c r="H840" s="68"/>
      <c r="I840" s="89"/>
      <c r="J840" s="31" t="str">
        <f aca="false">IF(B840="","",IFERROR(INDEX(PE_Taux,MATCH(B840,PE_Mat,0)),0))</f>
        <v/>
      </c>
      <c r="K840" s="31" t="str">
        <f aca="false">IF(B840="","",IF(H840="A",0,IFERROR(N(I840)/P_Heures*J840,0)))</f>
        <v/>
      </c>
      <c r="L840" s="25"/>
    </row>
    <row r="841" customFormat="false" ht="15" hidden="false" customHeight="false" outlineLevel="0" collapsed="false">
      <c r="A841" s="69"/>
      <c r="B841" s="68"/>
      <c r="C841" s="76" t="str">
        <f aca="false">IF(B841="","",IFERROR(INDEX(PE_Nom,MATCH(B841,PE_Mat,0)),"Matricule inconnu"))</f>
        <v/>
      </c>
      <c r="D841" s="76" t="str">
        <f aca="false">IF(B841="","",IFERROR(INDEX(PE_Fonction,MATCH(B841,PE_Mat,0)),""))</f>
        <v/>
      </c>
      <c r="E841" s="76" t="str">
        <f aca="false">IF(B841="","",IFERROR(INDEX(PE_Equipe,MATCH(B841,PE_Mat,0)),""))</f>
        <v/>
      </c>
      <c r="F841" s="25"/>
      <c r="G841" s="25"/>
      <c r="H841" s="68"/>
      <c r="I841" s="89"/>
      <c r="J841" s="31" t="str">
        <f aca="false">IF(B841="","",IFERROR(INDEX(PE_Taux,MATCH(B841,PE_Mat,0)),0))</f>
        <v/>
      </c>
      <c r="K841" s="31" t="str">
        <f aca="false">IF(B841="","",IF(H841="A",0,IFERROR(N(I841)/P_Heures*J841,0)))</f>
        <v/>
      </c>
      <c r="L841" s="25"/>
    </row>
    <row r="842" customFormat="false" ht="15" hidden="false" customHeight="false" outlineLevel="0" collapsed="false">
      <c r="A842" s="69"/>
      <c r="B842" s="68"/>
      <c r="C842" s="76" t="str">
        <f aca="false">IF(B842="","",IFERROR(INDEX(PE_Nom,MATCH(B842,PE_Mat,0)),"Matricule inconnu"))</f>
        <v/>
      </c>
      <c r="D842" s="76" t="str">
        <f aca="false">IF(B842="","",IFERROR(INDEX(PE_Fonction,MATCH(B842,PE_Mat,0)),""))</f>
        <v/>
      </c>
      <c r="E842" s="76" t="str">
        <f aca="false">IF(B842="","",IFERROR(INDEX(PE_Equipe,MATCH(B842,PE_Mat,0)),""))</f>
        <v/>
      </c>
      <c r="F842" s="25"/>
      <c r="G842" s="25"/>
      <c r="H842" s="68"/>
      <c r="I842" s="89"/>
      <c r="J842" s="31" t="str">
        <f aca="false">IF(B842="","",IFERROR(INDEX(PE_Taux,MATCH(B842,PE_Mat,0)),0))</f>
        <v/>
      </c>
      <c r="K842" s="31" t="str">
        <f aca="false">IF(B842="","",IF(H842="A",0,IFERROR(N(I842)/P_Heures*J842,0)))</f>
        <v/>
      </c>
      <c r="L842" s="25"/>
    </row>
    <row r="843" customFormat="false" ht="15" hidden="false" customHeight="false" outlineLevel="0" collapsed="false">
      <c r="A843" s="69"/>
      <c r="B843" s="68"/>
      <c r="C843" s="76" t="str">
        <f aca="false">IF(B843="","",IFERROR(INDEX(PE_Nom,MATCH(B843,PE_Mat,0)),"Matricule inconnu"))</f>
        <v/>
      </c>
      <c r="D843" s="76" t="str">
        <f aca="false">IF(B843="","",IFERROR(INDEX(PE_Fonction,MATCH(B843,PE_Mat,0)),""))</f>
        <v/>
      </c>
      <c r="E843" s="76" t="str">
        <f aca="false">IF(B843="","",IFERROR(INDEX(PE_Equipe,MATCH(B843,PE_Mat,0)),""))</f>
        <v/>
      </c>
      <c r="F843" s="25"/>
      <c r="G843" s="25"/>
      <c r="H843" s="68"/>
      <c r="I843" s="89"/>
      <c r="J843" s="31" t="str">
        <f aca="false">IF(B843="","",IFERROR(INDEX(PE_Taux,MATCH(B843,PE_Mat,0)),0))</f>
        <v/>
      </c>
      <c r="K843" s="31" t="str">
        <f aca="false">IF(B843="","",IF(H843="A",0,IFERROR(N(I843)/P_Heures*J843,0)))</f>
        <v/>
      </c>
      <c r="L843" s="25"/>
    </row>
    <row r="844" customFormat="false" ht="15" hidden="false" customHeight="false" outlineLevel="0" collapsed="false">
      <c r="A844" s="69"/>
      <c r="B844" s="68"/>
      <c r="C844" s="76" t="str">
        <f aca="false">IF(B844="","",IFERROR(INDEX(PE_Nom,MATCH(B844,PE_Mat,0)),"Matricule inconnu"))</f>
        <v/>
      </c>
      <c r="D844" s="76" t="str">
        <f aca="false">IF(B844="","",IFERROR(INDEX(PE_Fonction,MATCH(B844,PE_Mat,0)),""))</f>
        <v/>
      </c>
      <c r="E844" s="76" t="str">
        <f aca="false">IF(B844="","",IFERROR(INDEX(PE_Equipe,MATCH(B844,PE_Mat,0)),""))</f>
        <v/>
      </c>
      <c r="F844" s="25"/>
      <c r="G844" s="25"/>
      <c r="H844" s="68"/>
      <c r="I844" s="89"/>
      <c r="J844" s="31" t="str">
        <f aca="false">IF(B844="","",IFERROR(INDEX(PE_Taux,MATCH(B844,PE_Mat,0)),0))</f>
        <v/>
      </c>
      <c r="K844" s="31" t="str">
        <f aca="false">IF(B844="","",IF(H844="A",0,IFERROR(N(I844)/P_Heures*J844,0)))</f>
        <v/>
      </c>
      <c r="L844" s="25"/>
    </row>
    <row r="845" customFormat="false" ht="15" hidden="false" customHeight="false" outlineLevel="0" collapsed="false">
      <c r="A845" s="69"/>
      <c r="B845" s="68"/>
      <c r="C845" s="76" t="str">
        <f aca="false">IF(B845="","",IFERROR(INDEX(PE_Nom,MATCH(B845,PE_Mat,0)),"Matricule inconnu"))</f>
        <v/>
      </c>
      <c r="D845" s="76" t="str">
        <f aca="false">IF(B845="","",IFERROR(INDEX(PE_Fonction,MATCH(B845,PE_Mat,0)),""))</f>
        <v/>
      </c>
      <c r="E845" s="76" t="str">
        <f aca="false">IF(B845="","",IFERROR(INDEX(PE_Equipe,MATCH(B845,PE_Mat,0)),""))</f>
        <v/>
      </c>
      <c r="F845" s="25"/>
      <c r="G845" s="25"/>
      <c r="H845" s="68"/>
      <c r="I845" s="89"/>
      <c r="J845" s="31" t="str">
        <f aca="false">IF(B845="","",IFERROR(INDEX(PE_Taux,MATCH(B845,PE_Mat,0)),0))</f>
        <v/>
      </c>
      <c r="K845" s="31" t="str">
        <f aca="false">IF(B845="","",IF(H845="A",0,IFERROR(N(I845)/P_Heures*J845,0)))</f>
        <v/>
      </c>
      <c r="L845" s="25"/>
    </row>
    <row r="846" customFormat="false" ht="15" hidden="false" customHeight="false" outlineLevel="0" collapsed="false">
      <c r="A846" s="69"/>
      <c r="B846" s="68"/>
      <c r="C846" s="76" t="str">
        <f aca="false">IF(B846="","",IFERROR(INDEX(PE_Nom,MATCH(B846,PE_Mat,0)),"Matricule inconnu"))</f>
        <v/>
      </c>
      <c r="D846" s="76" t="str">
        <f aca="false">IF(B846="","",IFERROR(INDEX(PE_Fonction,MATCH(B846,PE_Mat,0)),""))</f>
        <v/>
      </c>
      <c r="E846" s="76" t="str">
        <f aca="false">IF(B846="","",IFERROR(INDEX(PE_Equipe,MATCH(B846,PE_Mat,0)),""))</f>
        <v/>
      </c>
      <c r="F846" s="25"/>
      <c r="G846" s="25"/>
      <c r="H846" s="68"/>
      <c r="I846" s="89"/>
      <c r="J846" s="31" t="str">
        <f aca="false">IF(B846="","",IFERROR(INDEX(PE_Taux,MATCH(B846,PE_Mat,0)),0))</f>
        <v/>
      </c>
      <c r="K846" s="31" t="str">
        <f aca="false">IF(B846="","",IF(H846="A",0,IFERROR(N(I846)/P_Heures*J846,0)))</f>
        <v/>
      </c>
      <c r="L846" s="25"/>
    </row>
    <row r="847" customFormat="false" ht="15" hidden="false" customHeight="false" outlineLevel="0" collapsed="false">
      <c r="A847" s="69"/>
      <c r="B847" s="68"/>
      <c r="C847" s="76" t="str">
        <f aca="false">IF(B847="","",IFERROR(INDEX(PE_Nom,MATCH(B847,PE_Mat,0)),"Matricule inconnu"))</f>
        <v/>
      </c>
      <c r="D847" s="76" t="str">
        <f aca="false">IF(B847="","",IFERROR(INDEX(PE_Fonction,MATCH(B847,PE_Mat,0)),""))</f>
        <v/>
      </c>
      <c r="E847" s="76" t="str">
        <f aca="false">IF(B847="","",IFERROR(INDEX(PE_Equipe,MATCH(B847,PE_Mat,0)),""))</f>
        <v/>
      </c>
      <c r="F847" s="25"/>
      <c r="G847" s="25"/>
      <c r="H847" s="68"/>
      <c r="I847" s="89"/>
      <c r="J847" s="31" t="str">
        <f aca="false">IF(B847="","",IFERROR(INDEX(PE_Taux,MATCH(B847,PE_Mat,0)),0))</f>
        <v/>
      </c>
      <c r="K847" s="31" t="str">
        <f aca="false">IF(B847="","",IF(H847="A",0,IFERROR(N(I847)/P_Heures*J847,0)))</f>
        <v/>
      </c>
      <c r="L847" s="25"/>
    </row>
    <row r="848" customFormat="false" ht="15" hidden="false" customHeight="false" outlineLevel="0" collapsed="false">
      <c r="A848" s="69"/>
      <c r="B848" s="68"/>
      <c r="C848" s="76" t="str">
        <f aca="false">IF(B848="","",IFERROR(INDEX(PE_Nom,MATCH(B848,PE_Mat,0)),"Matricule inconnu"))</f>
        <v/>
      </c>
      <c r="D848" s="76" t="str">
        <f aca="false">IF(B848="","",IFERROR(INDEX(PE_Fonction,MATCH(B848,PE_Mat,0)),""))</f>
        <v/>
      </c>
      <c r="E848" s="76" t="str">
        <f aca="false">IF(B848="","",IFERROR(INDEX(PE_Equipe,MATCH(B848,PE_Mat,0)),""))</f>
        <v/>
      </c>
      <c r="F848" s="25"/>
      <c r="G848" s="25"/>
      <c r="H848" s="68"/>
      <c r="I848" s="89"/>
      <c r="J848" s="31" t="str">
        <f aca="false">IF(B848="","",IFERROR(INDEX(PE_Taux,MATCH(B848,PE_Mat,0)),0))</f>
        <v/>
      </c>
      <c r="K848" s="31" t="str">
        <f aca="false">IF(B848="","",IF(H848="A",0,IFERROR(N(I848)/P_Heures*J848,0)))</f>
        <v/>
      </c>
      <c r="L848" s="25"/>
    </row>
    <row r="849" customFormat="false" ht="15" hidden="false" customHeight="false" outlineLevel="0" collapsed="false">
      <c r="A849" s="69"/>
      <c r="B849" s="68"/>
      <c r="C849" s="76" t="str">
        <f aca="false">IF(B849="","",IFERROR(INDEX(PE_Nom,MATCH(B849,PE_Mat,0)),"Matricule inconnu"))</f>
        <v/>
      </c>
      <c r="D849" s="76" t="str">
        <f aca="false">IF(B849="","",IFERROR(INDEX(PE_Fonction,MATCH(B849,PE_Mat,0)),""))</f>
        <v/>
      </c>
      <c r="E849" s="76" t="str">
        <f aca="false">IF(B849="","",IFERROR(INDEX(PE_Equipe,MATCH(B849,PE_Mat,0)),""))</f>
        <v/>
      </c>
      <c r="F849" s="25"/>
      <c r="G849" s="25"/>
      <c r="H849" s="68"/>
      <c r="I849" s="89"/>
      <c r="J849" s="31" t="str">
        <f aca="false">IF(B849="","",IFERROR(INDEX(PE_Taux,MATCH(B849,PE_Mat,0)),0))</f>
        <v/>
      </c>
      <c r="K849" s="31" t="str">
        <f aca="false">IF(B849="","",IF(H849="A",0,IFERROR(N(I849)/P_Heures*J849,0)))</f>
        <v/>
      </c>
      <c r="L849" s="25"/>
    </row>
    <row r="850" customFormat="false" ht="15" hidden="false" customHeight="false" outlineLevel="0" collapsed="false">
      <c r="A850" s="69"/>
      <c r="B850" s="68"/>
      <c r="C850" s="76" t="str">
        <f aca="false">IF(B850="","",IFERROR(INDEX(PE_Nom,MATCH(B850,PE_Mat,0)),"Matricule inconnu"))</f>
        <v/>
      </c>
      <c r="D850" s="76" t="str">
        <f aca="false">IF(B850="","",IFERROR(INDEX(PE_Fonction,MATCH(B850,PE_Mat,0)),""))</f>
        <v/>
      </c>
      <c r="E850" s="76" t="str">
        <f aca="false">IF(B850="","",IFERROR(INDEX(PE_Equipe,MATCH(B850,PE_Mat,0)),""))</f>
        <v/>
      </c>
      <c r="F850" s="25"/>
      <c r="G850" s="25"/>
      <c r="H850" s="68"/>
      <c r="I850" s="89"/>
      <c r="J850" s="31" t="str">
        <f aca="false">IF(B850="","",IFERROR(INDEX(PE_Taux,MATCH(B850,PE_Mat,0)),0))</f>
        <v/>
      </c>
      <c r="K850" s="31" t="str">
        <f aca="false">IF(B850="","",IF(H850="A",0,IFERROR(N(I850)/P_Heures*J850,0)))</f>
        <v/>
      </c>
      <c r="L850" s="25"/>
    </row>
    <row r="851" customFormat="false" ht="15" hidden="false" customHeight="false" outlineLevel="0" collapsed="false">
      <c r="A851" s="69"/>
      <c r="B851" s="68"/>
      <c r="C851" s="76" t="str">
        <f aca="false">IF(B851="","",IFERROR(INDEX(PE_Nom,MATCH(B851,PE_Mat,0)),"Matricule inconnu"))</f>
        <v/>
      </c>
      <c r="D851" s="76" t="str">
        <f aca="false">IF(B851="","",IFERROR(INDEX(PE_Fonction,MATCH(B851,PE_Mat,0)),""))</f>
        <v/>
      </c>
      <c r="E851" s="76" t="str">
        <f aca="false">IF(B851="","",IFERROR(INDEX(PE_Equipe,MATCH(B851,PE_Mat,0)),""))</f>
        <v/>
      </c>
      <c r="F851" s="25"/>
      <c r="G851" s="25"/>
      <c r="H851" s="68"/>
      <c r="I851" s="89"/>
      <c r="J851" s="31" t="str">
        <f aca="false">IF(B851="","",IFERROR(INDEX(PE_Taux,MATCH(B851,PE_Mat,0)),0))</f>
        <v/>
      </c>
      <c r="K851" s="31" t="str">
        <f aca="false">IF(B851="","",IF(H851="A",0,IFERROR(N(I851)/P_Heures*J851,0)))</f>
        <v/>
      </c>
      <c r="L851" s="25"/>
    </row>
    <row r="852" customFormat="false" ht="15" hidden="false" customHeight="false" outlineLevel="0" collapsed="false">
      <c r="A852" s="69"/>
      <c r="B852" s="68"/>
      <c r="C852" s="76" t="str">
        <f aca="false">IF(B852="","",IFERROR(INDEX(PE_Nom,MATCH(B852,PE_Mat,0)),"Matricule inconnu"))</f>
        <v/>
      </c>
      <c r="D852" s="76" t="str">
        <f aca="false">IF(B852="","",IFERROR(INDEX(PE_Fonction,MATCH(B852,PE_Mat,0)),""))</f>
        <v/>
      </c>
      <c r="E852" s="76" t="str">
        <f aca="false">IF(B852="","",IFERROR(INDEX(PE_Equipe,MATCH(B852,PE_Mat,0)),""))</f>
        <v/>
      </c>
      <c r="F852" s="25"/>
      <c r="G852" s="25"/>
      <c r="H852" s="68"/>
      <c r="I852" s="89"/>
      <c r="J852" s="31" t="str">
        <f aca="false">IF(B852="","",IFERROR(INDEX(PE_Taux,MATCH(B852,PE_Mat,0)),0))</f>
        <v/>
      </c>
      <c r="K852" s="31" t="str">
        <f aca="false">IF(B852="","",IF(H852="A",0,IFERROR(N(I852)/P_Heures*J852,0)))</f>
        <v/>
      </c>
      <c r="L852" s="25"/>
    </row>
    <row r="853" customFormat="false" ht="15" hidden="false" customHeight="false" outlineLevel="0" collapsed="false">
      <c r="A853" s="69"/>
      <c r="B853" s="68"/>
      <c r="C853" s="76" t="str">
        <f aca="false">IF(B853="","",IFERROR(INDEX(PE_Nom,MATCH(B853,PE_Mat,0)),"Matricule inconnu"))</f>
        <v/>
      </c>
      <c r="D853" s="76" t="str">
        <f aca="false">IF(B853="","",IFERROR(INDEX(PE_Fonction,MATCH(B853,PE_Mat,0)),""))</f>
        <v/>
      </c>
      <c r="E853" s="76" t="str">
        <f aca="false">IF(B853="","",IFERROR(INDEX(PE_Equipe,MATCH(B853,PE_Mat,0)),""))</f>
        <v/>
      </c>
      <c r="F853" s="25"/>
      <c r="G853" s="25"/>
      <c r="H853" s="68"/>
      <c r="I853" s="89"/>
      <c r="J853" s="31" t="str">
        <f aca="false">IF(B853="","",IFERROR(INDEX(PE_Taux,MATCH(B853,PE_Mat,0)),0))</f>
        <v/>
      </c>
      <c r="K853" s="31" t="str">
        <f aca="false">IF(B853="","",IF(H853="A",0,IFERROR(N(I853)/P_Heures*J853,0)))</f>
        <v/>
      </c>
      <c r="L853" s="25"/>
    </row>
    <row r="854" customFormat="false" ht="15" hidden="false" customHeight="false" outlineLevel="0" collapsed="false">
      <c r="A854" s="69"/>
      <c r="B854" s="68"/>
      <c r="C854" s="76" t="str">
        <f aca="false">IF(B854="","",IFERROR(INDEX(PE_Nom,MATCH(B854,PE_Mat,0)),"Matricule inconnu"))</f>
        <v/>
      </c>
      <c r="D854" s="76" t="str">
        <f aca="false">IF(B854="","",IFERROR(INDEX(PE_Fonction,MATCH(B854,PE_Mat,0)),""))</f>
        <v/>
      </c>
      <c r="E854" s="76" t="str">
        <f aca="false">IF(B854="","",IFERROR(INDEX(PE_Equipe,MATCH(B854,PE_Mat,0)),""))</f>
        <v/>
      </c>
      <c r="F854" s="25"/>
      <c r="G854" s="25"/>
      <c r="H854" s="68"/>
      <c r="I854" s="89"/>
      <c r="J854" s="31" t="str">
        <f aca="false">IF(B854="","",IFERROR(INDEX(PE_Taux,MATCH(B854,PE_Mat,0)),0))</f>
        <v/>
      </c>
      <c r="K854" s="31" t="str">
        <f aca="false">IF(B854="","",IF(H854="A",0,IFERROR(N(I854)/P_Heures*J854,0)))</f>
        <v/>
      </c>
      <c r="L854" s="25"/>
    </row>
    <row r="855" customFormat="false" ht="15" hidden="false" customHeight="false" outlineLevel="0" collapsed="false">
      <c r="A855" s="69"/>
      <c r="B855" s="68"/>
      <c r="C855" s="76" t="str">
        <f aca="false">IF(B855="","",IFERROR(INDEX(PE_Nom,MATCH(B855,PE_Mat,0)),"Matricule inconnu"))</f>
        <v/>
      </c>
      <c r="D855" s="76" t="str">
        <f aca="false">IF(B855="","",IFERROR(INDEX(PE_Fonction,MATCH(B855,PE_Mat,0)),""))</f>
        <v/>
      </c>
      <c r="E855" s="76" t="str">
        <f aca="false">IF(B855="","",IFERROR(INDEX(PE_Equipe,MATCH(B855,PE_Mat,0)),""))</f>
        <v/>
      </c>
      <c r="F855" s="25"/>
      <c r="G855" s="25"/>
      <c r="H855" s="68"/>
      <c r="I855" s="89"/>
      <c r="J855" s="31" t="str">
        <f aca="false">IF(B855="","",IFERROR(INDEX(PE_Taux,MATCH(B855,PE_Mat,0)),0))</f>
        <v/>
      </c>
      <c r="K855" s="31" t="str">
        <f aca="false">IF(B855="","",IF(H855="A",0,IFERROR(N(I855)/P_Heures*J855,0)))</f>
        <v/>
      </c>
      <c r="L855" s="25"/>
    </row>
    <row r="856" customFormat="false" ht="15" hidden="false" customHeight="false" outlineLevel="0" collapsed="false">
      <c r="A856" s="69"/>
      <c r="B856" s="68"/>
      <c r="C856" s="76" t="str">
        <f aca="false">IF(B856="","",IFERROR(INDEX(PE_Nom,MATCH(B856,PE_Mat,0)),"Matricule inconnu"))</f>
        <v/>
      </c>
      <c r="D856" s="76" t="str">
        <f aca="false">IF(B856="","",IFERROR(INDEX(PE_Fonction,MATCH(B856,PE_Mat,0)),""))</f>
        <v/>
      </c>
      <c r="E856" s="76" t="str">
        <f aca="false">IF(B856="","",IFERROR(INDEX(PE_Equipe,MATCH(B856,PE_Mat,0)),""))</f>
        <v/>
      </c>
      <c r="F856" s="25"/>
      <c r="G856" s="25"/>
      <c r="H856" s="68"/>
      <c r="I856" s="89"/>
      <c r="J856" s="31" t="str">
        <f aca="false">IF(B856="","",IFERROR(INDEX(PE_Taux,MATCH(B856,PE_Mat,0)),0))</f>
        <v/>
      </c>
      <c r="K856" s="31" t="str">
        <f aca="false">IF(B856="","",IF(H856="A",0,IFERROR(N(I856)/P_Heures*J856,0)))</f>
        <v/>
      </c>
      <c r="L856" s="25"/>
    </row>
    <row r="857" customFormat="false" ht="15" hidden="false" customHeight="false" outlineLevel="0" collapsed="false">
      <c r="A857" s="69"/>
      <c r="B857" s="68"/>
      <c r="C857" s="76" t="str">
        <f aca="false">IF(B857="","",IFERROR(INDEX(PE_Nom,MATCH(B857,PE_Mat,0)),"Matricule inconnu"))</f>
        <v/>
      </c>
      <c r="D857" s="76" t="str">
        <f aca="false">IF(B857="","",IFERROR(INDEX(PE_Fonction,MATCH(B857,PE_Mat,0)),""))</f>
        <v/>
      </c>
      <c r="E857" s="76" t="str">
        <f aca="false">IF(B857="","",IFERROR(INDEX(PE_Equipe,MATCH(B857,PE_Mat,0)),""))</f>
        <v/>
      </c>
      <c r="F857" s="25"/>
      <c r="G857" s="25"/>
      <c r="H857" s="68"/>
      <c r="I857" s="89"/>
      <c r="J857" s="31" t="str">
        <f aca="false">IF(B857="","",IFERROR(INDEX(PE_Taux,MATCH(B857,PE_Mat,0)),0))</f>
        <v/>
      </c>
      <c r="K857" s="31" t="str">
        <f aca="false">IF(B857="","",IF(H857="A",0,IFERROR(N(I857)/P_Heures*J857,0)))</f>
        <v/>
      </c>
      <c r="L857" s="25"/>
    </row>
    <row r="858" customFormat="false" ht="15" hidden="false" customHeight="false" outlineLevel="0" collapsed="false">
      <c r="A858" s="69"/>
      <c r="B858" s="68"/>
      <c r="C858" s="76" t="str">
        <f aca="false">IF(B858="","",IFERROR(INDEX(PE_Nom,MATCH(B858,PE_Mat,0)),"Matricule inconnu"))</f>
        <v/>
      </c>
      <c r="D858" s="76" t="str">
        <f aca="false">IF(B858="","",IFERROR(INDEX(PE_Fonction,MATCH(B858,PE_Mat,0)),""))</f>
        <v/>
      </c>
      <c r="E858" s="76" t="str">
        <f aca="false">IF(B858="","",IFERROR(INDEX(PE_Equipe,MATCH(B858,PE_Mat,0)),""))</f>
        <v/>
      </c>
      <c r="F858" s="25"/>
      <c r="G858" s="25"/>
      <c r="H858" s="68"/>
      <c r="I858" s="89"/>
      <c r="J858" s="31" t="str">
        <f aca="false">IF(B858="","",IFERROR(INDEX(PE_Taux,MATCH(B858,PE_Mat,0)),0))</f>
        <v/>
      </c>
      <c r="K858" s="31" t="str">
        <f aca="false">IF(B858="","",IF(H858="A",0,IFERROR(N(I858)/P_Heures*J858,0)))</f>
        <v/>
      </c>
      <c r="L858" s="25"/>
    </row>
    <row r="859" customFormat="false" ht="15" hidden="false" customHeight="false" outlineLevel="0" collapsed="false">
      <c r="A859" s="69"/>
      <c r="B859" s="68"/>
      <c r="C859" s="76" t="str">
        <f aca="false">IF(B859="","",IFERROR(INDEX(PE_Nom,MATCH(B859,PE_Mat,0)),"Matricule inconnu"))</f>
        <v/>
      </c>
      <c r="D859" s="76" t="str">
        <f aca="false">IF(B859="","",IFERROR(INDEX(PE_Fonction,MATCH(B859,PE_Mat,0)),""))</f>
        <v/>
      </c>
      <c r="E859" s="76" t="str">
        <f aca="false">IF(B859="","",IFERROR(INDEX(PE_Equipe,MATCH(B859,PE_Mat,0)),""))</f>
        <v/>
      </c>
      <c r="F859" s="25"/>
      <c r="G859" s="25"/>
      <c r="H859" s="68"/>
      <c r="I859" s="89"/>
      <c r="J859" s="31" t="str">
        <f aca="false">IF(B859="","",IFERROR(INDEX(PE_Taux,MATCH(B859,PE_Mat,0)),0))</f>
        <v/>
      </c>
      <c r="K859" s="31" t="str">
        <f aca="false">IF(B859="","",IF(H859="A",0,IFERROR(N(I859)/P_Heures*J859,0)))</f>
        <v/>
      </c>
      <c r="L859" s="25"/>
    </row>
    <row r="860" customFormat="false" ht="15" hidden="false" customHeight="false" outlineLevel="0" collapsed="false">
      <c r="A860" s="69"/>
      <c r="B860" s="68"/>
      <c r="C860" s="76" t="str">
        <f aca="false">IF(B860="","",IFERROR(INDEX(PE_Nom,MATCH(B860,PE_Mat,0)),"Matricule inconnu"))</f>
        <v/>
      </c>
      <c r="D860" s="76" t="str">
        <f aca="false">IF(B860="","",IFERROR(INDEX(PE_Fonction,MATCH(B860,PE_Mat,0)),""))</f>
        <v/>
      </c>
      <c r="E860" s="76" t="str">
        <f aca="false">IF(B860="","",IFERROR(INDEX(PE_Equipe,MATCH(B860,PE_Mat,0)),""))</f>
        <v/>
      </c>
      <c r="F860" s="25"/>
      <c r="G860" s="25"/>
      <c r="H860" s="68"/>
      <c r="I860" s="89"/>
      <c r="J860" s="31" t="str">
        <f aca="false">IF(B860="","",IFERROR(INDEX(PE_Taux,MATCH(B860,PE_Mat,0)),0))</f>
        <v/>
      </c>
      <c r="K860" s="31" t="str">
        <f aca="false">IF(B860="","",IF(H860="A",0,IFERROR(N(I860)/P_Heures*J860,0)))</f>
        <v/>
      </c>
      <c r="L860" s="25"/>
    </row>
    <row r="861" customFormat="false" ht="15" hidden="false" customHeight="false" outlineLevel="0" collapsed="false">
      <c r="A861" s="69"/>
      <c r="B861" s="68"/>
      <c r="C861" s="76" t="str">
        <f aca="false">IF(B861="","",IFERROR(INDEX(PE_Nom,MATCH(B861,PE_Mat,0)),"Matricule inconnu"))</f>
        <v/>
      </c>
      <c r="D861" s="76" t="str">
        <f aca="false">IF(B861="","",IFERROR(INDEX(PE_Fonction,MATCH(B861,PE_Mat,0)),""))</f>
        <v/>
      </c>
      <c r="E861" s="76" t="str">
        <f aca="false">IF(B861="","",IFERROR(INDEX(PE_Equipe,MATCH(B861,PE_Mat,0)),""))</f>
        <v/>
      </c>
      <c r="F861" s="25"/>
      <c r="G861" s="25"/>
      <c r="H861" s="68"/>
      <c r="I861" s="89"/>
      <c r="J861" s="31" t="str">
        <f aca="false">IF(B861="","",IFERROR(INDEX(PE_Taux,MATCH(B861,PE_Mat,0)),0))</f>
        <v/>
      </c>
      <c r="K861" s="31" t="str">
        <f aca="false">IF(B861="","",IF(H861="A",0,IFERROR(N(I861)/P_Heures*J861,0)))</f>
        <v/>
      </c>
      <c r="L861" s="25"/>
    </row>
    <row r="862" customFormat="false" ht="15" hidden="false" customHeight="false" outlineLevel="0" collapsed="false">
      <c r="A862" s="69"/>
      <c r="B862" s="68"/>
      <c r="C862" s="76" t="str">
        <f aca="false">IF(B862="","",IFERROR(INDEX(PE_Nom,MATCH(B862,PE_Mat,0)),"Matricule inconnu"))</f>
        <v/>
      </c>
      <c r="D862" s="76" t="str">
        <f aca="false">IF(B862="","",IFERROR(INDEX(PE_Fonction,MATCH(B862,PE_Mat,0)),""))</f>
        <v/>
      </c>
      <c r="E862" s="76" t="str">
        <f aca="false">IF(B862="","",IFERROR(INDEX(PE_Equipe,MATCH(B862,PE_Mat,0)),""))</f>
        <v/>
      </c>
      <c r="F862" s="25"/>
      <c r="G862" s="25"/>
      <c r="H862" s="68"/>
      <c r="I862" s="89"/>
      <c r="J862" s="31" t="str">
        <f aca="false">IF(B862="","",IFERROR(INDEX(PE_Taux,MATCH(B862,PE_Mat,0)),0))</f>
        <v/>
      </c>
      <c r="K862" s="31" t="str">
        <f aca="false">IF(B862="","",IF(H862="A",0,IFERROR(N(I862)/P_Heures*J862,0)))</f>
        <v/>
      </c>
      <c r="L862" s="25"/>
    </row>
    <row r="863" customFormat="false" ht="15" hidden="false" customHeight="false" outlineLevel="0" collapsed="false">
      <c r="A863" s="69"/>
      <c r="B863" s="68"/>
      <c r="C863" s="76" t="str">
        <f aca="false">IF(B863="","",IFERROR(INDEX(PE_Nom,MATCH(B863,PE_Mat,0)),"Matricule inconnu"))</f>
        <v/>
      </c>
      <c r="D863" s="76" t="str">
        <f aca="false">IF(B863="","",IFERROR(INDEX(PE_Fonction,MATCH(B863,PE_Mat,0)),""))</f>
        <v/>
      </c>
      <c r="E863" s="76" t="str">
        <f aca="false">IF(B863="","",IFERROR(INDEX(PE_Equipe,MATCH(B863,PE_Mat,0)),""))</f>
        <v/>
      </c>
      <c r="F863" s="25"/>
      <c r="G863" s="25"/>
      <c r="H863" s="68"/>
      <c r="I863" s="89"/>
      <c r="J863" s="31" t="str">
        <f aca="false">IF(B863="","",IFERROR(INDEX(PE_Taux,MATCH(B863,PE_Mat,0)),0))</f>
        <v/>
      </c>
      <c r="K863" s="31" t="str">
        <f aca="false">IF(B863="","",IF(H863="A",0,IFERROR(N(I863)/P_Heures*J863,0)))</f>
        <v/>
      </c>
      <c r="L863" s="25"/>
    </row>
    <row r="864" customFormat="false" ht="15" hidden="false" customHeight="false" outlineLevel="0" collapsed="false">
      <c r="A864" s="69"/>
      <c r="B864" s="68"/>
      <c r="C864" s="76" t="str">
        <f aca="false">IF(B864="","",IFERROR(INDEX(PE_Nom,MATCH(B864,PE_Mat,0)),"Matricule inconnu"))</f>
        <v/>
      </c>
      <c r="D864" s="76" t="str">
        <f aca="false">IF(B864="","",IFERROR(INDEX(PE_Fonction,MATCH(B864,PE_Mat,0)),""))</f>
        <v/>
      </c>
      <c r="E864" s="76" t="str">
        <f aca="false">IF(B864="","",IFERROR(INDEX(PE_Equipe,MATCH(B864,PE_Mat,0)),""))</f>
        <v/>
      </c>
      <c r="F864" s="25"/>
      <c r="G864" s="25"/>
      <c r="H864" s="68"/>
      <c r="I864" s="89"/>
      <c r="J864" s="31" t="str">
        <f aca="false">IF(B864="","",IFERROR(INDEX(PE_Taux,MATCH(B864,PE_Mat,0)),0))</f>
        <v/>
      </c>
      <c r="K864" s="31" t="str">
        <f aca="false">IF(B864="","",IF(H864="A",0,IFERROR(N(I864)/P_Heures*J864,0)))</f>
        <v/>
      </c>
      <c r="L864" s="25"/>
    </row>
    <row r="865" customFormat="false" ht="15" hidden="false" customHeight="false" outlineLevel="0" collapsed="false">
      <c r="A865" s="69"/>
      <c r="B865" s="68"/>
      <c r="C865" s="76" t="str">
        <f aca="false">IF(B865="","",IFERROR(INDEX(PE_Nom,MATCH(B865,PE_Mat,0)),"Matricule inconnu"))</f>
        <v/>
      </c>
      <c r="D865" s="76" t="str">
        <f aca="false">IF(B865="","",IFERROR(INDEX(PE_Fonction,MATCH(B865,PE_Mat,0)),""))</f>
        <v/>
      </c>
      <c r="E865" s="76" t="str">
        <f aca="false">IF(B865="","",IFERROR(INDEX(PE_Equipe,MATCH(B865,PE_Mat,0)),""))</f>
        <v/>
      </c>
      <c r="F865" s="25"/>
      <c r="G865" s="25"/>
      <c r="H865" s="68"/>
      <c r="I865" s="89"/>
      <c r="J865" s="31" t="str">
        <f aca="false">IF(B865="","",IFERROR(INDEX(PE_Taux,MATCH(B865,PE_Mat,0)),0))</f>
        <v/>
      </c>
      <c r="K865" s="31" t="str">
        <f aca="false">IF(B865="","",IF(H865="A",0,IFERROR(N(I865)/P_Heures*J865,0)))</f>
        <v/>
      </c>
      <c r="L865" s="25"/>
    </row>
    <row r="866" customFormat="false" ht="15" hidden="false" customHeight="false" outlineLevel="0" collapsed="false">
      <c r="A866" s="69"/>
      <c r="B866" s="68"/>
      <c r="C866" s="76" t="str">
        <f aca="false">IF(B866="","",IFERROR(INDEX(PE_Nom,MATCH(B866,PE_Mat,0)),"Matricule inconnu"))</f>
        <v/>
      </c>
      <c r="D866" s="76" t="str">
        <f aca="false">IF(B866="","",IFERROR(INDEX(PE_Fonction,MATCH(B866,PE_Mat,0)),""))</f>
        <v/>
      </c>
      <c r="E866" s="76" t="str">
        <f aca="false">IF(B866="","",IFERROR(INDEX(PE_Equipe,MATCH(B866,PE_Mat,0)),""))</f>
        <v/>
      </c>
      <c r="F866" s="25"/>
      <c r="G866" s="25"/>
      <c r="H866" s="68"/>
      <c r="I866" s="89"/>
      <c r="J866" s="31" t="str">
        <f aca="false">IF(B866="","",IFERROR(INDEX(PE_Taux,MATCH(B866,PE_Mat,0)),0))</f>
        <v/>
      </c>
      <c r="K866" s="31" t="str">
        <f aca="false">IF(B866="","",IF(H866="A",0,IFERROR(N(I866)/P_Heures*J866,0)))</f>
        <v/>
      </c>
      <c r="L866" s="25"/>
    </row>
    <row r="867" customFormat="false" ht="15" hidden="false" customHeight="false" outlineLevel="0" collapsed="false">
      <c r="A867" s="69"/>
      <c r="B867" s="68"/>
      <c r="C867" s="76" t="str">
        <f aca="false">IF(B867="","",IFERROR(INDEX(PE_Nom,MATCH(B867,PE_Mat,0)),"Matricule inconnu"))</f>
        <v/>
      </c>
      <c r="D867" s="76" t="str">
        <f aca="false">IF(B867="","",IFERROR(INDEX(PE_Fonction,MATCH(B867,PE_Mat,0)),""))</f>
        <v/>
      </c>
      <c r="E867" s="76" t="str">
        <f aca="false">IF(B867="","",IFERROR(INDEX(PE_Equipe,MATCH(B867,PE_Mat,0)),""))</f>
        <v/>
      </c>
      <c r="F867" s="25"/>
      <c r="G867" s="25"/>
      <c r="H867" s="68"/>
      <c r="I867" s="89"/>
      <c r="J867" s="31" t="str">
        <f aca="false">IF(B867="","",IFERROR(INDEX(PE_Taux,MATCH(B867,PE_Mat,0)),0))</f>
        <v/>
      </c>
      <c r="K867" s="31" t="str">
        <f aca="false">IF(B867="","",IF(H867="A",0,IFERROR(N(I867)/P_Heures*J867,0)))</f>
        <v/>
      </c>
      <c r="L867" s="25"/>
    </row>
    <row r="868" customFormat="false" ht="15" hidden="false" customHeight="false" outlineLevel="0" collapsed="false">
      <c r="A868" s="69"/>
      <c r="B868" s="68"/>
      <c r="C868" s="76" t="str">
        <f aca="false">IF(B868="","",IFERROR(INDEX(PE_Nom,MATCH(B868,PE_Mat,0)),"Matricule inconnu"))</f>
        <v/>
      </c>
      <c r="D868" s="76" t="str">
        <f aca="false">IF(B868="","",IFERROR(INDEX(PE_Fonction,MATCH(B868,PE_Mat,0)),""))</f>
        <v/>
      </c>
      <c r="E868" s="76" t="str">
        <f aca="false">IF(B868="","",IFERROR(INDEX(PE_Equipe,MATCH(B868,PE_Mat,0)),""))</f>
        <v/>
      </c>
      <c r="F868" s="25"/>
      <c r="G868" s="25"/>
      <c r="H868" s="68"/>
      <c r="I868" s="89"/>
      <c r="J868" s="31" t="str">
        <f aca="false">IF(B868="","",IFERROR(INDEX(PE_Taux,MATCH(B868,PE_Mat,0)),0))</f>
        <v/>
      </c>
      <c r="K868" s="31" t="str">
        <f aca="false">IF(B868="","",IF(H868="A",0,IFERROR(N(I868)/P_Heures*J868,0)))</f>
        <v/>
      </c>
      <c r="L868" s="25"/>
    </row>
    <row r="869" customFormat="false" ht="15" hidden="false" customHeight="false" outlineLevel="0" collapsed="false">
      <c r="A869" s="69"/>
      <c r="B869" s="68"/>
      <c r="C869" s="76" t="str">
        <f aca="false">IF(B869="","",IFERROR(INDEX(PE_Nom,MATCH(B869,PE_Mat,0)),"Matricule inconnu"))</f>
        <v/>
      </c>
      <c r="D869" s="76" t="str">
        <f aca="false">IF(B869="","",IFERROR(INDEX(PE_Fonction,MATCH(B869,PE_Mat,0)),""))</f>
        <v/>
      </c>
      <c r="E869" s="76" t="str">
        <f aca="false">IF(B869="","",IFERROR(INDEX(PE_Equipe,MATCH(B869,PE_Mat,0)),""))</f>
        <v/>
      </c>
      <c r="F869" s="25"/>
      <c r="G869" s="25"/>
      <c r="H869" s="68"/>
      <c r="I869" s="89"/>
      <c r="J869" s="31" t="str">
        <f aca="false">IF(B869="","",IFERROR(INDEX(PE_Taux,MATCH(B869,PE_Mat,0)),0))</f>
        <v/>
      </c>
      <c r="K869" s="31" t="str">
        <f aca="false">IF(B869="","",IF(H869="A",0,IFERROR(N(I869)/P_Heures*J869,0)))</f>
        <v/>
      </c>
      <c r="L869" s="25"/>
    </row>
    <row r="870" customFormat="false" ht="15" hidden="false" customHeight="false" outlineLevel="0" collapsed="false">
      <c r="A870" s="69"/>
      <c r="B870" s="68"/>
      <c r="C870" s="76" t="str">
        <f aca="false">IF(B870="","",IFERROR(INDEX(PE_Nom,MATCH(B870,PE_Mat,0)),"Matricule inconnu"))</f>
        <v/>
      </c>
      <c r="D870" s="76" t="str">
        <f aca="false">IF(B870="","",IFERROR(INDEX(PE_Fonction,MATCH(B870,PE_Mat,0)),""))</f>
        <v/>
      </c>
      <c r="E870" s="76" t="str">
        <f aca="false">IF(B870="","",IFERROR(INDEX(PE_Equipe,MATCH(B870,PE_Mat,0)),""))</f>
        <v/>
      </c>
      <c r="F870" s="25"/>
      <c r="G870" s="25"/>
      <c r="H870" s="68"/>
      <c r="I870" s="89"/>
      <c r="J870" s="31" t="str">
        <f aca="false">IF(B870="","",IFERROR(INDEX(PE_Taux,MATCH(B870,PE_Mat,0)),0))</f>
        <v/>
      </c>
      <c r="K870" s="31" t="str">
        <f aca="false">IF(B870="","",IF(H870="A",0,IFERROR(N(I870)/P_Heures*J870,0)))</f>
        <v/>
      </c>
      <c r="L870" s="25"/>
    </row>
    <row r="871" customFormat="false" ht="15" hidden="false" customHeight="false" outlineLevel="0" collapsed="false">
      <c r="A871" s="69"/>
      <c r="B871" s="68"/>
      <c r="C871" s="76" t="str">
        <f aca="false">IF(B871="","",IFERROR(INDEX(PE_Nom,MATCH(B871,PE_Mat,0)),"Matricule inconnu"))</f>
        <v/>
      </c>
      <c r="D871" s="76" t="str">
        <f aca="false">IF(B871="","",IFERROR(INDEX(PE_Fonction,MATCH(B871,PE_Mat,0)),""))</f>
        <v/>
      </c>
      <c r="E871" s="76" t="str">
        <f aca="false">IF(B871="","",IFERROR(INDEX(PE_Equipe,MATCH(B871,PE_Mat,0)),""))</f>
        <v/>
      </c>
      <c r="F871" s="25"/>
      <c r="G871" s="25"/>
      <c r="H871" s="68"/>
      <c r="I871" s="89"/>
      <c r="J871" s="31" t="str">
        <f aca="false">IF(B871="","",IFERROR(INDEX(PE_Taux,MATCH(B871,PE_Mat,0)),0))</f>
        <v/>
      </c>
      <c r="K871" s="31" t="str">
        <f aca="false">IF(B871="","",IF(H871="A",0,IFERROR(N(I871)/P_Heures*J871,0)))</f>
        <v/>
      </c>
      <c r="L871" s="25"/>
    </row>
    <row r="872" customFormat="false" ht="15" hidden="false" customHeight="false" outlineLevel="0" collapsed="false">
      <c r="A872" s="69"/>
      <c r="B872" s="68"/>
      <c r="C872" s="76" t="str">
        <f aca="false">IF(B872="","",IFERROR(INDEX(PE_Nom,MATCH(B872,PE_Mat,0)),"Matricule inconnu"))</f>
        <v/>
      </c>
      <c r="D872" s="76" t="str">
        <f aca="false">IF(B872="","",IFERROR(INDEX(PE_Fonction,MATCH(B872,PE_Mat,0)),""))</f>
        <v/>
      </c>
      <c r="E872" s="76" t="str">
        <f aca="false">IF(B872="","",IFERROR(INDEX(PE_Equipe,MATCH(B872,PE_Mat,0)),""))</f>
        <v/>
      </c>
      <c r="F872" s="25"/>
      <c r="G872" s="25"/>
      <c r="H872" s="68"/>
      <c r="I872" s="89"/>
      <c r="J872" s="31" t="str">
        <f aca="false">IF(B872="","",IFERROR(INDEX(PE_Taux,MATCH(B872,PE_Mat,0)),0))</f>
        <v/>
      </c>
      <c r="K872" s="31" t="str">
        <f aca="false">IF(B872="","",IF(H872="A",0,IFERROR(N(I872)/P_Heures*J872,0)))</f>
        <v/>
      </c>
      <c r="L872" s="25"/>
    </row>
    <row r="873" customFormat="false" ht="15" hidden="false" customHeight="false" outlineLevel="0" collapsed="false">
      <c r="A873" s="69"/>
      <c r="B873" s="68"/>
      <c r="C873" s="76" t="str">
        <f aca="false">IF(B873="","",IFERROR(INDEX(PE_Nom,MATCH(B873,PE_Mat,0)),"Matricule inconnu"))</f>
        <v/>
      </c>
      <c r="D873" s="76" t="str">
        <f aca="false">IF(B873="","",IFERROR(INDEX(PE_Fonction,MATCH(B873,PE_Mat,0)),""))</f>
        <v/>
      </c>
      <c r="E873" s="76" t="str">
        <f aca="false">IF(B873="","",IFERROR(INDEX(PE_Equipe,MATCH(B873,PE_Mat,0)),""))</f>
        <v/>
      </c>
      <c r="F873" s="25"/>
      <c r="G873" s="25"/>
      <c r="H873" s="68"/>
      <c r="I873" s="89"/>
      <c r="J873" s="31" t="str">
        <f aca="false">IF(B873="","",IFERROR(INDEX(PE_Taux,MATCH(B873,PE_Mat,0)),0))</f>
        <v/>
      </c>
      <c r="K873" s="31" t="str">
        <f aca="false">IF(B873="","",IF(H873="A",0,IFERROR(N(I873)/P_Heures*J873,0)))</f>
        <v/>
      </c>
      <c r="L873" s="25"/>
    </row>
    <row r="874" customFormat="false" ht="15" hidden="false" customHeight="false" outlineLevel="0" collapsed="false">
      <c r="A874" s="69"/>
      <c r="B874" s="68"/>
      <c r="C874" s="76" t="str">
        <f aca="false">IF(B874="","",IFERROR(INDEX(PE_Nom,MATCH(B874,PE_Mat,0)),"Matricule inconnu"))</f>
        <v/>
      </c>
      <c r="D874" s="76" t="str">
        <f aca="false">IF(B874="","",IFERROR(INDEX(PE_Fonction,MATCH(B874,PE_Mat,0)),""))</f>
        <v/>
      </c>
      <c r="E874" s="76" t="str">
        <f aca="false">IF(B874="","",IFERROR(INDEX(PE_Equipe,MATCH(B874,PE_Mat,0)),""))</f>
        <v/>
      </c>
      <c r="F874" s="25"/>
      <c r="G874" s="25"/>
      <c r="H874" s="68"/>
      <c r="I874" s="89"/>
      <c r="J874" s="31" t="str">
        <f aca="false">IF(B874="","",IFERROR(INDEX(PE_Taux,MATCH(B874,PE_Mat,0)),0))</f>
        <v/>
      </c>
      <c r="K874" s="31" t="str">
        <f aca="false">IF(B874="","",IF(H874="A",0,IFERROR(N(I874)/P_Heures*J874,0)))</f>
        <v/>
      </c>
      <c r="L874" s="25"/>
    </row>
    <row r="875" customFormat="false" ht="15" hidden="false" customHeight="false" outlineLevel="0" collapsed="false">
      <c r="A875" s="69"/>
      <c r="B875" s="68"/>
      <c r="C875" s="76" t="str">
        <f aca="false">IF(B875="","",IFERROR(INDEX(PE_Nom,MATCH(B875,PE_Mat,0)),"Matricule inconnu"))</f>
        <v/>
      </c>
      <c r="D875" s="76" t="str">
        <f aca="false">IF(B875="","",IFERROR(INDEX(PE_Fonction,MATCH(B875,PE_Mat,0)),""))</f>
        <v/>
      </c>
      <c r="E875" s="76" t="str">
        <f aca="false">IF(B875="","",IFERROR(INDEX(PE_Equipe,MATCH(B875,PE_Mat,0)),""))</f>
        <v/>
      </c>
      <c r="F875" s="25"/>
      <c r="G875" s="25"/>
      <c r="H875" s="68"/>
      <c r="I875" s="89"/>
      <c r="J875" s="31" t="str">
        <f aca="false">IF(B875="","",IFERROR(INDEX(PE_Taux,MATCH(B875,PE_Mat,0)),0))</f>
        <v/>
      </c>
      <c r="K875" s="31" t="str">
        <f aca="false">IF(B875="","",IF(H875="A",0,IFERROR(N(I875)/P_Heures*J875,0)))</f>
        <v/>
      </c>
      <c r="L875" s="25"/>
    </row>
    <row r="876" customFormat="false" ht="15" hidden="false" customHeight="false" outlineLevel="0" collapsed="false">
      <c r="A876" s="69"/>
      <c r="B876" s="68"/>
      <c r="C876" s="76" t="str">
        <f aca="false">IF(B876="","",IFERROR(INDEX(PE_Nom,MATCH(B876,PE_Mat,0)),"Matricule inconnu"))</f>
        <v/>
      </c>
      <c r="D876" s="76" t="str">
        <f aca="false">IF(B876="","",IFERROR(INDEX(PE_Fonction,MATCH(B876,PE_Mat,0)),""))</f>
        <v/>
      </c>
      <c r="E876" s="76" t="str">
        <f aca="false">IF(B876="","",IFERROR(INDEX(PE_Equipe,MATCH(B876,PE_Mat,0)),""))</f>
        <v/>
      </c>
      <c r="F876" s="25"/>
      <c r="G876" s="25"/>
      <c r="H876" s="68"/>
      <c r="I876" s="89"/>
      <c r="J876" s="31" t="str">
        <f aca="false">IF(B876="","",IFERROR(INDEX(PE_Taux,MATCH(B876,PE_Mat,0)),0))</f>
        <v/>
      </c>
      <c r="K876" s="31" t="str">
        <f aca="false">IF(B876="","",IF(H876="A",0,IFERROR(N(I876)/P_Heures*J876,0)))</f>
        <v/>
      </c>
      <c r="L876" s="25"/>
    </row>
    <row r="877" customFormat="false" ht="15" hidden="false" customHeight="false" outlineLevel="0" collapsed="false">
      <c r="A877" s="69"/>
      <c r="B877" s="68"/>
      <c r="C877" s="76" t="str">
        <f aca="false">IF(B877="","",IFERROR(INDEX(PE_Nom,MATCH(B877,PE_Mat,0)),"Matricule inconnu"))</f>
        <v/>
      </c>
      <c r="D877" s="76" t="str">
        <f aca="false">IF(B877="","",IFERROR(INDEX(PE_Fonction,MATCH(B877,PE_Mat,0)),""))</f>
        <v/>
      </c>
      <c r="E877" s="76" t="str">
        <f aca="false">IF(B877="","",IFERROR(INDEX(PE_Equipe,MATCH(B877,PE_Mat,0)),""))</f>
        <v/>
      </c>
      <c r="F877" s="25"/>
      <c r="G877" s="25"/>
      <c r="H877" s="68"/>
      <c r="I877" s="89"/>
      <c r="J877" s="31" t="str">
        <f aca="false">IF(B877="","",IFERROR(INDEX(PE_Taux,MATCH(B877,PE_Mat,0)),0))</f>
        <v/>
      </c>
      <c r="K877" s="31" t="str">
        <f aca="false">IF(B877="","",IF(H877="A",0,IFERROR(N(I877)/P_Heures*J877,0)))</f>
        <v/>
      </c>
      <c r="L877" s="25"/>
    </row>
    <row r="878" customFormat="false" ht="15" hidden="false" customHeight="false" outlineLevel="0" collapsed="false">
      <c r="A878" s="69"/>
      <c r="B878" s="68"/>
      <c r="C878" s="76" t="str">
        <f aca="false">IF(B878="","",IFERROR(INDEX(PE_Nom,MATCH(B878,PE_Mat,0)),"Matricule inconnu"))</f>
        <v/>
      </c>
      <c r="D878" s="76" t="str">
        <f aca="false">IF(B878="","",IFERROR(INDEX(PE_Fonction,MATCH(B878,PE_Mat,0)),""))</f>
        <v/>
      </c>
      <c r="E878" s="76" t="str">
        <f aca="false">IF(B878="","",IFERROR(INDEX(PE_Equipe,MATCH(B878,PE_Mat,0)),""))</f>
        <v/>
      </c>
      <c r="F878" s="25"/>
      <c r="G878" s="25"/>
      <c r="H878" s="68"/>
      <c r="I878" s="89"/>
      <c r="J878" s="31" t="str">
        <f aca="false">IF(B878="","",IFERROR(INDEX(PE_Taux,MATCH(B878,PE_Mat,0)),0))</f>
        <v/>
      </c>
      <c r="K878" s="31" t="str">
        <f aca="false">IF(B878="","",IF(H878="A",0,IFERROR(N(I878)/P_Heures*J878,0)))</f>
        <v/>
      </c>
      <c r="L878" s="25"/>
    </row>
    <row r="879" customFormat="false" ht="15" hidden="false" customHeight="false" outlineLevel="0" collapsed="false">
      <c r="A879" s="69"/>
      <c r="B879" s="68"/>
      <c r="C879" s="76" t="str">
        <f aca="false">IF(B879="","",IFERROR(INDEX(PE_Nom,MATCH(B879,PE_Mat,0)),"Matricule inconnu"))</f>
        <v/>
      </c>
      <c r="D879" s="76" t="str">
        <f aca="false">IF(B879="","",IFERROR(INDEX(PE_Fonction,MATCH(B879,PE_Mat,0)),""))</f>
        <v/>
      </c>
      <c r="E879" s="76" t="str">
        <f aca="false">IF(B879="","",IFERROR(INDEX(PE_Equipe,MATCH(B879,PE_Mat,0)),""))</f>
        <v/>
      </c>
      <c r="F879" s="25"/>
      <c r="G879" s="25"/>
      <c r="H879" s="68"/>
      <c r="I879" s="89"/>
      <c r="J879" s="31" t="str">
        <f aca="false">IF(B879="","",IFERROR(INDEX(PE_Taux,MATCH(B879,PE_Mat,0)),0))</f>
        <v/>
      </c>
      <c r="K879" s="31" t="str">
        <f aca="false">IF(B879="","",IF(H879="A",0,IFERROR(N(I879)/P_Heures*J879,0)))</f>
        <v/>
      </c>
      <c r="L879" s="25"/>
    </row>
    <row r="880" customFormat="false" ht="15" hidden="false" customHeight="false" outlineLevel="0" collapsed="false">
      <c r="A880" s="69"/>
      <c r="B880" s="68"/>
      <c r="C880" s="76" t="str">
        <f aca="false">IF(B880="","",IFERROR(INDEX(PE_Nom,MATCH(B880,PE_Mat,0)),"Matricule inconnu"))</f>
        <v/>
      </c>
      <c r="D880" s="76" t="str">
        <f aca="false">IF(B880="","",IFERROR(INDEX(PE_Fonction,MATCH(B880,PE_Mat,0)),""))</f>
        <v/>
      </c>
      <c r="E880" s="76" t="str">
        <f aca="false">IF(B880="","",IFERROR(INDEX(PE_Equipe,MATCH(B880,PE_Mat,0)),""))</f>
        <v/>
      </c>
      <c r="F880" s="25"/>
      <c r="G880" s="25"/>
      <c r="H880" s="68"/>
      <c r="I880" s="89"/>
      <c r="J880" s="31" t="str">
        <f aca="false">IF(B880="","",IFERROR(INDEX(PE_Taux,MATCH(B880,PE_Mat,0)),0))</f>
        <v/>
      </c>
      <c r="K880" s="31" t="str">
        <f aca="false">IF(B880="","",IF(H880="A",0,IFERROR(N(I880)/P_Heures*J880,0)))</f>
        <v/>
      </c>
      <c r="L880" s="25"/>
    </row>
    <row r="881" customFormat="false" ht="15" hidden="false" customHeight="false" outlineLevel="0" collapsed="false">
      <c r="A881" s="69"/>
      <c r="B881" s="68"/>
      <c r="C881" s="76" t="str">
        <f aca="false">IF(B881="","",IFERROR(INDEX(PE_Nom,MATCH(B881,PE_Mat,0)),"Matricule inconnu"))</f>
        <v/>
      </c>
      <c r="D881" s="76" t="str">
        <f aca="false">IF(B881="","",IFERROR(INDEX(PE_Fonction,MATCH(B881,PE_Mat,0)),""))</f>
        <v/>
      </c>
      <c r="E881" s="76" t="str">
        <f aca="false">IF(B881="","",IFERROR(INDEX(PE_Equipe,MATCH(B881,PE_Mat,0)),""))</f>
        <v/>
      </c>
      <c r="F881" s="25"/>
      <c r="G881" s="25"/>
      <c r="H881" s="68"/>
      <c r="I881" s="89"/>
      <c r="J881" s="31" t="str">
        <f aca="false">IF(B881="","",IFERROR(INDEX(PE_Taux,MATCH(B881,PE_Mat,0)),0))</f>
        <v/>
      </c>
      <c r="K881" s="31" t="str">
        <f aca="false">IF(B881="","",IF(H881="A",0,IFERROR(N(I881)/P_Heures*J881,0)))</f>
        <v/>
      </c>
      <c r="L881" s="25"/>
    </row>
    <row r="882" customFormat="false" ht="15" hidden="false" customHeight="false" outlineLevel="0" collapsed="false">
      <c r="A882" s="69"/>
      <c r="B882" s="68"/>
      <c r="C882" s="76" t="str">
        <f aca="false">IF(B882="","",IFERROR(INDEX(PE_Nom,MATCH(B882,PE_Mat,0)),"Matricule inconnu"))</f>
        <v/>
      </c>
      <c r="D882" s="76" t="str">
        <f aca="false">IF(B882="","",IFERROR(INDEX(PE_Fonction,MATCH(B882,PE_Mat,0)),""))</f>
        <v/>
      </c>
      <c r="E882" s="76" t="str">
        <f aca="false">IF(B882="","",IFERROR(INDEX(PE_Equipe,MATCH(B882,PE_Mat,0)),""))</f>
        <v/>
      </c>
      <c r="F882" s="25"/>
      <c r="G882" s="25"/>
      <c r="H882" s="68"/>
      <c r="I882" s="89"/>
      <c r="J882" s="31" t="str">
        <f aca="false">IF(B882="","",IFERROR(INDEX(PE_Taux,MATCH(B882,PE_Mat,0)),0))</f>
        <v/>
      </c>
      <c r="K882" s="31" t="str">
        <f aca="false">IF(B882="","",IF(H882="A",0,IFERROR(N(I882)/P_Heures*J882,0)))</f>
        <v/>
      </c>
      <c r="L882" s="25"/>
    </row>
    <row r="883" customFormat="false" ht="15" hidden="false" customHeight="false" outlineLevel="0" collapsed="false">
      <c r="A883" s="69"/>
      <c r="B883" s="68"/>
      <c r="C883" s="76" t="str">
        <f aca="false">IF(B883="","",IFERROR(INDEX(PE_Nom,MATCH(B883,PE_Mat,0)),"Matricule inconnu"))</f>
        <v/>
      </c>
      <c r="D883" s="76" t="str">
        <f aca="false">IF(B883="","",IFERROR(INDEX(PE_Fonction,MATCH(B883,PE_Mat,0)),""))</f>
        <v/>
      </c>
      <c r="E883" s="76" t="str">
        <f aca="false">IF(B883="","",IFERROR(INDEX(PE_Equipe,MATCH(B883,PE_Mat,0)),""))</f>
        <v/>
      </c>
      <c r="F883" s="25"/>
      <c r="G883" s="25"/>
      <c r="H883" s="68"/>
      <c r="I883" s="89"/>
      <c r="J883" s="31" t="str">
        <f aca="false">IF(B883="","",IFERROR(INDEX(PE_Taux,MATCH(B883,PE_Mat,0)),0))</f>
        <v/>
      </c>
      <c r="K883" s="31" t="str">
        <f aca="false">IF(B883="","",IF(H883="A",0,IFERROR(N(I883)/P_Heures*J883,0)))</f>
        <v/>
      </c>
      <c r="L883" s="25"/>
    </row>
    <row r="884" customFormat="false" ht="15" hidden="false" customHeight="false" outlineLevel="0" collapsed="false">
      <c r="A884" s="69"/>
      <c r="B884" s="68"/>
      <c r="C884" s="76" t="str">
        <f aca="false">IF(B884="","",IFERROR(INDEX(PE_Nom,MATCH(B884,PE_Mat,0)),"Matricule inconnu"))</f>
        <v/>
      </c>
      <c r="D884" s="76" t="str">
        <f aca="false">IF(B884="","",IFERROR(INDEX(PE_Fonction,MATCH(B884,PE_Mat,0)),""))</f>
        <v/>
      </c>
      <c r="E884" s="76" t="str">
        <f aca="false">IF(B884="","",IFERROR(INDEX(PE_Equipe,MATCH(B884,PE_Mat,0)),""))</f>
        <v/>
      </c>
      <c r="F884" s="25"/>
      <c r="G884" s="25"/>
      <c r="H884" s="68"/>
      <c r="I884" s="89"/>
      <c r="J884" s="31" t="str">
        <f aca="false">IF(B884="","",IFERROR(INDEX(PE_Taux,MATCH(B884,PE_Mat,0)),0))</f>
        <v/>
      </c>
      <c r="K884" s="31" t="str">
        <f aca="false">IF(B884="","",IF(H884="A",0,IFERROR(N(I884)/P_Heures*J884,0)))</f>
        <v/>
      </c>
      <c r="L884" s="25"/>
    </row>
    <row r="885" customFormat="false" ht="15" hidden="false" customHeight="false" outlineLevel="0" collapsed="false">
      <c r="A885" s="69"/>
      <c r="B885" s="68"/>
      <c r="C885" s="76" t="str">
        <f aca="false">IF(B885="","",IFERROR(INDEX(PE_Nom,MATCH(B885,PE_Mat,0)),"Matricule inconnu"))</f>
        <v/>
      </c>
      <c r="D885" s="76" t="str">
        <f aca="false">IF(B885="","",IFERROR(INDEX(PE_Fonction,MATCH(B885,PE_Mat,0)),""))</f>
        <v/>
      </c>
      <c r="E885" s="76" t="str">
        <f aca="false">IF(B885="","",IFERROR(INDEX(PE_Equipe,MATCH(B885,PE_Mat,0)),""))</f>
        <v/>
      </c>
      <c r="F885" s="25"/>
      <c r="G885" s="25"/>
      <c r="H885" s="68"/>
      <c r="I885" s="89"/>
      <c r="J885" s="31" t="str">
        <f aca="false">IF(B885="","",IFERROR(INDEX(PE_Taux,MATCH(B885,PE_Mat,0)),0))</f>
        <v/>
      </c>
      <c r="K885" s="31" t="str">
        <f aca="false">IF(B885="","",IF(H885="A",0,IFERROR(N(I885)/P_Heures*J885,0)))</f>
        <v/>
      </c>
      <c r="L885" s="25"/>
    </row>
    <row r="886" customFormat="false" ht="15" hidden="false" customHeight="false" outlineLevel="0" collapsed="false">
      <c r="A886" s="69"/>
      <c r="B886" s="68"/>
      <c r="C886" s="76" t="str">
        <f aca="false">IF(B886="","",IFERROR(INDEX(PE_Nom,MATCH(B886,PE_Mat,0)),"Matricule inconnu"))</f>
        <v/>
      </c>
      <c r="D886" s="76" t="str">
        <f aca="false">IF(B886="","",IFERROR(INDEX(PE_Fonction,MATCH(B886,PE_Mat,0)),""))</f>
        <v/>
      </c>
      <c r="E886" s="76" t="str">
        <f aca="false">IF(B886="","",IFERROR(INDEX(PE_Equipe,MATCH(B886,PE_Mat,0)),""))</f>
        <v/>
      </c>
      <c r="F886" s="25"/>
      <c r="G886" s="25"/>
      <c r="H886" s="68"/>
      <c r="I886" s="89"/>
      <c r="J886" s="31" t="str">
        <f aca="false">IF(B886="","",IFERROR(INDEX(PE_Taux,MATCH(B886,PE_Mat,0)),0))</f>
        <v/>
      </c>
      <c r="K886" s="31" t="str">
        <f aca="false">IF(B886="","",IF(H886="A",0,IFERROR(N(I886)/P_Heures*J886,0)))</f>
        <v/>
      </c>
      <c r="L886" s="25"/>
    </row>
    <row r="887" customFormat="false" ht="15" hidden="false" customHeight="false" outlineLevel="0" collapsed="false">
      <c r="A887" s="69"/>
      <c r="B887" s="68"/>
      <c r="C887" s="76" t="str">
        <f aca="false">IF(B887="","",IFERROR(INDEX(PE_Nom,MATCH(B887,PE_Mat,0)),"Matricule inconnu"))</f>
        <v/>
      </c>
      <c r="D887" s="76" t="str">
        <f aca="false">IF(B887="","",IFERROR(INDEX(PE_Fonction,MATCH(B887,PE_Mat,0)),""))</f>
        <v/>
      </c>
      <c r="E887" s="76" t="str">
        <f aca="false">IF(B887="","",IFERROR(INDEX(PE_Equipe,MATCH(B887,PE_Mat,0)),""))</f>
        <v/>
      </c>
      <c r="F887" s="25"/>
      <c r="G887" s="25"/>
      <c r="H887" s="68"/>
      <c r="I887" s="89"/>
      <c r="J887" s="31" t="str">
        <f aca="false">IF(B887="","",IFERROR(INDEX(PE_Taux,MATCH(B887,PE_Mat,0)),0))</f>
        <v/>
      </c>
      <c r="K887" s="31" t="str">
        <f aca="false">IF(B887="","",IF(H887="A",0,IFERROR(N(I887)/P_Heures*J887,0)))</f>
        <v/>
      </c>
      <c r="L887" s="25"/>
    </row>
    <row r="888" customFormat="false" ht="15" hidden="false" customHeight="false" outlineLevel="0" collapsed="false">
      <c r="A888" s="69"/>
      <c r="B888" s="68"/>
      <c r="C888" s="76" t="str">
        <f aca="false">IF(B888="","",IFERROR(INDEX(PE_Nom,MATCH(B888,PE_Mat,0)),"Matricule inconnu"))</f>
        <v/>
      </c>
      <c r="D888" s="76" t="str">
        <f aca="false">IF(B888="","",IFERROR(INDEX(PE_Fonction,MATCH(B888,PE_Mat,0)),""))</f>
        <v/>
      </c>
      <c r="E888" s="76" t="str">
        <f aca="false">IF(B888="","",IFERROR(INDEX(PE_Equipe,MATCH(B888,PE_Mat,0)),""))</f>
        <v/>
      </c>
      <c r="F888" s="25"/>
      <c r="G888" s="25"/>
      <c r="H888" s="68"/>
      <c r="I888" s="89"/>
      <c r="J888" s="31" t="str">
        <f aca="false">IF(B888="","",IFERROR(INDEX(PE_Taux,MATCH(B888,PE_Mat,0)),0))</f>
        <v/>
      </c>
      <c r="K888" s="31" t="str">
        <f aca="false">IF(B888="","",IF(H888="A",0,IFERROR(N(I888)/P_Heures*J888,0)))</f>
        <v/>
      </c>
      <c r="L888" s="25"/>
    </row>
    <row r="889" customFormat="false" ht="15" hidden="false" customHeight="false" outlineLevel="0" collapsed="false">
      <c r="A889" s="69"/>
      <c r="B889" s="68"/>
      <c r="C889" s="76" t="str">
        <f aca="false">IF(B889="","",IFERROR(INDEX(PE_Nom,MATCH(B889,PE_Mat,0)),"Matricule inconnu"))</f>
        <v/>
      </c>
      <c r="D889" s="76" t="str">
        <f aca="false">IF(B889="","",IFERROR(INDEX(PE_Fonction,MATCH(B889,PE_Mat,0)),""))</f>
        <v/>
      </c>
      <c r="E889" s="76" t="str">
        <f aca="false">IF(B889="","",IFERROR(INDEX(PE_Equipe,MATCH(B889,PE_Mat,0)),""))</f>
        <v/>
      </c>
      <c r="F889" s="25"/>
      <c r="G889" s="25"/>
      <c r="H889" s="68"/>
      <c r="I889" s="89"/>
      <c r="J889" s="31" t="str">
        <f aca="false">IF(B889="","",IFERROR(INDEX(PE_Taux,MATCH(B889,PE_Mat,0)),0))</f>
        <v/>
      </c>
      <c r="K889" s="31" t="str">
        <f aca="false">IF(B889="","",IF(H889="A",0,IFERROR(N(I889)/P_Heures*J889,0)))</f>
        <v/>
      </c>
      <c r="L889" s="25"/>
    </row>
    <row r="890" customFormat="false" ht="15" hidden="false" customHeight="false" outlineLevel="0" collapsed="false">
      <c r="A890" s="69"/>
      <c r="B890" s="68"/>
      <c r="C890" s="76" t="str">
        <f aca="false">IF(B890="","",IFERROR(INDEX(PE_Nom,MATCH(B890,PE_Mat,0)),"Matricule inconnu"))</f>
        <v/>
      </c>
      <c r="D890" s="76" t="str">
        <f aca="false">IF(B890="","",IFERROR(INDEX(PE_Fonction,MATCH(B890,PE_Mat,0)),""))</f>
        <v/>
      </c>
      <c r="E890" s="76" t="str">
        <f aca="false">IF(B890="","",IFERROR(INDEX(PE_Equipe,MATCH(B890,PE_Mat,0)),""))</f>
        <v/>
      </c>
      <c r="F890" s="25"/>
      <c r="G890" s="25"/>
      <c r="H890" s="68"/>
      <c r="I890" s="89"/>
      <c r="J890" s="31" t="str">
        <f aca="false">IF(B890="","",IFERROR(INDEX(PE_Taux,MATCH(B890,PE_Mat,0)),0))</f>
        <v/>
      </c>
      <c r="K890" s="31" t="str">
        <f aca="false">IF(B890="","",IF(H890="A",0,IFERROR(N(I890)/P_Heures*J890,0)))</f>
        <v/>
      </c>
      <c r="L890" s="25"/>
    </row>
    <row r="891" customFormat="false" ht="15" hidden="false" customHeight="false" outlineLevel="0" collapsed="false">
      <c r="A891" s="69"/>
      <c r="B891" s="68"/>
      <c r="C891" s="76" t="str">
        <f aca="false">IF(B891="","",IFERROR(INDEX(PE_Nom,MATCH(B891,PE_Mat,0)),"Matricule inconnu"))</f>
        <v/>
      </c>
      <c r="D891" s="76" t="str">
        <f aca="false">IF(B891="","",IFERROR(INDEX(PE_Fonction,MATCH(B891,PE_Mat,0)),""))</f>
        <v/>
      </c>
      <c r="E891" s="76" t="str">
        <f aca="false">IF(B891="","",IFERROR(INDEX(PE_Equipe,MATCH(B891,PE_Mat,0)),""))</f>
        <v/>
      </c>
      <c r="F891" s="25"/>
      <c r="G891" s="25"/>
      <c r="H891" s="68"/>
      <c r="I891" s="89"/>
      <c r="J891" s="31" t="str">
        <f aca="false">IF(B891="","",IFERROR(INDEX(PE_Taux,MATCH(B891,PE_Mat,0)),0))</f>
        <v/>
      </c>
      <c r="K891" s="31" t="str">
        <f aca="false">IF(B891="","",IF(H891="A",0,IFERROR(N(I891)/P_Heures*J891,0)))</f>
        <v/>
      </c>
      <c r="L891" s="25"/>
    </row>
    <row r="892" customFormat="false" ht="15" hidden="false" customHeight="false" outlineLevel="0" collapsed="false">
      <c r="A892" s="69"/>
      <c r="B892" s="68"/>
      <c r="C892" s="76" t="str">
        <f aca="false">IF(B892="","",IFERROR(INDEX(PE_Nom,MATCH(B892,PE_Mat,0)),"Matricule inconnu"))</f>
        <v/>
      </c>
      <c r="D892" s="76" t="str">
        <f aca="false">IF(B892="","",IFERROR(INDEX(PE_Fonction,MATCH(B892,PE_Mat,0)),""))</f>
        <v/>
      </c>
      <c r="E892" s="76" t="str">
        <f aca="false">IF(B892="","",IFERROR(INDEX(PE_Equipe,MATCH(B892,PE_Mat,0)),""))</f>
        <v/>
      </c>
      <c r="F892" s="25"/>
      <c r="G892" s="25"/>
      <c r="H892" s="68"/>
      <c r="I892" s="89"/>
      <c r="J892" s="31" t="str">
        <f aca="false">IF(B892="","",IFERROR(INDEX(PE_Taux,MATCH(B892,PE_Mat,0)),0))</f>
        <v/>
      </c>
      <c r="K892" s="31" t="str">
        <f aca="false">IF(B892="","",IF(H892="A",0,IFERROR(N(I892)/P_Heures*J892,0)))</f>
        <v/>
      </c>
      <c r="L892" s="25"/>
    </row>
    <row r="893" customFormat="false" ht="15" hidden="false" customHeight="false" outlineLevel="0" collapsed="false">
      <c r="A893" s="69"/>
      <c r="B893" s="68"/>
      <c r="C893" s="76" t="str">
        <f aca="false">IF(B893="","",IFERROR(INDEX(PE_Nom,MATCH(B893,PE_Mat,0)),"Matricule inconnu"))</f>
        <v/>
      </c>
      <c r="D893" s="76" t="str">
        <f aca="false">IF(B893="","",IFERROR(INDEX(PE_Fonction,MATCH(B893,PE_Mat,0)),""))</f>
        <v/>
      </c>
      <c r="E893" s="76" t="str">
        <f aca="false">IF(B893="","",IFERROR(INDEX(PE_Equipe,MATCH(B893,PE_Mat,0)),""))</f>
        <v/>
      </c>
      <c r="F893" s="25"/>
      <c r="G893" s="25"/>
      <c r="H893" s="68"/>
      <c r="I893" s="89"/>
      <c r="J893" s="31" t="str">
        <f aca="false">IF(B893="","",IFERROR(INDEX(PE_Taux,MATCH(B893,PE_Mat,0)),0))</f>
        <v/>
      </c>
      <c r="K893" s="31" t="str">
        <f aca="false">IF(B893="","",IF(H893="A",0,IFERROR(N(I893)/P_Heures*J893,0)))</f>
        <v/>
      </c>
      <c r="L893" s="25"/>
    </row>
    <row r="894" customFormat="false" ht="15" hidden="false" customHeight="false" outlineLevel="0" collapsed="false">
      <c r="A894" s="69"/>
      <c r="B894" s="68"/>
      <c r="C894" s="76" t="str">
        <f aca="false">IF(B894="","",IFERROR(INDEX(PE_Nom,MATCH(B894,PE_Mat,0)),"Matricule inconnu"))</f>
        <v/>
      </c>
      <c r="D894" s="76" t="str">
        <f aca="false">IF(B894="","",IFERROR(INDEX(PE_Fonction,MATCH(B894,PE_Mat,0)),""))</f>
        <v/>
      </c>
      <c r="E894" s="76" t="str">
        <f aca="false">IF(B894="","",IFERROR(INDEX(PE_Equipe,MATCH(B894,PE_Mat,0)),""))</f>
        <v/>
      </c>
      <c r="F894" s="25"/>
      <c r="G894" s="25"/>
      <c r="H894" s="68"/>
      <c r="I894" s="89"/>
      <c r="J894" s="31" t="str">
        <f aca="false">IF(B894="","",IFERROR(INDEX(PE_Taux,MATCH(B894,PE_Mat,0)),0))</f>
        <v/>
      </c>
      <c r="K894" s="31" t="str">
        <f aca="false">IF(B894="","",IF(H894="A",0,IFERROR(N(I894)/P_Heures*J894,0)))</f>
        <v/>
      </c>
      <c r="L894" s="25"/>
    </row>
    <row r="895" customFormat="false" ht="15" hidden="false" customHeight="false" outlineLevel="0" collapsed="false">
      <c r="A895" s="69"/>
      <c r="B895" s="68"/>
      <c r="C895" s="76" t="str">
        <f aca="false">IF(B895="","",IFERROR(INDEX(PE_Nom,MATCH(B895,PE_Mat,0)),"Matricule inconnu"))</f>
        <v/>
      </c>
      <c r="D895" s="76" t="str">
        <f aca="false">IF(B895="","",IFERROR(INDEX(PE_Fonction,MATCH(B895,PE_Mat,0)),""))</f>
        <v/>
      </c>
      <c r="E895" s="76" t="str">
        <f aca="false">IF(B895="","",IFERROR(INDEX(PE_Equipe,MATCH(B895,PE_Mat,0)),""))</f>
        <v/>
      </c>
      <c r="F895" s="25"/>
      <c r="G895" s="25"/>
      <c r="H895" s="68"/>
      <c r="I895" s="89"/>
      <c r="J895" s="31" t="str">
        <f aca="false">IF(B895="","",IFERROR(INDEX(PE_Taux,MATCH(B895,PE_Mat,0)),0))</f>
        <v/>
      </c>
      <c r="K895" s="31" t="str">
        <f aca="false">IF(B895="","",IF(H895="A",0,IFERROR(N(I895)/P_Heures*J895,0)))</f>
        <v/>
      </c>
      <c r="L895" s="25"/>
    </row>
    <row r="896" customFormat="false" ht="15" hidden="false" customHeight="false" outlineLevel="0" collapsed="false">
      <c r="A896" s="69"/>
      <c r="B896" s="68"/>
      <c r="C896" s="76" t="str">
        <f aca="false">IF(B896="","",IFERROR(INDEX(PE_Nom,MATCH(B896,PE_Mat,0)),"Matricule inconnu"))</f>
        <v/>
      </c>
      <c r="D896" s="76" t="str">
        <f aca="false">IF(B896="","",IFERROR(INDEX(PE_Fonction,MATCH(B896,PE_Mat,0)),""))</f>
        <v/>
      </c>
      <c r="E896" s="76" t="str">
        <f aca="false">IF(B896="","",IFERROR(INDEX(PE_Equipe,MATCH(B896,PE_Mat,0)),""))</f>
        <v/>
      </c>
      <c r="F896" s="25"/>
      <c r="G896" s="25"/>
      <c r="H896" s="68"/>
      <c r="I896" s="89"/>
      <c r="J896" s="31" t="str">
        <f aca="false">IF(B896="","",IFERROR(INDEX(PE_Taux,MATCH(B896,PE_Mat,0)),0))</f>
        <v/>
      </c>
      <c r="K896" s="31" t="str">
        <f aca="false">IF(B896="","",IF(H896="A",0,IFERROR(N(I896)/P_Heures*J896,0)))</f>
        <v/>
      </c>
      <c r="L896" s="25"/>
    </row>
    <row r="897" customFormat="false" ht="15" hidden="false" customHeight="false" outlineLevel="0" collapsed="false">
      <c r="A897" s="69"/>
      <c r="B897" s="68"/>
      <c r="C897" s="76" t="str">
        <f aca="false">IF(B897="","",IFERROR(INDEX(PE_Nom,MATCH(B897,PE_Mat,0)),"Matricule inconnu"))</f>
        <v/>
      </c>
      <c r="D897" s="76" t="str">
        <f aca="false">IF(B897="","",IFERROR(INDEX(PE_Fonction,MATCH(B897,PE_Mat,0)),""))</f>
        <v/>
      </c>
      <c r="E897" s="76" t="str">
        <f aca="false">IF(B897="","",IFERROR(INDEX(PE_Equipe,MATCH(B897,PE_Mat,0)),""))</f>
        <v/>
      </c>
      <c r="F897" s="25"/>
      <c r="G897" s="25"/>
      <c r="H897" s="68"/>
      <c r="I897" s="89"/>
      <c r="J897" s="31" t="str">
        <f aca="false">IF(B897="","",IFERROR(INDEX(PE_Taux,MATCH(B897,PE_Mat,0)),0))</f>
        <v/>
      </c>
      <c r="K897" s="31" t="str">
        <f aca="false">IF(B897="","",IF(H897="A",0,IFERROR(N(I897)/P_Heures*J897,0)))</f>
        <v/>
      </c>
      <c r="L897" s="25"/>
    </row>
    <row r="898" customFormat="false" ht="15" hidden="false" customHeight="false" outlineLevel="0" collapsed="false">
      <c r="A898" s="69"/>
      <c r="B898" s="68"/>
      <c r="C898" s="76" t="str">
        <f aca="false">IF(B898="","",IFERROR(INDEX(PE_Nom,MATCH(B898,PE_Mat,0)),"Matricule inconnu"))</f>
        <v/>
      </c>
      <c r="D898" s="76" t="str">
        <f aca="false">IF(B898="","",IFERROR(INDEX(PE_Fonction,MATCH(B898,PE_Mat,0)),""))</f>
        <v/>
      </c>
      <c r="E898" s="76" t="str">
        <f aca="false">IF(B898="","",IFERROR(INDEX(PE_Equipe,MATCH(B898,PE_Mat,0)),""))</f>
        <v/>
      </c>
      <c r="F898" s="25"/>
      <c r="G898" s="25"/>
      <c r="H898" s="68"/>
      <c r="I898" s="89"/>
      <c r="J898" s="31" t="str">
        <f aca="false">IF(B898="","",IFERROR(INDEX(PE_Taux,MATCH(B898,PE_Mat,0)),0))</f>
        <v/>
      </c>
      <c r="K898" s="31" t="str">
        <f aca="false">IF(B898="","",IF(H898="A",0,IFERROR(N(I898)/P_Heures*J898,0)))</f>
        <v/>
      </c>
      <c r="L898" s="25"/>
    </row>
    <row r="899" customFormat="false" ht="15" hidden="false" customHeight="false" outlineLevel="0" collapsed="false">
      <c r="A899" s="69"/>
      <c r="B899" s="68"/>
      <c r="C899" s="76" t="str">
        <f aca="false">IF(B899="","",IFERROR(INDEX(PE_Nom,MATCH(B899,PE_Mat,0)),"Matricule inconnu"))</f>
        <v/>
      </c>
      <c r="D899" s="76" t="str">
        <f aca="false">IF(B899="","",IFERROR(INDEX(PE_Fonction,MATCH(B899,PE_Mat,0)),""))</f>
        <v/>
      </c>
      <c r="E899" s="76" t="str">
        <f aca="false">IF(B899="","",IFERROR(INDEX(PE_Equipe,MATCH(B899,PE_Mat,0)),""))</f>
        <v/>
      </c>
      <c r="F899" s="25"/>
      <c r="G899" s="25"/>
      <c r="H899" s="68"/>
      <c r="I899" s="89"/>
      <c r="J899" s="31" t="str">
        <f aca="false">IF(B899="","",IFERROR(INDEX(PE_Taux,MATCH(B899,PE_Mat,0)),0))</f>
        <v/>
      </c>
      <c r="K899" s="31" t="str">
        <f aca="false">IF(B899="","",IF(H899="A",0,IFERROR(N(I899)/P_Heures*J899,0)))</f>
        <v/>
      </c>
      <c r="L899" s="25"/>
    </row>
    <row r="900" customFormat="false" ht="15" hidden="false" customHeight="false" outlineLevel="0" collapsed="false">
      <c r="A900" s="69"/>
      <c r="B900" s="68"/>
      <c r="C900" s="76" t="str">
        <f aca="false">IF(B900="","",IFERROR(INDEX(PE_Nom,MATCH(B900,PE_Mat,0)),"Matricule inconnu"))</f>
        <v/>
      </c>
      <c r="D900" s="76" t="str">
        <f aca="false">IF(B900="","",IFERROR(INDEX(PE_Fonction,MATCH(B900,PE_Mat,0)),""))</f>
        <v/>
      </c>
      <c r="E900" s="76" t="str">
        <f aca="false">IF(B900="","",IFERROR(INDEX(PE_Equipe,MATCH(B900,PE_Mat,0)),""))</f>
        <v/>
      </c>
      <c r="F900" s="25"/>
      <c r="G900" s="25"/>
      <c r="H900" s="68"/>
      <c r="I900" s="89"/>
      <c r="J900" s="31" t="str">
        <f aca="false">IF(B900="","",IFERROR(INDEX(PE_Taux,MATCH(B900,PE_Mat,0)),0))</f>
        <v/>
      </c>
      <c r="K900" s="31" t="str">
        <f aca="false">IF(B900="","",IF(H900="A",0,IFERROR(N(I900)/P_Heures*J900,0)))</f>
        <v/>
      </c>
      <c r="L900" s="25"/>
    </row>
    <row r="901" customFormat="false" ht="15" hidden="false" customHeight="false" outlineLevel="0" collapsed="false">
      <c r="A901" s="69"/>
      <c r="B901" s="68"/>
      <c r="C901" s="76" t="str">
        <f aca="false">IF(B901="","",IFERROR(INDEX(PE_Nom,MATCH(B901,PE_Mat,0)),"Matricule inconnu"))</f>
        <v/>
      </c>
      <c r="D901" s="76" t="str">
        <f aca="false">IF(B901="","",IFERROR(INDEX(PE_Fonction,MATCH(B901,PE_Mat,0)),""))</f>
        <v/>
      </c>
      <c r="E901" s="76" t="str">
        <f aca="false">IF(B901="","",IFERROR(INDEX(PE_Equipe,MATCH(B901,PE_Mat,0)),""))</f>
        <v/>
      </c>
      <c r="F901" s="25"/>
      <c r="G901" s="25"/>
      <c r="H901" s="68"/>
      <c r="I901" s="89"/>
      <c r="J901" s="31" t="str">
        <f aca="false">IF(B901="","",IFERROR(INDEX(PE_Taux,MATCH(B901,PE_Mat,0)),0))</f>
        <v/>
      </c>
      <c r="K901" s="31" t="str">
        <f aca="false">IF(B901="","",IF(H901="A",0,IFERROR(N(I901)/P_Heures*J901,0)))</f>
        <v/>
      </c>
      <c r="L901" s="25"/>
    </row>
    <row r="902" customFormat="false" ht="15" hidden="false" customHeight="false" outlineLevel="0" collapsed="false">
      <c r="A902" s="69"/>
      <c r="B902" s="68"/>
      <c r="C902" s="76" t="str">
        <f aca="false">IF(B902="","",IFERROR(INDEX(PE_Nom,MATCH(B902,PE_Mat,0)),"Matricule inconnu"))</f>
        <v/>
      </c>
      <c r="D902" s="76" t="str">
        <f aca="false">IF(B902="","",IFERROR(INDEX(PE_Fonction,MATCH(B902,PE_Mat,0)),""))</f>
        <v/>
      </c>
      <c r="E902" s="76" t="str">
        <f aca="false">IF(B902="","",IFERROR(INDEX(PE_Equipe,MATCH(B902,PE_Mat,0)),""))</f>
        <v/>
      </c>
      <c r="F902" s="25"/>
      <c r="G902" s="25"/>
      <c r="H902" s="68"/>
      <c r="I902" s="89"/>
      <c r="J902" s="31" t="str">
        <f aca="false">IF(B902="","",IFERROR(INDEX(PE_Taux,MATCH(B902,PE_Mat,0)),0))</f>
        <v/>
      </c>
      <c r="K902" s="31" t="str">
        <f aca="false">IF(B902="","",IF(H902="A",0,IFERROR(N(I902)/P_Heures*J902,0)))</f>
        <v/>
      </c>
      <c r="L902" s="25"/>
    </row>
    <row r="903" customFormat="false" ht="15" hidden="false" customHeight="false" outlineLevel="0" collapsed="false">
      <c r="A903" s="69"/>
      <c r="B903" s="68"/>
      <c r="C903" s="76" t="str">
        <f aca="false">IF(B903="","",IFERROR(INDEX(PE_Nom,MATCH(B903,PE_Mat,0)),"Matricule inconnu"))</f>
        <v/>
      </c>
      <c r="D903" s="76" t="str">
        <f aca="false">IF(B903="","",IFERROR(INDEX(PE_Fonction,MATCH(B903,PE_Mat,0)),""))</f>
        <v/>
      </c>
      <c r="E903" s="76" t="str">
        <f aca="false">IF(B903="","",IFERROR(INDEX(PE_Equipe,MATCH(B903,PE_Mat,0)),""))</f>
        <v/>
      </c>
      <c r="F903" s="25"/>
      <c r="G903" s="25"/>
      <c r="H903" s="68"/>
      <c r="I903" s="89"/>
      <c r="J903" s="31" t="str">
        <f aca="false">IF(B903="","",IFERROR(INDEX(PE_Taux,MATCH(B903,PE_Mat,0)),0))</f>
        <v/>
      </c>
      <c r="K903" s="31" t="str">
        <f aca="false">IF(B903="","",IF(H903="A",0,IFERROR(N(I903)/P_Heures*J903,0)))</f>
        <v/>
      </c>
      <c r="L903" s="25"/>
    </row>
    <row r="904" customFormat="false" ht="15" hidden="false" customHeight="false" outlineLevel="0" collapsed="false">
      <c r="A904" s="69"/>
      <c r="B904" s="68"/>
      <c r="C904" s="76" t="str">
        <f aca="false">IF(B904="","",IFERROR(INDEX(PE_Nom,MATCH(B904,PE_Mat,0)),"Matricule inconnu"))</f>
        <v/>
      </c>
      <c r="D904" s="76" t="str">
        <f aca="false">IF(B904="","",IFERROR(INDEX(PE_Fonction,MATCH(B904,PE_Mat,0)),""))</f>
        <v/>
      </c>
      <c r="E904" s="76" t="str">
        <f aca="false">IF(B904="","",IFERROR(INDEX(PE_Equipe,MATCH(B904,PE_Mat,0)),""))</f>
        <v/>
      </c>
      <c r="F904" s="25"/>
      <c r="G904" s="25"/>
      <c r="H904" s="68"/>
      <c r="I904" s="89"/>
      <c r="J904" s="31" t="str">
        <f aca="false">IF(B904="","",IFERROR(INDEX(PE_Taux,MATCH(B904,PE_Mat,0)),0))</f>
        <v/>
      </c>
      <c r="K904" s="31" t="str">
        <f aca="false">IF(B904="","",IF(H904="A",0,IFERROR(N(I904)/P_Heures*J904,0)))</f>
        <v/>
      </c>
      <c r="L904" s="25"/>
    </row>
    <row r="905" customFormat="false" ht="15" hidden="false" customHeight="false" outlineLevel="0" collapsed="false">
      <c r="A905" s="69"/>
      <c r="B905" s="68"/>
      <c r="C905" s="76" t="str">
        <f aca="false">IF(B905="","",IFERROR(INDEX(PE_Nom,MATCH(B905,PE_Mat,0)),"Matricule inconnu"))</f>
        <v/>
      </c>
      <c r="D905" s="76" t="str">
        <f aca="false">IF(B905="","",IFERROR(INDEX(PE_Fonction,MATCH(B905,PE_Mat,0)),""))</f>
        <v/>
      </c>
      <c r="E905" s="76" t="str">
        <f aca="false">IF(B905="","",IFERROR(INDEX(PE_Equipe,MATCH(B905,PE_Mat,0)),""))</f>
        <v/>
      </c>
      <c r="F905" s="25"/>
      <c r="G905" s="25"/>
      <c r="H905" s="68"/>
      <c r="I905" s="89"/>
      <c r="J905" s="31" t="str">
        <f aca="false">IF(B905="","",IFERROR(INDEX(PE_Taux,MATCH(B905,PE_Mat,0)),0))</f>
        <v/>
      </c>
      <c r="K905" s="31" t="str">
        <f aca="false">IF(B905="","",IF(H905="A",0,IFERROR(N(I905)/P_Heures*J905,0)))</f>
        <v/>
      </c>
      <c r="L905" s="25"/>
    </row>
    <row r="906" customFormat="false" ht="15" hidden="false" customHeight="false" outlineLevel="0" collapsed="false">
      <c r="A906" s="69"/>
      <c r="B906" s="68"/>
      <c r="C906" s="76" t="str">
        <f aca="false">IF(B906="","",IFERROR(INDEX(PE_Nom,MATCH(B906,PE_Mat,0)),"Matricule inconnu"))</f>
        <v/>
      </c>
      <c r="D906" s="76" t="str">
        <f aca="false">IF(B906="","",IFERROR(INDEX(PE_Fonction,MATCH(B906,PE_Mat,0)),""))</f>
        <v/>
      </c>
      <c r="E906" s="76" t="str">
        <f aca="false">IF(B906="","",IFERROR(INDEX(PE_Equipe,MATCH(B906,PE_Mat,0)),""))</f>
        <v/>
      </c>
      <c r="F906" s="25"/>
      <c r="G906" s="25"/>
      <c r="H906" s="68"/>
      <c r="I906" s="89"/>
      <c r="J906" s="31" t="str">
        <f aca="false">IF(B906="","",IFERROR(INDEX(PE_Taux,MATCH(B906,PE_Mat,0)),0))</f>
        <v/>
      </c>
      <c r="K906" s="31" t="str">
        <f aca="false">IF(B906="","",IF(H906="A",0,IFERROR(N(I906)/P_Heures*J906,0)))</f>
        <v/>
      </c>
      <c r="L906" s="25"/>
    </row>
    <row r="907" customFormat="false" ht="15" hidden="false" customHeight="false" outlineLevel="0" collapsed="false">
      <c r="A907" s="69"/>
      <c r="B907" s="68"/>
      <c r="C907" s="76" t="str">
        <f aca="false">IF(B907="","",IFERROR(INDEX(PE_Nom,MATCH(B907,PE_Mat,0)),"Matricule inconnu"))</f>
        <v/>
      </c>
      <c r="D907" s="76" t="str">
        <f aca="false">IF(B907="","",IFERROR(INDEX(PE_Fonction,MATCH(B907,PE_Mat,0)),""))</f>
        <v/>
      </c>
      <c r="E907" s="76" t="str">
        <f aca="false">IF(B907="","",IFERROR(INDEX(PE_Equipe,MATCH(B907,PE_Mat,0)),""))</f>
        <v/>
      </c>
      <c r="F907" s="25"/>
      <c r="G907" s="25"/>
      <c r="H907" s="68"/>
      <c r="I907" s="89"/>
      <c r="J907" s="31" t="str">
        <f aca="false">IF(B907="","",IFERROR(INDEX(PE_Taux,MATCH(B907,PE_Mat,0)),0))</f>
        <v/>
      </c>
      <c r="K907" s="31" t="str">
        <f aca="false">IF(B907="","",IF(H907="A",0,IFERROR(N(I907)/P_Heures*J907,0)))</f>
        <v/>
      </c>
      <c r="L907" s="25"/>
    </row>
    <row r="908" customFormat="false" ht="15" hidden="false" customHeight="false" outlineLevel="0" collapsed="false">
      <c r="A908" s="69"/>
      <c r="B908" s="68"/>
      <c r="C908" s="76" t="str">
        <f aca="false">IF(B908="","",IFERROR(INDEX(PE_Nom,MATCH(B908,PE_Mat,0)),"Matricule inconnu"))</f>
        <v/>
      </c>
      <c r="D908" s="76" t="str">
        <f aca="false">IF(B908="","",IFERROR(INDEX(PE_Fonction,MATCH(B908,PE_Mat,0)),""))</f>
        <v/>
      </c>
      <c r="E908" s="76" t="str">
        <f aca="false">IF(B908="","",IFERROR(INDEX(PE_Equipe,MATCH(B908,PE_Mat,0)),""))</f>
        <v/>
      </c>
      <c r="F908" s="25"/>
      <c r="G908" s="25"/>
      <c r="H908" s="68"/>
      <c r="I908" s="89"/>
      <c r="J908" s="31" t="str">
        <f aca="false">IF(B908="","",IFERROR(INDEX(PE_Taux,MATCH(B908,PE_Mat,0)),0))</f>
        <v/>
      </c>
      <c r="K908" s="31" t="str">
        <f aca="false">IF(B908="","",IF(H908="A",0,IFERROR(N(I908)/P_Heures*J908,0)))</f>
        <v/>
      </c>
      <c r="L908" s="25"/>
    </row>
    <row r="909" customFormat="false" ht="15" hidden="false" customHeight="false" outlineLevel="0" collapsed="false">
      <c r="A909" s="69"/>
      <c r="B909" s="68"/>
      <c r="C909" s="76" t="str">
        <f aca="false">IF(B909="","",IFERROR(INDEX(PE_Nom,MATCH(B909,PE_Mat,0)),"Matricule inconnu"))</f>
        <v/>
      </c>
      <c r="D909" s="76" t="str">
        <f aca="false">IF(B909="","",IFERROR(INDEX(PE_Fonction,MATCH(B909,PE_Mat,0)),""))</f>
        <v/>
      </c>
      <c r="E909" s="76" t="str">
        <f aca="false">IF(B909="","",IFERROR(INDEX(PE_Equipe,MATCH(B909,PE_Mat,0)),""))</f>
        <v/>
      </c>
      <c r="F909" s="25"/>
      <c r="G909" s="25"/>
      <c r="H909" s="68"/>
      <c r="I909" s="89"/>
      <c r="J909" s="31" t="str">
        <f aca="false">IF(B909="","",IFERROR(INDEX(PE_Taux,MATCH(B909,PE_Mat,0)),0))</f>
        <v/>
      </c>
      <c r="K909" s="31" t="str">
        <f aca="false">IF(B909="","",IF(H909="A",0,IFERROR(N(I909)/P_Heures*J909,0)))</f>
        <v/>
      </c>
      <c r="L909" s="25"/>
    </row>
    <row r="910" customFormat="false" ht="15" hidden="false" customHeight="false" outlineLevel="0" collapsed="false">
      <c r="A910" s="69"/>
      <c r="B910" s="68"/>
      <c r="C910" s="76" t="str">
        <f aca="false">IF(B910="","",IFERROR(INDEX(PE_Nom,MATCH(B910,PE_Mat,0)),"Matricule inconnu"))</f>
        <v/>
      </c>
      <c r="D910" s="76" t="str">
        <f aca="false">IF(B910="","",IFERROR(INDEX(PE_Fonction,MATCH(B910,PE_Mat,0)),""))</f>
        <v/>
      </c>
      <c r="E910" s="76" t="str">
        <f aca="false">IF(B910="","",IFERROR(INDEX(PE_Equipe,MATCH(B910,PE_Mat,0)),""))</f>
        <v/>
      </c>
      <c r="F910" s="25"/>
      <c r="G910" s="25"/>
      <c r="H910" s="68"/>
      <c r="I910" s="89"/>
      <c r="J910" s="31" t="str">
        <f aca="false">IF(B910="","",IFERROR(INDEX(PE_Taux,MATCH(B910,PE_Mat,0)),0))</f>
        <v/>
      </c>
      <c r="K910" s="31" t="str">
        <f aca="false">IF(B910="","",IF(H910="A",0,IFERROR(N(I910)/P_Heures*J910,0)))</f>
        <v/>
      </c>
      <c r="L910" s="25"/>
    </row>
    <row r="911" customFormat="false" ht="15" hidden="false" customHeight="false" outlineLevel="0" collapsed="false">
      <c r="A911" s="69"/>
      <c r="B911" s="68"/>
      <c r="C911" s="76" t="str">
        <f aca="false">IF(B911="","",IFERROR(INDEX(PE_Nom,MATCH(B911,PE_Mat,0)),"Matricule inconnu"))</f>
        <v/>
      </c>
      <c r="D911" s="76" t="str">
        <f aca="false">IF(B911="","",IFERROR(INDEX(PE_Fonction,MATCH(B911,PE_Mat,0)),""))</f>
        <v/>
      </c>
      <c r="E911" s="76" t="str">
        <f aca="false">IF(B911="","",IFERROR(INDEX(PE_Equipe,MATCH(B911,PE_Mat,0)),""))</f>
        <v/>
      </c>
      <c r="F911" s="25"/>
      <c r="G911" s="25"/>
      <c r="H911" s="68"/>
      <c r="I911" s="89"/>
      <c r="J911" s="31" t="str">
        <f aca="false">IF(B911="","",IFERROR(INDEX(PE_Taux,MATCH(B911,PE_Mat,0)),0))</f>
        <v/>
      </c>
      <c r="K911" s="31" t="str">
        <f aca="false">IF(B911="","",IF(H911="A",0,IFERROR(N(I911)/P_Heures*J911,0)))</f>
        <v/>
      </c>
      <c r="L911" s="25"/>
    </row>
    <row r="912" customFormat="false" ht="15" hidden="false" customHeight="false" outlineLevel="0" collapsed="false">
      <c r="A912" s="69"/>
      <c r="B912" s="68"/>
      <c r="C912" s="76" t="str">
        <f aca="false">IF(B912="","",IFERROR(INDEX(PE_Nom,MATCH(B912,PE_Mat,0)),"Matricule inconnu"))</f>
        <v/>
      </c>
      <c r="D912" s="76" t="str">
        <f aca="false">IF(B912="","",IFERROR(INDEX(PE_Fonction,MATCH(B912,PE_Mat,0)),""))</f>
        <v/>
      </c>
      <c r="E912" s="76" t="str">
        <f aca="false">IF(B912="","",IFERROR(INDEX(PE_Equipe,MATCH(B912,PE_Mat,0)),""))</f>
        <v/>
      </c>
      <c r="F912" s="25"/>
      <c r="G912" s="25"/>
      <c r="H912" s="68"/>
      <c r="I912" s="89"/>
      <c r="J912" s="31" t="str">
        <f aca="false">IF(B912="","",IFERROR(INDEX(PE_Taux,MATCH(B912,PE_Mat,0)),0))</f>
        <v/>
      </c>
      <c r="K912" s="31" t="str">
        <f aca="false">IF(B912="","",IF(H912="A",0,IFERROR(N(I912)/P_Heures*J912,0)))</f>
        <v/>
      </c>
      <c r="L912" s="25"/>
    </row>
    <row r="913" customFormat="false" ht="15" hidden="false" customHeight="false" outlineLevel="0" collapsed="false">
      <c r="A913" s="69"/>
      <c r="B913" s="68"/>
      <c r="C913" s="76" t="str">
        <f aca="false">IF(B913="","",IFERROR(INDEX(PE_Nom,MATCH(B913,PE_Mat,0)),"Matricule inconnu"))</f>
        <v/>
      </c>
      <c r="D913" s="76" t="str">
        <f aca="false">IF(B913="","",IFERROR(INDEX(PE_Fonction,MATCH(B913,PE_Mat,0)),""))</f>
        <v/>
      </c>
      <c r="E913" s="76" t="str">
        <f aca="false">IF(B913="","",IFERROR(INDEX(PE_Equipe,MATCH(B913,PE_Mat,0)),""))</f>
        <v/>
      </c>
      <c r="F913" s="25"/>
      <c r="G913" s="25"/>
      <c r="H913" s="68"/>
      <c r="I913" s="89"/>
      <c r="J913" s="31" t="str">
        <f aca="false">IF(B913="","",IFERROR(INDEX(PE_Taux,MATCH(B913,PE_Mat,0)),0))</f>
        <v/>
      </c>
      <c r="K913" s="31" t="str">
        <f aca="false">IF(B913="","",IF(H913="A",0,IFERROR(N(I913)/P_Heures*J913,0)))</f>
        <v/>
      </c>
      <c r="L913" s="25"/>
    </row>
    <row r="914" customFormat="false" ht="15" hidden="false" customHeight="false" outlineLevel="0" collapsed="false">
      <c r="A914" s="69"/>
      <c r="B914" s="68"/>
      <c r="C914" s="76" t="str">
        <f aca="false">IF(B914="","",IFERROR(INDEX(PE_Nom,MATCH(B914,PE_Mat,0)),"Matricule inconnu"))</f>
        <v/>
      </c>
      <c r="D914" s="76" t="str">
        <f aca="false">IF(B914="","",IFERROR(INDEX(PE_Fonction,MATCH(B914,PE_Mat,0)),""))</f>
        <v/>
      </c>
      <c r="E914" s="76" t="str">
        <f aca="false">IF(B914="","",IFERROR(INDEX(PE_Equipe,MATCH(B914,PE_Mat,0)),""))</f>
        <v/>
      </c>
      <c r="F914" s="25"/>
      <c r="G914" s="25"/>
      <c r="H914" s="68"/>
      <c r="I914" s="89"/>
      <c r="J914" s="31" t="str">
        <f aca="false">IF(B914="","",IFERROR(INDEX(PE_Taux,MATCH(B914,PE_Mat,0)),0))</f>
        <v/>
      </c>
      <c r="K914" s="31" t="str">
        <f aca="false">IF(B914="","",IF(H914="A",0,IFERROR(N(I914)/P_Heures*J914,0)))</f>
        <v/>
      </c>
      <c r="L914" s="25"/>
    </row>
    <row r="915" customFormat="false" ht="15" hidden="false" customHeight="false" outlineLevel="0" collapsed="false">
      <c r="A915" s="69"/>
      <c r="B915" s="68"/>
      <c r="C915" s="76" t="str">
        <f aca="false">IF(B915="","",IFERROR(INDEX(PE_Nom,MATCH(B915,PE_Mat,0)),"Matricule inconnu"))</f>
        <v/>
      </c>
      <c r="D915" s="76" t="str">
        <f aca="false">IF(B915="","",IFERROR(INDEX(PE_Fonction,MATCH(B915,PE_Mat,0)),""))</f>
        <v/>
      </c>
      <c r="E915" s="76" t="str">
        <f aca="false">IF(B915="","",IFERROR(INDEX(PE_Equipe,MATCH(B915,PE_Mat,0)),""))</f>
        <v/>
      </c>
      <c r="F915" s="25"/>
      <c r="G915" s="25"/>
      <c r="H915" s="68"/>
      <c r="I915" s="89"/>
      <c r="J915" s="31" t="str">
        <f aca="false">IF(B915="","",IFERROR(INDEX(PE_Taux,MATCH(B915,PE_Mat,0)),0))</f>
        <v/>
      </c>
      <c r="K915" s="31" t="str">
        <f aca="false">IF(B915="","",IF(H915="A",0,IFERROR(N(I915)/P_Heures*J915,0)))</f>
        <v/>
      </c>
      <c r="L915" s="25"/>
    </row>
    <row r="916" customFormat="false" ht="15" hidden="false" customHeight="false" outlineLevel="0" collapsed="false">
      <c r="A916" s="69"/>
      <c r="B916" s="68"/>
      <c r="C916" s="76" t="str">
        <f aca="false">IF(B916="","",IFERROR(INDEX(PE_Nom,MATCH(B916,PE_Mat,0)),"Matricule inconnu"))</f>
        <v/>
      </c>
      <c r="D916" s="76" t="str">
        <f aca="false">IF(B916="","",IFERROR(INDEX(PE_Fonction,MATCH(B916,PE_Mat,0)),""))</f>
        <v/>
      </c>
      <c r="E916" s="76" t="str">
        <f aca="false">IF(B916="","",IFERROR(INDEX(PE_Equipe,MATCH(B916,PE_Mat,0)),""))</f>
        <v/>
      </c>
      <c r="F916" s="25"/>
      <c r="G916" s="25"/>
      <c r="H916" s="68"/>
      <c r="I916" s="89"/>
      <c r="J916" s="31" t="str">
        <f aca="false">IF(B916="","",IFERROR(INDEX(PE_Taux,MATCH(B916,PE_Mat,0)),0))</f>
        <v/>
      </c>
      <c r="K916" s="31" t="str">
        <f aca="false">IF(B916="","",IF(H916="A",0,IFERROR(N(I916)/P_Heures*J916,0)))</f>
        <v/>
      </c>
      <c r="L916" s="25"/>
    </row>
    <row r="917" customFormat="false" ht="15" hidden="false" customHeight="false" outlineLevel="0" collapsed="false">
      <c r="A917" s="69"/>
      <c r="B917" s="68"/>
      <c r="C917" s="76" t="str">
        <f aca="false">IF(B917="","",IFERROR(INDEX(PE_Nom,MATCH(B917,PE_Mat,0)),"Matricule inconnu"))</f>
        <v/>
      </c>
      <c r="D917" s="76" t="str">
        <f aca="false">IF(B917="","",IFERROR(INDEX(PE_Fonction,MATCH(B917,PE_Mat,0)),""))</f>
        <v/>
      </c>
      <c r="E917" s="76" t="str">
        <f aca="false">IF(B917="","",IFERROR(INDEX(PE_Equipe,MATCH(B917,PE_Mat,0)),""))</f>
        <v/>
      </c>
      <c r="F917" s="25"/>
      <c r="G917" s="25"/>
      <c r="H917" s="68"/>
      <c r="I917" s="89"/>
      <c r="J917" s="31" t="str">
        <f aca="false">IF(B917="","",IFERROR(INDEX(PE_Taux,MATCH(B917,PE_Mat,0)),0))</f>
        <v/>
      </c>
      <c r="K917" s="31" t="str">
        <f aca="false">IF(B917="","",IF(H917="A",0,IFERROR(N(I917)/P_Heures*J917,0)))</f>
        <v/>
      </c>
      <c r="L917" s="25"/>
    </row>
    <row r="918" customFormat="false" ht="15" hidden="false" customHeight="false" outlineLevel="0" collapsed="false">
      <c r="A918" s="69"/>
      <c r="B918" s="68"/>
      <c r="C918" s="76" t="str">
        <f aca="false">IF(B918="","",IFERROR(INDEX(PE_Nom,MATCH(B918,PE_Mat,0)),"Matricule inconnu"))</f>
        <v/>
      </c>
      <c r="D918" s="76" t="str">
        <f aca="false">IF(B918="","",IFERROR(INDEX(PE_Fonction,MATCH(B918,PE_Mat,0)),""))</f>
        <v/>
      </c>
      <c r="E918" s="76" t="str">
        <f aca="false">IF(B918="","",IFERROR(INDEX(PE_Equipe,MATCH(B918,PE_Mat,0)),""))</f>
        <v/>
      </c>
      <c r="F918" s="25"/>
      <c r="G918" s="25"/>
      <c r="H918" s="68"/>
      <c r="I918" s="89"/>
      <c r="J918" s="31" t="str">
        <f aca="false">IF(B918="","",IFERROR(INDEX(PE_Taux,MATCH(B918,PE_Mat,0)),0))</f>
        <v/>
      </c>
      <c r="K918" s="31" t="str">
        <f aca="false">IF(B918="","",IF(H918="A",0,IFERROR(N(I918)/P_Heures*J918,0)))</f>
        <v/>
      </c>
      <c r="L918" s="25"/>
    </row>
    <row r="919" customFormat="false" ht="15" hidden="false" customHeight="false" outlineLevel="0" collapsed="false">
      <c r="A919" s="69"/>
      <c r="B919" s="68"/>
      <c r="C919" s="76" t="str">
        <f aca="false">IF(B919="","",IFERROR(INDEX(PE_Nom,MATCH(B919,PE_Mat,0)),"Matricule inconnu"))</f>
        <v/>
      </c>
      <c r="D919" s="76" t="str">
        <f aca="false">IF(B919="","",IFERROR(INDEX(PE_Fonction,MATCH(B919,PE_Mat,0)),""))</f>
        <v/>
      </c>
      <c r="E919" s="76" t="str">
        <f aca="false">IF(B919="","",IFERROR(INDEX(PE_Equipe,MATCH(B919,PE_Mat,0)),""))</f>
        <v/>
      </c>
      <c r="F919" s="25"/>
      <c r="G919" s="25"/>
      <c r="H919" s="68"/>
      <c r="I919" s="89"/>
      <c r="J919" s="31" t="str">
        <f aca="false">IF(B919="","",IFERROR(INDEX(PE_Taux,MATCH(B919,PE_Mat,0)),0))</f>
        <v/>
      </c>
      <c r="K919" s="31" t="str">
        <f aca="false">IF(B919="","",IF(H919="A",0,IFERROR(N(I919)/P_Heures*J919,0)))</f>
        <v/>
      </c>
      <c r="L919" s="25"/>
    </row>
    <row r="920" customFormat="false" ht="15" hidden="false" customHeight="false" outlineLevel="0" collapsed="false">
      <c r="A920" s="69"/>
      <c r="B920" s="68"/>
      <c r="C920" s="76" t="str">
        <f aca="false">IF(B920="","",IFERROR(INDEX(PE_Nom,MATCH(B920,PE_Mat,0)),"Matricule inconnu"))</f>
        <v/>
      </c>
      <c r="D920" s="76" t="str">
        <f aca="false">IF(B920="","",IFERROR(INDEX(PE_Fonction,MATCH(B920,PE_Mat,0)),""))</f>
        <v/>
      </c>
      <c r="E920" s="76" t="str">
        <f aca="false">IF(B920="","",IFERROR(INDEX(PE_Equipe,MATCH(B920,PE_Mat,0)),""))</f>
        <v/>
      </c>
      <c r="F920" s="25"/>
      <c r="G920" s="25"/>
      <c r="H920" s="68"/>
      <c r="I920" s="89"/>
      <c r="J920" s="31" t="str">
        <f aca="false">IF(B920="","",IFERROR(INDEX(PE_Taux,MATCH(B920,PE_Mat,0)),0))</f>
        <v/>
      </c>
      <c r="K920" s="31" t="str">
        <f aca="false">IF(B920="","",IF(H920="A",0,IFERROR(N(I920)/P_Heures*J920,0)))</f>
        <v/>
      </c>
      <c r="L920" s="25"/>
    </row>
    <row r="921" customFormat="false" ht="15" hidden="false" customHeight="false" outlineLevel="0" collapsed="false">
      <c r="A921" s="69"/>
      <c r="B921" s="68"/>
      <c r="C921" s="76" t="str">
        <f aca="false">IF(B921="","",IFERROR(INDEX(PE_Nom,MATCH(B921,PE_Mat,0)),"Matricule inconnu"))</f>
        <v/>
      </c>
      <c r="D921" s="76" t="str">
        <f aca="false">IF(B921="","",IFERROR(INDEX(PE_Fonction,MATCH(B921,PE_Mat,0)),""))</f>
        <v/>
      </c>
      <c r="E921" s="76" t="str">
        <f aca="false">IF(B921="","",IFERROR(INDEX(PE_Equipe,MATCH(B921,PE_Mat,0)),""))</f>
        <v/>
      </c>
      <c r="F921" s="25"/>
      <c r="G921" s="25"/>
      <c r="H921" s="68"/>
      <c r="I921" s="89"/>
      <c r="J921" s="31" t="str">
        <f aca="false">IF(B921="","",IFERROR(INDEX(PE_Taux,MATCH(B921,PE_Mat,0)),0))</f>
        <v/>
      </c>
      <c r="K921" s="31" t="str">
        <f aca="false">IF(B921="","",IF(H921="A",0,IFERROR(N(I921)/P_Heures*J921,0)))</f>
        <v/>
      </c>
      <c r="L921" s="25"/>
    </row>
    <row r="922" customFormat="false" ht="15" hidden="false" customHeight="false" outlineLevel="0" collapsed="false">
      <c r="A922" s="69"/>
      <c r="B922" s="68"/>
      <c r="C922" s="76" t="str">
        <f aca="false">IF(B922="","",IFERROR(INDEX(PE_Nom,MATCH(B922,PE_Mat,0)),"Matricule inconnu"))</f>
        <v/>
      </c>
      <c r="D922" s="76" t="str">
        <f aca="false">IF(B922="","",IFERROR(INDEX(PE_Fonction,MATCH(B922,PE_Mat,0)),""))</f>
        <v/>
      </c>
      <c r="E922" s="76" t="str">
        <f aca="false">IF(B922="","",IFERROR(INDEX(PE_Equipe,MATCH(B922,PE_Mat,0)),""))</f>
        <v/>
      </c>
      <c r="F922" s="25"/>
      <c r="G922" s="25"/>
      <c r="H922" s="68"/>
      <c r="I922" s="89"/>
      <c r="J922" s="31" t="str">
        <f aca="false">IF(B922="","",IFERROR(INDEX(PE_Taux,MATCH(B922,PE_Mat,0)),0))</f>
        <v/>
      </c>
      <c r="K922" s="31" t="str">
        <f aca="false">IF(B922="","",IF(H922="A",0,IFERROR(N(I922)/P_Heures*J922,0)))</f>
        <v/>
      </c>
      <c r="L922" s="25"/>
    </row>
    <row r="923" customFormat="false" ht="15" hidden="false" customHeight="false" outlineLevel="0" collapsed="false">
      <c r="A923" s="69"/>
      <c r="B923" s="68"/>
      <c r="C923" s="76" t="str">
        <f aca="false">IF(B923="","",IFERROR(INDEX(PE_Nom,MATCH(B923,PE_Mat,0)),"Matricule inconnu"))</f>
        <v/>
      </c>
      <c r="D923" s="76" t="str">
        <f aca="false">IF(B923="","",IFERROR(INDEX(PE_Fonction,MATCH(B923,PE_Mat,0)),""))</f>
        <v/>
      </c>
      <c r="E923" s="76" t="str">
        <f aca="false">IF(B923="","",IFERROR(INDEX(PE_Equipe,MATCH(B923,PE_Mat,0)),""))</f>
        <v/>
      </c>
      <c r="F923" s="25"/>
      <c r="G923" s="25"/>
      <c r="H923" s="68"/>
      <c r="I923" s="89"/>
      <c r="J923" s="31" t="str">
        <f aca="false">IF(B923="","",IFERROR(INDEX(PE_Taux,MATCH(B923,PE_Mat,0)),0))</f>
        <v/>
      </c>
      <c r="K923" s="31" t="str">
        <f aca="false">IF(B923="","",IF(H923="A",0,IFERROR(N(I923)/P_Heures*J923,0)))</f>
        <v/>
      </c>
      <c r="L923" s="25"/>
    </row>
    <row r="924" customFormat="false" ht="15" hidden="false" customHeight="false" outlineLevel="0" collapsed="false">
      <c r="A924" s="69"/>
      <c r="B924" s="68"/>
      <c r="C924" s="76" t="str">
        <f aca="false">IF(B924="","",IFERROR(INDEX(PE_Nom,MATCH(B924,PE_Mat,0)),"Matricule inconnu"))</f>
        <v/>
      </c>
      <c r="D924" s="76" t="str">
        <f aca="false">IF(B924="","",IFERROR(INDEX(PE_Fonction,MATCH(B924,PE_Mat,0)),""))</f>
        <v/>
      </c>
      <c r="E924" s="76" t="str">
        <f aca="false">IF(B924="","",IFERROR(INDEX(PE_Equipe,MATCH(B924,PE_Mat,0)),""))</f>
        <v/>
      </c>
      <c r="F924" s="25"/>
      <c r="G924" s="25"/>
      <c r="H924" s="68"/>
      <c r="I924" s="89"/>
      <c r="J924" s="31" t="str">
        <f aca="false">IF(B924="","",IFERROR(INDEX(PE_Taux,MATCH(B924,PE_Mat,0)),0))</f>
        <v/>
      </c>
      <c r="K924" s="31" t="str">
        <f aca="false">IF(B924="","",IF(H924="A",0,IFERROR(N(I924)/P_Heures*J924,0)))</f>
        <v/>
      </c>
      <c r="L924" s="25"/>
    </row>
    <row r="925" customFormat="false" ht="15" hidden="false" customHeight="false" outlineLevel="0" collapsed="false">
      <c r="A925" s="69"/>
      <c r="B925" s="68"/>
      <c r="C925" s="76" t="str">
        <f aca="false">IF(B925="","",IFERROR(INDEX(PE_Nom,MATCH(B925,PE_Mat,0)),"Matricule inconnu"))</f>
        <v/>
      </c>
      <c r="D925" s="76" t="str">
        <f aca="false">IF(B925="","",IFERROR(INDEX(PE_Fonction,MATCH(B925,PE_Mat,0)),""))</f>
        <v/>
      </c>
      <c r="E925" s="76" t="str">
        <f aca="false">IF(B925="","",IFERROR(INDEX(PE_Equipe,MATCH(B925,PE_Mat,0)),""))</f>
        <v/>
      </c>
      <c r="F925" s="25"/>
      <c r="G925" s="25"/>
      <c r="H925" s="68"/>
      <c r="I925" s="89"/>
      <c r="J925" s="31" t="str">
        <f aca="false">IF(B925="","",IFERROR(INDEX(PE_Taux,MATCH(B925,PE_Mat,0)),0))</f>
        <v/>
      </c>
      <c r="K925" s="31" t="str">
        <f aca="false">IF(B925="","",IF(H925="A",0,IFERROR(N(I925)/P_Heures*J925,0)))</f>
        <v/>
      </c>
      <c r="L925" s="25"/>
    </row>
    <row r="926" customFormat="false" ht="15" hidden="false" customHeight="false" outlineLevel="0" collapsed="false">
      <c r="A926" s="69"/>
      <c r="B926" s="68"/>
      <c r="C926" s="76" t="str">
        <f aca="false">IF(B926="","",IFERROR(INDEX(PE_Nom,MATCH(B926,PE_Mat,0)),"Matricule inconnu"))</f>
        <v/>
      </c>
      <c r="D926" s="76" t="str">
        <f aca="false">IF(B926="","",IFERROR(INDEX(PE_Fonction,MATCH(B926,PE_Mat,0)),""))</f>
        <v/>
      </c>
      <c r="E926" s="76" t="str">
        <f aca="false">IF(B926="","",IFERROR(INDEX(PE_Equipe,MATCH(B926,PE_Mat,0)),""))</f>
        <v/>
      </c>
      <c r="F926" s="25"/>
      <c r="G926" s="25"/>
      <c r="H926" s="68"/>
      <c r="I926" s="89"/>
      <c r="J926" s="31" t="str">
        <f aca="false">IF(B926="","",IFERROR(INDEX(PE_Taux,MATCH(B926,PE_Mat,0)),0))</f>
        <v/>
      </c>
      <c r="K926" s="31" t="str">
        <f aca="false">IF(B926="","",IF(H926="A",0,IFERROR(N(I926)/P_Heures*J926,0)))</f>
        <v/>
      </c>
      <c r="L926" s="25"/>
    </row>
    <row r="927" customFormat="false" ht="15" hidden="false" customHeight="false" outlineLevel="0" collapsed="false">
      <c r="A927" s="69"/>
      <c r="B927" s="68"/>
      <c r="C927" s="76" t="str">
        <f aca="false">IF(B927="","",IFERROR(INDEX(PE_Nom,MATCH(B927,PE_Mat,0)),"Matricule inconnu"))</f>
        <v/>
      </c>
      <c r="D927" s="76" t="str">
        <f aca="false">IF(B927="","",IFERROR(INDEX(PE_Fonction,MATCH(B927,PE_Mat,0)),""))</f>
        <v/>
      </c>
      <c r="E927" s="76" t="str">
        <f aca="false">IF(B927="","",IFERROR(INDEX(PE_Equipe,MATCH(B927,PE_Mat,0)),""))</f>
        <v/>
      </c>
      <c r="F927" s="25"/>
      <c r="G927" s="25"/>
      <c r="H927" s="68"/>
      <c r="I927" s="89"/>
      <c r="J927" s="31" t="str">
        <f aca="false">IF(B927="","",IFERROR(INDEX(PE_Taux,MATCH(B927,PE_Mat,0)),0))</f>
        <v/>
      </c>
      <c r="K927" s="31" t="str">
        <f aca="false">IF(B927="","",IF(H927="A",0,IFERROR(N(I927)/P_Heures*J927,0)))</f>
        <v/>
      </c>
      <c r="L927" s="25"/>
    </row>
    <row r="928" customFormat="false" ht="15" hidden="false" customHeight="false" outlineLevel="0" collapsed="false">
      <c r="A928" s="69"/>
      <c r="B928" s="68"/>
      <c r="C928" s="76" t="str">
        <f aca="false">IF(B928="","",IFERROR(INDEX(PE_Nom,MATCH(B928,PE_Mat,0)),"Matricule inconnu"))</f>
        <v/>
      </c>
      <c r="D928" s="76" t="str">
        <f aca="false">IF(B928="","",IFERROR(INDEX(PE_Fonction,MATCH(B928,PE_Mat,0)),""))</f>
        <v/>
      </c>
      <c r="E928" s="76" t="str">
        <f aca="false">IF(B928="","",IFERROR(INDEX(PE_Equipe,MATCH(B928,PE_Mat,0)),""))</f>
        <v/>
      </c>
      <c r="F928" s="25"/>
      <c r="G928" s="25"/>
      <c r="H928" s="68"/>
      <c r="I928" s="89"/>
      <c r="J928" s="31" t="str">
        <f aca="false">IF(B928="","",IFERROR(INDEX(PE_Taux,MATCH(B928,PE_Mat,0)),0))</f>
        <v/>
      </c>
      <c r="K928" s="31" t="str">
        <f aca="false">IF(B928="","",IF(H928="A",0,IFERROR(N(I928)/P_Heures*J928,0)))</f>
        <v/>
      </c>
      <c r="L928" s="25"/>
    </row>
    <row r="929" customFormat="false" ht="15" hidden="false" customHeight="false" outlineLevel="0" collapsed="false">
      <c r="A929" s="69"/>
      <c r="B929" s="68"/>
      <c r="C929" s="76" t="str">
        <f aca="false">IF(B929="","",IFERROR(INDEX(PE_Nom,MATCH(B929,PE_Mat,0)),"Matricule inconnu"))</f>
        <v/>
      </c>
      <c r="D929" s="76" t="str">
        <f aca="false">IF(B929="","",IFERROR(INDEX(PE_Fonction,MATCH(B929,PE_Mat,0)),""))</f>
        <v/>
      </c>
      <c r="E929" s="76" t="str">
        <f aca="false">IF(B929="","",IFERROR(INDEX(PE_Equipe,MATCH(B929,PE_Mat,0)),""))</f>
        <v/>
      </c>
      <c r="F929" s="25"/>
      <c r="G929" s="25"/>
      <c r="H929" s="68"/>
      <c r="I929" s="89"/>
      <c r="J929" s="31" t="str">
        <f aca="false">IF(B929="","",IFERROR(INDEX(PE_Taux,MATCH(B929,PE_Mat,0)),0))</f>
        <v/>
      </c>
      <c r="K929" s="31" t="str">
        <f aca="false">IF(B929="","",IF(H929="A",0,IFERROR(N(I929)/P_Heures*J929,0)))</f>
        <v/>
      </c>
      <c r="L929" s="25"/>
    </row>
    <row r="930" customFormat="false" ht="15" hidden="false" customHeight="false" outlineLevel="0" collapsed="false">
      <c r="A930" s="69"/>
      <c r="B930" s="68"/>
      <c r="C930" s="76" t="str">
        <f aca="false">IF(B930="","",IFERROR(INDEX(PE_Nom,MATCH(B930,PE_Mat,0)),"Matricule inconnu"))</f>
        <v/>
      </c>
      <c r="D930" s="76" t="str">
        <f aca="false">IF(B930="","",IFERROR(INDEX(PE_Fonction,MATCH(B930,PE_Mat,0)),""))</f>
        <v/>
      </c>
      <c r="E930" s="76" t="str">
        <f aca="false">IF(B930="","",IFERROR(INDEX(PE_Equipe,MATCH(B930,PE_Mat,0)),""))</f>
        <v/>
      </c>
      <c r="F930" s="25"/>
      <c r="G930" s="25"/>
      <c r="H930" s="68"/>
      <c r="I930" s="89"/>
      <c r="J930" s="31" t="str">
        <f aca="false">IF(B930="","",IFERROR(INDEX(PE_Taux,MATCH(B930,PE_Mat,0)),0))</f>
        <v/>
      </c>
      <c r="K930" s="31" t="str">
        <f aca="false">IF(B930="","",IF(H930="A",0,IFERROR(N(I930)/P_Heures*J930,0)))</f>
        <v/>
      </c>
      <c r="L930" s="25"/>
    </row>
    <row r="931" customFormat="false" ht="15" hidden="false" customHeight="false" outlineLevel="0" collapsed="false">
      <c r="A931" s="69"/>
      <c r="B931" s="68"/>
      <c r="C931" s="76" t="str">
        <f aca="false">IF(B931="","",IFERROR(INDEX(PE_Nom,MATCH(B931,PE_Mat,0)),"Matricule inconnu"))</f>
        <v/>
      </c>
      <c r="D931" s="76" t="str">
        <f aca="false">IF(B931="","",IFERROR(INDEX(PE_Fonction,MATCH(B931,PE_Mat,0)),""))</f>
        <v/>
      </c>
      <c r="E931" s="76" t="str">
        <f aca="false">IF(B931="","",IFERROR(INDEX(PE_Equipe,MATCH(B931,PE_Mat,0)),""))</f>
        <v/>
      </c>
      <c r="F931" s="25"/>
      <c r="G931" s="25"/>
      <c r="H931" s="68"/>
      <c r="I931" s="89"/>
      <c r="J931" s="31" t="str">
        <f aca="false">IF(B931="","",IFERROR(INDEX(PE_Taux,MATCH(B931,PE_Mat,0)),0))</f>
        <v/>
      </c>
      <c r="K931" s="31" t="str">
        <f aca="false">IF(B931="","",IF(H931="A",0,IFERROR(N(I931)/P_Heures*J931,0)))</f>
        <v/>
      </c>
      <c r="L931" s="25"/>
    </row>
    <row r="932" customFormat="false" ht="15" hidden="false" customHeight="false" outlineLevel="0" collapsed="false">
      <c r="A932" s="69"/>
      <c r="B932" s="68"/>
      <c r="C932" s="76" t="str">
        <f aca="false">IF(B932="","",IFERROR(INDEX(PE_Nom,MATCH(B932,PE_Mat,0)),"Matricule inconnu"))</f>
        <v/>
      </c>
      <c r="D932" s="76" t="str">
        <f aca="false">IF(B932="","",IFERROR(INDEX(PE_Fonction,MATCH(B932,PE_Mat,0)),""))</f>
        <v/>
      </c>
      <c r="E932" s="76" t="str">
        <f aca="false">IF(B932="","",IFERROR(INDEX(PE_Equipe,MATCH(B932,PE_Mat,0)),""))</f>
        <v/>
      </c>
      <c r="F932" s="25"/>
      <c r="G932" s="25"/>
      <c r="H932" s="68"/>
      <c r="I932" s="89"/>
      <c r="J932" s="31" t="str">
        <f aca="false">IF(B932="","",IFERROR(INDEX(PE_Taux,MATCH(B932,PE_Mat,0)),0))</f>
        <v/>
      </c>
      <c r="K932" s="31" t="str">
        <f aca="false">IF(B932="","",IF(H932="A",0,IFERROR(N(I932)/P_Heures*J932,0)))</f>
        <v/>
      </c>
      <c r="L932" s="25"/>
    </row>
    <row r="933" customFormat="false" ht="15" hidden="false" customHeight="false" outlineLevel="0" collapsed="false">
      <c r="A933" s="69"/>
      <c r="B933" s="68"/>
      <c r="C933" s="76" t="str">
        <f aca="false">IF(B933="","",IFERROR(INDEX(PE_Nom,MATCH(B933,PE_Mat,0)),"Matricule inconnu"))</f>
        <v/>
      </c>
      <c r="D933" s="76" t="str">
        <f aca="false">IF(B933="","",IFERROR(INDEX(PE_Fonction,MATCH(B933,PE_Mat,0)),""))</f>
        <v/>
      </c>
      <c r="E933" s="76" t="str">
        <f aca="false">IF(B933="","",IFERROR(INDEX(PE_Equipe,MATCH(B933,PE_Mat,0)),""))</f>
        <v/>
      </c>
      <c r="F933" s="25"/>
      <c r="G933" s="25"/>
      <c r="H933" s="68"/>
      <c r="I933" s="89"/>
      <c r="J933" s="31" t="str">
        <f aca="false">IF(B933="","",IFERROR(INDEX(PE_Taux,MATCH(B933,PE_Mat,0)),0))</f>
        <v/>
      </c>
      <c r="K933" s="31" t="str">
        <f aca="false">IF(B933="","",IF(H933="A",0,IFERROR(N(I933)/P_Heures*J933,0)))</f>
        <v/>
      </c>
      <c r="L933" s="25"/>
    </row>
    <row r="934" customFormat="false" ht="15" hidden="false" customHeight="false" outlineLevel="0" collapsed="false">
      <c r="A934" s="69"/>
      <c r="B934" s="68"/>
      <c r="C934" s="76" t="str">
        <f aca="false">IF(B934="","",IFERROR(INDEX(PE_Nom,MATCH(B934,PE_Mat,0)),"Matricule inconnu"))</f>
        <v/>
      </c>
      <c r="D934" s="76" t="str">
        <f aca="false">IF(B934="","",IFERROR(INDEX(PE_Fonction,MATCH(B934,PE_Mat,0)),""))</f>
        <v/>
      </c>
      <c r="E934" s="76" t="str">
        <f aca="false">IF(B934="","",IFERROR(INDEX(PE_Equipe,MATCH(B934,PE_Mat,0)),""))</f>
        <v/>
      </c>
      <c r="F934" s="25"/>
      <c r="G934" s="25"/>
      <c r="H934" s="68"/>
      <c r="I934" s="89"/>
      <c r="J934" s="31" t="str">
        <f aca="false">IF(B934="","",IFERROR(INDEX(PE_Taux,MATCH(B934,PE_Mat,0)),0))</f>
        <v/>
      </c>
      <c r="K934" s="31" t="str">
        <f aca="false">IF(B934="","",IF(H934="A",0,IFERROR(N(I934)/P_Heures*J934,0)))</f>
        <v/>
      </c>
      <c r="L934" s="25"/>
    </row>
    <row r="935" customFormat="false" ht="15" hidden="false" customHeight="false" outlineLevel="0" collapsed="false">
      <c r="A935" s="69"/>
      <c r="B935" s="68"/>
      <c r="C935" s="76" t="str">
        <f aca="false">IF(B935="","",IFERROR(INDEX(PE_Nom,MATCH(B935,PE_Mat,0)),"Matricule inconnu"))</f>
        <v/>
      </c>
      <c r="D935" s="76" t="str">
        <f aca="false">IF(B935="","",IFERROR(INDEX(PE_Fonction,MATCH(B935,PE_Mat,0)),""))</f>
        <v/>
      </c>
      <c r="E935" s="76" t="str">
        <f aca="false">IF(B935="","",IFERROR(INDEX(PE_Equipe,MATCH(B935,PE_Mat,0)),""))</f>
        <v/>
      </c>
      <c r="F935" s="25"/>
      <c r="G935" s="25"/>
      <c r="H935" s="68"/>
      <c r="I935" s="89"/>
      <c r="J935" s="31" t="str">
        <f aca="false">IF(B935="","",IFERROR(INDEX(PE_Taux,MATCH(B935,PE_Mat,0)),0))</f>
        <v/>
      </c>
      <c r="K935" s="31" t="str">
        <f aca="false">IF(B935="","",IF(H935="A",0,IFERROR(N(I935)/P_Heures*J935,0)))</f>
        <v/>
      </c>
      <c r="L935" s="25"/>
    </row>
    <row r="936" customFormat="false" ht="15" hidden="false" customHeight="false" outlineLevel="0" collapsed="false">
      <c r="A936" s="69"/>
      <c r="B936" s="68"/>
      <c r="C936" s="76" t="str">
        <f aca="false">IF(B936="","",IFERROR(INDEX(PE_Nom,MATCH(B936,PE_Mat,0)),"Matricule inconnu"))</f>
        <v/>
      </c>
      <c r="D936" s="76" t="str">
        <f aca="false">IF(B936="","",IFERROR(INDEX(PE_Fonction,MATCH(B936,PE_Mat,0)),""))</f>
        <v/>
      </c>
      <c r="E936" s="76" t="str">
        <f aca="false">IF(B936="","",IFERROR(INDEX(PE_Equipe,MATCH(B936,PE_Mat,0)),""))</f>
        <v/>
      </c>
      <c r="F936" s="25"/>
      <c r="G936" s="25"/>
      <c r="H936" s="68"/>
      <c r="I936" s="89"/>
      <c r="J936" s="31" t="str">
        <f aca="false">IF(B936="","",IFERROR(INDEX(PE_Taux,MATCH(B936,PE_Mat,0)),0))</f>
        <v/>
      </c>
      <c r="K936" s="31" t="str">
        <f aca="false">IF(B936="","",IF(H936="A",0,IFERROR(N(I936)/P_Heures*J936,0)))</f>
        <v/>
      </c>
      <c r="L936" s="25"/>
    </row>
    <row r="937" customFormat="false" ht="15" hidden="false" customHeight="false" outlineLevel="0" collapsed="false">
      <c r="A937" s="69"/>
      <c r="B937" s="68"/>
      <c r="C937" s="76" t="str">
        <f aca="false">IF(B937="","",IFERROR(INDEX(PE_Nom,MATCH(B937,PE_Mat,0)),"Matricule inconnu"))</f>
        <v/>
      </c>
      <c r="D937" s="76" t="str">
        <f aca="false">IF(B937="","",IFERROR(INDEX(PE_Fonction,MATCH(B937,PE_Mat,0)),""))</f>
        <v/>
      </c>
      <c r="E937" s="76" t="str">
        <f aca="false">IF(B937="","",IFERROR(INDEX(PE_Equipe,MATCH(B937,PE_Mat,0)),""))</f>
        <v/>
      </c>
      <c r="F937" s="25"/>
      <c r="G937" s="25"/>
      <c r="H937" s="68"/>
      <c r="I937" s="89"/>
      <c r="J937" s="31" t="str">
        <f aca="false">IF(B937="","",IFERROR(INDEX(PE_Taux,MATCH(B937,PE_Mat,0)),0))</f>
        <v/>
      </c>
      <c r="K937" s="31" t="str">
        <f aca="false">IF(B937="","",IF(H937="A",0,IFERROR(N(I937)/P_Heures*J937,0)))</f>
        <v/>
      </c>
      <c r="L937" s="25"/>
    </row>
    <row r="938" customFormat="false" ht="15" hidden="false" customHeight="false" outlineLevel="0" collapsed="false">
      <c r="A938" s="69"/>
      <c r="B938" s="68"/>
      <c r="C938" s="76" t="str">
        <f aca="false">IF(B938="","",IFERROR(INDEX(PE_Nom,MATCH(B938,PE_Mat,0)),"Matricule inconnu"))</f>
        <v/>
      </c>
      <c r="D938" s="76" t="str">
        <f aca="false">IF(B938="","",IFERROR(INDEX(PE_Fonction,MATCH(B938,PE_Mat,0)),""))</f>
        <v/>
      </c>
      <c r="E938" s="76" t="str">
        <f aca="false">IF(B938="","",IFERROR(INDEX(PE_Equipe,MATCH(B938,PE_Mat,0)),""))</f>
        <v/>
      </c>
      <c r="F938" s="25"/>
      <c r="G938" s="25"/>
      <c r="H938" s="68"/>
      <c r="I938" s="89"/>
      <c r="J938" s="31" t="str">
        <f aca="false">IF(B938="","",IFERROR(INDEX(PE_Taux,MATCH(B938,PE_Mat,0)),0))</f>
        <v/>
      </c>
      <c r="K938" s="31" t="str">
        <f aca="false">IF(B938="","",IF(H938="A",0,IFERROR(N(I938)/P_Heures*J938,0)))</f>
        <v/>
      </c>
      <c r="L938" s="25"/>
    </row>
    <row r="939" customFormat="false" ht="15" hidden="false" customHeight="false" outlineLevel="0" collapsed="false">
      <c r="A939" s="69"/>
      <c r="B939" s="68"/>
      <c r="C939" s="76" t="str">
        <f aca="false">IF(B939="","",IFERROR(INDEX(PE_Nom,MATCH(B939,PE_Mat,0)),"Matricule inconnu"))</f>
        <v/>
      </c>
      <c r="D939" s="76" t="str">
        <f aca="false">IF(B939="","",IFERROR(INDEX(PE_Fonction,MATCH(B939,PE_Mat,0)),""))</f>
        <v/>
      </c>
      <c r="E939" s="76" t="str">
        <f aca="false">IF(B939="","",IFERROR(INDEX(PE_Equipe,MATCH(B939,PE_Mat,0)),""))</f>
        <v/>
      </c>
      <c r="F939" s="25"/>
      <c r="G939" s="25"/>
      <c r="H939" s="68"/>
      <c r="I939" s="89"/>
      <c r="J939" s="31" t="str">
        <f aca="false">IF(B939="","",IFERROR(INDEX(PE_Taux,MATCH(B939,PE_Mat,0)),0))</f>
        <v/>
      </c>
      <c r="K939" s="31" t="str">
        <f aca="false">IF(B939="","",IF(H939="A",0,IFERROR(N(I939)/P_Heures*J939,0)))</f>
        <v/>
      </c>
      <c r="L939" s="25"/>
    </row>
    <row r="940" customFormat="false" ht="15" hidden="false" customHeight="false" outlineLevel="0" collapsed="false">
      <c r="A940" s="69"/>
      <c r="B940" s="68"/>
      <c r="C940" s="76" t="str">
        <f aca="false">IF(B940="","",IFERROR(INDEX(PE_Nom,MATCH(B940,PE_Mat,0)),"Matricule inconnu"))</f>
        <v/>
      </c>
      <c r="D940" s="76" t="str">
        <f aca="false">IF(B940="","",IFERROR(INDEX(PE_Fonction,MATCH(B940,PE_Mat,0)),""))</f>
        <v/>
      </c>
      <c r="E940" s="76" t="str">
        <f aca="false">IF(B940="","",IFERROR(INDEX(PE_Equipe,MATCH(B940,PE_Mat,0)),""))</f>
        <v/>
      </c>
      <c r="F940" s="25"/>
      <c r="G940" s="25"/>
      <c r="H940" s="68"/>
      <c r="I940" s="89"/>
      <c r="J940" s="31" t="str">
        <f aca="false">IF(B940="","",IFERROR(INDEX(PE_Taux,MATCH(B940,PE_Mat,0)),0))</f>
        <v/>
      </c>
      <c r="K940" s="31" t="str">
        <f aca="false">IF(B940="","",IF(H940="A",0,IFERROR(N(I940)/P_Heures*J940,0)))</f>
        <v/>
      </c>
      <c r="L940" s="25"/>
    </row>
    <row r="941" customFormat="false" ht="15" hidden="false" customHeight="false" outlineLevel="0" collapsed="false">
      <c r="A941" s="69"/>
      <c r="B941" s="68"/>
      <c r="C941" s="76" t="str">
        <f aca="false">IF(B941="","",IFERROR(INDEX(PE_Nom,MATCH(B941,PE_Mat,0)),"Matricule inconnu"))</f>
        <v/>
      </c>
      <c r="D941" s="76" t="str">
        <f aca="false">IF(B941="","",IFERROR(INDEX(PE_Fonction,MATCH(B941,PE_Mat,0)),""))</f>
        <v/>
      </c>
      <c r="E941" s="76" t="str">
        <f aca="false">IF(B941="","",IFERROR(INDEX(PE_Equipe,MATCH(B941,PE_Mat,0)),""))</f>
        <v/>
      </c>
      <c r="F941" s="25"/>
      <c r="G941" s="25"/>
      <c r="H941" s="68"/>
      <c r="I941" s="89"/>
      <c r="J941" s="31" t="str">
        <f aca="false">IF(B941="","",IFERROR(INDEX(PE_Taux,MATCH(B941,PE_Mat,0)),0))</f>
        <v/>
      </c>
      <c r="K941" s="31" t="str">
        <f aca="false">IF(B941="","",IF(H941="A",0,IFERROR(N(I941)/P_Heures*J941,0)))</f>
        <v/>
      </c>
      <c r="L941" s="25"/>
    </row>
    <row r="942" customFormat="false" ht="15" hidden="false" customHeight="false" outlineLevel="0" collapsed="false">
      <c r="A942" s="69"/>
      <c r="B942" s="68"/>
      <c r="C942" s="76" t="str">
        <f aca="false">IF(B942="","",IFERROR(INDEX(PE_Nom,MATCH(B942,PE_Mat,0)),"Matricule inconnu"))</f>
        <v/>
      </c>
      <c r="D942" s="76" t="str">
        <f aca="false">IF(B942="","",IFERROR(INDEX(PE_Fonction,MATCH(B942,PE_Mat,0)),""))</f>
        <v/>
      </c>
      <c r="E942" s="76" t="str">
        <f aca="false">IF(B942="","",IFERROR(INDEX(PE_Equipe,MATCH(B942,PE_Mat,0)),""))</f>
        <v/>
      </c>
      <c r="F942" s="25"/>
      <c r="G942" s="25"/>
      <c r="H942" s="68"/>
      <c r="I942" s="89"/>
      <c r="J942" s="31" t="str">
        <f aca="false">IF(B942="","",IFERROR(INDEX(PE_Taux,MATCH(B942,PE_Mat,0)),0))</f>
        <v/>
      </c>
      <c r="K942" s="31" t="str">
        <f aca="false">IF(B942="","",IF(H942="A",0,IFERROR(N(I942)/P_Heures*J942,0)))</f>
        <v/>
      </c>
      <c r="L942" s="25"/>
    </row>
    <row r="943" customFormat="false" ht="15" hidden="false" customHeight="false" outlineLevel="0" collapsed="false">
      <c r="A943" s="69"/>
      <c r="B943" s="68"/>
      <c r="C943" s="76" t="str">
        <f aca="false">IF(B943="","",IFERROR(INDEX(PE_Nom,MATCH(B943,PE_Mat,0)),"Matricule inconnu"))</f>
        <v/>
      </c>
      <c r="D943" s="76" t="str">
        <f aca="false">IF(B943="","",IFERROR(INDEX(PE_Fonction,MATCH(B943,PE_Mat,0)),""))</f>
        <v/>
      </c>
      <c r="E943" s="76" t="str">
        <f aca="false">IF(B943="","",IFERROR(INDEX(PE_Equipe,MATCH(B943,PE_Mat,0)),""))</f>
        <v/>
      </c>
      <c r="F943" s="25"/>
      <c r="G943" s="25"/>
      <c r="H943" s="68"/>
      <c r="I943" s="89"/>
      <c r="J943" s="31" t="str">
        <f aca="false">IF(B943="","",IFERROR(INDEX(PE_Taux,MATCH(B943,PE_Mat,0)),0))</f>
        <v/>
      </c>
      <c r="K943" s="31" t="str">
        <f aca="false">IF(B943="","",IF(H943="A",0,IFERROR(N(I943)/P_Heures*J943,0)))</f>
        <v/>
      </c>
      <c r="L943" s="25"/>
    </row>
    <row r="944" customFormat="false" ht="15" hidden="false" customHeight="false" outlineLevel="0" collapsed="false">
      <c r="A944" s="69"/>
      <c r="B944" s="68"/>
      <c r="C944" s="76" t="str">
        <f aca="false">IF(B944="","",IFERROR(INDEX(PE_Nom,MATCH(B944,PE_Mat,0)),"Matricule inconnu"))</f>
        <v/>
      </c>
      <c r="D944" s="76" t="str">
        <f aca="false">IF(B944="","",IFERROR(INDEX(PE_Fonction,MATCH(B944,PE_Mat,0)),""))</f>
        <v/>
      </c>
      <c r="E944" s="76" t="str">
        <f aca="false">IF(B944="","",IFERROR(INDEX(PE_Equipe,MATCH(B944,PE_Mat,0)),""))</f>
        <v/>
      </c>
      <c r="F944" s="25"/>
      <c r="G944" s="25"/>
      <c r="H944" s="68"/>
      <c r="I944" s="89"/>
      <c r="J944" s="31" t="str">
        <f aca="false">IF(B944="","",IFERROR(INDEX(PE_Taux,MATCH(B944,PE_Mat,0)),0))</f>
        <v/>
      </c>
      <c r="K944" s="31" t="str">
        <f aca="false">IF(B944="","",IF(H944="A",0,IFERROR(N(I944)/P_Heures*J944,0)))</f>
        <v/>
      </c>
      <c r="L944" s="25"/>
    </row>
    <row r="945" customFormat="false" ht="15" hidden="false" customHeight="false" outlineLevel="0" collapsed="false">
      <c r="A945" s="69"/>
      <c r="B945" s="68"/>
      <c r="C945" s="76" t="str">
        <f aca="false">IF(B945="","",IFERROR(INDEX(PE_Nom,MATCH(B945,PE_Mat,0)),"Matricule inconnu"))</f>
        <v/>
      </c>
      <c r="D945" s="76" t="str">
        <f aca="false">IF(B945="","",IFERROR(INDEX(PE_Fonction,MATCH(B945,PE_Mat,0)),""))</f>
        <v/>
      </c>
      <c r="E945" s="76" t="str">
        <f aca="false">IF(B945="","",IFERROR(INDEX(PE_Equipe,MATCH(B945,PE_Mat,0)),""))</f>
        <v/>
      </c>
      <c r="F945" s="25"/>
      <c r="G945" s="25"/>
      <c r="H945" s="68"/>
      <c r="I945" s="89"/>
      <c r="J945" s="31" t="str">
        <f aca="false">IF(B945="","",IFERROR(INDEX(PE_Taux,MATCH(B945,PE_Mat,0)),0))</f>
        <v/>
      </c>
      <c r="K945" s="31" t="str">
        <f aca="false">IF(B945="","",IF(H945="A",0,IFERROR(N(I945)/P_Heures*J945,0)))</f>
        <v/>
      </c>
      <c r="L945" s="25"/>
    </row>
    <row r="946" customFormat="false" ht="15" hidden="false" customHeight="false" outlineLevel="0" collapsed="false">
      <c r="A946" s="69"/>
      <c r="B946" s="68"/>
      <c r="C946" s="76" t="str">
        <f aca="false">IF(B946="","",IFERROR(INDEX(PE_Nom,MATCH(B946,PE_Mat,0)),"Matricule inconnu"))</f>
        <v/>
      </c>
      <c r="D946" s="76" t="str">
        <f aca="false">IF(B946="","",IFERROR(INDEX(PE_Fonction,MATCH(B946,PE_Mat,0)),""))</f>
        <v/>
      </c>
      <c r="E946" s="76" t="str">
        <f aca="false">IF(B946="","",IFERROR(INDEX(PE_Equipe,MATCH(B946,PE_Mat,0)),""))</f>
        <v/>
      </c>
      <c r="F946" s="25"/>
      <c r="G946" s="25"/>
      <c r="H946" s="68"/>
      <c r="I946" s="89"/>
      <c r="J946" s="31" t="str">
        <f aca="false">IF(B946="","",IFERROR(INDEX(PE_Taux,MATCH(B946,PE_Mat,0)),0))</f>
        <v/>
      </c>
      <c r="K946" s="31" t="str">
        <f aca="false">IF(B946="","",IF(H946="A",0,IFERROR(N(I946)/P_Heures*J946,0)))</f>
        <v/>
      </c>
      <c r="L946" s="25"/>
    </row>
    <row r="947" customFormat="false" ht="15" hidden="false" customHeight="false" outlineLevel="0" collapsed="false">
      <c r="A947" s="69"/>
      <c r="B947" s="68"/>
      <c r="C947" s="76" t="str">
        <f aca="false">IF(B947="","",IFERROR(INDEX(PE_Nom,MATCH(B947,PE_Mat,0)),"Matricule inconnu"))</f>
        <v/>
      </c>
      <c r="D947" s="76" t="str">
        <f aca="false">IF(B947="","",IFERROR(INDEX(PE_Fonction,MATCH(B947,PE_Mat,0)),""))</f>
        <v/>
      </c>
      <c r="E947" s="76" t="str">
        <f aca="false">IF(B947="","",IFERROR(INDEX(PE_Equipe,MATCH(B947,PE_Mat,0)),""))</f>
        <v/>
      </c>
      <c r="F947" s="25"/>
      <c r="G947" s="25"/>
      <c r="H947" s="68"/>
      <c r="I947" s="89"/>
      <c r="J947" s="31" t="str">
        <f aca="false">IF(B947="","",IFERROR(INDEX(PE_Taux,MATCH(B947,PE_Mat,0)),0))</f>
        <v/>
      </c>
      <c r="K947" s="31" t="str">
        <f aca="false">IF(B947="","",IF(H947="A",0,IFERROR(N(I947)/P_Heures*J947,0)))</f>
        <v/>
      </c>
      <c r="L947" s="25"/>
    </row>
    <row r="948" customFormat="false" ht="15" hidden="false" customHeight="false" outlineLevel="0" collapsed="false">
      <c r="A948" s="69"/>
      <c r="B948" s="68"/>
      <c r="C948" s="76" t="str">
        <f aca="false">IF(B948="","",IFERROR(INDEX(PE_Nom,MATCH(B948,PE_Mat,0)),"Matricule inconnu"))</f>
        <v/>
      </c>
      <c r="D948" s="76" t="str">
        <f aca="false">IF(B948="","",IFERROR(INDEX(PE_Fonction,MATCH(B948,PE_Mat,0)),""))</f>
        <v/>
      </c>
      <c r="E948" s="76" t="str">
        <f aca="false">IF(B948="","",IFERROR(INDEX(PE_Equipe,MATCH(B948,PE_Mat,0)),""))</f>
        <v/>
      </c>
      <c r="F948" s="25"/>
      <c r="G948" s="25"/>
      <c r="H948" s="68"/>
      <c r="I948" s="89"/>
      <c r="J948" s="31" t="str">
        <f aca="false">IF(B948="","",IFERROR(INDEX(PE_Taux,MATCH(B948,PE_Mat,0)),0))</f>
        <v/>
      </c>
      <c r="K948" s="31" t="str">
        <f aca="false">IF(B948="","",IF(H948="A",0,IFERROR(N(I948)/P_Heures*J948,0)))</f>
        <v/>
      </c>
      <c r="L948" s="25"/>
    </row>
    <row r="949" customFormat="false" ht="15" hidden="false" customHeight="false" outlineLevel="0" collapsed="false">
      <c r="A949" s="69"/>
      <c r="B949" s="68"/>
      <c r="C949" s="76" t="str">
        <f aca="false">IF(B949="","",IFERROR(INDEX(PE_Nom,MATCH(B949,PE_Mat,0)),"Matricule inconnu"))</f>
        <v/>
      </c>
      <c r="D949" s="76" t="str">
        <f aca="false">IF(B949="","",IFERROR(INDEX(PE_Fonction,MATCH(B949,PE_Mat,0)),""))</f>
        <v/>
      </c>
      <c r="E949" s="76" t="str">
        <f aca="false">IF(B949="","",IFERROR(INDEX(PE_Equipe,MATCH(B949,PE_Mat,0)),""))</f>
        <v/>
      </c>
      <c r="F949" s="25"/>
      <c r="G949" s="25"/>
      <c r="H949" s="68"/>
      <c r="I949" s="89"/>
      <c r="J949" s="31" t="str">
        <f aca="false">IF(B949="","",IFERROR(INDEX(PE_Taux,MATCH(B949,PE_Mat,0)),0))</f>
        <v/>
      </c>
      <c r="K949" s="31" t="str">
        <f aca="false">IF(B949="","",IF(H949="A",0,IFERROR(N(I949)/P_Heures*J949,0)))</f>
        <v/>
      </c>
      <c r="L949" s="25"/>
    </row>
    <row r="950" customFormat="false" ht="15" hidden="false" customHeight="false" outlineLevel="0" collapsed="false">
      <c r="A950" s="69"/>
      <c r="B950" s="68"/>
      <c r="C950" s="76" t="str">
        <f aca="false">IF(B950="","",IFERROR(INDEX(PE_Nom,MATCH(B950,PE_Mat,0)),"Matricule inconnu"))</f>
        <v/>
      </c>
      <c r="D950" s="76" t="str">
        <f aca="false">IF(B950="","",IFERROR(INDEX(PE_Fonction,MATCH(B950,PE_Mat,0)),""))</f>
        <v/>
      </c>
      <c r="E950" s="76" t="str">
        <f aca="false">IF(B950="","",IFERROR(INDEX(PE_Equipe,MATCH(B950,PE_Mat,0)),""))</f>
        <v/>
      </c>
      <c r="F950" s="25"/>
      <c r="G950" s="25"/>
      <c r="H950" s="68"/>
      <c r="I950" s="89"/>
      <c r="J950" s="31" t="str">
        <f aca="false">IF(B950="","",IFERROR(INDEX(PE_Taux,MATCH(B950,PE_Mat,0)),0))</f>
        <v/>
      </c>
      <c r="K950" s="31" t="str">
        <f aca="false">IF(B950="","",IF(H950="A",0,IFERROR(N(I950)/P_Heures*J950,0)))</f>
        <v/>
      </c>
      <c r="L950" s="25"/>
    </row>
    <row r="951" customFormat="false" ht="15" hidden="false" customHeight="false" outlineLevel="0" collapsed="false">
      <c r="A951" s="69"/>
      <c r="B951" s="68"/>
      <c r="C951" s="76" t="str">
        <f aca="false">IF(B951="","",IFERROR(INDEX(PE_Nom,MATCH(B951,PE_Mat,0)),"Matricule inconnu"))</f>
        <v/>
      </c>
      <c r="D951" s="76" t="str">
        <f aca="false">IF(B951="","",IFERROR(INDEX(PE_Fonction,MATCH(B951,PE_Mat,0)),""))</f>
        <v/>
      </c>
      <c r="E951" s="76" t="str">
        <f aca="false">IF(B951="","",IFERROR(INDEX(PE_Equipe,MATCH(B951,PE_Mat,0)),""))</f>
        <v/>
      </c>
      <c r="F951" s="25"/>
      <c r="G951" s="25"/>
      <c r="H951" s="68"/>
      <c r="I951" s="89"/>
      <c r="J951" s="31" t="str">
        <f aca="false">IF(B951="","",IFERROR(INDEX(PE_Taux,MATCH(B951,PE_Mat,0)),0))</f>
        <v/>
      </c>
      <c r="K951" s="31" t="str">
        <f aca="false">IF(B951="","",IF(H951="A",0,IFERROR(N(I951)/P_Heures*J951,0)))</f>
        <v/>
      </c>
      <c r="L951" s="25"/>
    </row>
    <row r="952" customFormat="false" ht="15" hidden="false" customHeight="false" outlineLevel="0" collapsed="false">
      <c r="A952" s="69"/>
      <c r="B952" s="68"/>
      <c r="C952" s="76" t="str">
        <f aca="false">IF(B952="","",IFERROR(INDEX(PE_Nom,MATCH(B952,PE_Mat,0)),"Matricule inconnu"))</f>
        <v/>
      </c>
      <c r="D952" s="76" t="str">
        <f aca="false">IF(B952="","",IFERROR(INDEX(PE_Fonction,MATCH(B952,PE_Mat,0)),""))</f>
        <v/>
      </c>
      <c r="E952" s="76" t="str">
        <f aca="false">IF(B952="","",IFERROR(INDEX(PE_Equipe,MATCH(B952,PE_Mat,0)),""))</f>
        <v/>
      </c>
      <c r="F952" s="25"/>
      <c r="G952" s="25"/>
      <c r="H952" s="68"/>
      <c r="I952" s="89"/>
      <c r="J952" s="31" t="str">
        <f aca="false">IF(B952="","",IFERROR(INDEX(PE_Taux,MATCH(B952,PE_Mat,0)),0))</f>
        <v/>
      </c>
      <c r="K952" s="31" t="str">
        <f aca="false">IF(B952="","",IF(H952="A",0,IFERROR(N(I952)/P_Heures*J952,0)))</f>
        <v/>
      </c>
      <c r="L952" s="25"/>
    </row>
    <row r="953" customFormat="false" ht="15" hidden="false" customHeight="false" outlineLevel="0" collapsed="false">
      <c r="A953" s="69"/>
      <c r="B953" s="68"/>
      <c r="C953" s="76" t="str">
        <f aca="false">IF(B953="","",IFERROR(INDEX(PE_Nom,MATCH(B953,PE_Mat,0)),"Matricule inconnu"))</f>
        <v/>
      </c>
      <c r="D953" s="76" t="str">
        <f aca="false">IF(B953="","",IFERROR(INDEX(PE_Fonction,MATCH(B953,PE_Mat,0)),""))</f>
        <v/>
      </c>
      <c r="E953" s="76" t="str">
        <f aca="false">IF(B953="","",IFERROR(INDEX(PE_Equipe,MATCH(B953,PE_Mat,0)),""))</f>
        <v/>
      </c>
      <c r="F953" s="25"/>
      <c r="G953" s="25"/>
      <c r="H953" s="68"/>
      <c r="I953" s="89"/>
      <c r="J953" s="31" t="str">
        <f aca="false">IF(B953="","",IFERROR(INDEX(PE_Taux,MATCH(B953,PE_Mat,0)),0))</f>
        <v/>
      </c>
      <c r="K953" s="31" t="str">
        <f aca="false">IF(B953="","",IF(H953="A",0,IFERROR(N(I953)/P_Heures*J953,0)))</f>
        <v/>
      </c>
      <c r="L953" s="25"/>
    </row>
    <row r="954" customFormat="false" ht="15" hidden="false" customHeight="false" outlineLevel="0" collapsed="false">
      <c r="A954" s="69"/>
      <c r="B954" s="68"/>
      <c r="C954" s="76" t="str">
        <f aca="false">IF(B954="","",IFERROR(INDEX(PE_Nom,MATCH(B954,PE_Mat,0)),"Matricule inconnu"))</f>
        <v/>
      </c>
      <c r="D954" s="76" t="str">
        <f aca="false">IF(B954="","",IFERROR(INDEX(PE_Fonction,MATCH(B954,PE_Mat,0)),""))</f>
        <v/>
      </c>
      <c r="E954" s="76" t="str">
        <f aca="false">IF(B954="","",IFERROR(INDEX(PE_Equipe,MATCH(B954,PE_Mat,0)),""))</f>
        <v/>
      </c>
      <c r="F954" s="25"/>
      <c r="G954" s="25"/>
      <c r="H954" s="68"/>
      <c r="I954" s="89"/>
      <c r="J954" s="31" t="str">
        <f aca="false">IF(B954="","",IFERROR(INDEX(PE_Taux,MATCH(B954,PE_Mat,0)),0))</f>
        <v/>
      </c>
      <c r="K954" s="31" t="str">
        <f aca="false">IF(B954="","",IF(H954="A",0,IFERROR(N(I954)/P_Heures*J954,0)))</f>
        <v/>
      </c>
      <c r="L954" s="25"/>
    </row>
    <row r="955" customFormat="false" ht="15" hidden="false" customHeight="false" outlineLevel="0" collapsed="false">
      <c r="A955" s="69"/>
      <c r="B955" s="68"/>
      <c r="C955" s="76" t="str">
        <f aca="false">IF(B955="","",IFERROR(INDEX(PE_Nom,MATCH(B955,PE_Mat,0)),"Matricule inconnu"))</f>
        <v/>
      </c>
      <c r="D955" s="76" t="str">
        <f aca="false">IF(B955="","",IFERROR(INDEX(PE_Fonction,MATCH(B955,PE_Mat,0)),""))</f>
        <v/>
      </c>
      <c r="E955" s="76" t="str">
        <f aca="false">IF(B955="","",IFERROR(INDEX(PE_Equipe,MATCH(B955,PE_Mat,0)),""))</f>
        <v/>
      </c>
      <c r="F955" s="25"/>
      <c r="G955" s="25"/>
      <c r="H955" s="68"/>
      <c r="I955" s="89"/>
      <c r="J955" s="31" t="str">
        <f aca="false">IF(B955="","",IFERROR(INDEX(PE_Taux,MATCH(B955,PE_Mat,0)),0))</f>
        <v/>
      </c>
      <c r="K955" s="31" t="str">
        <f aca="false">IF(B955="","",IF(H955="A",0,IFERROR(N(I955)/P_Heures*J955,0)))</f>
        <v/>
      </c>
      <c r="L955" s="25"/>
    </row>
    <row r="956" customFormat="false" ht="15" hidden="false" customHeight="false" outlineLevel="0" collapsed="false">
      <c r="A956" s="69"/>
      <c r="B956" s="68"/>
      <c r="C956" s="76" t="str">
        <f aca="false">IF(B956="","",IFERROR(INDEX(PE_Nom,MATCH(B956,PE_Mat,0)),"Matricule inconnu"))</f>
        <v/>
      </c>
      <c r="D956" s="76" t="str">
        <f aca="false">IF(B956="","",IFERROR(INDEX(PE_Fonction,MATCH(B956,PE_Mat,0)),""))</f>
        <v/>
      </c>
      <c r="E956" s="76" t="str">
        <f aca="false">IF(B956="","",IFERROR(INDEX(PE_Equipe,MATCH(B956,PE_Mat,0)),""))</f>
        <v/>
      </c>
      <c r="F956" s="25"/>
      <c r="G956" s="25"/>
      <c r="H956" s="68"/>
      <c r="I956" s="89"/>
      <c r="J956" s="31" t="str">
        <f aca="false">IF(B956="","",IFERROR(INDEX(PE_Taux,MATCH(B956,PE_Mat,0)),0))</f>
        <v/>
      </c>
      <c r="K956" s="31" t="str">
        <f aca="false">IF(B956="","",IF(H956="A",0,IFERROR(N(I956)/P_Heures*J956,0)))</f>
        <v/>
      </c>
      <c r="L956" s="25"/>
    </row>
    <row r="957" customFormat="false" ht="15" hidden="false" customHeight="false" outlineLevel="0" collapsed="false">
      <c r="A957" s="69"/>
      <c r="B957" s="68"/>
      <c r="C957" s="76" t="str">
        <f aca="false">IF(B957="","",IFERROR(INDEX(PE_Nom,MATCH(B957,PE_Mat,0)),"Matricule inconnu"))</f>
        <v/>
      </c>
      <c r="D957" s="76" t="str">
        <f aca="false">IF(B957="","",IFERROR(INDEX(PE_Fonction,MATCH(B957,PE_Mat,0)),""))</f>
        <v/>
      </c>
      <c r="E957" s="76" t="str">
        <f aca="false">IF(B957="","",IFERROR(INDEX(PE_Equipe,MATCH(B957,PE_Mat,0)),""))</f>
        <v/>
      </c>
      <c r="F957" s="25"/>
      <c r="G957" s="25"/>
      <c r="H957" s="68"/>
      <c r="I957" s="89"/>
      <c r="J957" s="31" t="str">
        <f aca="false">IF(B957="","",IFERROR(INDEX(PE_Taux,MATCH(B957,PE_Mat,0)),0))</f>
        <v/>
      </c>
      <c r="K957" s="31" t="str">
        <f aca="false">IF(B957="","",IF(H957="A",0,IFERROR(N(I957)/P_Heures*J957,0)))</f>
        <v/>
      </c>
      <c r="L957" s="25"/>
    </row>
    <row r="958" customFormat="false" ht="15" hidden="false" customHeight="false" outlineLevel="0" collapsed="false">
      <c r="A958" s="69"/>
      <c r="B958" s="68"/>
      <c r="C958" s="76" t="str">
        <f aca="false">IF(B958="","",IFERROR(INDEX(PE_Nom,MATCH(B958,PE_Mat,0)),"Matricule inconnu"))</f>
        <v/>
      </c>
      <c r="D958" s="76" t="str">
        <f aca="false">IF(B958="","",IFERROR(INDEX(PE_Fonction,MATCH(B958,PE_Mat,0)),""))</f>
        <v/>
      </c>
      <c r="E958" s="76" t="str">
        <f aca="false">IF(B958="","",IFERROR(INDEX(PE_Equipe,MATCH(B958,PE_Mat,0)),""))</f>
        <v/>
      </c>
      <c r="F958" s="25"/>
      <c r="G958" s="25"/>
      <c r="H958" s="68"/>
      <c r="I958" s="89"/>
      <c r="J958" s="31" t="str">
        <f aca="false">IF(B958="","",IFERROR(INDEX(PE_Taux,MATCH(B958,PE_Mat,0)),0))</f>
        <v/>
      </c>
      <c r="K958" s="31" t="str">
        <f aca="false">IF(B958="","",IF(H958="A",0,IFERROR(N(I958)/P_Heures*J958,0)))</f>
        <v/>
      </c>
      <c r="L958" s="25"/>
    </row>
    <row r="959" customFormat="false" ht="15" hidden="false" customHeight="false" outlineLevel="0" collapsed="false">
      <c r="A959" s="69"/>
      <c r="B959" s="68"/>
      <c r="C959" s="76" t="str">
        <f aca="false">IF(B959="","",IFERROR(INDEX(PE_Nom,MATCH(B959,PE_Mat,0)),"Matricule inconnu"))</f>
        <v/>
      </c>
      <c r="D959" s="76" t="str">
        <f aca="false">IF(B959="","",IFERROR(INDEX(PE_Fonction,MATCH(B959,PE_Mat,0)),""))</f>
        <v/>
      </c>
      <c r="E959" s="76" t="str">
        <f aca="false">IF(B959="","",IFERROR(INDEX(PE_Equipe,MATCH(B959,PE_Mat,0)),""))</f>
        <v/>
      </c>
      <c r="F959" s="25"/>
      <c r="G959" s="25"/>
      <c r="H959" s="68"/>
      <c r="I959" s="89"/>
      <c r="J959" s="31" t="str">
        <f aca="false">IF(B959="","",IFERROR(INDEX(PE_Taux,MATCH(B959,PE_Mat,0)),0))</f>
        <v/>
      </c>
      <c r="K959" s="31" t="str">
        <f aca="false">IF(B959="","",IF(H959="A",0,IFERROR(N(I959)/P_Heures*J959,0)))</f>
        <v/>
      </c>
      <c r="L959" s="25"/>
    </row>
    <row r="960" customFormat="false" ht="15" hidden="false" customHeight="false" outlineLevel="0" collapsed="false">
      <c r="A960" s="69"/>
      <c r="B960" s="68"/>
      <c r="C960" s="76" t="str">
        <f aca="false">IF(B960="","",IFERROR(INDEX(PE_Nom,MATCH(B960,PE_Mat,0)),"Matricule inconnu"))</f>
        <v/>
      </c>
      <c r="D960" s="76" t="str">
        <f aca="false">IF(B960="","",IFERROR(INDEX(PE_Fonction,MATCH(B960,PE_Mat,0)),""))</f>
        <v/>
      </c>
      <c r="E960" s="76" t="str">
        <f aca="false">IF(B960="","",IFERROR(INDEX(PE_Equipe,MATCH(B960,PE_Mat,0)),""))</f>
        <v/>
      </c>
      <c r="F960" s="25"/>
      <c r="G960" s="25"/>
      <c r="H960" s="68"/>
      <c r="I960" s="89"/>
      <c r="J960" s="31" t="str">
        <f aca="false">IF(B960="","",IFERROR(INDEX(PE_Taux,MATCH(B960,PE_Mat,0)),0))</f>
        <v/>
      </c>
      <c r="K960" s="31" t="str">
        <f aca="false">IF(B960="","",IF(H960="A",0,IFERROR(N(I960)/P_Heures*J960,0)))</f>
        <v/>
      </c>
      <c r="L960" s="25"/>
    </row>
    <row r="961" customFormat="false" ht="15" hidden="false" customHeight="false" outlineLevel="0" collapsed="false">
      <c r="A961" s="69"/>
      <c r="B961" s="68"/>
      <c r="C961" s="76" t="str">
        <f aca="false">IF(B961="","",IFERROR(INDEX(PE_Nom,MATCH(B961,PE_Mat,0)),"Matricule inconnu"))</f>
        <v/>
      </c>
      <c r="D961" s="76" t="str">
        <f aca="false">IF(B961="","",IFERROR(INDEX(PE_Fonction,MATCH(B961,PE_Mat,0)),""))</f>
        <v/>
      </c>
      <c r="E961" s="76" t="str">
        <f aca="false">IF(B961="","",IFERROR(INDEX(PE_Equipe,MATCH(B961,PE_Mat,0)),""))</f>
        <v/>
      </c>
      <c r="F961" s="25"/>
      <c r="G961" s="25"/>
      <c r="H961" s="68"/>
      <c r="I961" s="89"/>
      <c r="J961" s="31" t="str">
        <f aca="false">IF(B961="","",IFERROR(INDEX(PE_Taux,MATCH(B961,PE_Mat,0)),0))</f>
        <v/>
      </c>
      <c r="K961" s="31" t="str">
        <f aca="false">IF(B961="","",IF(H961="A",0,IFERROR(N(I961)/P_Heures*J961,0)))</f>
        <v/>
      </c>
      <c r="L961" s="25"/>
    </row>
    <row r="962" customFormat="false" ht="15" hidden="false" customHeight="false" outlineLevel="0" collapsed="false">
      <c r="A962" s="69"/>
      <c r="B962" s="68"/>
      <c r="C962" s="76" t="str">
        <f aca="false">IF(B962="","",IFERROR(INDEX(PE_Nom,MATCH(B962,PE_Mat,0)),"Matricule inconnu"))</f>
        <v/>
      </c>
      <c r="D962" s="76" t="str">
        <f aca="false">IF(B962="","",IFERROR(INDEX(PE_Fonction,MATCH(B962,PE_Mat,0)),""))</f>
        <v/>
      </c>
      <c r="E962" s="76" t="str">
        <f aca="false">IF(B962="","",IFERROR(INDEX(PE_Equipe,MATCH(B962,PE_Mat,0)),""))</f>
        <v/>
      </c>
      <c r="F962" s="25"/>
      <c r="G962" s="25"/>
      <c r="H962" s="68"/>
      <c r="I962" s="89"/>
      <c r="J962" s="31" t="str">
        <f aca="false">IF(B962="","",IFERROR(INDEX(PE_Taux,MATCH(B962,PE_Mat,0)),0))</f>
        <v/>
      </c>
      <c r="K962" s="31" t="str">
        <f aca="false">IF(B962="","",IF(H962="A",0,IFERROR(N(I962)/P_Heures*J962,0)))</f>
        <v/>
      </c>
      <c r="L962" s="25"/>
    </row>
    <row r="963" customFormat="false" ht="15" hidden="false" customHeight="false" outlineLevel="0" collapsed="false">
      <c r="A963" s="69"/>
      <c r="B963" s="68"/>
      <c r="C963" s="76" t="str">
        <f aca="false">IF(B963="","",IFERROR(INDEX(PE_Nom,MATCH(B963,PE_Mat,0)),"Matricule inconnu"))</f>
        <v/>
      </c>
      <c r="D963" s="76" t="str">
        <f aca="false">IF(B963="","",IFERROR(INDEX(PE_Fonction,MATCH(B963,PE_Mat,0)),""))</f>
        <v/>
      </c>
      <c r="E963" s="76" t="str">
        <f aca="false">IF(B963="","",IFERROR(INDEX(PE_Equipe,MATCH(B963,PE_Mat,0)),""))</f>
        <v/>
      </c>
      <c r="F963" s="25"/>
      <c r="G963" s="25"/>
      <c r="H963" s="68"/>
      <c r="I963" s="89"/>
      <c r="J963" s="31" t="str">
        <f aca="false">IF(B963="","",IFERROR(INDEX(PE_Taux,MATCH(B963,PE_Mat,0)),0))</f>
        <v/>
      </c>
      <c r="K963" s="31" t="str">
        <f aca="false">IF(B963="","",IF(H963="A",0,IFERROR(N(I963)/P_Heures*J963,0)))</f>
        <v/>
      </c>
      <c r="L963" s="25"/>
    </row>
    <row r="964" customFormat="false" ht="15" hidden="false" customHeight="false" outlineLevel="0" collapsed="false">
      <c r="A964" s="69"/>
      <c r="B964" s="68"/>
      <c r="C964" s="76" t="str">
        <f aca="false">IF(B964="","",IFERROR(INDEX(PE_Nom,MATCH(B964,PE_Mat,0)),"Matricule inconnu"))</f>
        <v/>
      </c>
      <c r="D964" s="76" t="str">
        <f aca="false">IF(B964="","",IFERROR(INDEX(PE_Fonction,MATCH(B964,PE_Mat,0)),""))</f>
        <v/>
      </c>
      <c r="E964" s="76" t="str">
        <f aca="false">IF(B964="","",IFERROR(INDEX(PE_Equipe,MATCH(B964,PE_Mat,0)),""))</f>
        <v/>
      </c>
      <c r="F964" s="25"/>
      <c r="G964" s="25"/>
      <c r="H964" s="68"/>
      <c r="I964" s="89"/>
      <c r="J964" s="31" t="str">
        <f aca="false">IF(B964="","",IFERROR(INDEX(PE_Taux,MATCH(B964,PE_Mat,0)),0))</f>
        <v/>
      </c>
      <c r="K964" s="31" t="str">
        <f aca="false">IF(B964="","",IF(H964="A",0,IFERROR(N(I964)/P_Heures*J964,0)))</f>
        <v/>
      </c>
      <c r="L964" s="25"/>
    </row>
    <row r="965" customFormat="false" ht="15" hidden="false" customHeight="false" outlineLevel="0" collapsed="false">
      <c r="A965" s="69"/>
      <c r="B965" s="68"/>
      <c r="C965" s="76" t="str">
        <f aca="false">IF(B965="","",IFERROR(INDEX(PE_Nom,MATCH(B965,PE_Mat,0)),"Matricule inconnu"))</f>
        <v/>
      </c>
      <c r="D965" s="76" t="str">
        <f aca="false">IF(B965="","",IFERROR(INDEX(PE_Fonction,MATCH(B965,PE_Mat,0)),""))</f>
        <v/>
      </c>
      <c r="E965" s="76" t="str">
        <f aca="false">IF(B965="","",IFERROR(INDEX(PE_Equipe,MATCH(B965,PE_Mat,0)),""))</f>
        <v/>
      </c>
      <c r="F965" s="25"/>
      <c r="G965" s="25"/>
      <c r="H965" s="68"/>
      <c r="I965" s="89"/>
      <c r="J965" s="31" t="str">
        <f aca="false">IF(B965="","",IFERROR(INDEX(PE_Taux,MATCH(B965,PE_Mat,0)),0))</f>
        <v/>
      </c>
      <c r="K965" s="31" t="str">
        <f aca="false">IF(B965="","",IF(H965="A",0,IFERROR(N(I965)/P_Heures*J965,0)))</f>
        <v/>
      </c>
      <c r="L965" s="25"/>
    </row>
    <row r="966" customFormat="false" ht="15" hidden="false" customHeight="false" outlineLevel="0" collapsed="false">
      <c r="A966" s="69"/>
      <c r="B966" s="68"/>
      <c r="C966" s="76" t="str">
        <f aca="false">IF(B966="","",IFERROR(INDEX(PE_Nom,MATCH(B966,PE_Mat,0)),"Matricule inconnu"))</f>
        <v/>
      </c>
      <c r="D966" s="76" t="str">
        <f aca="false">IF(B966="","",IFERROR(INDEX(PE_Fonction,MATCH(B966,PE_Mat,0)),""))</f>
        <v/>
      </c>
      <c r="E966" s="76" t="str">
        <f aca="false">IF(B966="","",IFERROR(INDEX(PE_Equipe,MATCH(B966,PE_Mat,0)),""))</f>
        <v/>
      </c>
      <c r="F966" s="25"/>
      <c r="G966" s="25"/>
      <c r="H966" s="68"/>
      <c r="I966" s="89"/>
      <c r="J966" s="31" t="str">
        <f aca="false">IF(B966="","",IFERROR(INDEX(PE_Taux,MATCH(B966,PE_Mat,0)),0))</f>
        <v/>
      </c>
      <c r="K966" s="31" t="str">
        <f aca="false">IF(B966="","",IF(H966="A",0,IFERROR(N(I966)/P_Heures*J966,0)))</f>
        <v/>
      </c>
      <c r="L966" s="25"/>
    </row>
    <row r="967" customFormat="false" ht="15" hidden="false" customHeight="false" outlineLevel="0" collapsed="false">
      <c r="A967" s="69"/>
      <c r="B967" s="68"/>
      <c r="C967" s="76" t="str">
        <f aca="false">IF(B967="","",IFERROR(INDEX(PE_Nom,MATCH(B967,PE_Mat,0)),"Matricule inconnu"))</f>
        <v/>
      </c>
      <c r="D967" s="76" t="str">
        <f aca="false">IF(B967="","",IFERROR(INDEX(PE_Fonction,MATCH(B967,PE_Mat,0)),""))</f>
        <v/>
      </c>
      <c r="E967" s="76" t="str">
        <f aca="false">IF(B967="","",IFERROR(INDEX(PE_Equipe,MATCH(B967,PE_Mat,0)),""))</f>
        <v/>
      </c>
      <c r="F967" s="25"/>
      <c r="G967" s="25"/>
      <c r="H967" s="68"/>
      <c r="I967" s="89"/>
      <c r="J967" s="31" t="str">
        <f aca="false">IF(B967="","",IFERROR(INDEX(PE_Taux,MATCH(B967,PE_Mat,0)),0))</f>
        <v/>
      </c>
      <c r="K967" s="31" t="str">
        <f aca="false">IF(B967="","",IF(H967="A",0,IFERROR(N(I967)/P_Heures*J967,0)))</f>
        <v/>
      </c>
      <c r="L967" s="25"/>
    </row>
    <row r="968" customFormat="false" ht="15" hidden="false" customHeight="false" outlineLevel="0" collapsed="false">
      <c r="A968" s="69"/>
      <c r="B968" s="68"/>
      <c r="C968" s="76" t="str">
        <f aca="false">IF(B968="","",IFERROR(INDEX(PE_Nom,MATCH(B968,PE_Mat,0)),"Matricule inconnu"))</f>
        <v/>
      </c>
      <c r="D968" s="76" t="str">
        <f aca="false">IF(B968="","",IFERROR(INDEX(PE_Fonction,MATCH(B968,PE_Mat,0)),""))</f>
        <v/>
      </c>
      <c r="E968" s="76" t="str">
        <f aca="false">IF(B968="","",IFERROR(INDEX(PE_Equipe,MATCH(B968,PE_Mat,0)),""))</f>
        <v/>
      </c>
      <c r="F968" s="25"/>
      <c r="G968" s="25"/>
      <c r="H968" s="68"/>
      <c r="I968" s="89"/>
      <c r="J968" s="31" t="str">
        <f aca="false">IF(B968="","",IFERROR(INDEX(PE_Taux,MATCH(B968,PE_Mat,0)),0))</f>
        <v/>
      </c>
      <c r="K968" s="31" t="str">
        <f aca="false">IF(B968="","",IF(H968="A",0,IFERROR(N(I968)/P_Heures*J968,0)))</f>
        <v/>
      </c>
      <c r="L968" s="25"/>
    </row>
    <row r="969" customFormat="false" ht="15" hidden="false" customHeight="false" outlineLevel="0" collapsed="false">
      <c r="A969" s="69"/>
      <c r="B969" s="68"/>
      <c r="C969" s="76" t="str">
        <f aca="false">IF(B969="","",IFERROR(INDEX(PE_Nom,MATCH(B969,PE_Mat,0)),"Matricule inconnu"))</f>
        <v/>
      </c>
      <c r="D969" s="76" t="str">
        <f aca="false">IF(B969="","",IFERROR(INDEX(PE_Fonction,MATCH(B969,PE_Mat,0)),""))</f>
        <v/>
      </c>
      <c r="E969" s="76" t="str">
        <f aca="false">IF(B969="","",IFERROR(INDEX(PE_Equipe,MATCH(B969,PE_Mat,0)),""))</f>
        <v/>
      </c>
      <c r="F969" s="25"/>
      <c r="G969" s="25"/>
      <c r="H969" s="68"/>
      <c r="I969" s="89"/>
      <c r="J969" s="31" t="str">
        <f aca="false">IF(B969="","",IFERROR(INDEX(PE_Taux,MATCH(B969,PE_Mat,0)),0))</f>
        <v/>
      </c>
      <c r="K969" s="31" t="str">
        <f aca="false">IF(B969="","",IF(H969="A",0,IFERROR(N(I969)/P_Heures*J969,0)))</f>
        <v/>
      </c>
      <c r="L969" s="25"/>
    </row>
    <row r="970" customFormat="false" ht="15" hidden="false" customHeight="false" outlineLevel="0" collapsed="false">
      <c r="A970" s="69"/>
      <c r="B970" s="68"/>
      <c r="C970" s="76" t="str">
        <f aca="false">IF(B970="","",IFERROR(INDEX(PE_Nom,MATCH(B970,PE_Mat,0)),"Matricule inconnu"))</f>
        <v/>
      </c>
      <c r="D970" s="76" t="str">
        <f aca="false">IF(B970="","",IFERROR(INDEX(PE_Fonction,MATCH(B970,PE_Mat,0)),""))</f>
        <v/>
      </c>
      <c r="E970" s="76" t="str">
        <f aca="false">IF(B970="","",IFERROR(INDEX(PE_Equipe,MATCH(B970,PE_Mat,0)),""))</f>
        <v/>
      </c>
      <c r="F970" s="25"/>
      <c r="G970" s="25"/>
      <c r="H970" s="68"/>
      <c r="I970" s="89"/>
      <c r="J970" s="31" t="str">
        <f aca="false">IF(B970="","",IFERROR(INDEX(PE_Taux,MATCH(B970,PE_Mat,0)),0))</f>
        <v/>
      </c>
      <c r="K970" s="31" t="str">
        <f aca="false">IF(B970="","",IF(H970="A",0,IFERROR(N(I970)/P_Heures*J970,0)))</f>
        <v/>
      </c>
      <c r="L970" s="25"/>
    </row>
    <row r="971" customFormat="false" ht="15" hidden="false" customHeight="false" outlineLevel="0" collapsed="false">
      <c r="A971" s="69"/>
      <c r="B971" s="68"/>
      <c r="C971" s="76" t="str">
        <f aca="false">IF(B971="","",IFERROR(INDEX(PE_Nom,MATCH(B971,PE_Mat,0)),"Matricule inconnu"))</f>
        <v/>
      </c>
      <c r="D971" s="76" t="str">
        <f aca="false">IF(B971="","",IFERROR(INDEX(PE_Fonction,MATCH(B971,PE_Mat,0)),""))</f>
        <v/>
      </c>
      <c r="E971" s="76" t="str">
        <f aca="false">IF(B971="","",IFERROR(INDEX(PE_Equipe,MATCH(B971,PE_Mat,0)),""))</f>
        <v/>
      </c>
      <c r="F971" s="25"/>
      <c r="G971" s="25"/>
      <c r="H971" s="68"/>
      <c r="I971" s="89"/>
      <c r="J971" s="31" t="str">
        <f aca="false">IF(B971="","",IFERROR(INDEX(PE_Taux,MATCH(B971,PE_Mat,0)),0))</f>
        <v/>
      </c>
      <c r="K971" s="31" t="str">
        <f aca="false">IF(B971="","",IF(H971="A",0,IFERROR(N(I971)/P_Heures*J971,0)))</f>
        <v/>
      </c>
      <c r="L971" s="25"/>
    </row>
    <row r="972" customFormat="false" ht="15" hidden="false" customHeight="false" outlineLevel="0" collapsed="false">
      <c r="A972" s="69"/>
      <c r="B972" s="68"/>
      <c r="C972" s="76" t="str">
        <f aca="false">IF(B972="","",IFERROR(INDEX(PE_Nom,MATCH(B972,PE_Mat,0)),"Matricule inconnu"))</f>
        <v/>
      </c>
      <c r="D972" s="76" t="str">
        <f aca="false">IF(B972="","",IFERROR(INDEX(PE_Fonction,MATCH(B972,PE_Mat,0)),""))</f>
        <v/>
      </c>
      <c r="E972" s="76" t="str">
        <f aca="false">IF(B972="","",IFERROR(INDEX(PE_Equipe,MATCH(B972,PE_Mat,0)),""))</f>
        <v/>
      </c>
      <c r="F972" s="25"/>
      <c r="G972" s="25"/>
      <c r="H972" s="68"/>
      <c r="I972" s="89"/>
      <c r="J972" s="31" t="str">
        <f aca="false">IF(B972="","",IFERROR(INDEX(PE_Taux,MATCH(B972,PE_Mat,0)),0))</f>
        <v/>
      </c>
      <c r="K972" s="31" t="str">
        <f aca="false">IF(B972="","",IF(H972="A",0,IFERROR(N(I972)/P_Heures*J972,0)))</f>
        <v/>
      </c>
      <c r="L972" s="25"/>
    </row>
    <row r="973" customFormat="false" ht="15" hidden="false" customHeight="false" outlineLevel="0" collapsed="false">
      <c r="A973" s="69"/>
      <c r="B973" s="68"/>
      <c r="C973" s="76" t="str">
        <f aca="false">IF(B973="","",IFERROR(INDEX(PE_Nom,MATCH(B973,PE_Mat,0)),"Matricule inconnu"))</f>
        <v/>
      </c>
      <c r="D973" s="76" t="str">
        <f aca="false">IF(B973="","",IFERROR(INDEX(PE_Fonction,MATCH(B973,PE_Mat,0)),""))</f>
        <v/>
      </c>
      <c r="E973" s="76" t="str">
        <f aca="false">IF(B973="","",IFERROR(INDEX(PE_Equipe,MATCH(B973,PE_Mat,0)),""))</f>
        <v/>
      </c>
      <c r="F973" s="25"/>
      <c r="G973" s="25"/>
      <c r="H973" s="68"/>
      <c r="I973" s="89"/>
      <c r="J973" s="31" t="str">
        <f aca="false">IF(B973="","",IFERROR(INDEX(PE_Taux,MATCH(B973,PE_Mat,0)),0))</f>
        <v/>
      </c>
      <c r="K973" s="31" t="str">
        <f aca="false">IF(B973="","",IF(H973="A",0,IFERROR(N(I973)/P_Heures*J973,0)))</f>
        <v/>
      </c>
      <c r="L973" s="25"/>
    </row>
    <row r="974" customFormat="false" ht="15" hidden="false" customHeight="false" outlineLevel="0" collapsed="false">
      <c r="A974" s="69"/>
      <c r="B974" s="68"/>
      <c r="C974" s="76" t="str">
        <f aca="false">IF(B974="","",IFERROR(INDEX(PE_Nom,MATCH(B974,PE_Mat,0)),"Matricule inconnu"))</f>
        <v/>
      </c>
      <c r="D974" s="76" t="str">
        <f aca="false">IF(B974="","",IFERROR(INDEX(PE_Fonction,MATCH(B974,PE_Mat,0)),""))</f>
        <v/>
      </c>
      <c r="E974" s="76" t="str">
        <f aca="false">IF(B974="","",IFERROR(INDEX(PE_Equipe,MATCH(B974,PE_Mat,0)),""))</f>
        <v/>
      </c>
      <c r="F974" s="25"/>
      <c r="G974" s="25"/>
      <c r="H974" s="68"/>
      <c r="I974" s="89"/>
      <c r="J974" s="31" t="str">
        <f aca="false">IF(B974="","",IFERROR(INDEX(PE_Taux,MATCH(B974,PE_Mat,0)),0))</f>
        <v/>
      </c>
      <c r="K974" s="31" t="str">
        <f aca="false">IF(B974="","",IF(H974="A",0,IFERROR(N(I974)/P_Heures*J974,0)))</f>
        <v/>
      </c>
      <c r="L974" s="25"/>
    </row>
    <row r="975" customFormat="false" ht="15" hidden="false" customHeight="false" outlineLevel="0" collapsed="false">
      <c r="A975" s="69"/>
      <c r="B975" s="68"/>
      <c r="C975" s="76" t="str">
        <f aca="false">IF(B975="","",IFERROR(INDEX(PE_Nom,MATCH(B975,PE_Mat,0)),"Matricule inconnu"))</f>
        <v/>
      </c>
      <c r="D975" s="76" t="str">
        <f aca="false">IF(B975="","",IFERROR(INDEX(PE_Fonction,MATCH(B975,PE_Mat,0)),""))</f>
        <v/>
      </c>
      <c r="E975" s="76" t="str">
        <f aca="false">IF(B975="","",IFERROR(INDEX(PE_Equipe,MATCH(B975,PE_Mat,0)),""))</f>
        <v/>
      </c>
      <c r="F975" s="25"/>
      <c r="G975" s="25"/>
      <c r="H975" s="68"/>
      <c r="I975" s="89"/>
      <c r="J975" s="31" t="str">
        <f aca="false">IF(B975="","",IFERROR(INDEX(PE_Taux,MATCH(B975,PE_Mat,0)),0))</f>
        <v/>
      </c>
      <c r="K975" s="31" t="str">
        <f aca="false">IF(B975="","",IF(H975="A",0,IFERROR(N(I975)/P_Heures*J975,0)))</f>
        <v/>
      </c>
      <c r="L975" s="25"/>
    </row>
    <row r="976" customFormat="false" ht="15" hidden="false" customHeight="false" outlineLevel="0" collapsed="false">
      <c r="A976" s="69"/>
      <c r="B976" s="68"/>
      <c r="C976" s="76" t="str">
        <f aca="false">IF(B976="","",IFERROR(INDEX(PE_Nom,MATCH(B976,PE_Mat,0)),"Matricule inconnu"))</f>
        <v/>
      </c>
      <c r="D976" s="76" t="str">
        <f aca="false">IF(B976="","",IFERROR(INDEX(PE_Fonction,MATCH(B976,PE_Mat,0)),""))</f>
        <v/>
      </c>
      <c r="E976" s="76" t="str">
        <f aca="false">IF(B976="","",IFERROR(INDEX(PE_Equipe,MATCH(B976,PE_Mat,0)),""))</f>
        <v/>
      </c>
      <c r="F976" s="25"/>
      <c r="G976" s="25"/>
      <c r="H976" s="68"/>
      <c r="I976" s="89"/>
      <c r="J976" s="31" t="str">
        <f aca="false">IF(B976="","",IFERROR(INDEX(PE_Taux,MATCH(B976,PE_Mat,0)),0))</f>
        <v/>
      </c>
      <c r="K976" s="31" t="str">
        <f aca="false">IF(B976="","",IF(H976="A",0,IFERROR(N(I976)/P_Heures*J976,0)))</f>
        <v/>
      </c>
      <c r="L976" s="25"/>
    </row>
    <row r="977" customFormat="false" ht="15" hidden="false" customHeight="false" outlineLevel="0" collapsed="false">
      <c r="A977" s="69"/>
      <c r="B977" s="68"/>
      <c r="C977" s="76" t="str">
        <f aca="false">IF(B977="","",IFERROR(INDEX(PE_Nom,MATCH(B977,PE_Mat,0)),"Matricule inconnu"))</f>
        <v/>
      </c>
      <c r="D977" s="76" t="str">
        <f aca="false">IF(B977="","",IFERROR(INDEX(PE_Fonction,MATCH(B977,PE_Mat,0)),""))</f>
        <v/>
      </c>
      <c r="E977" s="76" t="str">
        <f aca="false">IF(B977="","",IFERROR(INDEX(PE_Equipe,MATCH(B977,PE_Mat,0)),""))</f>
        <v/>
      </c>
      <c r="F977" s="25"/>
      <c r="G977" s="25"/>
      <c r="H977" s="68"/>
      <c r="I977" s="89"/>
      <c r="J977" s="31" t="str">
        <f aca="false">IF(B977="","",IFERROR(INDEX(PE_Taux,MATCH(B977,PE_Mat,0)),0))</f>
        <v/>
      </c>
      <c r="K977" s="31" t="str">
        <f aca="false">IF(B977="","",IF(H977="A",0,IFERROR(N(I977)/P_Heures*J977,0)))</f>
        <v/>
      </c>
      <c r="L977" s="25"/>
    </row>
    <row r="978" customFormat="false" ht="15" hidden="false" customHeight="false" outlineLevel="0" collapsed="false">
      <c r="A978" s="69"/>
      <c r="B978" s="68"/>
      <c r="C978" s="76" t="str">
        <f aca="false">IF(B978="","",IFERROR(INDEX(PE_Nom,MATCH(B978,PE_Mat,0)),"Matricule inconnu"))</f>
        <v/>
      </c>
      <c r="D978" s="76" t="str">
        <f aca="false">IF(B978="","",IFERROR(INDEX(PE_Fonction,MATCH(B978,PE_Mat,0)),""))</f>
        <v/>
      </c>
      <c r="E978" s="76" t="str">
        <f aca="false">IF(B978="","",IFERROR(INDEX(PE_Equipe,MATCH(B978,PE_Mat,0)),""))</f>
        <v/>
      </c>
      <c r="F978" s="25"/>
      <c r="G978" s="25"/>
      <c r="H978" s="68"/>
      <c r="I978" s="89"/>
      <c r="J978" s="31" t="str">
        <f aca="false">IF(B978="","",IFERROR(INDEX(PE_Taux,MATCH(B978,PE_Mat,0)),0))</f>
        <v/>
      </c>
      <c r="K978" s="31" t="str">
        <f aca="false">IF(B978="","",IF(H978="A",0,IFERROR(N(I978)/P_Heures*J978,0)))</f>
        <v/>
      </c>
      <c r="L978" s="25"/>
    </row>
    <row r="979" customFormat="false" ht="15" hidden="false" customHeight="false" outlineLevel="0" collapsed="false">
      <c r="A979" s="69"/>
      <c r="B979" s="68"/>
      <c r="C979" s="76" t="str">
        <f aca="false">IF(B979="","",IFERROR(INDEX(PE_Nom,MATCH(B979,PE_Mat,0)),"Matricule inconnu"))</f>
        <v/>
      </c>
      <c r="D979" s="76" t="str">
        <f aca="false">IF(B979="","",IFERROR(INDEX(PE_Fonction,MATCH(B979,PE_Mat,0)),""))</f>
        <v/>
      </c>
      <c r="E979" s="76" t="str">
        <f aca="false">IF(B979="","",IFERROR(INDEX(PE_Equipe,MATCH(B979,PE_Mat,0)),""))</f>
        <v/>
      </c>
      <c r="F979" s="25"/>
      <c r="G979" s="25"/>
      <c r="H979" s="68"/>
      <c r="I979" s="89"/>
      <c r="J979" s="31" t="str">
        <f aca="false">IF(B979="","",IFERROR(INDEX(PE_Taux,MATCH(B979,PE_Mat,0)),0))</f>
        <v/>
      </c>
      <c r="K979" s="31" t="str">
        <f aca="false">IF(B979="","",IF(H979="A",0,IFERROR(N(I979)/P_Heures*J979,0)))</f>
        <v/>
      </c>
      <c r="L979" s="25"/>
    </row>
    <row r="980" customFormat="false" ht="15" hidden="false" customHeight="false" outlineLevel="0" collapsed="false">
      <c r="A980" s="69"/>
      <c r="B980" s="68"/>
      <c r="C980" s="76" t="str">
        <f aca="false">IF(B980="","",IFERROR(INDEX(PE_Nom,MATCH(B980,PE_Mat,0)),"Matricule inconnu"))</f>
        <v/>
      </c>
      <c r="D980" s="76" t="str">
        <f aca="false">IF(B980="","",IFERROR(INDEX(PE_Fonction,MATCH(B980,PE_Mat,0)),""))</f>
        <v/>
      </c>
      <c r="E980" s="76" t="str">
        <f aca="false">IF(B980="","",IFERROR(INDEX(PE_Equipe,MATCH(B980,PE_Mat,0)),""))</f>
        <v/>
      </c>
      <c r="F980" s="25"/>
      <c r="G980" s="25"/>
      <c r="H980" s="68"/>
      <c r="I980" s="89"/>
      <c r="J980" s="31" t="str">
        <f aca="false">IF(B980="","",IFERROR(INDEX(PE_Taux,MATCH(B980,PE_Mat,0)),0))</f>
        <v/>
      </c>
      <c r="K980" s="31" t="str">
        <f aca="false">IF(B980="","",IF(H980="A",0,IFERROR(N(I980)/P_Heures*J980,0)))</f>
        <v/>
      </c>
      <c r="L980" s="25"/>
    </row>
    <row r="981" customFormat="false" ht="15" hidden="false" customHeight="false" outlineLevel="0" collapsed="false">
      <c r="A981" s="69"/>
      <c r="B981" s="68"/>
      <c r="C981" s="76" t="str">
        <f aca="false">IF(B981="","",IFERROR(INDEX(PE_Nom,MATCH(B981,PE_Mat,0)),"Matricule inconnu"))</f>
        <v/>
      </c>
      <c r="D981" s="76" t="str">
        <f aca="false">IF(B981="","",IFERROR(INDEX(PE_Fonction,MATCH(B981,PE_Mat,0)),""))</f>
        <v/>
      </c>
      <c r="E981" s="76" t="str">
        <f aca="false">IF(B981="","",IFERROR(INDEX(PE_Equipe,MATCH(B981,PE_Mat,0)),""))</f>
        <v/>
      </c>
      <c r="F981" s="25"/>
      <c r="G981" s="25"/>
      <c r="H981" s="68"/>
      <c r="I981" s="89"/>
      <c r="J981" s="31" t="str">
        <f aca="false">IF(B981="","",IFERROR(INDEX(PE_Taux,MATCH(B981,PE_Mat,0)),0))</f>
        <v/>
      </c>
      <c r="K981" s="31" t="str">
        <f aca="false">IF(B981="","",IF(H981="A",0,IFERROR(N(I981)/P_Heures*J981,0)))</f>
        <v/>
      </c>
      <c r="L981" s="25"/>
    </row>
    <row r="982" customFormat="false" ht="15" hidden="false" customHeight="false" outlineLevel="0" collapsed="false">
      <c r="A982" s="69"/>
      <c r="B982" s="68"/>
      <c r="C982" s="76" t="str">
        <f aca="false">IF(B982="","",IFERROR(INDEX(PE_Nom,MATCH(B982,PE_Mat,0)),"Matricule inconnu"))</f>
        <v/>
      </c>
      <c r="D982" s="76" t="str">
        <f aca="false">IF(B982="","",IFERROR(INDEX(PE_Fonction,MATCH(B982,PE_Mat,0)),""))</f>
        <v/>
      </c>
      <c r="E982" s="76" t="str">
        <f aca="false">IF(B982="","",IFERROR(INDEX(PE_Equipe,MATCH(B982,PE_Mat,0)),""))</f>
        <v/>
      </c>
      <c r="F982" s="25"/>
      <c r="G982" s="25"/>
      <c r="H982" s="68"/>
      <c r="I982" s="89"/>
      <c r="J982" s="31" t="str">
        <f aca="false">IF(B982="","",IFERROR(INDEX(PE_Taux,MATCH(B982,PE_Mat,0)),0))</f>
        <v/>
      </c>
      <c r="K982" s="31" t="str">
        <f aca="false">IF(B982="","",IF(H982="A",0,IFERROR(N(I982)/P_Heures*J982,0)))</f>
        <v/>
      </c>
      <c r="L982" s="25"/>
    </row>
    <row r="983" customFormat="false" ht="15" hidden="false" customHeight="false" outlineLevel="0" collapsed="false">
      <c r="A983" s="69"/>
      <c r="B983" s="68"/>
      <c r="C983" s="76" t="str">
        <f aca="false">IF(B983="","",IFERROR(INDEX(PE_Nom,MATCH(B983,PE_Mat,0)),"Matricule inconnu"))</f>
        <v/>
      </c>
      <c r="D983" s="76" t="str">
        <f aca="false">IF(B983="","",IFERROR(INDEX(PE_Fonction,MATCH(B983,PE_Mat,0)),""))</f>
        <v/>
      </c>
      <c r="E983" s="76" t="str">
        <f aca="false">IF(B983="","",IFERROR(INDEX(PE_Equipe,MATCH(B983,PE_Mat,0)),""))</f>
        <v/>
      </c>
      <c r="F983" s="25"/>
      <c r="G983" s="25"/>
      <c r="H983" s="68"/>
      <c r="I983" s="89"/>
      <c r="J983" s="31" t="str">
        <f aca="false">IF(B983="","",IFERROR(INDEX(PE_Taux,MATCH(B983,PE_Mat,0)),0))</f>
        <v/>
      </c>
      <c r="K983" s="31" t="str">
        <f aca="false">IF(B983="","",IF(H983="A",0,IFERROR(N(I983)/P_Heures*J983,0)))</f>
        <v/>
      </c>
      <c r="L983" s="25"/>
    </row>
    <row r="984" customFormat="false" ht="15" hidden="false" customHeight="false" outlineLevel="0" collapsed="false">
      <c r="A984" s="69"/>
      <c r="B984" s="68"/>
      <c r="C984" s="76" t="str">
        <f aca="false">IF(B984="","",IFERROR(INDEX(PE_Nom,MATCH(B984,PE_Mat,0)),"Matricule inconnu"))</f>
        <v/>
      </c>
      <c r="D984" s="76" t="str">
        <f aca="false">IF(B984="","",IFERROR(INDEX(PE_Fonction,MATCH(B984,PE_Mat,0)),""))</f>
        <v/>
      </c>
      <c r="E984" s="76" t="str">
        <f aca="false">IF(B984="","",IFERROR(INDEX(PE_Equipe,MATCH(B984,PE_Mat,0)),""))</f>
        <v/>
      </c>
      <c r="F984" s="25"/>
      <c r="G984" s="25"/>
      <c r="H984" s="68"/>
      <c r="I984" s="89"/>
      <c r="J984" s="31" t="str">
        <f aca="false">IF(B984="","",IFERROR(INDEX(PE_Taux,MATCH(B984,PE_Mat,0)),0))</f>
        <v/>
      </c>
      <c r="K984" s="31" t="str">
        <f aca="false">IF(B984="","",IF(H984="A",0,IFERROR(N(I984)/P_Heures*J984,0)))</f>
        <v/>
      </c>
      <c r="L984" s="25"/>
    </row>
    <row r="985" customFormat="false" ht="15" hidden="false" customHeight="false" outlineLevel="0" collapsed="false">
      <c r="A985" s="69"/>
      <c r="B985" s="68"/>
      <c r="C985" s="76" t="str">
        <f aca="false">IF(B985="","",IFERROR(INDEX(PE_Nom,MATCH(B985,PE_Mat,0)),"Matricule inconnu"))</f>
        <v/>
      </c>
      <c r="D985" s="76" t="str">
        <f aca="false">IF(B985="","",IFERROR(INDEX(PE_Fonction,MATCH(B985,PE_Mat,0)),""))</f>
        <v/>
      </c>
      <c r="E985" s="76" t="str">
        <f aca="false">IF(B985="","",IFERROR(INDEX(PE_Equipe,MATCH(B985,PE_Mat,0)),""))</f>
        <v/>
      </c>
      <c r="F985" s="25"/>
      <c r="G985" s="25"/>
      <c r="H985" s="68"/>
      <c r="I985" s="89"/>
      <c r="J985" s="31" t="str">
        <f aca="false">IF(B985="","",IFERROR(INDEX(PE_Taux,MATCH(B985,PE_Mat,0)),0))</f>
        <v/>
      </c>
      <c r="K985" s="31" t="str">
        <f aca="false">IF(B985="","",IF(H985="A",0,IFERROR(N(I985)/P_Heures*J985,0)))</f>
        <v/>
      </c>
      <c r="L985" s="25"/>
    </row>
    <row r="986" customFormat="false" ht="15" hidden="false" customHeight="false" outlineLevel="0" collapsed="false">
      <c r="A986" s="69"/>
      <c r="B986" s="68"/>
      <c r="C986" s="76" t="str">
        <f aca="false">IF(B986="","",IFERROR(INDEX(PE_Nom,MATCH(B986,PE_Mat,0)),"Matricule inconnu"))</f>
        <v/>
      </c>
      <c r="D986" s="76" t="str">
        <f aca="false">IF(B986="","",IFERROR(INDEX(PE_Fonction,MATCH(B986,PE_Mat,0)),""))</f>
        <v/>
      </c>
      <c r="E986" s="76" t="str">
        <f aca="false">IF(B986="","",IFERROR(INDEX(PE_Equipe,MATCH(B986,PE_Mat,0)),""))</f>
        <v/>
      </c>
      <c r="F986" s="25"/>
      <c r="G986" s="25"/>
      <c r="H986" s="68"/>
      <c r="I986" s="89"/>
      <c r="J986" s="31" t="str">
        <f aca="false">IF(B986="","",IFERROR(INDEX(PE_Taux,MATCH(B986,PE_Mat,0)),0))</f>
        <v/>
      </c>
      <c r="K986" s="31" t="str">
        <f aca="false">IF(B986="","",IF(H986="A",0,IFERROR(N(I986)/P_Heures*J986,0)))</f>
        <v/>
      </c>
      <c r="L986" s="25"/>
    </row>
    <row r="987" customFormat="false" ht="15" hidden="false" customHeight="false" outlineLevel="0" collapsed="false">
      <c r="A987" s="69"/>
      <c r="B987" s="68"/>
      <c r="C987" s="76" t="str">
        <f aca="false">IF(B987="","",IFERROR(INDEX(PE_Nom,MATCH(B987,PE_Mat,0)),"Matricule inconnu"))</f>
        <v/>
      </c>
      <c r="D987" s="76" t="str">
        <f aca="false">IF(B987="","",IFERROR(INDEX(PE_Fonction,MATCH(B987,PE_Mat,0)),""))</f>
        <v/>
      </c>
      <c r="E987" s="76" t="str">
        <f aca="false">IF(B987="","",IFERROR(INDEX(PE_Equipe,MATCH(B987,PE_Mat,0)),""))</f>
        <v/>
      </c>
      <c r="F987" s="25"/>
      <c r="G987" s="25"/>
      <c r="H987" s="68"/>
      <c r="I987" s="89"/>
      <c r="J987" s="31" t="str">
        <f aca="false">IF(B987="","",IFERROR(INDEX(PE_Taux,MATCH(B987,PE_Mat,0)),0))</f>
        <v/>
      </c>
      <c r="K987" s="31" t="str">
        <f aca="false">IF(B987="","",IF(H987="A",0,IFERROR(N(I987)/P_Heures*J987,0)))</f>
        <v/>
      </c>
      <c r="L987" s="25"/>
    </row>
    <row r="988" customFormat="false" ht="15" hidden="false" customHeight="false" outlineLevel="0" collapsed="false">
      <c r="A988" s="69"/>
      <c r="B988" s="68"/>
      <c r="C988" s="76" t="str">
        <f aca="false">IF(B988="","",IFERROR(INDEX(PE_Nom,MATCH(B988,PE_Mat,0)),"Matricule inconnu"))</f>
        <v/>
      </c>
      <c r="D988" s="76" t="str">
        <f aca="false">IF(B988="","",IFERROR(INDEX(PE_Fonction,MATCH(B988,PE_Mat,0)),""))</f>
        <v/>
      </c>
      <c r="E988" s="76" t="str">
        <f aca="false">IF(B988="","",IFERROR(INDEX(PE_Equipe,MATCH(B988,PE_Mat,0)),""))</f>
        <v/>
      </c>
      <c r="F988" s="25"/>
      <c r="G988" s="25"/>
      <c r="H988" s="68"/>
      <c r="I988" s="89"/>
      <c r="J988" s="31" t="str">
        <f aca="false">IF(B988="","",IFERROR(INDEX(PE_Taux,MATCH(B988,PE_Mat,0)),0))</f>
        <v/>
      </c>
      <c r="K988" s="31" t="str">
        <f aca="false">IF(B988="","",IF(H988="A",0,IFERROR(N(I988)/P_Heures*J988,0)))</f>
        <v/>
      </c>
      <c r="L988" s="25"/>
    </row>
    <row r="989" customFormat="false" ht="15" hidden="false" customHeight="false" outlineLevel="0" collapsed="false">
      <c r="A989" s="69"/>
      <c r="B989" s="68"/>
      <c r="C989" s="76" t="str">
        <f aca="false">IF(B989="","",IFERROR(INDEX(PE_Nom,MATCH(B989,PE_Mat,0)),"Matricule inconnu"))</f>
        <v/>
      </c>
      <c r="D989" s="76" t="str">
        <f aca="false">IF(B989="","",IFERROR(INDEX(PE_Fonction,MATCH(B989,PE_Mat,0)),""))</f>
        <v/>
      </c>
      <c r="E989" s="76" t="str">
        <f aca="false">IF(B989="","",IFERROR(INDEX(PE_Equipe,MATCH(B989,PE_Mat,0)),""))</f>
        <v/>
      </c>
      <c r="F989" s="25"/>
      <c r="G989" s="25"/>
      <c r="H989" s="68"/>
      <c r="I989" s="89"/>
      <c r="J989" s="31" t="str">
        <f aca="false">IF(B989="","",IFERROR(INDEX(PE_Taux,MATCH(B989,PE_Mat,0)),0))</f>
        <v/>
      </c>
      <c r="K989" s="31" t="str">
        <f aca="false">IF(B989="","",IF(H989="A",0,IFERROR(N(I989)/P_Heures*J989,0)))</f>
        <v/>
      </c>
      <c r="L989" s="25"/>
    </row>
    <row r="990" customFormat="false" ht="15" hidden="false" customHeight="false" outlineLevel="0" collapsed="false">
      <c r="A990" s="69"/>
      <c r="B990" s="68"/>
      <c r="C990" s="76" t="str">
        <f aca="false">IF(B990="","",IFERROR(INDEX(PE_Nom,MATCH(B990,PE_Mat,0)),"Matricule inconnu"))</f>
        <v/>
      </c>
      <c r="D990" s="76" t="str">
        <f aca="false">IF(B990="","",IFERROR(INDEX(PE_Fonction,MATCH(B990,PE_Mat,0)),""))</f>
        <v/>
      </c>
      <c r="E990" s="76" t="str">
        <f aca="false">IF(B990="","",IFERROR(INDEX(PE_Equipe,MATCH(B990,PE_Mat,0)),""))</f>
        <v/>
      </c>
      <c r="F990" s="25"/>
      <c r="G990" s="25"/>
      <c r="H990" s="68"/>
      <c r="I990" s="89"/>
      <c r="J990" s="31" t="str">
        <f aca="false">IF(B990="","",IFERROR(INDEX(PE_Taux,MATCH(B990,PE_Mat,0)),0))</f>
        <v/>
      </c>
      <c r="K990" s="31" t="str">
        <f aca="false">IF(B990="","",IF(H990="A",0,IFERROR(N(I990)/P_Heures*J990,0)))</f>
        <v/>
      </c>
      <c r="L990" s="25"/>
    </row>
    <row r="991" customFormat="false" ht="15" hidden="false" customHeight="false" outlineLevel="0" collapsed="false">
      <c r="A991" s="69"/>
      <c r="B991" s="68"/>
      <c r="C991" s="76" t="str">
        <f aca="false">IF(B991="","",IFERROR(INDEX(PE_Nom,MATCH(B991,PE_Mat,0)),"Matricule inconnu"))</f>
        <v/>
      </c>
      <c r="D991" s="76" t="str">
        <f aca="false">IF(B991="","",IFERROR(INDEX(PE_Fonction,MATCH(B991,PE_Mat,0)),""))</f>
        <v/>
      </c>
      <c r="E991" s="76" t="str">
        <f aca="false">IF(B991="","",IFERROR(INDEX(PE_Equipe,MATCH(B991,PE_Mat,0)),""))</f>
        <v/>
      </c>
      <c r="F991" s="25"/>
      <c r="G991" s="25"/>
      <c r="H991" s="68"/>
      <c r="I991" s="89"/>
      <c r="J991" s="31" t="str">
        <f aca="false">IF(B991="","",IFERROR(INDEX(PE_Taux,MATCH(B991,PE_Mat,0)),0))</f>
        <v/>
      </c>
      <c r="K991" s="31" t="str">
        <f aca="false">IF(B991="","",IF(H991="A",0,IFERROR(N(I991)/P_Heures*J991,0)))</f>
        <v/>
      </c>
      <c r="L991" s="25"/>
    </row>
    <row r="992" customFormat="false" ht="15" hidden="false" customHeight="false" outlineLevel="0" collapsed="false">
      <c r="A992" s="69"/>
      <c r="B992" s="68"/>
      <c r="C992" s="76" t="str">
        <f aca="false">IF(B992="","",IFERROR(INDEX(PE_Nom,MATCH(B992,PE_Mat,0)),"Matricule inconnu"))</f>
        <v/>
      </c>
      <c r="D992" s="76" t="str">
        <f aca="false">IF(B992="","",IFERROR(INDEX(PE_Fonction,MATCH(B992,PE_Mat,0)),""))</f>
        <v/>
      </c>
      <c r="E992" s="76" t="str">
        <f aca="false">IF(B992="","",IFERROR(INDEX(PE_Equipe,MATCH(B992,PE_Mat,0)),""))</f>
        <v/>
      </c>
      <c r="F992" s="25"/>
      <c r="G992" s="25"/>
      <c r="H992" s="68"/>
      <c r="I992" s="89"/>
      <c r="J992" s="31" t="str">
        <f aca="false">IF(B992="","",IFERROR(INDEX(PE_Taux,MATCH(B992,PE_Mat,0)),0))</f>
        <v/>
      </c>
      <c r="K992" s="31" t="str">
        <f aca="false">IF(B992="","",IF(H992="A",0,IFERROR(N(I992)/P_Heures*J992,0)))</f>
        <v/>
      </c>
      <c r="L992" s="25"/>
    </row>
    <row r="993" customFormat="false" ht="15" hidden="false" customHeight="false" outlineLevel="0" collapsed="false">
      <c r="A993" s="69"/>
      <c r="B993" s="68"/>
      <c r="C993" s="76" t="str">
        <f aca="false">IF(B993="","",IFERROR(INDEX(PE_Nom,MATCH(B993,PE_Mat,0)),"Matricule inconnu"))</f>
        <v/>
      </c>
      <c r="D993" s="76" t="str">
        <f aca="false">IF(B993="","",IFERROR(INDEX(PE_Fonction,MATCH(B993,PE_Mat,0)),""))</f>
        <v/>
      </c>
      <c r="E993" s="76" t="str">
        <f aca="false">IF(B993="","",IFERROR(INDEX(PE_Equipe,MATCH(B993,PE_Mat,0)),""))</f>
        <v/>
      </c>
      <c r="F993" s="25"/>
      <c r="G993" s="25"/>
      <c r="H993" s="68"/>
      <c r="I993" s="89"/>
      <c r="J993" s="31" t="str">
        <f aca="false">IF(B993="","",IFERROR(INDEX(PE_Taux,MATCH(B993,PE_Mat,0)),0))</f>
        <v/>
      </c>
      <c r="K993" s="31" t="str">
        <f aca="false">IF(B993="","",IF(H993="A",0,IFERROR(N(I993)/P_Heures*J993,0)))</f>
        <v/>
      </c>
      <c r="L993" s="25"/>
    </row>
    <row r="994" customFormat="false" ht="15" hidden="false" customHeight="false" outlineLevel="0" collapsed="false">
      <c r="A994" s="69"/>
      <c r="B994" s="68"/>
      <c r="C994" s="76" t="str">
        <f aca="false">IF(B994="","",IFERROR(INDEX(PE_Nom,MATCH(B994,PE_Mat,0)),"Matricule inconnu"))</f>
        <v/>
      </c>
      <c r="D994" s="76" t="str">
        <f aca="false">IF(B994="","",IFERROR(INDEX(PE_Fonction,MATCH(B994,PE_Mat,0)),""))</f>
        <v/>
      </c>
      <c r="E994" s="76" t="str">
        <f aca="false">IF(B994="","",IFERROR(INDEX(PE_Equipe,MATCH(B994,PE_Mat,0)),""))</f>
        <v/>
      </c>
      <c r="F994" s="25"/>
      <c r="G994" s="25"/>
      <c r="H994" s="68"/>
      <c r="I994" s="89"/>
      <c r="J994" s="31" t="str">
        <f aca="false">IF(B994="","",IFERROR(INDEX(PE_Taux,MATCH(B994,PE_Mat,0)),0))</f>
        <v/>
      </c>
      <c r="K994" s="31" t="str">
        <f aca="false">IF(B994="","",IF(H994="A",0,IFERROR(N(I994)/P_Heures*J994,0)))</f>
        <v/>
      </c>
      <c r="L994" s="25"/>
    </row>
    <row r="995" customFormat="false" ht="15" hidden="false" customHeight="false" outlineLevel="0" collapsed="false">
      <c r="A995" s="69"/>
      <c r="B995" s="68"/>
      <c r="C995" s="76" t="str">
        <f aca="false">IF(B995="","",IFERROR(INDEX(PE_Nom,MATCH(B995,PE_Mat,0)),"Matricule inconnu"))</f>
        <v/>
      </c>
      <c r="D995" s="76" t="str">
        <f aca="false">IF(B995="","",IFERROR(INDEX(PE_Fonction,MATCH(B995,PE_Mat,0)),""))</f>
        <v/>
      </c>
      <c r="E995" s="76" t="str">
        <f aca="false">IF(B995="","",IFERROR(INDEX(PE_Equipe,MATCH(B995,PE_Mat,0)),""))</f>
        <v/>
      </c>
      <c r="F995" s="25"/>
      <c r="G995" s="25"/>
      <c r="H995" s="68"/>
      <c r="I995" s="89"/>
      <c r="J995" s="31" t="str">
        <f aca="false">IF(B995="","",IFERROR(INDEX(PE_Taux,MATCH(B995,PE_Mat,0)),0))</f>
        <v/>
      </c>
      <c r="K995" s="31" t="str">
        <f aca="false">IF(B995="","",IF(H995="A",0,IFERROR(N(I995)/P_Heures*J995,0)))</f>
        <v/>
      </c>
      <c r="L995" s="25"/>
    </row>
    <row r="996" customFormat="false" ht="15" hidden="false" customHeight="false" outlineLevel="0" collapsed="false">
      <c r="A996" s="69"/>
      <c r="B996" s="68"/>
      <c r="C996" s="76" t="str">
        <f aca="false">IF(B996="","",IFERROR(INDEX(PE_Nom,MATCH(B996,PE_Mat,0)),"Matricule inconnu"))</f>
        <v/>
      </c>
      <c r="D996" s="76" t="str">
        <f aca="false">IF(B996="","",IFERROR(INDEX(PE_Fonction,MATCH(B996,PE_Mat,0)),""))</f>
        <v/>
      </c>
      <c r="E996" s="76" t="str">
        <f aca="false">IF(B996="","",IFERROR(INDEX(PE_Equipe,MATCH(B996,PE_Mat,0)),""))</f>
        <v/>
      </c>
      <c r="F996" s="25"/>
      <c r="G996" s="25"/>
      <c r="H996" s="68"/>
      <c r="I996" s="89"/>
      <c r="J996" s="31" t="str">
        <f aca="false">IF(B996="","",IFERROR(INDEX(PE_Taux,MATCH(B996,PE_Mat,0)),0))</f>
        <v/>
      </c>
      <c r="K996" s="31" t="str">
        <f aca="false">IF(B996="","",IF(H996="A",0,IFERROR(N(I996)/P_Heures*J996,0)))</f>
        <v/>
      </c>
      <c r="L996" s="25"/>
    </row>
    <row r="997" customFormat="false" ht="15" hidden="false" customHeight="false" outlineLevel="0" collapsed="false">
      <c r="A997" s="69"/>
      <c r="B997" s="68"/>
      <c r="C997" s="76" t="str">
        <f aca="false">IF(B997="","",IFERROR(INDEX(PE_Nom,MATCH(B997,PE_Mat,0)),"Matricule inconnu"))</f>
        <v/>
      </c>
      <c r="D997" s="76" t="str">
        <f aca="false">IF(B997="","",IFERROR(INDEX(PE_Fonction,MATCH(B997,PE_Mat,0)),""))</f>
        <v/>
      </c>
      <c r="E997" s="76" t="str">
        <f aca="false">IF(B997="","",IFERROR(INDEX(PE_Equipe,MATCH(B997,PE_Mat,0)),""))</f>
        <v/>
      </c>
      <c r="F997" s="25"/>
      <c r="G997" s="25"/>
      <c r="H997" s="68"/>
      <c r="I997" s="89"/>
      <c r="J997" s="31" t="str">
        <f aca="false">IF(B997="","",IFERROR(INDEX(PE_Taux,MATCH(B997,PE_Mat,0)),0))</f>
        <v/>
      </c>
      <c r="K997" s="31" t="str">
        <f aca="false">IF(B997="","",IF(H997="A",0,IFERROR(N(I997)/P_Heures*J997,0)))</f>
        <v/>
      </c>
      <c r="L997" s="25"/>
    </row>
    <row r="998" customFormat="false" ht="15" hidden="false" customHeight="false" outlineLevel="0" collapsed="false">
      <c r="A998" s="69"/>
      <c r="B998" s="68"/>
      <c r="C998" s="76" t="str">
        <f aca="false">IF(B998="","",IFERROR(INDEX(PE_Nom,MATCH(B998,PE_Mat,0)),"Matricule inconnu"))</f>
        <v/>
      </c>
      <c r="D998" s="76" t="str">
        <f aca="false">IF(B998="","",IFERROR(INDEX(PE_Fonction,MATCH(B998,PE_Mat,0)),""))</f>
        <v/>
      </c>
      <c r="E998" s="76" t="str">
        <f aca="false">IF(B998="","",IFERROR(INDEX(PE_Equipe,MATCH(B998,PE_Mat,0)),""))</f>
        <v/>
      </c>
      <c r="F998" s="25"/>
      <c r="G998" s="25"/>
      <c r="H998" s="68"/>
      <c r="I998" s="89"/>
      <c r="J998" s="31" t="str">
        <f aca="false">IF(B998="","",IFERROR(INDEX(PE_Taux,MATCH(B998,PE_Mat,0)),0))</f>
        <v/>
      </c>
      <c r="K998" s="31" t="str">
        <f aca="false">IF(B998="","",IF(H998="A",0,IFERROR(N(I998)/P_Heures*J998,0)))</f>
        <v/>
      </c>
      <c r="L998" s="25"/>
    </row>
    <row r="999" customFormat="false" ht="15" hidden="false" customHeight="false" outlineLevel="0" collapsed="false">
      <c r="A999" s="69"/>
      <c r="B999" s="68"/>
      <c r="C999" s="76" t="str">
        <f aca="false">IF(B999="","",IFERROR(INDEX(PE_Nom,MATCH(B999,PE_Mat,0)),"Matricule inconnu"))</f>
        <v/>
      </c>
      <c r="D999" s="76" t="str">
        <f aca="false">IF(B999="","",IFERROR(INDEX(PE_Fonction,MATCH(B999,PE_Mat,0)),""))</f>
        <v/>
      </c>
      <c r="E999" s="76" t="str">
        <f aca="false">IF(B999="","",IFERROR(INDEX(PE_Equipe,MATCH(B999,PE_Mat,0)),""))</f>
        <v/>
      </c>
      <c r="F999" s="25"/>
      <c r="G999" s="25"/>
      <c r="H999" s="68"/>
      <c r="I999" s="89"/>
      <c r="J999" s="31" t="str">
        <f aca="false">IF(B999="","",IFERROR(INDEX(PE_Taux,MATCH(B999,PE_Mat,0)),0))</f>
        <v/>
      </c>
      <c r="K999" s="31" t="str">
        <f aca="false">IF(B999="","",IF(H999="A",0,IFERROR(N(I999)/P_Heures*J999,0)))</f>
        <v/>
      </c>
      <c r="L999" s="25"/>
    </row>
    <row r="1000" customFormat="false" ht="15" hidden="false" customHeight="false" outlineLevel="0" collapsed="false">
      <c r="A1000" s="69"/>
      <c r="B1000" s="68"/>
      <c r="C1000" s="76" t="str">
        <f aca="false">IF(B1000="","",IFERROR(INDEX(PE_Nom,MATCH(B1000,PE_Mat,0)),"Matricule inconnu"))</f>
        <v/>
      </c>
      <c r="D1000" s="76" t="str">
        <f aca="false">IF(B1000="","",IFERROR(INDEX(PE_Fonction,MATCH(B1000,PE_Mat,0)),""))</f>
        <v/>
      </c>
      <c r="E1000" s="76" t="str">
        <f aca="false">IF(B1000="","",IFERROR(INDEX(PE_Equipe,MATCH(B1000,PE_Mat,0)),""))</f>
        <v/>
      </c>
      <c r="F1000" s="25"/>
      <c r="G1000" s="25"/>
      <c r="H1000" s="68"/>
      <c r="I1000" s="89"/>
      <c r="J1000" s="31" t="str">
        <f aca="false">IF(B1000="","",IFERROR(INDEX(PE_Taux,MATCH(B1000,PE_Mat,0)),0))</f>
        <v/>
      </c>
      <c r="K1000" s="31" t="str">
        <f aca="false">IF(B1000="","",IF(H1000="A",0,IFERROR(N(I1000)/P_Heures*J1000,0)))</f>
        <v/>
      </c>
      <c r="L1000" s="25"/>
    </row>
    <row r="1001" customFormat="false" ht="15" hidden="false" customHeight="false" outlineLevel="0" collapsed="false">
      <c r="A1001" s="69"/>
      <c r="B1001" s="68"/>
      <c r="C1001" s="76" t="str">
        <f aca="false">IF(B1001="","",IFERROR(INDEX(PE_Nom,MATCH(B1001,PE_Mat,0)),"Matricule inconnu"))</f>
        <v/>
      </c>
      <c r="D1001" s="76" t="str">
        <f aca="false">IF(B1001="","",IFERROR(INDEX(PE_Fonction,MATCH(B1001,PE_Mat,0)),""))</f>
        <v/>
      </c>
      <c r="E1001" s="76" t="str">
        <f aca="false">IF(B1001="","",IFERROR(INDEX(PE_Equipe,MATCH(B1001,PE_Mat,0)),""))</f>
        <v/>
      </c>
      <c r="F1001" s="25"/>
      <c r="G1001" s="25"/>
      <c r="H1001" s="68"/>
      <c r="I1001" s="89"/>
      <c r="J1001" s="31" t="str">
        <f aca="false">IF(B1001="","",IFERROR(INDEX(PE_Taux,MATCH(B1001,PE_Mat,0)),0))</f>
        <v/>
      </c>
      <c r="K1001" s="31" t="str">
        <f aca="false">IF(B1001="","",IF(H1001="A",0,IFERROR(N(I1001)/P_Heures*J1001,0)))</f>
        <v/>
      </c>
      <c r="L1001" s="25"/>
    </row>
    <row r="1002" customFormat="false" ht="15" hidden="false" customHeight="false" outlineLevel="0" collapsed="false">
      <c r="A1002" s="69"/>
      <c r="B1002" s="68"/>
      <c r="C1002" s="76" t="str">
        <f aca="false">IF(B1002="","",IFERROR(INDEX(PE_Nom,MATCH(B1002,PE_Mat,0)),"Matricule inconnu"))</f>
        <v/>
      </c>
      <c r="D1002" s="76" t="str">
        <f aca="false">IF(B1002="","",IFERROR(INDEX(PE_Fonction,MATCH(B1002,PE_Mat,0)),""))</f>
        <v/>
      </c>
      <c r="E1002" s="76" t="str">
        <f aca="false">IF(B1002="","",IFERROR(INDEX(PE_Equipe,MATCH(B1002,PE_Mat,0)),""))</f>
        <v/>
      </c>
      <c r="F1002" s="25"/>
      <c r="G1002" s="25"/>
      <c r="H1002" s="68"/>
      <c r="I1002" s="89"/>
      <c r="J1002" s="31" t="str">
        <f aca="false">IF(B1002="","",IFERROR(INDEX(PE_Taux,MATCH(B1002,PE_Mat,0)),0))</f>
        <v/>
      </c>
      <c r="K1002" s="31" t="str">
        <f aca="false">IF(B1002="","",IF(H1002="A",0,IFERROR(N(I1002)/P_Heures*J1002,0)))</f>
        <v/>
      </c>
      <c r="L1002" s="25"/>
    </row>
    <row r="1003" customFormat="false" ht="15" hidden="false" customHeight="false" outlineLevel="0" collapsed="false">
      <c r="A1003" s="69"/>
      <c r="B1003" s="68"/>
      <c r="C1003" s="76" t="str">
        <f aca="false">IF(B1003="","",IFERROR(INDEX(PE_Nom,MATCH(B1003,PE_Mat,0)),"Matricule inconnu"))</f>
        <v/>
      </c>
      <c r="D1003" s="76" t="str">
        <f aca="false">IF(B1003="","",IFERROR(INDEX(PE_Fonction,MATCH(B1003,PE_Mat,0)),""))</f>
        <v/>
      </c>
      <c r="E1003" s="76" t="str">
        <f aca="false">IF(B1003="","",IFERROR(INDEX(PE_Equipe,MATCH(B1003,PE_Mat,0)),""))</f>
        <v/>
      </c>
      <c r="F1003" s="25"/>
      <c r="G1003" s="25"/>
      <c r="H1003" s="68"/>
      <c r="I1003" s="89"/>
      <c r="J1003" s="31" t="str">
        <f aca="false">IF(B1003="","",IFERROR(INDEX(PE_Taux,MATCH(B1003,PE_Mat,0)),0))</f>
        <v/>
      </c>
      <c r="K1003" s="31" t="str">
        <f aca="false">IF(B1003="","",IF(H1003="A",0,IFERROR(N(I1003)/P_Heures*J1003,0)))</f>
        <v/>
      </c>
      <c r="L1003" s="25"/>
    </row>
    <row r="1004" customFormat="false" ht="15" hidden="false" customHeight="false" outlineLevel="0" collapsed="false">
      <c r="A1004" s="69"/>
      <c r="B1004" s="68"/>
      <c r="C1004" s="76" t="str">
        <f aca="false">IF(B1004="","",IFERROR(INDEX(PE_Nom,MATCH(B1004,PE_Mat,0)),"Matricule inconnu"))</f>
        <v/>
      </c>
      <c r="D1004" s="76" t="str">
        <f aca="false">IF(B1004="","",IFERROR(INDEX(PE_Fonction,MATCH(B1004,PE_Mat,0)),""))</f>
        <v/>
      </c>
      <c r="E1004" s="76" t="str">
        <f aca="false">IF(B1004="","",IFERROR(INDEX(PE_Equipe,MATCH(B1004,PE_Mat,0)),""))</f>
        <v/>
      </c>
      <c r="F1004" s="25"/>
      <c r="G1004" s="25"/>
      <c r="H1004" s="68"/>
      <c r="I1004" s="89"/>
      <c r="J1004" s="31" t="str">
        <f aca="false">IF(B1004="","",IFERROR(INDEX(PE_Taux,MATCH(B1004,PE_Mat,0)),0))</f>
        <v/>
      </c>
      <c r="K1004" s="31" t="str">
        <f aca="false">IF(B1004="","",IF(H1004="A",0,IFERROR(N(I1004)/P_Heures*J1004,0)))</f>
        <v/>
      </c>
      <c r="L1004" s="25"/>
    </row>
    <row r="1005" customFormat="false" ht="15" hidden="false" customHeight="false" outlineLevel="0" collapsed="false">
      <c r="A1005" s="69"/>
      <c r="B1005" s="68"/>
      <c r="C1005" s="76" t="str">
        <f aca="false">IF(B1005="","",IFERROR(INDEX(PE_Nom,MATCH(B1005,PE_Mat,0)),"Matricule inconnu"))</f>
        <v/>
      </c>
      <c r="D1005" s="76" t="str">
        <f aca="false">IF(B1005="","",IFERROR(INDEX(PE_Fonction,MATCH(B1005,PE_Mat,0)),""))</f>
        <v/>
      </c>
      <c r="E1005" s="76" t="str">
        <f aca="false">IF(B1005="","",IFERROR(INDEX(PE_Equipe,MATCH(B1005,PE_Mat,0)),""))</f>
        <v/>
      </c>
      <c r="F1005" s="25"/>
      <c r="G1005" s="25"/>
      <c r="H1005" s="68"/>
      <c r="I1005" s="89"/>
      <c r="J1005" s="31" t="str">
        <f aca="false">IF(B1005="","",IFERROR(INDEX(PE_Taux,MATCH(B1005,PE_Mat,0)),0))</f>
        <v/>
      </c>
      <c r="K1005" s="31" t="str">
        <f aca="false">IF(B1005="","",IF(H1005="A",0,IFERROR(N(I1005)/P_Heures*J1005,0)))</f>
        <v/>
      </c>
      <c r="L1005" s="25"/>
    </row>
    <row r="1006" customFormat="false" ht="15" hidden="false" customHeight="false" outlineLevel="0" collapsed="false">
      <c r="A1006" s="69"/>
      <c r="B1006" s="68"/>
      <c r="C1006" s="76" t="str">
        <f aca="false">IF(B1006="","",IFERROR(INDEX(PE_Nom,MATCH(B1006,PE_Mat,0)),"Matricule inconnu"))</f>
        <v/>
      </c>
      <c r="D1006" s="76" t="str">
        <f aca="false">IF(B1006="","",IFERROR(INDEX(PE_Fonction,MATCH(B1006,PE_Mat,0)),""))</f>
        <v/>
      </c>
      <c r="E1006" s="76" t="str">
        <f aca="false">IF(B1006="","",IFERROR(INDEX(PE_Equipe,MATCH(B1006,PE_Mat,0)),""))</f>
        <v/>
      </c>
      <c r="F1006" s="25"/>
      <c r="G1006" s="25"/>
      <c r="H1006" s="68"/>
      <c r="I1006" s="89"/>
      <c r="J1006" s="31" t="str">
        <f aca="false">IF(B1006="","",IFERROR(INDEX(PE_Taux,MATCH(B1006,PE_Mat,0)),0))</f>
        <v/>
      </c>
      <c r="K1006" s="31" t="str">
        <f aca="false">IF(B1006="","",IF(H1006="A",0,IFERROR(N(I1006)/P_Heures*J1006,0)))</f>
        <v/>
      </c>
      <c r="L1006" s="25"/>
    </row>
    <row r="1007" customFormat="false" ht="15" hidden="false" customHeight="false" outlineLevel="0" collapsed="false">
      <c r="A1007" s="69"/>
      <c r="B1007" s="68"/>
      <c r="C1007" s="76" t="str">
        <f aca="false">IF(B1007="","",IFERROR(INDEX(PE_Nom,MATCH(B1007,PE_Mat,0)),"Matricule inconnu"))</f>
        <v/>
      </c>
      <c r="D1007" s="76" t="str">
        <f aca="false">IF(B1007="","",IFERROR(INDEX(PE_Fonction,MATCH(B1007,PE_Mat,0)),""))</f>
        <v/>
      </c>
      <c r="E1007" s="76" t="str">
        <f aca="false">IF(B1007="","",IFERROR(INDEX(PE_Equipe,MATCH(B1007,PE_Mat,0)),""))</f>
        <v/>
      </c>
      <c r="F1007" s="25"/>
      <c r="G1007" s="25"/>
      <c r="H1007" s="68"/>
      <c r="I1007" s="89"/>
      <c r="J1007" s="31" t="str">
        <f aca="false">IF(B1007="","",IFERROR(INDEX(PE_Taux,MATCH(B1007,PE_Mat,0)),0))</f>
        <v/>
      </c>
      <c r="K1007" s="31" t="str">
        <f aca="false">IF(B1007="","",IF(H1007="A",0,IFERROR(N(I1007)/P_Heures*J1007,0)))</f>
        <v/>
      </c>
      <c r="L1007" s="25"/>
    </row>
    <row r="1008" customFormat="false" ht="15" hidden="false" customHeight="false" outlineLevel="0" collapsed="false">
      <c r="A1008" s="69"/>
      <c r="B1008" s="68"/>
      <c r="C1008" s="76" t="str">
        <f aca="false">IF(B1008="","",IFERROR(INDEX(PE_Nom,MATCH(B1008,PE_Mat,0)),"Matricule inconnu"))</f>
        <v/>
      </c>
      <c r="D1008" s="76" t="str">
        <f aca="false">IF(B1008="","",IFERROR(INDEX(PE_Fonction,MATCH(B1008,PE_Mat,0)),""))</f>
        <v/>
      </c>
      <c r="E1008" s="76" t="str">
        <f aca="false">IF(B1008="","",IFERROR(INDEX(PE_Equipe,MATCH(B1008,PE_Mat,0)),""))</f>
        <v/>
      </c>
      <c r="F1008" s="25"/>
      <c r="G1008" s="25"/>
      <c r="H1008" s="68"/>
      <c r="I1008" s="89"/>
      <c r="J1008" s="31" t="str">
        <f aca="false">IF(B1008="","",IFERROR(INDEX(PE_Taux,MATCH(B1008,PE_Mat,0)),0))</f>
        <v/>
      </c>
      <c r="K1008" s="31" t="str">
        <f aca="false">IF(B1008="","",IF(H1008="A",0,IFERROR(N(I1008)/P_Heures*J1008,0)))</f>
        <v/>
      </c>
      <c r="L1008" s="25"/>
    </row>
    <row r="1009" customFormat="false" ht="15" hidden="false" customHeight="false" outlineLevel="0" collapsed="false">
      <c r="A1009" s="69"/>
      <c r="B1009" s="68"/>
      <c r="C1009" s="76" t="str">
        <f aca="false">IF(B1009="","",IFERROR(INDEX(PE_Nom,MATCH(B1009,PE_Mat,0)),"Matricule inconnu"))</f>
        <v/>
      </c>
      <c r="D1009" s="76" t="str">
        <f aca="false">IF(B1009="","",IFERROR(INDEX(PE_Fonction,MATCH(B1009,PE_Mat,0)),""))</f>
        <v/>
      </c>
      <c r="E1009" s="76" t="str">
        <f aca="false">IF(B1009="","",IFERROR(INDEX(PE_Equipe,MATCH(B1009,PE_Mat,0)),""))</f>
        <v/>
      </c>
      <c r="F1009" s="25"/>
      <c r="G1009" s="25"/>
      <c r="H1009" s="68"/>
      <c r="I1009" s="89"/>
      <c r="J1009" s="31" t="str">
        <f aca="false">IF(B1009="","",IFERROR(INDEX(PE_Taux,MATCH(B1009,PE_Mat,0)),0))</f>
        <v/>
      </c>
      <c r="K1009" s="31" t="str">
        <f aca="false">IF(B1009="","",IF(H1009="A",0,IFERROR(N(I1009)/P_Heures*J1009,0)))</f>
        <v/>
      </c>
      <c r="L1009" s="25"/>
    </row>
    <row r="1010" customFormat="false" ht="15" hidden="false" customHeight="false" outlineLevel="0" collapsed="false">
      <c r="A1010" s="69"/>
      <c r="B1010" s="68"/>
      <c r="C1010" s="76" t="str">
        <f aca="false">IF(B1010="","",IFERROR(INDEX(PE_Nom,MATCH(B1010,PE_Mat,0)),"Matricule inconnu"))</f>
        <v/>
      </c>
      <c r="D1010" s="76" t="str">
        <f aca="false">IF(B1010="","",IFERROR(INDEX(PE_Fonction,MATCH(B1010,PE_Mat,0)),""))</f>
        <v/>
      </c>
      <c r="E1010" s="76" t="str">
        <f aca="false">IF(B1010="","",IFERROR(INDEX(PE_Equipe,MATCH(B1010,PE_Mat,0)),""))</f>
        <v/>
      </c>
      <c r="F1010" s="25"/>
      <c r="G1010" s="25"/>
      <c r="H1010" s="68"/>
      <c r="I1010" s="89"/>
      <c r="J1010" s="31" t="str">
        <f aca="false">IF(B1010="","",IFERROR(INDEX(PE_Taux,MATCH(B1010,PE_Mat,0)),0))</f>
        <v/>
      </c>
      <c r="K1010" s="31" t="str">
        <f aca="false">IF(B1010="","",IF(H1010="A",0,IFERROR(N(I1010)/P_Heures*J1010,0)))</f>
        <v/>
      </c>
      <c r="L1010" s="25"/>
    </row>
    <row r="1011" customFormat="false" ht="15" hidden="false" customHeight="false" outlineLevel="0" collapsed="false">
      <c r="A1011" s="69"/>
      <c r="B1011" s="68"/>
      <c r="C1011" s="76" t="str">
        <f aca="false">IF(B1011="","",IFERROR(INDEX(PE_Nom,MATCH(B1011,PE_Mat,0)),"Matricule inconnu"))</f>
        <v/>
      </c>
      <c r="D1011" s="76" t="str">
        <f aca="false">IF(B1011="","",IFERROR(INDEX(PE_Fonction,MATCH(B1011,PE_Mat,0)),""))</f>
        <v/>
      </c>
      <c r="E1011" s="76" t="str">
        <f aca="false">IF(B1011="","",IFERROR(INDEX(PE_Equipe,MATCH(B1011,PE_Mat,0)),""))</f>
        <v/>
      </c>
      <c r="F1011" s="25"/>
      <c r="G1011" s="25"/>
      <c r="H1011" s="68"/>
      <c r="I1011" s="89"/>
      <c r="J1011" s="31" t="str">
        <f aca="false">IF(B1011="","",IFERROR(INDEX(PE_Taux,MATCH(B1011,PE_Mat,0)),0))</f>
        <v/>
      </c>
      <c r="K1011" s="31" t="str">
        <f aca="false">IF(B1011="","",IF(H1011="A",0,IFERROR(N(I1011)/P_Heures*J1011,0)))</f>
        <v/>
      </c>
      <c r="L1011" s="25"/>
    </row>
    <row r="1012" customFormat="false" ht="15" hidden="false" customHeight="false" outlineLevel="0" collapsed="false">
      <c r="A1012" s="69"/>
      <c r="B1012" s="68"/>
      <c r="C1012" s="76" t="str">
        <f aca="false">IF(B1012="","",IFERROR(INDEX(PE_Nom,MATCH(B1012,PE_Mat,0)),"Matricule inconnu"))</f>
        <v/>
      </c>
      <c r="D1012" s="76" t="str">
        <f aca="false">IF(B1012="","",IFERROR(INDEX(PE_Fonction,MATCH(B1012,PE_Mat,0)),""))</f>
        <v/>
      </c>
      <c r="E1012" s="76" t="str">
        <f aca="false">IF(B1012="","",IFERROR(INDEX(PE_Equipe,MATCH(B1012,PE_Mat,0)),""))</f>
        <v/>
      </c>
      <c r="F1012" s="25"/>
      <c r="G1012" s="25"/>
      <c r="H1012" s="68"/>
      <c r="I1012" s="89"/>
      <c r="J1012" s="31" t="str">
        <f aca="false">IF(B1012="","",IFERROR(INDEX(PE_Taux,MATCH(B1012,PE_Mat,0)),0))</f>
        <v/>
      </c>
      <c r="K1012" s="31" t="str">
        <f aca="false">IF(B1012="","",IF(H1012="A",0,IFERROR(N(I1012)/P_Heures*J1012,0)))</f>
        <v/>
      </c>
      <c r="L1012" s="25"/>
    </row>
    <row r="1013" customFormat="false" ht="15" hidden="false" customHeight="false" outlineLevel="0" collapsed="false">
      <c r="A1013" s="69"/>
      <c r="B1013" s="68"/>
      <c r="C1013" s="76" t="str">
        <f aca="false">IF(B1013="","",IFERROR(INDEX(PE_Nom,MATCH(B1013,PE_Mat,0)),"Matricule inconnu"))</f>
        <v/>
      </c>
      <c r="D1013" s="76" t="str">
        <f aca="false">IF(B1013="","",IFERROR(INDEX(PE_Fonction,MATCH(B1013,PE_Mat,0)),""))</f>
        <v/>
      </c>
      <c r="E1013" s="76" t="str">
        <f aca="false">IF(B1013="","",IFERROR(INDEX(PE_Equipe,MATCH(B1013,PE_Mat,0)),""))</f>
        <v/>
      </c>
      <c r="F1013" s="25"/>
      <c r="G1013" s="25"/>
      <c r="H1013" s="68"/>
      <c r="I1013" s="89"/>
      <c r="J1013" s="31" t="str">
        <f aca="false">IF(B1013="","",IFERROR(INDEX(PE_Taux,MATCH(B1013,PE_Mat,0)),0))</f>
        <v/>
      </c>
      <c r="K1013" s="31" t="str">
        <f aca="false">IF(B1013="","",IF(H1013="A",0,IFERROR(N(I1013)/P_Heures*J1013,0)))</f>
        <v/>
      </c>
      <c r="L1013" s="25"/>
    </row>
    <row r="1014" customFormat="false" ht="15" hidden="false" customHeight="false" outlineLevel="0" collapsed="false">
      <c r="A1014" s="69"/>
      <c r="B1014" s="68"/>
      <c r="C1014" s="76" t="str">
        <f aca="false">IF(B1014="","",IFERROR(INDEX(PE_Nom,MATCH(B1014,PE_Mat,0)),"Matricule inconnu"))</f>
        <v/>
      </c>
      <c r="D1014" s="76" t="str">
        <f aca="false">IF(B1014="","",IFERROR(INDEX(PE_Fonction,MATCH(B1014,PE_Mat,0)),""))</f>
        <v/>
      </c>
      <c r="E1014" s="76" t="str">
        <f aca="false">IF(B1014="","",IFERROR(INDEX(PE_Equipe,MATCH(B1014,PE_Mat,0)),""))</f>
        <v/>
      </c>
      <c r="F1014" s="25"/>
      <c r="G1014" s="25"/>
      <c r="H1014" s="68"/>
      <c r="I1014" s="89"/>
      <c r="J1014" s="31" t="str">
        <f aca="false">IF(B1014="","",IFERROR(INDEX(PE_Taux,MATCH(B1014,PE_Mat,0)),0))</f>
        <v/>
      </c>
      <c r="K1014" s="31" t="str">
        <f aca="false">IF(B1014="","",IF(H1014="A",0,IFERROR(N(I1014)/P_Heures*J1014,0)))</f>
        <v/>
      </c>
      <c r="L1014" s="25"/>
    </row>
    <row r="1015" customFormat="false" ht="15" hidden="false" customHeight="false" outlineLevel="0" collapsed="false">
      <c r="A1015" s="69"/>
      <c r="B1015" s="68"/>
      <c r="C1015" s="76" t="str">
        <f aca="false">IF(B1015="","",IFERROR(INDEX(PE_Nom,MATCH(B1015,PE_Mat,0)),"Matricule inconnu"))</f>
        <v/>
      </c>
      <c r="D1015" s="76" t="str">
        <f aca="false">IF(B1015="","",IFERROR(INDEX(PE_Fonction,MATCH(B1015,PE_Mat,0)),""))</f>
        <v/>
      </c>
      <c r="E1015" s="76" t="str">
        <f aca="false">IF(B1015="","",IFERROR(INDEX(PE_Equipe,MATCH(B1015,PE_Mat,0)),""))</f>
        <v/>
      </c>
      <c r="F1015" s="25"/>
      <c r="G1015" s="25"/>
      <c r="H1015" s="68"/>
      <c r="I1015" s="89"/>
      <c r="J1015" s="31" t="str">
        <f aca="false">IF(B1015="","",IFERROR(INDEX(PE_Taux,MATCH(B1015,PE_Mat,0)),0))</f>
        <v/>
      </c>
      <c r="K1015" s="31" t="str">
        <f aca="false">IF(B1015="","",IF(H1015="A",0,IFERROR(N(I1015)/P_Heures*J1015,0)))</f>
        <v/>
      </c>
      <c r="L1015" s="25"/>
    </row>
    <row r="1016" customFormat="false" ht="15" hidden="false" customHeight="false" outlineLevel="0" collapsed="false">
      <c r="A1016" s="69"/>
      <c r="B1016" s="68"/>
      <c r="C1016" s="76" t="str">
        <f aca="false">IF(B1016="","",IFERROR(INDEX(PE_Nom,MATCH(B1016,PE_Mat,0)),"Matricule inconnu"))</f>
        <v/>
      </c>
      <c r="D1016" s="76" t="str">
        <f aca="false">IF(B1016="","",IFERROR(INDEX(PE_Fonction,MATCH(B1016,PE_Mat,0)),""))</f>
        <v/>
      </c>
      <c r="E1016" s="76" t="str">
        <f aca="false">IF(B1016="","",IFERROR(INDEX(PE_Equipe,MATCH(B1016,PE_Mat,0)),""))</f>
        <v/>
      </c>
      <c r="F1016" s="25"/>
      <c r="G1016" s="25"/>
      <c r="H1016" s="68"/>
      <c r="I1016" s="89"/>
      <c r="J1016" s="31" t="str">
        <f aca="false">IF(B1016="","",IFERROR(INDEX(PE_Taux,MATCH(B1016,PE_Mat,0)),0))</f>
        <v/>
      </c>
      <c r="K1016" s="31" t="str">
        <f aca="false">IF(B1016="","",IF(H1016="A",0,IFERROR(N(I1016)/P_Heures*J1016,0)))</f>
        <v/>
      </c>
      <c r="L1016" s="25"/>
    </row>
    <row r="1017" customFormat="false" ht="15" hidden="false" customHeight="false" outlineLevel="0" collapsed="false">
      <c r="A1017" s="69"/>
      <c r="B1017" s="68"/>
      <c r="C1017" s="76" t="str">
        <f aca="false">IF(B1017="","",IFERROR(INDEX(PE_Nom,MATCH(B1017,PE_Mat,0)),"Matricule inconnu"))</f>
        <v/>
      </c>
      <c r="D1017" s="76" t="str">
        <f aca="false">IF(B1017="","",IFERROR(INDEX(PE_Fonction,MATCH(B1017,PE_Mat,0)),""))</f>
        <v/>
      </c>
      <c r="E1017" s="76" t="str">
        <f aca="false">IF(B1017="","",IFERROR(INDEX(PE_Equipe,MATCH(B1017,PE_Mat,0)),""))</f>
        <v/>
      </c>
      <c r="F1017" s="25"/>
      <c r="G1017" s="25"/>
      <c r="H1017" s="68"/>
      <c r="I1017" s="89"/>
      <c r="J1017" s="31" t="str">
        <f aca="false">IF(B1017="","",IFERROR(INDEX(PE_Taux,MATCH(B1017,PE_Mat,0)),0))</f>
        <v/>
      </c>
      <c r="K1017" s="31" t="str">
        <f aca="false">IF(B1017="","",IF(H1017="A",0,IFERROR(N(I1017)/P_Heures*J1017,0)))</f>
        <v/>
      </c>
      <c r="L1017" s="25"/>
    </row>
    <row r="1018" customFormat="false" ht="15" hidden="false" customHeight="false" outlineLevel="0" collapsed="false">
      <c r="A1018" s="69"/>
      <c r="B1018" s="68"/>
      <c r="C1018" s="76" t="str">
        <f aca="false">IF(B1018="","",IFERROR(INDEX(PE_Nom,MATCH(B1018,PE_Mat,0)),"Matricule inconnu"))</f>
        <v/>
      </c>
      <c r="D1018" s="76" t="str">
        <f aca="false">IF(B1018="","",IFERROR(INDEX(PE_Fonction,MATCH(B1018,PE_Mat,0)),""))</f>
        <v/>
      </c>
      <c r="E1018" s="76" t="str">
        <f aca="false">IF(B1018="","",IFERROR(INDEX(PE_Equipe,MATCH(B1018,PE_Mat,0)),""))</f>
        <v/>
      </c>
      <c r="F1018" s="25"/>
      <c r="G1018" s="25"/>
      <c r="H1018" s="68"/>
      <c r="I1018" s="89"/>
      <c r="J1018" s="31" t="str">
        <f aca="false">IF(B1018="","",IFERROR(INDEX(PE_Taux,MATCH(B1018,PE_Mat,0)),0))</f>
        <v/>
      </c>
      <c r="K1018" s="31" t="str">
        <f aca="false">IF(B1018="","",IF(H1018="A",0,IFERROR(N(I1018)/P_Heures*J1018,0)))</f>
        <v/>
      </c>
      <c r="L1018" s="25"/>
    </row>
    <row r="1019" customFormat="false" ht="15" hidden="false" customHeight="false" outlineLevel="0" collapsed="false">
      <c r="A1019" s="69"/>
      <c r="B1019" s="68"/>
      <c r="C1019" s="76" t="str">
        <f aca="false">IF(B1019="","",IFERROR(INDEX(PE_Nom,MATCH(B1019,PE_Mat,0)),"Matricule inconnu"))</f>
        <v/>
      </c>
      <c r="D1019" s="76" t="str">
        <f aca="false">IF(B1019="","",IFERROR(INDEX(PE_Fonction,MATCH(B1019,PE_Mat,0)),""))</f>
        <v/>
      </c>
      <c r="E1019" s="76" t="str">
        <f aca="false">IF(B1019="","",IFERROR(INDEX(PE_Equipe,MATCH(B1019,PE_Mat,0)),""))</f>
        <v/>
      </c>
      <c r="F1019" s="25"/>
      <c r="G1019" s="25"/>
      <c r="H1019" s="68"/>
      <c r="I1019" s="89"/>
      <c r="J1019" s="31" t="str">
        <f aca="false">IF(B1019="","",IFERROR(INDEX(PE_Taux,MATCH(B1019,PE_Mat,0)),0))</f>
        <v/>
      </c>
      <c r="K1019" s="31" t="str">
        <f aca="false">IF(B1019="","",IF(H1019="A",0,IFERROR(N(I1019)/P_Heures*J1019,0)))</f>
        <v/>
      </c>
      <c r="L1019" s="25"/>
    </row>
    <row r="1020" customFormat="false" ht="15" hidden="false" customHeight="false" outlineLevel="0" collapsed="false">
      <c r="A1020" s="69"/>
      <c r="B1020" s="68"/>
      <c r="C1020" s="76" t="str">
        <f aca="false">IF(B1020="","",IFERROR(INDEX(PE_Nom,MATCH(B1020,PE_Mat,0)),"Matricule inconnu"))</f>
        <v/>
      </c>
      <c r="D1020" s="76" t="str">
        <f aca="false">IF(B1020="","",IFERROR(INDEX(PE_Fonction,MATCH(B1020,PE_Mat,0)),""))</f>
        <v/>
      </c>
      <c r="E1020" s="76" t="str">
        <f aca="false">IF(B1020="","",IFERROR(INDEX(PE_Equipe,MATCH(B1020,PE_Mat,0)),""))</f>
        <v/>
      </c>
      <c r="F1020" s="25"/>
      <c r="G1020" s="25"/>
      <c r="H1020" s="68"/>
      <c r="I1020" s="89"/>
      <c r="J1020" s="31" t="str">
        <f aca="false">IF(B1020="","",IFERROR(INDEX(PE_Taux,MATCH(B1020,PE_Mat,0)),0))</f>
        <v/>
      </c>
      <c r="K1020" s="31" t="str">
        <f aca="false">IF(B1020="","",IF(H1020="A",0,IFERROR(N(I1020)/P_Heures*J1020,0)))</f>
        <v/>
      </c>
      <c r="L1020" s="25"/>
    </row>
    <row r="1021" customFormat="false" ht="15" hidden="false" customHeight="false" outlineLevel="0" collapsed="false">
      <c r="A1021" s="69"/>
      <c r="B1021" s="68"/>
      <c r="C1021" s="76" t="str">
        <f aca="false">IF(B1021="","",IFERROR(INDEX(PE_Nom,MATCH(B1021,PE_Mat,0)),"Matricule inconnu"))</f>
        <v/>
      </c>
      <c r="D1021" s="76" t="str">
        <f aca="false">IF(B1021="","",IFERROR(INDEX(PE_Fonction,MATCH(B1021,PE_Mat,0)),""))</f>
        <v/>
      </c>
      <c r="E1021" s="76" t="str">
        <f aca="false">IF(B1021="","",IFERROR(INDEX(PE_Equipe,MATCH(B1021,PE_Mat,0)),""))</f>
        <v/>
      </c>
      <c r="F1021" s="25"/>
      <c r="G1021" s="25"/>
      <c r="H1021" s="68"/>
      <c r="I1021" s="89"/>
      <c r="J1021" s="31" t="str">
        <f aca="false">IF(B1021="","",IFERROR(INDEX(PE_Taux,MATCH(B1021,PE_Mat,0)),0))</f>
        <v/>
      </c>
      <c r="K1021" s="31" t="str">
        <f aca="false">IF(B1021="","",IF(H1021="A",0,IFERROR(N(I1021)/P_Heures*J1021,0)))</f>
        <v/>
      </c>
      <c r="L1021" s="25"/>
    </row>
    <row r="1022" customFormat="false" ht="15" hidden="false" customHeight="false" outlineLevel="0" collapsed="false">
      <c r="A1022" s="69"/>
      <c r="B1022" s="68"/>
      <c r="C1022" s="76" t="str">
        <f aca="false">IF(B1022="","",IFERROR(INDEX(PE_Nom,MATCH(B1022,PE_Mat,0)),"Matricule inconnu"))</f>
        <v/>
      </c>
      <c r="D1022" s="76" t="str">
        <f aca="false">IF(B1022="","",IFERROR(INDEX(PE_Fonction,MATCH(B1022,PE_Mat,0)),""))</f>
        <v/>
      </c>
      <c r="E1022" s="76" t="str">
        <f aca="false">IF(B1022="","",IFERROR(INDEX(PE_Equipe,MATCH(B1022,PE_Mat,0)),""))</f>
        <v/>
      </c>
      <c r="F1022" s="25"/>
      <c r="G1022" s="25"/>
      <c r="H1022" s="68"/>
      <c r="I1022" s="89"/>
      <c r="J1022" s="31" t="str">
        <f aca="false">IF(B1022="","",IFERROR(INDEX(PE_Taux,MATCH(B1022,PE_Mat,0)),0))</f>
        <v/>
      </c>
      <c r="K1022" s="31" t="str">
        <f aca="false">IF(B1022="","",IF(H1022="A",0,IFERROR(N(I1022)/P_Heures*J1022,0)))</f>
        <v/>
      </c>
      <c r="L1022" s="25"/>
    </row>
    <row r="1023" customFormat="false" ht="15" hidden="false" customHeight="false" outlineLevel="0" collapsed="false">
      <c r="A1023" s="69"/>
      <c r="B1023" s="68"/>
      <c r="C1023" s="76" t="str">
        <f aca="false">IF(B1023="","",IFERROR(INDEX(PE_Nom,MATCH(B1023,PE_Mat,0)),"Matricule inconnu"))</f>
        <v/>
      </c>
      <c r="D1023" s="76" t="str">
        <f aca="false">IF(B1023="","",IFERROR(INDEX(PE_Fonction,MATCH(B1023,PE_Mat,0)),""))</f>
        <v/>
      </c>
      <c r="E1023" s="76" t="str">
        <f aca="false">IF(B1023="","",IFERROR(INDEX(PE_Equipe,MATCH(B1023,PE_Mat,0)),""))</f>
        <v/>
      </c>
      <c r="F1023" s="25"/>
      <c r="G1023" s="25"/>
      <c r="H1023" s="68"/>
      <c r="I1023" s="89"/>
      <c r="J1023" s="31" t="str">
        <f aca="false">IF(B1023="","",IFERROR(INDEX(PE_Taux,MATCH(B1023,PE_Mat,0)),0))</f>
        <v/>
      </c>
      <c r="K1023" s="31" t="str">
        <f aca="false">IF(B1023="","",IF(H1023="A",0,IFERROR(N(I1023)/P_Heures*J1023,0)))</f>
        <v/>
      </c>
      <c r="L1023" s="25"/>
    </row>
    <row r="1024" customFormat="false" ht="15" hidden="false" customHeight="false" outlineLevel="0" collapsed="false">
      <c r="A1024" s="69"/>
      <c r="B1024" s="68"/>
      <c r="C1024" s="76" t="str">
        <f aca="false">IF(B1024="","",IFERROR(INDEX(PE_Nom,MATCH(B1024,PE_Mat,0)),"Matricule inconnu"))</f>
        <v/>
      </c>
      <c r="D1024" s="76" t="str">
        <f aca="false">IF(B1024="","",IFERROR(INDEX(PE_Fonction,MATCH(B1024,PE_Mat,0)),""))</f>
        <v/>
      </c>
      <c r="E1024" s="76" t="str">
        <f aca="false">IF(B1024="","",IFERROR(INDEX(PE_Equipe,MATCH(B1024,PE_Mat,0)),""))</f>
        <v/>
      </c>
      <c r="F1024" s="25"/>
      <c r="G1024" s="25"/>
      <c r="H1024" s="68"/>
      <c r="I1024" s="89"/>
      <c r="J1024" s="31" t="str">
        <f aca="false">IF(B1024="","",IFERROR(INDEX(PE_Taux,MATCH(B1024,PE_Mat,0)),0))</f>
        <v/>
      </c>
      <c r="K1024" s="31" t="str">
        <f aca="false">IF(B1024="","",IF(H1024="A",0,IFERROR(N(I1024)/P_Heures*J1024,0)))</f>
        <v/>
      </c>
      <c r="L1024" s="25"/>
    </row>
    <row r="1025" customFormat="false" ht="15" hidden="false" customHeight="false" outlineLevel="0" collapsed="false">
      <c r="A1025" s="69"/>
      <c r="B1025" s="68"/>
      <c r="C1025" s="76" t="str">
        <f aca="false">IF(B1025="","",IFERROR(INDEX(PE_Nom,MATCH(B1025,PE_Mat,0)),"Matricule inconnu"))</f>
        <v/>
      </c>
      <c r="D1025" s="76" t="str">
        <f aca="false">IF(B1025="","",IFERROR(INDEX(PE_Fonction,MATCH(B1025,PE_Mat,0)),""))</f>
        <v/>
      </c>
      <c r="E1025" s="76" t="str">
        <f aca="false">IF(B1025="","",IFERROR(INDEX(PE_Equipe,MATCH(B1025,PE_Mat,0)),""))</f>
        <v/>
      </c>
      <c r="F1025" s="25"/>
      <c r="G1025" s="25"/>
      <c r="H1025" s="68"/>
      <c r="I1025" s="89"/>
      <c r="J1025" s="31" t="str">
        <f aca="false">IF(B1025="","",IFERROR(INDEX(PE_Taux,MATCH(B1025,PE_Mat,0)),0))</f>
        <v/>
      </c>
      <c r="K1025" s="31" t="str">
        <f aca="false">IF(B1025="","",IF(H1025="A",0,IFERROR(N(I1025)/P_Heures*J1025,0)))</f>
        <v/>
      </c>
      <c r="L1025" s="25"/>
    </row>
    <row r="1026" customFormat="false" ht="15" hidden="false" customHeight="false" outlineLevel="0" collapsed="false">
      <c r="A1026" s="69"/>
      <c r="B1026" s="68"/>
      <c r="C1026" s="76" t="str">
        <f aca="false">IF(B1026="","",IFERROR(INDEX(PE_Nom,MATCH(B1026,PE_Mat,0)),"Matricule inconnu"))</f>
        <v/>
      </c>
      <c r="D1026" s="76" t="str">
        <f aca="false">IF(B1026="","",IFERROR(INDEX(PE_Fonction,MATCH(B1026,PE_Mat,0)),""))</f>
        <v/>
      </c>
      <c r="E1026" s="76" t="str">
        <f aca="false">IF(B1026="","",IFERROR(INDEX(PE_Equipe,MATCH(B1026,PE_Mat,0)),""))</f>
        <v/>
      </c>
      <c r="F1026" s="25"/>
      <c r="G1026" s="25"/>
      <c r="H1026" s="68"/>
      <c r="I1026" s="89"/>
      <c r="J1026" s="31" t="str">
        <f aca="false">IF(B1026="","",IFERROR(INDEX(PE_Taux,MATCH(B1026,PE_Mat,0)),0))</f>
        <v/>
      </c>
      <c r="K1026" s="31" t="str">
        <f aca="false">IF(B1026="","",IF(H1026="A",0,IFERROR(N(I1026)/P_Heures*J1026,0)))</f>
        <v/>
      </c>
      <c r="L1026" s="25"/>
    </row>
    <row r="1027" customFormat="false" ht="15" hidden="false" customHeight="false" outlineLevel="0" collapsed="false">
      <c r="A1027" s="69"/>
      <c r="B1027" s="68"/>
      <c r="C1027" s="76" t="str">
        <f aca="false">IF(B1027="","",IFERROR(INDEX(PE_Nom,MATCH(B1027,PE_Mat,0)),"Matricule inconnu"))</f>
        <v/>
      </c>
      <c r="D1027" s="76" t="str">
        <f aca="false">IF(B1027="","",IFERROR(INDEX(PE_Fonction,MATCH(B1027,PE_Mat,0)),""))</f>
        <v/>
      </c>
      <c r="E1027" s="76" t="str">
        <f aca="false">IF(B1027="","",IFERROR(INDEX(PE_Equipe,MATCH(B1027,PE_Mat,0)),""))</f>
        <v/>
      </c>
      <c r="F1027" s="25"/>
      <c r="G1027" s="25"/>
      <c r="H1027" s="68"/>
      <c r="I1027" s="89"/>
      <c r="J1027" s="31" t="str">
        <f aca="false">IF(B1027="","",IFERROR(INDEX(PE_Taux,MATCH(B1027,PE_Mat,0)),0))</f>
        <v/>
      </c>
      <c r="K1027" s="31" t="str">
        <f aca="false">IF(B1027="","",IF(H1027="A",0,IFERROR(N(I1027)/P_Heures*J1027,0)))</f>
        <v/>
      </c>
      <c r="L1027" s="25"/>
    </row>
    <row r="1028" customFormat="false" ht="15" hidden="false" customHeight="false" outlineLevel="0" collapsed="false">
      <c r="A1028" s="69"/>
      <c r="B1028" s="68"/>
      <c r="C1028" s="76" t="str">
        <f aca="false">IF(B1028="","",IFERROR(INDEX(PE_Nom,MATCH(B1028,PE_Mat,0)),"Matricule inconnu"))</f>
        <v/>
      </c>
      <c r="D1028" s="76" t="str">
        <f aca="false">IF(B1028="","",IFERROR(INDEX(PE_Fonction,MATCH(B1028,PE_Mat,0)),""))</f>
        <v/>
      </c>
      <c r="E1028" s="76" t="str">
        <f aca="false">IF(B1028="","",IFERROR(INDEX(PE_Equipe,MATCH(B1028,PE_Mat,0)),""))</f>
        <v/>
      </c>
      <c r="F1028" s="25"/>
      <c r="G1028" s="25"/>
      <c r="H1028" s="68"/>
      <c r="I1028" s="89"/>
      <c r="J1028" s="31" t="str">
        <f aca="false">IF(B1028="","",IFERROR(INDEX(PE_Taux,MATCH(B1028,PE_Mat,0)),0))</f>
        <v/>
      </c>
      <c r="K1028" s="31" t="str">
        <f aca="false">IF(B1028="","",IF(H1028="A",0,IFERROR(N(I1028)/P_Heures*J1028,0)))</f>
        <v/>
      </c>
      <c r="L1028" s="25"/>
    </row>
    <row r="1029" customFormat="false" ht="15" hidden="false" customHeight="false" outlineLevel="0" collapsed="false">
      <c r="A1029" s="69"/>
      <c r="B1029" s="68"/>
      <c r="C1029" s="76" t="str">
        <f aca="false">IF(B1029="","",IFERROR(INDEX(PE_Nom,MATCH(B1029,PE_Mat,0)),"Matricule inconnu"))</f>
        <v/>
      </c>
      <c r="D1029" s="76" t="str">
        <f aca="false">IF(B1029="","",IFERROR(INDEX(PE_Fonction,MATCH(B1029,PE_Mat,0)),""))</f>
        <v/>
      </c>
      <c r="E1029" s="76" t="str">
        <f aca="false">IF(B1029="","",IFERROR(INDEX(PE_Equipe,MATCH(B1029,PE_Mat,0)),""))</f>
        <v/>
      </c>
      <c r="F1029" s="25"/>
      <c r="G1029" s="25"/>
      <c r="H1029" s="68"/>
      <c r="I1029" s="89"/>
      <c r="J1029" s="31" t="str">
        <f aca="false">IF(B1029="","",IFERROR(INDEX(PE_Taux,MATCH(B1029,PE_Mat,0)),0))</f>
        <v/>
      </c>
      <c r="K1029" s="31" t="str">
        <f aca="false">IF(B1029="","",IF(H1029="A",0,IFERROR(N(I1029)/P_Heures*J1029,0)))</f>
        <v/>
      </c>
      <c r="L1029" s="25"/>
    </row>
    <row r="1030" customFormat="false" ht="15" hidden="false" customHeight="false" outlineLevel="0" collapsed="false">
      <c r="A1030" s="69"/>
      <c r="B1030" s="68"/>
      <c r="C1030" s="76" t="str">
        <f aca="false">IF(B1030="","",IFERROR(INDEX(PE_Nom,MATCH(B1030,PE_Mat,0)),"Matricule inconnu"))</f>
        <v/>
      </c>
      <c r="D1030" s="76" t="str">
        <f aca="false">IF(B1030="","",IFERROR(INDEX(PE_Fonction,MATCH(B1030,PE_Mat,0)),""))</f>
        <v/>
      </c>
      <c r="E1030" s="76" t="str">
        <f aca="false">IF(B1030="","",IFERROR(INDEX(PE_Equipe,MATCH(B1030,PE_Mat,0)),""))</f>
        <v/>
      </c>
      <c r="F1030" s="25"/>
      <c r="G1030" s="25"/>
      <c r="H1030" s="68"/>
      <c r="I1030" s="89"/>
      <c r="J1030" s="31" t="str">
        <f aca="false">IF(B1030="","",IFERROR(INDEX(PE_Taux,MATCH(B1030,PE_Mat,0)),0))</f>
        <v/>
      </c>
      <c r="K1030" s="31" t="str">
        <f aca="false">IF(B1030="","",IF(H1030="A",0,IFERROR(N(I1030)/P_Heures*J1030,0)))</f>
        <v/>
      </c>
      <c r="L1030" s="25"/>
    </row>
    <row r="1031" customFormat="false" ht="15" hidden="false" customHeight="false" outlineLevel="0" collapsed="false">
      <c r="A1031" s="69"/>
      <c r="B1031" s="68"/>
      <c r="C1031" s="76" t="str">
        <f aca="false">IF(B1031="","",IFERROR(INDEX(PE_Nom,MATCH(B1031,PE_Mat,0)),"Matricule inconnu"))</f>
        <v/>
      </c>
      <c r="D1031" s="76" t="str">
        <f aca="false">IF(B1031="","",IFERROR(INDEX(PE_Fonction,MATCH(B1031,PE_Mat,0)),""))</f>
        <v/>
      </c>
      <c r="E1031" s="76" t="str">
        <f aca="false">IF(B1031="","",IFERROR(INDEX(PE_Equipe,MATCH(B1031,PE_Mat,0)),""))</f>
        <v/>
      </c>
      <c r="F1031" s="25"/>
      <c r="G1031" s="25"/>
      <c r="H1031" s="68"/>
      <c r="I1031" s="89"/>
      <c r="J1031" s="31" t="str">
        <f aca="false">IF(B1031="","",IFERROR(INDEX(PE_Taux,MATCH(B1031,PE_Mat,0)),0))</f>
        <v/>
      </c>
      <c r="K1031" s="31" t="str">
        <f aca="false">IF(B1031="","",IF(H1031="A",0,IFERROR(N(I1031)/P_Heures*J1031,0)))</f>
        <v/>
      </c>
      <c r="L1031" s="25"/>
    </row>
    <row r="1032" customFormat="false" ht="15" hidden="false" customHeight="false" outlineLevel="0" collapsed="false">
      <c r="A1032" s="69"/>
      <c r="B1032" s="68"/>
      <c r="C1032" s="76" t="str">
        <f aca="false">IF(B1032="","",IFERROR(INDEX(PE_Nom,MATCH(B1032,PE_Mat,0)),"Matricule inconnu"))</f>
        <v/>
      </c>
      <c r="D1032" s="76" t="str">
        <f aca="false">IF(B1032="","",IFERROR(INDEX(PE_Fonction,MATCH(B1032,PE_Mat,0)),""))</f>
        <v/>
      </c>
      <c r="E1032" s="76" t="str">
        <f aca="false">IF(B1032="","",IFERROR(INDEX(PE_Equipe,MATCH(B1032,PE_Mat,0)),""))</f>
        <v/>
      </c>
      <c r="F1032" s="25"/>
      <c r="G1032" s="25"/>
      <c r="H1032" s="68"/>
      <c r="I1032" s="89"/>
      <c r="J1032" s="31" t="str">
        <f aca="false">IF(B1032="","",IFERROR(INDEX(PE_Taux,MATCH(B1032,PE_Mat,0)),0))</f>
        <v/>
      </c>
      <c r="K1032" s="31" t="str">
        <f aca="false">IF(B1032="","",IF(H1032="A",0,IFERROR(N(I1032)/P_Heures*J1032,0)))</f>
        <v/>
      </c>
      <c r="L1032" s="25"/>
    </row>
    <row r="1033" customFormat="false" ht="15" hidden="false" customHeight="false" outlineLevel="0" collapsed="false">
      <c r="A1033" s="69"/>
      <c r="B1033" s="68"/>
      <c r="C1033" s="76" t="str">
        <f aca="false">IF(B1033="","",IFERROR(INDEX(PE_Nom,MATCH(B1033,PE_Mat,0)),"Matricule inconnu"))</f>
        <v/>
      </c>
      <c r="D1033" s="76" t="str">
        <f aca="false">IF(B1033="","",IFERROR(INDEX(PE_Fonction,MATCH(B1033,PE_Mat,0)),""))</f>
        <v/>
      </c>
      <c r="E1033" s="76" t="str">
        <f aca="false">IF(B1033="","",IFERROR(INDEX(PE_Equipe,MATCH(B1033,PE_Mat,0)),""))</f>
        <v/>
      </c>
      <c r="F1033" s="25"/>
      <c r="G1033" s="25"/>
      <c r="H1033" s="68"/>
      <c r="I1033" s="89"/>
      <c r="J1033" s="31" t="str">
        <f aca="false">IF(B1033="","",IFERROR(INDEX(PE_Taux,MATCH(B1033,PE_Mat,0)),0))</f>
        <v/>
      </c>
      <c r="K1033" s="31" t="str">
        <f aca="false">IF(B1033="","",IF(H1033="A",0,IFERROR(N(I1033)/P_Heures*J1033,0)))</f>
        <v/>
      </c>
      <c r="L1033" s="25"/>
    </row>
    <row r="1034" customFormat="false" ht="15" hidden="false" customHeight="false" outlineLevel="0" collapsed="false">
      <c r="A1034" s="69"/>
      <c r="B1034" s="68"/>
      <c r="C1034" s="76" t="str">
        <f aca="false">IF(B1034="","",IFERROR(INDEX(PE_Nom,MATCH(B1034,PE_Mat,0)),"Matricule inconnu"))</f>
        <v/>
      </c>
      <c r="D1034" s="76" t="str">
        <f aca="false">IF(B1034="","",IFERROR(INDEX(PE_Fonction,MATCH(B1034,PE_Mat,0)),""))</f>
        <v/>
      </c>
      <c r="E1034" s="76" t="str">
        <f aca="false">IF(B1034="","",IFERROR(INDEX(PE_Equipe,MATCH(B1034,PE_Mat,0)),""))</f>
        <v/>
      </c>
      <c r="F1034" s="25"/>
      <c r="G1034" s="25"/>
      <c r="H1034" s="68"/>
      <c r="I1034" s="89"/>
      <c r="J1034" s="31" t="str">
        <f aca="false">IF(B1034="","",IFERROR(INDEX(PE_Taux,MATCH(B1034,PE_Mat,0)),0))</f>
        <v/>
      </c>
      <c r="K1034" s="31" t="str">
        <f aca="false">IF(B1034="","",IF(H1034="A",0,IFERROR(N(I1034)/P_Heures*J1034,0)))</f>
        <v/>
      </c>
      <c r="L1034" s="25"/>
    </row>
    <row r="1035" customFormat="false" ht="15" hidden="false" customHeight="false" outlineLevel="0" collapsed="false">
      <c r="A1035" s="69"/>
      <c r="B1035" s="68"/>
      <c r="C1035" s="76" t="str">
        <f aca="false">IF(B1035="","",IFERROR(INDEX(PE_Nom,MATCH(B1035,PE_Mat,0)),"Matricule inconnu"))</f>
        <v/>
      </c>
      <c r="D1035" s="76" t="str">
        <f aca="false">IF(B1035="","",IFERROR(INDEX(PE_Fonction,MATCH(B1035,PE_Mat,0)),""))</f>
        <v/>
      </c>
      <c r="E1035" s="76" t="str">
        <f aca="false">IF(B1035="","",IFERROR(INDEX(PE_Equipe,MATCH(B1035,PE_Mat,0)),""))</f>
        <v/>
      </c>
      <c r="F1035" s="25"/>
      <c r="G1035" s="25"/>
      <c r="H1035" s="68"/>
      <c r="I1035" s="89"/>
      <c r="J1035" s="31" t="str">
        <f aca="false">IF(B1035="","",IFERROR(INDEX(PE_Taux,MATCH(B1035,PE_Mat,0)),0))</f>
        <v/>
      </c>
      <c r="K1035" s="31" t="str">
        <f aca="false">IF(B1035="","",IF(H1035="A",0,IFERROR(N(I1035)/P_Heures*J1035,0)))</f>
        <v/>
      </c>
      <c r="L1035" s="25"/>
    </row>
    <row r="1036" customFormat="false" ht="15" hidden="false" customHeight="false" outlineLevel="0" collapsed="false">
      <c r="A1036" s="69"/>
      <c r="B1036" s="68"/>
      <c r="C1036" s="76" t="str">
        <f aca="false">IF(B1036="","",IFERROR(INDEX(PE_Nom,MATCH(B1036,PE_Mat,0)),"Matricule inconnu"))</f>
        <v/>
      </c>
      <c r="D1036" s="76" t="str">
        <f aca="false">IF(B1036="","",IFERROR(INDEX(PE_Fonction,MATCH(B1036,PE_Mat,0)),""))</f>
        <v/>
      </c>
      <c r="E1036" s="76" t="str">
        <f aca="false">IF(B1036="","",IFERROR(INDEX(PE_Equipe,MATCH(B1036,PE_Mat,0)),""))</f>
        <v/>
      </c>
      <c r="F1036" s="25"/>
      <c r="G1036" s="25"/>
      <c r="H1036" s="68"/>
      <c r="I1036" s="89"/>
      <c r="J1036" s="31" t="str">
        <f aca="false">IF(B1036="","",IFERROR(INDEX(PE_Taux,MATCH(B1036,PE_Mat,0)),0))</f>
        <v/>
      </c>
      <c r="K1036" s="31" t="str">
        <f aca="false">IF(B1036="","",IF(H1036="A",0,IFERROR(N(I1036)/P_Heures*J1036,0)))</f>
        <v/>
      </c>
      <c r="L1036" s="25"/>
    </row>
    <row r="1037" customFormat="false" ht="15" hidden="false" customHeight="false" outlineLevel="0" collapsed="false">
      <c r="A1037" s="69"/>
      <c r="B1037" s="68"/>
      <c r="C1037" s="76" t="str">
        <f aca="false">IF(B1037="","",IFERROR(INDEX(PE_Nom,MATCH(B1037,PE_Mat,0)),"Matricule inconnu"))</f>
        <v/>
      </c>
      <c r="D1037" s="76" t="str">
        <f aca="false">IF(B1037="","",IFERROR(INDEX(PE_Fonction,MATCH(B1037,PE_Mat,0)),""))</f>
        <v/>
      </c>
      <c r="E1037" s="76" t="str">
        <f aca="false">IF(B1037="","",IFERROR(INDEX(PE_Equipe,MATCH(B1037,PE_Mat,0)),""))</f>
        <v/>
      </c>
      <c r="F1037" s="25"/>
      <c r="G1037" s="25"/>
      <c r="H1037" s="68"/>
      <c r="I1037" s="89"/>
      <c r="J1037" s="31" t="str">
        <f aca="false">IF(B1037="","",IFERROR(INDEX(PE_Taux,MATCH(B1037,PE_Mat,0)),0))</f>
        <v/>
      </c>
      <c r="K1037" s="31" t="str">
        <f aca="false">IF(B1037="","",IF(H1037="A",0,IFERROR(N(I1037)/P_Heures*J1037,0)))</f>
        <v/>
      </c>
      <c r="L1037" s="25"/>
    </row>
    <row r="1038" customFormat="false" ht="15" hidden="false" customHeight="false" outlineLevel="0" collapsed="false">
      <c r="A1038" s="69"/>
      <c r="B1038" s="68"/>
      <c r="C1038" s="76" t="str">
        <f aca="false">IF(B1038="","",IFERROR(INDEX(PE_Nom,MATCH(B1038,PE_Mat,0)),"Matricule inconnu"))</f>
        <v/>
      </c>
      <c r="D1038" s="76" t="str">
        <f aca="false">IF(B1038="","",IFERROR(INDEX(PE_Fonction,MATCH(B1038,PE_Mat,0)),""))</f>
        <v/>
      </c>
      <c r="E1038" s="76" t="str">
        <f aca="false">IF(B1038="","",IFERROR(INDEX(PE_Equipe,MATCH(B1038,PE_Mat,0)),""))</f>
        <v/>
      </c>
      <c r="F1038" s="25"/>
      <c r="G1038" s="25"/>
      <c r="H1038" s="68"/>
      <c r="I1038" s="89"/>
      <c r="J1038" s="31" t="str">
        <f aca="false">IF(B1038="","",IFERROR(INDEX(PE_Taux,MATCH(B1038,PE_Mat,0)),0))</f>
        <v/>
      </c>
      <c r="K1038" s="31" t="str">
        <f aca="false">IF(B1038="","",IF(H1038="A",0,IFERROR(N(I1038)/P_Heures*J1038,0)))</f>
        <v/>
      </c>
      <c r="L1038" s="25"/>
    </row>
    <row r="1039" customFormat="false" ht="15" hidden="false" customHeight="false" outlineLevel="0" collapsed="false">
      <c r="A1039" s="69"/>
      <c r="B1039" s="68"/>
      <c r="C1039" s="76" t="str">
        <f aca="false">IF(B1039="","",IFERROR(INDEX(PE_Nom,MATCH(B1039,PE_Mat,0)),"Matricule inconnu"))</f>
        <v/>
      </c>
      <c r="D1039" s="76" t="str">
        <f aca="false">IF(B1039="","",IFERROR(INDEX(PE_Fonction,MATCH(B1039,PE_Mat,0)),""))</f>
        <v/>
      </c>
      <c r="E1039" s="76" t="str">
        <f aca="false">IF(B1039="","",IFERROR(INDEX(PE_Equipe,MATCH(B1039,PE_Mat,0)),""))</f>
        <v/>
      </c>
      <c r="F1039" s="25"/>
      <c r="G1039" s="25"/>
      <c r="H1039" s="68"/>
      <c r="I1039" s="89"/>
      <c r="J1039" s="31" t="str">
        <f aca="false">IF(B1039="","",IFERROR(INDEX(PE_Taux,MATCH(B1039,PE_Mat,0)),0))</f>
        <v/>
      </c>
      <c r="K1039" s="31" t="str">
        <f aca="false">IF(B1039="","",IF(H1039="A",0,IFERROR(N(I1039)/P_Heures*J1039,0)))</f>
        <v/>
      </c>
      <c r="L1039" s="25"/>
    </row>
    <row r="1040" customFormat="false" ht="15" hidden="false" customHeight="false" outlineLevel="0" collapsed="false">
      <c r="A1040" s="69"/>
      <c r="B1040" s="68"/>
      <c r="C1040" s="76" t="str">
        <f aca="false">IF(B1040="","",IFERROR(INDEX(PE_Nom,MATCH(B1040,PE_Mat,0)),"Matricule inconnu"))</f>
        <v/>
      </c>
      <c r="D1040" s="76" t="str">
        <f aca="false">IF(B1040="","",IFERROR(INDEX(PE_Fonction,MATCH(B1040,PE_Mat,0)),""))</f>
        <v/>
      </c>
      <c r="E1040" s="76" t="str">
        <f aca="false">IF(B1040="","",IFERROR(INDEX(PE_Equipe,MATCH(B1040,PE_Mat,0)),""))</f>
        <v/>
      </c>
      <c r="F1040" s="25"/>
      <c r="G1040" s="25"/>
      <c r="H1040" s="68"/>
      <c r="I1040" s="89"/>
      <c r="J1040" s="31" t="str">
        <f aca="false">IF(B1040="","",IFERROR(INDEX(PE_Taux,MATCH(B1040,PE_Mat,0)),0))</f>
        <v/>
      </c>
      <c r="K1040" s="31" t="str">
        <f aca="false">IF(B1040="","",IF(H1040="A",0,IFERROR(N(I1040)/P_Heures*J1040,0)))</f>
        <v/>
      </c>
      <c r="L1040" s="25"/>
    </row>
    <row r="1041" customFormat="false" ht="15" hidden="false" customHeight="false" outlineLevel="0" collapsed="false">
      <c r="A1041" s="69"/>
      <c r="B1041" s="68"/>
      <c r="C1041" s="76" t="str">
        <f aca="false">IF(B1041="","",IFERROR(INDEX(PE_Nom,MATCH(B1041,PE_Mat,0)),"Matricule inconnu"))</f>
        <v/>
      </c>
      <c r="D1041" s="76" t="str">
        <f aca="false">IF(B1041="","",IFERROR(INDEX(PE_Fonction,MATCH(B1041,PE_Mat,0)),""))</f>
        <v/>
      </c>
      <c r="E1041" s="76" t="str">
        <f aca="false">IF(B1041="","",IFERROR(INDEX(PE_Equipe,MATCH(B1041,PE_Mat,0)),""))</f>
        <v/>
      </c>
      <c r="F1041" s="25"/>
      <c r="G1041" s="25"/>
      <c r="H1041" s="68"/>
      <c r="I1041" s="89"/>
      <c r="J1041" s="31" t="str">
        <f aca="false">IF(B1041="","",IFERROR(INDEX(PE_Taux,MATCH(B1041,PE_Mat,0)),0))</f>
        <v/>
      </c>
      <c r="K1041" s="31" t="str">
        <f aca="false">IF(B1041="","",IF(H1041="A",0,IFERROR(N(I1041)/P_Heures*J1041,0)))</f>
        <v/>
      </c>
      <c r="L1041" s="25"/>
    </row>
    <row r="1042" customFormat="false" ht="15" hidden="false" customHeight="false" outlineLevel="0" collapsed="false">
      <c r="A1042" s="69"/>
      <c r="B1042" s="68"/>
      <c r="C1042" s="76" t="str">
        <f aca="false">IF(B1042="","",IFERROR(INDEX(PE_Nom,MATCH(B1042,PE_Mat,0)),"Matricule inconnu"))</f>
        <v/>
      </c>
      <c r="D1042" s="76" t="str">
        <f aca="false">IF(B1042="","",IFERROR(INDEX(PE_Fonction,MATCH(B1042,PE_Mat,0)),""))</f>
        <v/>
      </c>
      <c r="E1042" s="76" t="str">
        <f aca="false">IF(B1042="","",IFERROR(INDEX(PE_Equipe,MATCH(B1042,PE_Mat,0)),""))</f>
        <v/>
      </c>
      <c r="F1042" s="25"/>
      <c r="G1042" s="25"/>
      <c r="H1042" s="68"/>
      <c r="I1042" s="89"/>
      <c r="J1042" s="31" t="str">
        <f aca="false">IF(B1042="","",IFERROR(INDEX(PE_Taux,MATCH(B1042,PE_Mat,0)),0))</f>
        <v/>
      </c>
      <c r="K1042" s="31" t="str">
        <f aca="false">IF(B1042="","",IF(H1042="A",0,IFERROR(N(I1042)/P_Heures*J1042,0)))</f>
        <v/>
      </c>
      <c r="L1042" s="25"/>
    </row>
    <row r="1043" customFormat="false" ht="15" hidden="false" customHeight="false" outlineLevel="0" collapsed="false">
      <c r="A1043" s="69"/>
      <c r="B1043" s="68"/>
      <c r="C1043" s="76" t="str">
        <f aca="false">IF(B1043="","",IFERROR(INDEX(PE_Nom,MATCH(B1043,PE_Mat,0)),"Matricule inconnu"))</f>
        <v/>
      </c>
      <c r="D1043" s="76" t="str">
        <f aca="false">IF(B1043="","",IFERROR(INDEX(PE_Fonction,MATCH(B1043,PE_Mat,0)),""))</f>
        <v/>
      </c>
      <c r="E1043" s="76" t="str">
        <f aca="false">IF(B1043="","",IFERROR(INDEX(PE_Equipe,MATCH(B1043,PE_Mat,0)),""))</f>
        <v/>
      </c>
      <c r="F1043" s="25"/>
      <c r="G1043" s="25"/>
      <c r="H1043" s="68"/>
      <c r="I1043" s="89"/>
      <c r="J1043" s="31" t="str">
        <f aca="false">IF(B1043="","",IFERROR(INDEX(PE_Taux,MATCH(B1043,PE_Mat,0)),0))</f>
        <v/>
      </c>
      <c r="K1043" s="31" t="str">
        <f aca="false">IF(B1043="","",IF(H1043="A",0,IFERROR(N(I1043)/P_Heures*J1043,0)))</f>
        <v/>
      </c>
      <c r="L1043" s="25"/>
    </row>
    <row r="1044" customFormat="false" ht="15" hidden="false" customHeight="false" outlineLevel="0" collapsed="false">
      <c r="A1044" s="69"/>
      <c r="B1044" s="68"/>
      <c r="C1044" s="76" t="str">
        <f aca="false">IF(B1044="","",IFERROR(INDEX(PE_Nom,MATCH(B1044,PE_Mat,0)),"Matricule inconnu"))</f>
        <v/>
      </c>
      <c r="D1044" s="76" t="str">
        <f aca="false">IF(B1044="","",IFERROR(INDEX(PE_Fonction,MATCH(B1044,PE_Mat,0)),""))</f>
        <v/>
      </c>
      <c r="E1044" s="76" t="str">
        <f aca="false">IF(B1044="","",IFERROR(INDEX(PE_Equipe,MATCH(B1044,PE_Mat,0)),""))</f>
        <v/>
      </c>
      <c r="F1044" s="25"/>
      <c r="G1044" s="25"/>
      <c r="H1044" s="68"/>
      <c r="I1044" s="89"/>
      <c r="J1044" s="31" t="str">
        <f aca="false">IF(B1044="","",IFERROR(INDEX(PE_Taux,MATCH(B1044,PE_Mat,0)),0))</f>
        <v/>
      </c>
      <c r="K1044" s="31" t="str">
        <f aca="false">IF(B1044="","",IF(H1044="A",0,IFERROR(N(I1044)/P_Heures*J1044,0)))</f>
        <v/>
      </c>
      <c r="L1044" s="25"/>
    </row>
    <row r="1045" customFormat="false" ht="15" hidden="false" customHeight="false" outlineLevel="0" collapsed="false">
      <c r="A1045" s="69"/>
      <c r="B1045" s="68"/>
      <c r="C1045" s="76" t="str">
        <f aca="false">IF(B1045="","",IFERROR(INDEX(PE_Nom,MATCH(B1045,PE_Mat,0)),"Matricule inconnu"))</f>
        <v/>
      </c>
      <c r="D1045" s="76" t="str">
        <f aca="false">IF(B1045="","",IFERROR(INDEX(PE_Fonction,MATCH(B1045,PE_Mat,0)),""))</f>
        <v/>
      </c>
      <c r="E1045" s="76" t="str">
        <f aca="false">IF(B1045="","",IFERROR(INDEX(PE_Equipe,MATCH(B1045,PE_Mat,0)),""))</f>
        <v/>
      </c>
      <c r="F1045" s="25"/>
      <c r="G1045" s="25"/>
      <c r="H1045" s="68"/>
      <c r="I1045" s="89"/>
      <c r="J1045" s="31" t="str">
        <f aca="false">IF(B1045="","",IFERROR(INDEX(PE_Taux,MATCH(B1045,PE_Mat,0)),0))</f>
        <v/>
      </c>
      <c r="K1045" s="31" t="str">
        <f aca="false">IF(B1045="","",IF(H1045="A",0,IFERROR(N(I1045)/P_Heures*J1045,0)))</f>
        <v/>
      </c>
      <c r="L1045" s="25"/>
    </row>
    <row r="1046" customFormat="false" ht="15" hidden="false" customHeight="false" outlineLevel="0" collapsed="false">
      <c r="A1046" s="69"/>
      <c r="B1046" s="68"/>
      <c r="C1046" s="76" t="str">
        <f aca="false">IF(B1046="","",IFERROR(INDEX(PE_Nom,MATCH(B1046,PE_Mat,0)),"Matricule inconnu"))</f>
        <v/>
      </c>
      <c r="D1046" s="76" t="str">
        <f aca="false">IF(B1046="","",IFERROR(INDEX(PE_Fonction,MATCH(B1046,PE_Mat,0)),""))</f>
        <v/>
      </c>
      <c r="E1046" s="76" t="str">
        <f aca="false">IF(B1046="","",IFERROR(INDEX(PE_Equipe,MATCH(B1046,PE_Mat,0)),""))</f>
        <v/>
      </c>
      <c r="F1046" s="25"/>
      <c r="G1046" s="25"/>
      <c r="H1046" s="68"/>
      <c r="I1046" s="89"/>
      <c r="J1046" s="31" t="str">
        <f aca="false">IF(B1046="","",IFERROR(INDEX(PE_Taux,MATCH(B1046,PE_Mat,0)),0))</f>
        <v/>
      </c>
      <c r="K1046" s="31" t="str">
        <f aca="false">IF(B1046="","",IF(H1046="A",0,IFERROR(N(I1046)/P_Heures*J1046,0)))</f>
        <v/>
      </c>
      <c r="L1046" s="25"/>
    </row>
    <row r="1047" customFormat="false" ht="15" hidden="false" customHeight="false" outlineLevel="0" collapsed="false">
      <c r="A1047" s="69"/>
      <c r="B1047" s="68"/>
      <c r="C1047" s="76" t="str">
        <f aca="false">IF(B1047="","",IFERROR(INDEX(PE_Nom,MATCH(B1047,PE_Mat,0)),"Matricule inconnu"))</f>
        <v/>
      </c>
      <c r="D1047" s="76" t="str">
        <f aca="false">IF(B1047="","",IFERROR(INDEX(PE_Fonction,MATCH(B1047,PE_Mat,0)),""))</f>
        <v/>
      </c>
      <c r="E1047" s="76" t="str">
        <f aca="false">IF(B1047="","",IFERROR(INDEX(PE_Equipe,MATCH(B1047,PE_Mat,0)),""))</f>
        <v/>
      </c>
      <c r="F1047" s="25"/>
      <c r="G1047" s="25"/>
      <c r="H1047" s="68"/>
      <c r="I1047" s="89"/>
      <c r="J1047" s="31" t="str">
        <f aca="false">IF(B1047="","",IFERROR(INDEX(PE_Taux,MATCH(B1047,PE_Mat,0)),0))</f>
        <v/>
      </c>
      <c r="K1047" s="31" t="str">
        <f aca="false">IF(B1047="","",IF(H1047="A",0,IFERROR(N(I1047)/P_Heures*J1047,0)))</f>
        <v/>
      </c>
      <c r="L1047" s="25"/>
    </row>
    <row r="1048" customFormat="false" ht="15" hidden="false" customHeight="false" outlineLevel="0" collapsed="false">
      <c r="A1048" s="69"/>
      <c r="B1048" s="68"/>
      <c r="C1048" s="76" t="str">
        <f aca="false">IF(B1048="","",IFERROR(INDEX(PE_Nom,MATCH(B1048,PE_Mat,0)),"Matricule inconnu"))</f>
        <v/>
      </c>
      <c r="D1048" s="76" t="str">
        <f aca="false">IF(B1048="","",IFERROR(INDEX(PE_Fonction,MATCH(B1048,PE_Mat,0)),""))</f>
        <v/>
      </c>
      <c r="E1048" s="76" t="str">
        <f aca="false">IF(B1048="","",IFERROR(INDEX(PE_Equipe,MATCH(B1048,PE_Mat,0)),""))</f>
        <v/>
      </c>
      <c r="F1048" s="25"/>
      <c r="G1048" s="25"/>
      <c r="H1048" s="68"/>
      <c r="I1048" s="89"/>
      <c r="J1048" s="31" t="str">
        <f aca="false">IF(B1048="","",IFERROR(INDEX(PE_Taux,MATCH(B1048,PE_Mat,0)),0))</f>
        <v/>
      </c>
      <c r="K1048" s="31" t="str">
        <f aca="false">IF(B1048="","",IF(H1048="A",0,IFERROR(N(I1048)/P_Heures*J1048,0)))</f>
        <v/>
      </c>
      <c r="L1048" s="25"/>
    </row>
    <row r="1049" customFormat="false" ht="15" hidden="false" customHeight="false" outlineLevel="0" collapsed="false">
      <c r="A1049" s="69"/>
      <c r="B1049" s="68"/>
      <c r="C1049" s="76" t="str">
        <f aca="false">IF(B1049="","",IFERROR(INDEX(PE_Nom,MATCH(B1049,PE_Mat,0)),"Matricule inconnu"))</f>
        <v/>
      </c>
      <c r="D1049" s="76" t="str">
        <f aca="false">IF(B1049="","",IFERROR(INDEX(PE_Fonction,MATCH(B1049,PE_Mat,0)),""))</f>
        <v/>
      </c>
      <c r="E1049" s="76" t="str">
        <f aca="false">IF(B1049="","",IFERROR(INDEX(PE_Equipe,MATCH(B1049,PE_Mat,0)),""))</f>
        <v/>
      </c>
      <c r="F1049" s="25"/>
      <c r="G1049" s="25"/>
      <c r="H1049" s="68"/>
      <c r="I1049" s="89"/>
      <c r="J1049" s="31" t="str">
        <f aca="false">IF(B1049="","",IFERROR(INDEX(PE_Taux,MATCH(B1049,PE_Mat,0)),0))</f>
        <v/>
      </c>
      <c r="K1049" s="31" t="str">
        <f aca="false">IF(B1049="","",IF(H1049="A",0,IFERROR(N(I1049)/P_Heures*J1049,0)))</f>
        <v/>
      </c>
      <c r="L1049" s="25"/>
    </row>
    <row r="1050" customFormat="false" ht="15" hidden="false" customHeight="false" outlineLevel="0" collapsed="false">
      <c r="A1050" s="69"/>
      <c r="B1050" s="68"/>
      <c r="C1050" s="76" t="str">
        <f aca="false">IF(B1050="","",IFERROR(INDEX(PE_Nom,MATCH(B1050,PE_Mat,0)),"Matricule inconnu"))</f>
        <v/>
      </c>
      <c r="D1050" s="76" t="str">
        <f aca="false">IF(B1050="","",IFERROR(INDEX(PE_Fonction,MATCH(B1050,PE_Mat,0)),""))</f>
        <v/>
      </c>
      <c r="E1050" s="76" t="str">
        <f aca="false">IF(B1050="","",IFERROR(INDEX(PE_Equipe,MATCH(B1050,PE_Mat,0)),""))</f>
        <v/>
      </c>
      <c r="F1050" s="25"/>
      <c r="G1050" s="25"/>
      <c r="H1050" s="68"/>
      <c r="I1050" s="89"/>
      <c r="J1050" s="31" t="str">
        <f aca="false">IF(B1050="","",IFERROR(INDEX(PE_Taux,MATCH(B1050,PE_Mat,0)),0))</f>
        <v/>
      </c>
      <c r="K1050" s="31" t="str">
        <f aca="false">IF(B1050="","",IF(H1050="A",0,IFERROR(N(I1050)/P_Heures*J1050,0)))</f>
        <v/>
      </c>
      <c r="L1050" s="25"/>
    </row>
    <row r="1051" customFormat="false" ht="15" hidden="false" customHeight="false" outlineLevel="0" collapsed="false">
      <c r="A1051" s="69"/>
      <c r="B1051" s="68"/>
      <c r="C1051" s="76" t="str">
        <f aca="false">IF(B1051="","",IFERROR(INDEX(PE_Nom,MATCH(B1051,PE_Mat,0)),"Matricule inconnu"))</f>
        <v/>
      </c>
      <c r="D1051" s="76" t="str">
        <f aca="false">IF(B1051="","",IFERROR(INDEX(PE_Fonction,MATCH(B1051,PE_Mat,0)),""))</f>
        <v/>
      </c>
      <c r="E1051" s="76" t="str">
        <f aca="false">IF(B1051="","",IFERROR(INDEX(PE_Equipe,MATCH(B1051,PE_Mat,0)),""))</f>
        <v/>
      </c>
      <c r="F1051" s="25"/>
      <c r="G1051" s="25"/>
      <c r="H1051" s="68"/>
      <c r="I1051" s="89"/>
      <c r="J1051" s="31" t="str">
        <f aca="false">IF(B1051="","",IFERROR(INDEX(PE_Taux,MATCH(B1051,PE_Mat,0)),0))</f>
        <v/>
      </c>
      <c r="K1051" s="31" t="str">
        <f aca="false">IF(B1051="","",IF(H1051="A",0,IFERROR(N(I1051)/P_Heures*J1051,0)))</f>
        <v/>
      </c>
      <c r="L1051" s="25"/>
    </row>
    <row r="1052" customFormat="false" ht="15" hidden="false" customHeight="false" outlineLevel="0" collapsed="false">
      <c r="A1052" s="69"/>
      <c r="B1052" s="68"/>
      <c r="C1052" s="76" t="str">
        <f aca="false">IF(B1052="","",IFERROR(INDEX(PE_Nom,MATCH(B1052,PE_Mat,0)),"Matricule inconnu"))</f>
        <v/>
      </c>
      <c r="D1052" s="76" t="str">
        <f aca="false">IF(B1052="","",IFERROR(INDEX(PE_Fonction,MATCH(B1052,PE_Mat,0)),""))</f>
        <v/>
      </c>
      <c r="E1052" s="76" t="str">
        <f aca="false">IF(B1052="","",IFERROR(INDEX(PE_Equipe,MATCH(B1052,PE_Mat,0)),""))</f>
        <v/>
      </c>
      <c r="F1052" s="25"/>
      <c r="G1052" s="25"/>
      <c r="H1052" s="68"/>
      <c r="I1052" s="89"/>
      <c r="J1052" s="31" t="str">
        <f aca="false">IF(B1052="","",IFERROR(INDEX(PE_Taux,MATCH(B1052,PE_Mat,0)),0))</f>
        <v/>
      </c>
      <c r="K1052" s="31" t="str">
        <f aca="false">IF(B1052="","",IF(H1052="A",0,IFERROR(N(I1052)/P_Heures*J1052,0)))</f>
        <v/>
      </c>
      <c r="L1052" s="25"/>
    </row>
    <row r="1053" customFormat="false" ht="15" hidden="false" customHeight="false" outlineLevel="0" collapsed="false">
      <c r="A1053" s="69"/>
      <c r="B1053" s="68"/>
      <c r="C1053" s="76" t="str">
        <f aca="false">IF(B1053="","",IFERROR(INDEX(PE_Nom,MATCH(B1053,PE_Mat,0)),"Matricule inconnu"))</f>
        <v/>
      </c>
      <c r="D1053" s="76" t="str">
        <f aca="false">IF(B1053="","",IFERROR(INDEX(PE_Fonction,MATCH(B1053,PE_Mat,0)),""))</f>
        <v/>
      </c>
      <c r="E1053" s="76" t="str">
        <f aca="false">IF(B1053="","",IFERROR(INDEX(PE_Equipe,MATCH(B1053,PE_Mat,0)),""))</f>
        <v/>
      </c>
      <c r="F1053" s="25"/>
      <c r="G1053" s="25"/>
      <c r="H1053" s="68"/>
      <c r="I1053" s="89"/>
      <c r="J1053" s="31" t="str">
        <f aca="false">IF(B1053="","",IFERROR(INDEX(PE_Taux,MATCH(B1053,PE_Mat,0)),0))</f>
        <v/>
      </c>
      <c r="K1053" s="31" t="str">
        <f aca="false">IF(B1053="","",IF(H1053="A",0,IFERROR(N(I1053)/P_Heures*J1053,0)))</f>
        <v/>
      </c>
      <c r="L1053" s="25"/>
    </row>
    <row r="1054" customFormat="false" ht="15" hidden="false" customHeight="false" outlineLevel="0" collapsed="false">
      <c r="A1054" s="69"/>
      <c r="B1054" s="68"/>
      <c r="C1054" s="76" t="str">
        <f aca="false">IF(B1054="","",IFERROR(INDEX(PE_Nom,MATCH(B1054,PE_Mat,0)),"Matricule inconnu"))</f>
        <v/>
      </c>
      <c r="D1054" s="76" t="str">
        <f aca="false">IF(B1054="","",IFERROR(INDEX(PE_Fonction,MATCH(B1054,PE_Mat,0)),""))</f>
        <v/>
      </c>
      <c r="E1054" s="76" t="str">
        <f aca="false">IF(B1054="","",IFERROR(INDEX(PE_Equipe,MATCH(B1054,PE_Mat,0)),""))</f>
        <v/>
      </c>
      <c r="F1054" s="25"/>
      <c r="G1054" s="25"/>
      <c r="H1054" s="68"/>
      <c r="I1054" s="89"/>
      <c r="J1054" s="31" t="str">
        <f aca="false">IF(B1054="","",IFERROR(INDEX(PE_Taux,MATCH(B1054,PE_Mat,0)),0))</f>
        <v/>
      </c>
      <c r="K1054" s="31" t="str">
        <f aca="false">IF(B1054="","",IF(H1054="A",0,IFERROR(N(I1054)/P_Heures*J1054,0)))</f>
        <v/>
      </c>
      <c r="L1054" s="25"/>
    </row>
    <row r="1055" customFormat="false" ht="15" hidden="false" customHeight="false" outlineLevel="0" collapsed="false">
      <c r="A1055" s="69"/>
      <c r="B1055" s="68"/>
      <c r="C1055" s="76" t="str">
        <f aca="false">IF(B1055="","",IFERROR(INDEX(PE_Nom,MATCH(B1055,PE_Mat,0)),"Matricule inconnu"))</f>
        <v/>
      </c>
      <c r="D1055" s="76" t="str">
        <f aca="false">IF(B1055="","",IFERROR(INDEX(PE_Fonction,MATCH(B1055,PE_Mat,0)),""))</f>
        <v/>
      </c>
      <c r="E1055" s="76" t="str">
        <f aca="false">IF(B1055="","",IFERROR(INDEX(PE_Equipe,MATCH(B1055,PE_Mat,0)),""))</f>
        <v/>
      </c>
      <c r="F1055" s="25"/>
      <c r="G1055" s="25"/>
      <c r="H1055" s="68"/>
      <c r="I1055" s="89"/>
      <c r="J1055" s="31" t="str">
        <f aca="false">IF(B1055="","",IFERROR(INDEX(PE_Taux,MATCH(B1055,PE_Mat,0)),0))</f>
        <v/>
      </c>
      <c r="K1055" s="31" t="str">
        <f aca="false">IF(B1055="","",IF(H1055="A",0,IFERROR(N(I1055)/P_Heures*J1055,0)))</f>
        <v/>
      </c>
      <c r="L1055" s="25"/>
    </row>
    <row r="1056" customFormat="false" ht="15" hidden="false" customHeight="false" outlineLevel="0" collapsed="false">
      <c r="A1056" s="69"/>
      <c r="B1056" s="68"/>
      <c r="C1056" s="76" t="str">
        <f aca="false">IF(B1056="","",IFERROR(INDEX(PE_Nom,MATCH(B1056,PE_Mat,0)),"Matricule inconnu"))</f>
        <v/>
      </c>
      <c r="D1056" s="76" t="str">
        <f aca="false">IF(B1056="","",IFERROR(INDEX(PE_Fonction,MATCH(B1056,PE_Mat,0)),""))</f>
        <v/>
      </c>
      <c r="E1056" s="76" t="str">
        <f aca="false">IF(B1056="","",IFERROR(INDEX(PE_Equipe,MATCH(B1056,PE_Mat,0)),""))</f>
        <v/>
      </c>
      <c r="F1056" s="25"/>
      <c r="G1056" s="25"/>
      <c r="H1056" s="68"/>
      <c r="I1056" s="89"/>
      <c r="J1056" s="31" t="str">
        <f aca="false">IF(B1056="","",IFERROR(INDEX(PE_Taux,MATCH(B1056,PE_Mat,0)),0))</f>
        <v/>
      </c>
      <c r="K1056" s="31" t="str">
        <f aca="false">IF(B1056="","",IF(H1056="A",0,IFERROR(N(I1056)/P_Heures*J1056,0)))</f>
        <v/>
      </c>
      <c r="L1056" s="25"/>
    </row>
    <row r="1057" customFormat="false" ht="15" hidden="false" customHeight="false" outlineLevel="0" collapsed="false">
      <c r="A1057" s="69"/>
      <c r="B1057" s="68"/>
      <c r="C1057" s="76" t="str">
        <f aca="false">IF(B1057="","",IFERROR(INDEX(PE_Nom,MATCH(B1057,PE_Mat,0)),"Matricule inconnu"))</f>
        <v/>
      </c>
      <c r="D1057" s="76" t="str">
        <f aca="false">IF(B1057="","",IFERROR(INDEX(PE_Fonction,MATCH(B1057,PE_Mat,0)),""))</f>
        <v/>
      </c>
      <c r="E1057" s="76" t="str">
        <f aca="false">IF(B1057="","",IFERROR(INDEX(PE_Equipe,MATCH(B1057,PE_Mat,0)),""))</f>
        <v/>
      </c>
      <c r="F1057" s="25"/>
      <c r="G1057" s="25"/>
      <c r="H1057" s="68"/>
      <c r="I1057" s="89"/>
      <c r="J1057" s="31" t="str">
        <f aca="false">IF(B1057="","",IFERROR(INDEX(PE_Taux,MATCH(B1057,PE_Mat,0)),0))</f>
        <v/>
      </c>
      <c r="K1057" s="31" t="str">
        <f aca="false">IF(B1057="","",IF(H1057="A",0,IFERROR(N(I1057)/P_Heures*J1057,0)))</f>
        <v/>
      </c>
      <c r="L1057" s="25"/>
    </row>
    <row r="1058" customFormat="false" ht="15" hidden="false" customHeight="false" outlineLevel="0" collapsed="false">
      <c r="A1058" s="69"/>
      <c r="B1058" s="68"/>
      <c r="C1058" s="76" t="str">
        <f aca="false">IF(B1058="","",IFERROR(INDEX(PE_Nom,MATCH(B1058,PE_Mat,0)),"Matricule inconnu"))</f>
        <v/>
      </c>
      <c r="D1058" s="76" t="str">
        <f aca="false">IF(B1058="","",IFERROR(INDEX(PE_Fonction,MATCH(B1058,PE_Mat,0)),""))</f>
        <v/>
      </c>
      <c r="E1058" s="76" t="str">
        <f aca="false">IF(B1058="","",IFERROR(INDEX(PE_Equipe,MATCH(B1058,PE_Mat,0)),""))</f>
        <v/>
      </c>
      <c r="F1058" s="25"/>
      <c r="G1058" s="25"/>
      <c r="H1058" s="68"/>
      <c r="I1058" s="89"/>
      <c r="J1058" s="31" t="str">
        <f aca="false">IF(B1058="","",IFERROR(INDEX(PE_Taux,MATCH(B1058,PE_Mat,0)),0))</f>
        <v/>
      </c>
      <c r="K1058" s="31" t="str">
        <f aca="false">IF(B1058="","",IF(H1058="A",0,IFERROR(N(I1058)/P_Heures*J1058,0)))</f>
        <v/>
      </c>
      <c r="L1058" s="25"/>
    </row>
    <row r="1059" customFormat="false" ht="15" hidden="false" customHeight="false" outlineLevel="0" collapsed="false">
      <c r="A1059" s="69"/>
      <c r="B1059" s="68"/>
      <c r="C1059" s="76" t="str">
        <f aca="false">IF(B1059="","",IFERROR(INDEX(PE_Nom,MATCH(B1059,PE_Mat,0)),"Matricule inconnu"))</f>
        <v/>
      </c>
      <c r="D1059" s="76" t="str">
        <f aca="false">IF(B1059="","",IFERROR(INDEX(PE_Fonction,MATCH(B1059,PE_Mat,0)),""))</f>
        <v/>
      </c>
      <c r="E1059" s="76" t="str">
        <f aca="false">IF(B1059="","",IFERROR(INDEX(PE_Equipe,MATCH(B1059,PE_Mat,0)),""))</f>
        <v/>
      </c>
      <c r="F1059" s="25"/>
      <c r="G1059" s="25"/>
      <c r="H1059" s="68"/>
      <c r="I1059" s="89"/>
      <c r="J1059" s="31" t="str">
        <f aca="false">IF(B1059="","",IFERROR(INDEX(PE_Taux,MATCH(B1059,PE_Mat,0)),0))</f>
        <v/>
      </c>
      <c r="K1059" s="31" t="str">
        <f aca="false">IF(B1059="","",IF(H1059="A",0,IFERROR(N(I1059)/P_Heures*J1059,0)))</f>
        <v/>
      </c>
      <c r="L1059" s="25"/>
    </row>
    <row r="1060" customFormat="false" ht="15" hidden="false" customHeight="false" outlineLevel="0" collapsed="false">
      <c r="A1060" s="69"/>
      <c r="B1060" s="68"/>
      <c r="C1060" s="76" t="str">
        <f aca="false">IF(B1060="","",IFERROR(INDEX(PE_Nom,MATCH(B1060,PE_Mat,0)),"Matricule inconnu"))</f>
        <v/>
      </c>
      <c r="D1060" s="76" t="str">
        <f aca="false">IF(B1060="","",IFERROR(INDEX(PE_Fonction,MATCH(B1060,PE_Mat,0)),""))</f>
        <v/>
      </c>
      <c r="E1060" s="76" t="str">
        <f aca="false">IF(B1060="","",IFERROR(INDEX(PE_Equipe,MATCH(B1060,PE_Mat,0)),""))</f>
        <v/>
      </c>
      <c r="F1060" s="25"/>
      <c r="G1060" s="25"/>
      <c r="H1060" s="68"/>
      <c r="I1060" s="89"/>
      <c r="J1060" s="31" t="str">
        <f aca="false">IF(B1060="","",IFERROR(INDEX(PE_Taux,MATCH(B1060,PE_Mat,0)),0))</f>
        <v/>
      </c>
      <c r="K1060" s="31" t="str">
        <f aca="false">IF(B1060="","",IF(H1060="A",0,IFERROR(N(I1060)/P_Heures*J1060,0)))</f>
        <v/>
      </c>
      <c r="L1060" s="25"/>
    </row>
    <row r="1061" customFormat="false" ht="15" hidden="false" customHeight="false" outlineLevel="0" collapsed="false">
      <c r="A1061" s="69"/>
      <c r="B1061" s="68"/>
      <c r="C1061" s="76" t="str">
        <f aca="false">IF(B1061="","",IFERROR(INDEX(PE_Nom,MATCH(B1061,PE_Mat,0)),"Matricule inconnu"))</f>
        <v/>
      </c>
      <c r="D1061" s="76" t="str">
        <f aca="false">IF(B1061="","",IFERROR(INDEX(PE_Fonction,MATCH(B1061,PE_Mat,0)),""))</f>
        <v/>
      </c>
      <c r="E1061" s="76" t="str">
        <f aca="false">IF(B1061="","",IFERROR(INDEX(PE_Equipe,MATCH(B1061,PE_Mat,0)),""))</f>
        <v/>
      </c>
      <c r="F1061" s="25"/>
      <c r="G1061" s="25"/>
      <c r="H1061" s="68"/>
      <c r="I1061" s="89"/>
      <c r="J1061" s="31" t="str">
        <f aca="false">IF(B1061="","",IFERROR(INDEX(PE_Taux,MATCH(B1061,PE_Mat,0)),0))</f>
        <v/>
      </c>
      <c r="K1061" s="31" t="str">
        <f aca="false">IF(B1061="","",IF(H1061="A",0,IFERROR(N(I1061)/P_Heures*J1061,0)))</f>
        <v/>
      </c>
      <c r="L1061" s="25"/>
    </row>
    <row r="1062" customFormat="false" ht="15" hidden="false" customHeight="false" outlineLevel="0" collapsed="false">
      <c r="A1062" s="69"/>
      <c r="B1062" s="68"/>
      <c r="C1062" s="76" t="str">
        <f aca="false">IF(B1062="","",IFERROR(INDEX(PE_Nom,MATCH(B1062,PE_Mat,0)),"Matricule inconnu"))</f>
        <v/>
      </c>
      <c r="D1062" s="76" t="str">
        <f aca="false">IF(B1062="","",IFERROR(INDEX(PE_Fonction,MATCH(B1062,PE_Mat,0)),""))</f>
        <v/>
      </c>
      <c r="E1062" s="76" t="str">
        <f aca="false">IF(B1062="","",IFERROR(INDEX(PE_Equipe,MATCH(B1062,PE_Mat,0)),""))</f>
        <v/>
      </c>
      <c r="F1062" s="25"/>
      <c r="G1062" s="25"/>
      <c r="H1062" s="68"/>
      <c r="I1062" s="89"/>
      <c r="J1062" s="31" t="str">
        <f aca="false">IF(B1062="","",IFERROR(INDEX(PE_Taux,MATCH(B1062,PE_Mat,0)),0))</f>
        <v/>
      </c>
      <c r="K1062" s="31" t="str">
        <f aca="false">IF(B1062="","",IF(H1062="A",0,IFERROR(N(I1062)/P_Heures*J1062,0)))</f>
        <v/>
      </c>
      <c r="L1062" s="25"/>
    </row>
    <row r="1063" customFormat="false" ht="15" hidden="false" customHeight="false" outlineLevel="0" collapsed="false">
      <c r="A1063" s="69"/>
      <c r="B1063" s="68"/>
      <c r="C1063" s="76" t="str">
        <f aca="false">IF(B1063="","",IFERROR(INDEX(PE_Nom,MATCH(B1063,PE_Mat,0)),"Matricule inconnu"))</f>
        <v/>
      </c>
      <c r="D1063" s="76" t="str">
        <f aca="false">IF(B1063="","",IFERROR(INDEX(PE_Fonction,MATCH(B1063,PE_Mat,0)),""))</f>
        <v/>
      </c>
      <c r="E1063" s="76" t="str">
        <f aca="false">IF(B1063="","",IFERROR(INDEX(PE_Equipe,MATCH(B1063,PE_Mat,0)),""))</f>
        <v/>
      </c>
      <c r="F1063" s="25"/>
      <c r="G1063" s="25"/>
      <c r="H1063" s="68"/>
      <c r="I1063" s="89"/>
      <c r="J1063" s="31" t="str">
        <f aca="false">IF(B1063="","",IFERROR(INDEX(PE_Taux,MATCH(B1063,PE_Mat,0)),0))</f>
        <v/>
      </c>
      <c r="K1063" s="31" t="str">
        <f aca="false">IF(B1063="","",IF(H1063="A",0,IFERROR(N(I1063)/P_Heures*J1063,0)))</f>
        <v/>
      </c>
      <c r="L1063" s="25"/>
    </row>
    <row r="1064" customFormat="false" ht="15" hidden="false" customHeight="false" outlineLevel="0" collapsed="false">
      <c r="A1064" s="69"/>
      <c r="B1064" s="68"/>
      <c r="C1064" s="76" t="str">
        <f aca="false">IF(B1064="","",IFERROR(INDEX(PE_Nom,MATCH(B1064,PE_Mat,0)),"Matricule inconnu"))</f>
        <v/>
      </c>
      <c r="D1064" s="76" t="str">
        <f aca="false">IF(B1064="","",IFERROR(INDEX(PE_Fonction,MATCH(B1064,PE_Mat,0)),""))</f>
        <v/>
      </c>
      <c r="E1064" s="76" t="str">
        <f aca="false">IF(B1064="","",IFERROR(INDEX(PE_Equipe,MATCH(B1064,PE_Mat,0)),""))</f>
        <v/>
      </c>
      <c r="F1064" s="25"/>
      <c r="G1064" s="25"/>
      <c r="H1064" s="68"/>
      <c r="I1064" s="89"/>
      <c r="J1064" s="31" t="str">
        <f aca="false">IF(B1064="","",IFERROR(INDEX(PE_Taux,MATCH(B1064,PE_Mat,0)),0))</f>
        <v/>
      </c>
      <c r="K1064" s="31" t="str">
        <f aca="false">IF(B1064="","",IF(H1064="A",0,IFERROR(N(I1064)/P_Heures*J1064,0)))</f>
        <v/>
      </c>
      <c r="L1064" s="25"/>
    </row>
    <row r="1065" customFormat="false" ht="15" hidden="false" customHeight="false" outlineLevel="0" collapsed="false">
      <c r="A1065" s="69"/>
      <c r="B1065" s="68"/>
      <c r="C1065" s="76" t="str">
        <f aca="false">IF(B1065="","",IFERROR(INDEX(PE_Nom,MATCH(B1065,PE_Mat,0)),"Matricule inconnu"))</f>
        <v/>
      </c>
      <c r="D1065" s="76" t="str">
        <f aca="false">IF(B1065="","",IFERROR(INDEX(PE_Fonction,MATCH(B1065,PE_Mat,0)),""))</f>
        <v/>
      </c>
      <c r="E1065" s="76" t="str">
        <f aca="false">IF(B1065="","",IFERROR(INDEX(PE_Equipe,MATCH(B1065,PE_Mat,0)),""))</f>
        <v/>
      </c>
      <c r="F1065" s="25"/>
      <c r="G1065" s="25"/>
      <c r="H1065" s="68"/>
      <c r="I1065" s="89"/>
      <c r="J1065" s="31" t="str">
        <f aca="false">IF(B1065="","",IFERROR(INDEX(PE_Taux,MATCH(B1065,PE_Mat,0)),0))</f>
        <v/>
      </c>
      <c r="K1065" s="31" t="str">
        <f aca="false">IF(B1065="","",IF(H1065="A",0,IFERROR(N(I1065)/P_Heures*J1065,0)))</f>
        <v/>
      </c>
      <c r="L1065" s="25"/>
    </row>
    <row r="1066" customFormat="false" ht="15" hidden="false" customHeight="false" outlineLevel="0" collapsed="false">
      <c r="A1066" s="69"/>
      <c r="B1066" s="68"/>
      <c r="C1066" s="76" t="str">
        <f aca="false">IF(B1066="","",IFERROR(INDEX(PE_Nom,MATCH(B1066,PE_Mat,0)),"Matricule inconnu"))</f>
        <v/>
      </c>
      <c r="D1066" s="76" t="str">
        <f aca="false">IF(B1066="","",IFERROR(INDEX(PE_Fonction,MATCH(B1066,PE_Mat,0)),""))</f>
        <v/>
      </c>
      <c r="E1066" s="76" t="str">
        <f aca="false">IF(B1066="","",IFERROR(INDEX(PE_Equipe,MATCH(B1066,PE_Mat,0)),""))</f>
        <v/>
      </c>
      <c r="F1066" s="25"/>
      <c r="G1066" s="25"/>
      <c r="H1066" s="68"/>
      <c r="I1066" s="89"/>
      <c r="J1066" s="31" t="str">
        <f aca="false">IF(B1066="","",IFERROR(INDEX(PE_Taux,MATCH(B1066,PE_Mat,0)),0))</f>
        <v/>
      </c>
      <c r="K1066" s="31" t="str">
        <f aca="false">IF(B1066="","",IF(H1066="A",0,IFERROR(N(I1066)/P_Heures*J1066,0)))</f>
        <v/>
      </c>
      <c r="L1066" s="25"/>
    </row>
    <row r="1067" customFormat="false" ht="15" hidden="false" customHeight="false" outlineLevel="0" collapsed="false">
      <c r="A1067" s="69"/>
      <c r="B1067" s="68"/>
      <c r="C1067" s="76" t="str">
        <f aca="false">IF(B1067="","",IFERROR(INDEX(PE_Nom,MATCH(B1067,PE_Mat,0)),"Matricule inconnu"))</f>
        <v/>
      </c>
      <c r="D1067" s="76" t="str">
        <f aca="false">IF(B1067="","",IFERROR(INDEX(PE_Fonction,MATCH(B1067,PE_Mat,0)),""))</f>
        <v/>
      </c>
      <c r="E1067" s="76" t="str">
        <f aca="false">IF(B1067="","",IFERROR(INDEX(PE_Equipe,MATCH(B1067,PE_Mat,0)),""))</f>
        <v/>
      </c>
      <c r="F1067" s="25"/>
      <c r="G1067" s="25"/>
      <c r="H1067" s="68"/>
      <c r="I1067" s="89"/>
      <c r="J1067" s="31" t="str">
        <f aca="false">IF(B1067="","",IFERROR(INDEX(PE_Taux,MATCH(B1067,PE_Mat,0)),0))</f>
        <v/>
      </c>
      <c r="K1067" s="31" t="str">
        <f aca="false">IF(B1067="","",IF(H1067="A",0,IFERROR(N(I1067)/P_Heures*J1067,0)))</f>
        <v/>
      </c>
      <c r="L1067" s="25"/>
    </row>
    <row r="1068" customFormat="false" ht="15" hidden="false" customHeight="false" outlineLevel="0" collapsed="false">
      <c r="A1068" s="69"/>
      <c r="B1068" s="68"/>
      <c r="C1068" s="76" t="str">
        <f aca="false">IF(B1068="","",IFERROR(INDEX(PE_Nom,MATCH(B1068,PE_Mat,0)),"Matricule inconnu"))</f>
        <v/>
      </c>
      <c r="D1068" s="76" t="str">
        <f aca="false">IF(B1068="","",IFERROR(INDEX(PE_Fonction,MATCH(B1068,PE_Mat,0)),""))</f>
        <v/>
      </c>
      <c r="E1068" s="76" t="str">
        <f aca="false">IF(B1068="","",IFERROR(INDEX(PE_Equipe,MATCH(B1068,PE_Mat,0)),""))</f>
        <v/>
      </c>
      <c r="F1068" s="25"/>
      <c r="G1068" s="25"/>
      <c r="H1068" s="68"/>
      <c r="I1068" s="89"/>
      <c r="J1068" s="31" t="str">
        <f aca="false">IF(B1068="","",IFERROR(INDEX(PE_Taux,MATCH(B1068,PE_Mat,0)),0))</f>
        <v/>
      </c>
      <c r="K1068" s="31" t="str">
        <f aca="false">IF(B1068="","",IF(H1068="A",0,IFERROR(N(I1068)/P_Heures*J1068,0)))</f>
        <v/>
      </c>
      <c r="L1068" s="25"/>
    </row>
    <row r="1069" customFormat="false" ht="15" hidden="false" customHeight="false" outlineLevel="0" collapsed="false">
      <c r="A1069" s="69"/>
      <c r="B1069" s="68"/>
      <c r="C1069" s="76" t="str">
        <f aca="false">IF(B1069="","",IFERROR(INDEX(PE_Nom,MATCH(B1069,PE_Mat,0)),"Matricule inconnu"))</f>
        <v/>
      </c>
      <c r="D1069" s="76" t="str">
        <f aca="false">IF(B1069="","",IFERROR(INDEX(PE_Fonction,MATCH(B1069,PE_Mat,0)),""))</f>
        <v/>
      </c>
      <c r="E1069" s="76" t="str">
        <f aca="false">IF(B1069="","",IFERROR(INDEX(PE_Equipe,MATCH(B1069,PE_Mat,0)),""))</f>
        <v/>
      </c>
      <c r="F1069" s="25"/>
      <c r="G1069" s="25"/>
      <c r="H1069" s="68"/>
      <c r="I1069" s="89"/>
      <c r="J1069" s="31" t="str">
        <f aca="false">IF(B1069="","",IFERROR(INDEX(PE_Taux,MATCH(B1069,PE_Mat,0)),0))</f>
        <v/>
      </c>
      <c r="K1069" s="31" t="str">
        <f aca="false">IF(B1069="","",IF(H1069="A",0,IFERROR(N(I1069)/P_Heures*J1069,0)))</f>
        <v/>
      </c>
      <c r="L1069" s="25"/>
    </row>
    <row r="1070" customFormat="false" ht="15" hidden="false" customHeight="false" outlineLevel="0" collapsed="false">
      <c r="A1070" s="69"/>
      <c r="B1070" s="68"/>
      <c r="C1070" s="76" t="str">
        <f aca="false">IF(B1070="","",IFERROR(INDEX(PE_Nom,MATCH(B1070,PE_Mat,0)),"Matricule inconnu"))</f>
        <v/>
      </c>
      <c r="D1070" s="76" t="str">
        <f aca="false">IF(B1070="","",IFERROR(INDEX(PE_Fonction,MATCH(B1070,PE_Mat,0)),""))</f>
        <v/>
      </c>
      <c r="E1070" s="76" t="str">
        <f aca="false">IF(B1070="","",IFERROR(INDEX(PE_Equipe,MATCH(B1070,PE_Mat,0)),""))</f>
        <v/>
      </c>
      <c r="F1070" s="25"/>
      <c r="G1070" s="25"/>
      <c r="H1070" s="68"/>
      <c r="I1070" s="89"/>
      <c r="J1070" s="31" t="str">
        <f aca="false">IF(B1070="","",IFERROR(INDEX(PE_Taux,MATCH(B1070,PE_Mat,0)),0))</f>
        <v/>
      </c>
      <c r="K1070" s="31" t="str">
        <f aca="false">IF(B1070="","",IF(H1070="A",0,IFERROR(N(I1070)/P_Heures*J1070,0)))</f>
        <v/>
      </c>
      <c r="L1070" s="25"/>
    </row>
    <row r="1071" customFormat="false" ht="15" hidden="false" customHeight="false" outlineLevel="0" collapsed="false">
      <c r="A1071" s="69"/>
      <c r="B1071" s="68"/>
      <c r="C1071" s="76" t="str">
        <f aca="false">IF(B1071="","",IFERROR(INDEX(PE_Nom,MATCH(B1071,PE_Mat,0)),"Matricule inconnu"))</f>
        <v/>
      </c>
      <c r="D1071" s="76" t="str">
        <f aca="false">IF(B1071="","",IFERROR(INDEX(PE_Fonction,MATCH(B1071,PE_Mat,0)),""))</f>
        <v/>
      </c>
      <c r="E1071" s="76" t="str">
        <f aca="false">IF(B1071="","",IFERROR(INDEX(PE_Equipe,MATCH(B1071,PE_Mat,0)),""))</f>
        <v/>
      </c>
      <c r="F1071" s="25"/>
      <c r="G1071" s="25"/>
      <c r="H1071" s="68"/>
      <c r="I1071" s="89"/>
      <c r="J1071" s="31" t="str">
        <f aca="false">IF(B1071="","",IFERROR(INDEX(PE_Taux,MATCH(B1071,PE_Mat,0)),0))</f>
        <v/>
      </c>
      <c r="K1071" s="31" t="str">
        <f aca="false">IF(B1071="","",IF(H1071="A",0,IFERROR(N(I1071)/P_Heures*J1071,0)))</f>
        <v/>
      </c>
      <c r="L1071" s="25"/>
    </row>
    <row r="1072" customFormat="false" ht="15" hidden="false" customHeight="false" outlineLevel="0" collapsed="false">
      <c r="A1072" s="69"/>
      <c r="B1072" s="68"/>
      <c r="C1072" s="76" t="str">
        <f aca="false">IF(B1072="","",IFERROR(INDEX(PE_Nom,MATCH(B1072,PE_Mat,0)),"Matricule inconnu"))</f>
        <v/>
      </c>
      <c r="D1072" s="76" t="str">
        <f aca="false">IF(B1072="","",IFERROR(INDEX(PE_Fonction,MATCH(B1072,PE_Mat,0)),""))</f>
        <v/>
      </c>
      <c r="E1072" s="76" t="str">
        <f aca="false">IF(B1072="","",IFERROR(INDEX(PE_Equipe,MATCH(B1072,PE_Mat,0)),""))</f>
        <v/>
      </c>
      <c r="F1072" s="25"/>
      <c r="G1072" s="25"/>
      <c r="H1072" s="68"/>
      <c r="I1072" s="89"/>
      <c r="J1072" s="31" t="str">
        <f aca="false">IF(B1072="","",IFERROR(INDEX(PE_Taux,MATCH(B1072,PE_Mat,0)),0))</f>
        <v/>
      </c>
      <c r="K1072" s="31" t="str">
        <f aca="false">IF(B1072="","",IF(H1072="A",0,IFERROR(N(I1072)/P_Heures*J1072,0)))</f>
        <v/>
      </c>
      <c r="L1072" s="25"/>
    </row>
    <row r="1073" customFormat="false" ht="15" hidden="false" customHeight="false" outlineLevel="0" collapsed="false">
      <c r="A1073" s="69"/>
      <c r="B1073" s="68"/>
      <c r="C1073" s="76" t="str">
        <f aca="false">IF(B1073="","",IFERROR(INDEX(PE_Nom,MATCH(B1073,PE_Mat,0)),"Matricule inconnu"))</f>
        <v/>
      </c>
      <c r="D1073" s="76" t="str">
        <f aca="false">IF(B1073="","",IFERROR(INDEX(PE_Fonction,MATCH(B1073,PE_Mat,0)),""))</f>
        <v/>
      </c>
      <c r="E1073" s="76" t="str">
        <f aca="false">IF(B1073="","",IFERROR(INDEX(PE_Equipe,MATCH(B1073,PE_Mat,0)),""))</f>
        <v/>
      </c>
      <c r="F1073" s="25"/>
      <c r="G1073" s="25"/>
      <c r="H1073" s="68"/>
      <c r="I1073" s="89"/>
      <c r="J1073" s="31" t="str">
        <f aca="false">IF(B1073="","",IFERROR(INDEX(PE_Taux,MATCH(B1073,PE_Mat,0)),0))</f>
        <v/>
      </c>
      <c r="K1073" s="31" t="str">
        <f aca="false">IF(B1073="","",IF(H1073="A",0,IFERROR(N(I1073)/P_Heures*J1073,0)))</f>
        <v/>
      </c>
      <c r="L1073" s="25"/>
    </row>
    <row r="1074" customFormat="false" ht="15" hidden="false" customHeight="false" outlineLevel="0" collapsed="false">
      <c r="A1074" s="69"/>
      <c r="B1074" s="68"/>
      <c r="C1074" s="76" t="str">
        <f aca="false">IF(B1074="","",IFERROR(INDEX(PE_Nom,MATCH(B1074,PE_Mat,0)),"Matricule inconnu"))</f>
        <v/>
      </c>
      <c r="D1074" s="76" t="str">
        <f aca="false">IF(B1074="","",IFERROR(INDEX(PE_Fonction,MATCH(B1074,PE_Mat,0)),""))</f>
        <v/>
      </c>
      <c r="E1074" s="76" t="str">
        <f aca="false">IF(B1074="","",IFERROR(INDEX(PE_Equipe,MATCH(B1074,PE_Mat,0)),""))</f>
        <v/>
      </c>
      <c r="F1074" s="25"/>
      <c r="G1074" s="25"/>
      <c r="H1074" s="68"/>
      <c r="I1074" s="89"/>
      <c r="J1074" s="31" t="str">
        <f aca="false">IF(B1074="","",IFERROR(INDEX(PE_Taux,MATCH(B1074,PE_Mat,0)),0))</f>
        <v/>
      </c>
      <c r="K1074" s="31" t="str">
        <f aca="false">IF(B1074="","",IF(H1074="A",0,IFERROR(N(I1074)/P_Heures*J1074,0)))</f>
        <v/>
      </c>
      <c r="L1074" s="25"/>
    </row>
    <row r="1075" customFormat="false" ht="15" hidden="false" customHeight="false" outlineLevel="0" collapsed="false">
      <c r="A1075" s="69"/>
      <c r="B1075" s="68"/>
      <c r="C1075" s="76" t="str">
        <f aca="false">IF(B1075="","",IFERROR(INDEX(PE_Nom,MATCH(B1075,PE_Mat,0)),"Matricule inconnu"))</f>
        <v/>
      </c>
      <c r="D1075" s="76" t="str">
        <f aca="false">IF(B1075="","",IFERROR(INDEX(PE_Fonction,MATCH(B1075,PE_Mat,0)),""))</f>
        <v/>
      </c>
      <c r="E1075" s="76" t="str">
        <f aca="false">IF(B1075="","",IFERROR(INDEX(PE_Equipe,MATCH(B1075,PE_Mat,0)),""))</f>
        <v/>
      </c>
      <c r="F1075" s="25"/>
      <c r="G1075" s="25"/>
      <c r="H1075" s="68"/>
      <c r="I1075" s="89"/>
      <c r="J1075" s="31" t="str">
        <f aca="false">IF(B1075="","",IFERROR(INDEX(PE_Taux,MATCH(B1075,PE_Mat,0)),0))</f>
        <v/>
      </c>
      <c r="K1075" s="31" t="str">
        <f aca="false">IF(B1075="","",IF(H1075="A",0,IFERROR(N(I1075)/P_Heures*J1075,0)))</f>
        <v/>
      </c>
      <c r="L1075" s="25"/>
    </row>
    <row r="1076" customFormat="false" ht="15" hidden="false" customHeight="false" outlineLevel="0" collapsed="false">
      <c r="A1076" s="69"/>
      <c r="B1076" s="68"/>
      <c r="C1076" s="76" t="str">
        <f aca="false">IF(B1076="","",IFERROR(INDEX(PE_Nom,MATCH(B1076,PE_Mat,0)),"Matricule inconnu"))</f>
        <v/>
      </c>
      <c r="D1076" s="76" t="str">
        <f aca="false">IF(B1076="","",IFERROR(INDEX(PE_Fonction,MATCH(B1076,PE_Mat,0)),""))</f>
        <v/>
      </c>
      <c r="E1076" s="76" t="str">
        <f aca="false">IF(B1076="","",IFERROR(INDEX(PE_Equipe,MATCH(B1076,PE_Mat,0)),""))</f>
        <v/>
      </c>
      <c r="F1076" s="25"/>
      <c r="G1076" s="25"/>
      <c r="H1076" s="68"/>
      <c r="I1076" s="89"/>
      <c r="J1076" s="31" t="str">
        <f aca="false">IF(B1076="","",IFERROR(INDEX(PE_Taux,MATCH(B1076,PE_Mat,0)),0))</f>
        <v/>
      </c>
      <c r="K1076" s="31" t="str">
        <f aca="false">IF(B1076="","",IF(H1076="A",0,IFERROR(N(I1076)/P_Heures*J1076,0)))</f>
        <v/>
      </c>
      <c r="L1076" s="25"/>
    </row>
    <row r="1077" customFormat="false" ht="15" hidden="false" customHeight="false" outlineLevel="0" collapsed="false">
      <c r="A1077" s="69"/>
      <c r="B1077" s="68"/>
      <c r="C1077" s="76" t="str">
        <f aca="false">IF(B1077="","",IFERROR(INDEX(PE_Nom,MATCH(B1077,PE_Mat,0)),"Matricule inconnu"))</f>
        <v/>
      </c>
      <c r="D1077" s="76" t="str">
        <f aca="false">IF(B1077="","",IFERROR(INDEX(PE_Fonction,MATCH(B1077,PE_Mat,0)),""))</f>
        <v/>
      </c>
      <c r="E1077" s="76" t="str">
        <f aca="false">IF(B1077="","",IFERROR(INDEX(PE_Equipe,MATCH(B1077,PE_Mat,0)),""))</f>
        <v/>
      </c>
      <c r="F1077" s="25"/>
      <c r="G1077" s="25"/>
      <c r="H1077" s="68"/>
      <c r="I1077" s="89"/>
      <c r="J1077" s="31" t="str">
        <f aca="false">IF(B1077="","",IFERROR(INDEX(PE_Taux,MATCH(B1077,PE_Mat,0)),0))</f>
        <v/>
      </c>
      <c r="K1077" s="31" t="str">
        <f aca="false">IF(B1077="","",IF(H1077="A",0,IFERROR(N(I1077)/P_Heures*J1077,0)))</f>
        <v/>
      </c>
      <c r="L1077" s="25"/>
    </row>
    <row r="1078" customFormat="false" ht="15" hidden="false" customHeight="false" outlineLevel="0" collapsed="false">
      <c r="A1078" s="69"/>
      <c r="B1078" s="68"/>
      <c r="C1078" s="76" t="str">
        <f aca="false">IF(B1078="","",IFERROR(INDEX(PE_Nom,MATCH(B1078,PE_Mat,0)),"Matricule inconnu"))</f>
        <v/>
      </c>
      <c r="D1078" s="76" t="str">
        <f aca="false">IF(B1078="","",IFERROR(INDEX(PE_Fonction,MATCH(B1078,PE_Mat,0)),""))</f>
        <v/>
      </c>
      <c r="E1078" s="76" t="str">
        <f aca="false">IF(B1078="","",IFERROR(INDEX(PE_Equipe,MATCH(B1078,PE_Mat,0)),""))</f>
        <v/>
      </c>
      <c r="F1078" s="25"/>
      <c r="G1078" s="25"/>
      <c r="H1078" s="68"/>
      <c r="I1078" s="89"/>
      <c r="J1078" s="31" t="str">
        <f aca="false">IF(B1078="","",IFERROR(INDEX(PE_Taux,MATCH(B1078,PE_Mat,0)),0))</f>
        <v/>
      </c>
      <c r="K1078" s="31" t="str">
        <f aca="false">IF(B1078="","",IF(H1078="A",0,IFERROR(N(I1078)/P_Heures*J1078,0)))</f>
        <v/>
      </c>
      <c r="L1078" s="25"/>
    </row>
    <row r="1079" customFormat="false" ht="15" hidden="false" customHeight="false" outlineLevel="0" collapsed="false">
      <c r="A1079" s="69"/>
      <c r="B1079" s="68"/>
      <c r="C1079" s="76" t="str">
        <f aca="false">IF(B1079="","",IFERROR(INDEX(PE_Nom,MATCH(B1079,PE_Mat,0)),"Matricule inconnu"))</f>
        <v/>
      </c>
      <c r="D1079" s="76" t="str">
        <f aca="false">IF(B1079="","",IFERROR(INDEX(PE_Fonction,MATCH(B1079,PE_Mat,0)),""))</f>
        <v/>
      </c>
      <c r="E1079" s="76" t="str">
        <f aca="false">IF(B1079="","",IFERROR(INDEX(PE_Equipe,MATCH(B1079,PE_Mat,0)),""))</f>
        <v/>
      </c>
      <c r="F1079" s="25"/>
      <c r="G1079" s="25"/>
      <c r="H1079" s="68"/>
      <c r="I1079" s="89"/>
      <c r="J1079" s="31" t="str">
        <f aca="false">IF(B1079="","",IFERROR(INDEX(PE_Taux,MATCH(B1079,PE_Mat,0)),0))</f>
        <v/>
      </c>
      <c r="K1079" s="31" t="str">
        <f aca="false">IF(B1079="","",IF(H1079="A",0,IFERROR(N(I1079)/P_Heures*J1079,0)))</f>
        <v/>
      </c>
      <c r="L1079" s="25"/>
    </row>
    <row r="1080" customFormat="false" ht="15" hidden="false" customHeight="false" outlineLevel="0" collapsed="false">
      <c r="A1080" s="69"/>
      <c r="B1080" s="68"/>
      <c r="C1080" s="76" t="str">
        <f aca="false">IF(B1080="","",IFERROR(INDEX(PE_Nom,MATCH(B1080,PE_Mat,0)),"Matricule inconnu"))</f>
        <v/>
      </c>
      <c r="D1080" s="76" t="str">
        <f aca="false">IF(B1080="","",IFERROR(INDEX(PE_Fonction,MATCH(B1080,PE_Mat,0)),""))</f>
        <v/>
      </c>
      <c r="E1080" s="76" t="str">
        <f aca="false">IF(B1080="","",IFERROR(INDEX(PE_Equipe,MATCH(B1080,PE_Mat,0)),""))</f>
        <v/>
      </c>
      <c r="F1080" s="25"/>
      <c r="G1080" s="25"/>
      <c r="H1080" s="68"/>
      <c r="I1080" s="89"/>
      <c r="J1080" s="31" t="str">
        <f aca="false">IF(B1080="","",IFERROR(INDEX(PE_Taux,MATCH(B1080,PE_Mat,0)),0))</f>
        <v/>
      </c>
      <c r="K1080" s="31" t="str">
        <f aca="false">IF(B1080="","",IF(H1080="A",0,IFERROR(N(I1080)/P_Heures*J1080,0)))</f>
        <v/>
      </c>
      <c r="L1080" s="25"/>
    </row>
    <row r="1081" customFormat="false" ht="15" hidden="false" customHeight="false" outlineLevel="0" collapsed="false">
      <c r="A1081" s="69"/>
      <c r="B1081" s="68"/>
      <c r="C1081" s="76" t="str">
        <f aca="false">IF(B1081="","",IFERROR(INDEX(PE_Nom,MATCH(B1081,PE_Mat,0)),"Matricule inconnu"))</f>
        <v/>
      </c>
      <c r="D1081" s="76" t="str">
        <f aca="false">IF(B1081="","",IFERROR(INDEX(PE_Fonction,MATCH(B1081,PE_Mat,0)),""))</f>
        <v/>
      </c>
      <c r="E1081" s="76" t="str">
        <f aca="false">IF(B1081="","",IFERROR(INDEX(PE_Equipe,MATCH(B1081,PE_Mat,0)),""))</f>
        <v/>
      </c>
      <c r="F1081" s="25"/>
      <c r="G1081" s="25"/>
      <c r="H1081" s="68"/>
      <c r="I1081" s="89"/>
      <c r="J1081" s="31" t="str">
        <f aca="false">IF(B1081="","",IFERROR(INDEX(PE_Taux,MATCH(B1081,PE_Mat,0)),0))</f>
        <v/>
      </c>
      <c r="K1081" s="31" t="str">
        <f aca="false">IF(B1081="","",IF(H1081="A",0,IFERROR(N(I1081)/P_Heures*J1081,0)))</f>
        <v/>
      </c>
      <c r="L1081" s="25"/>
    </row>
    <row r="1082" customFormat="false" ht="15" hidden="false" customHeight="false" outlineLevel="0" collapsed="false">
      <c r="A1082" s="69"/>
      <c r="B1082" s="68"/>
      <c r="C1082" s="76" t="str">
        <f aca="false">IF(B1082="","",IFERROR(INDEX(PE_Nom,MATCH(B1082,PE_Mat,0)),"Matricule inconnu"))</f>
        <v/>
      </c>
      <c r="D1082" s="76" t="str">
        <f aca="false">IF(B1082="","",IFERROR(INDEX(PE_Fonction,MATCH(B1082,PE_Mat,0)),""))</f>
        <v/>
      </c>
      <c r="E1082" s="76" t="str">
        <f aca="false">IF(B1082="","",IFERROR(INDEX(PE_Equipe,MATCH(B1082,PE_Mat,0)),""))</f>
        <v/>
      </c>
      <c r="F1082" s="25"/>
      <c r="G1082" s="25"/>
      <c r="H1082" s="68"/>
      <c r="I1082" s="89"/>
      <c r="J1082" s="31" t="str">
        <f aca="false">IF(B1082="","",IFERROR(INDEX(PE_Taux,MATCH(B1082,PE_Mat,0)),0))</f>
        <v/>
      </c>
      <c r="K1082" s="31" t="str">
        <f aca="false">IF(B1082="","",IF(H1082="A",0,IFERROR(N(I1082)/P_Heures*J1082,0)))</f>
        <v/>
      </c>
      <c r="L1082" s="25"/>
    </row>
    <row r="1083" customFormat="false" ht="15" hidden="false" customHeight="false" outlineLevel="0" collapsed="false">
      <c r="A1083" s="69"/>
      <c r="B1083" s="68"/>
      <c r="C1083" s="76" t="str">
        <f aca="false">IF(B1083="","",IFERROR(INDEX(PE_Nom,MATCH(B1083,PE_Mat,0)),"Matricule inconnu"))</f>
        <v/>
      </c>
      <c r="D1083" s="76" t="str">
        <f aca="false">IF(B1083="","",IFERROR(INDEX(PE_Fonction,MATCH(B1083,PE_Mat,0)),""))</f>
        <v/>
      </c>
      <c r="E1083" s="76" t="str">
        <f aca="false">IF(B1083="","",IFERROR(INDEX(PE_Equipe,MATCH(B1083,PE_Mat,0)),""))</f>
        <v/>
      </c>
      <c r="F1083" s="25"/>
      <c r="G1083" s="25"/>
      <c r="H1083" s="68"/>
      <c r="I1083" s="89"/>
      <c r="J1083" s="31" t="str">
        <f aca="false">IF(B1083="","",IFERROR(INDEX(PE_Taux,MATCH(B1083,PE_Mat,0)),0))</f>
        <v/>
      </c>
      <c r="K1083" s="31" t="str">
        <f aca="false">IF(B1083="","",IF(H1083="A",0,IFERROR(N(I1083)/P_Heures*J1083,0)))</f>
        <v/>
      </c>
      <c r="L1083" s="25"/>
    </row>
    <row r="1084" customFormat="false" ht="15" hidden="false" customHeight="false" outlineLevel="0" collapsed="false">
      <c r="A1084" s="69"/>
      <c r="B1084" s="68"/>
      <c r="C1084" s="76" t="str">
        <f aca="false">IF(B1084="","",IFERROR(INDEX(PE_Nom,MATCH(B1084,PE_Mat,0)),"Matricule inconnu"))</f>
        <v/>
      </c>
      <c r="D1084" s="76" t="str">
        <f aca="false">IF(B1084="","",IFERROR(INDEX(PE_Fonction,MATCH(B1084,PE_Mat,0)),""))</f>
        <v/>
      </c>
      <c r="E1084" s="76" t="str">
        <f aca="false">IF(B1084="","",IFERROR(INDEX(PE_Equipe,MATCH(B1084,PE_Mat,0)),""))</f>
        <v/>
      </c>
      <c r="F1084" s="25"/>
      <c r="G1084" s="25"/>
      <c r="H1084" s="68"/>
      <c r="I1084" s="89"/>
      <c r="J1084" s="31" t="str">
        <f aca="false">IF(B1084="","",IFERROR(INDEX(PE_Taux,MATCH(B1084,PE_Mat,0)),0))</f>
        <v/>
      </c>
      <c r="K1084" s="31" t="str">
        <f aca="false">IF(B1084="","",IF(H1084="A",0,IFERROR(N(I1084)/P_Heures*J1084,0)))</f>
        <v/>
      </c>
      <c r="L1084" s="25"/>
    </row>
    <row r="1085" customFormat="false" ht="15" hidden="false" customHeight="false" outlineLevel="0" collapsed="false">
      <c r="A1085" s="69"/>
      <c r="B1085" s="68"/>
      <c r="C1085" s="76" t="str">
        <f aca="false">IF(B1085="","",IFERROR(INDEX(PE_Nom,MATCH(B1085,PE_Mat,0)),"Matricule inconnu"))</f>
        <v/>
      </c>
      <c r="D1085" s="76" t="str">
        <f aca="false">IF(B1085="","",IFERROR(INDEX(PE_Fonction,MATCH(B1085,PE_Mat,0)),""))</f>
        <v/>
      </c>
      <c r="E1085" s="76" t="str">
        <f aca="false">IF(B1085="","",IFERROR(INDEX(PE_Equipe,MATCH(B1085,PE_Mat,0)),""))</f>
        <v/>
      </c>
      <c r="F1085" s="25"/>
      <c r="G1085" s="25"/>
      <c r="H1085" s="68"/>
      <c r="I1085" s="89"/>
      <c r="J1085" s="31" t="str">
        <f aca="false">IF(B1085="","",IFERROR(INDEX(PE_Taux,MATCH(B1085,PE_Mat,0)),0))</f>
        <v/>
      </c>
      <c r="K1085" s="31" t="str">
        <f aca="false">IF(B1085="","",IF(H1085="A",0,IFERROR(N(I1085)/P_Heures*J1085,0)))</f>
        <v/>
      </c>
      <c r="L1085" s="25"/>
    </row>
    <row r="1086" customFormat="false" ht="15" hidden="false" customHeight="false" outlineLevel="0" collapsed="false">
      <c r="A1086" s="69"/>
      <c r="B1086" s="68"/>
      <c r="C1086" s="76" t="str">
        <f aca="false">IF(B1086="","",IFERROR(INDEX(PE_Nom,MATCH(B1086,PE_Mat,0)),"Matricule inconnu"))</f>
        <v/>
      </c>
      <c r="D1086" s="76" t="str">
        <f aca="false">IF(B1086="","",IFERROR(INDEX(PE_Fonction,MATCH(B1086,PE_Mat,0)),""))</f>
        <v/>
      </c>
      <c r="E1086" s="76" t="str">
        <f aca="false">IF(B1086="","",IFERROR(INDEX(PE_Equipe,MATCH(B1086,PE_Mat,0)),""))</f>
        <v/>
      </c>
      <c r="F1086" s="25"/>
      <c r="G1086" s="25"/>
      <c r="H1086" s="68"/>
      <c r="I1086" s="89"/>
      <c r="J1086" s="31" t="str">
        <f aca="false">IF(B1086="","",IFERROR(INDEX(PE_Taux,MATCH(B1086,PE_Mat,0)),0))</f>
        <v/>
      </c>
      <c r="K1086" s="31" t="str">
        <f aca="false">IF(B1086="","",IF(H1086="A",0,IFERROR(N(I1086)/P_Heures*J1086,0)))</f>
        <v/>
      </c>
      <c r="L1086" s="25"/>
    </row>
    <row r="1087" customFormat="false" ht="15" hidden="false" customHeight="false" outlineLevel="0" collapsed="false">
      <c r="A1087" s="69"/>
      <c r="B1087" s="68"/>
      <c r="C1087" s="76" t="str">
        <f aca="false">IF(B1087="","",IFERROR(INDEX(PE_Nom,MATCH(B1087,PE_Mat,0)),"Matricule inconnu"))</f>
        <v/>
      </c>
      <c r="D1087" s="76" t="str">
        <f aca="false">IF(B1087="","",IFERROR(INDEX(PE_Fonction,MATCH(B1087,PE_Mat,0)),""))</f>
        <v/>
      </c>
      <c r="E1087" s="76" t="str">
        <f aca="false">IF(B1087="","",IFERROR(INDEX(PE_Equipe,MATCH(B1087,PE_Mat,0)),""))</f>
        <v/>
      </c>
      <c r="F1087" s="25"/>
      <c r="G1087" s="25"/>
      <c r="H1087" s="68"/>
      <c r="I1087" s="89"/>
      <c r="J1087" s="31" t="str">
        <f aca="false">IF(B1087="","",IFERROR(INDEX(PE_Taux,MATCH(B1087,PE_Mat,0)),0))</f>
        <v/>
      </c>
      <c r="K1087" s="31" t="str">
        <f aca="false">IF(B1087="","",IF(H1087="A",0,IFERROR(N(I1087)/P_Heures*J1087,0)))</f>
        <v/>
      </c>
      <c r="L1087" s="25"/>
    </row>
    <row r="1088" customFormat="false" ht="15" hidden="false" customHeight="false" outlineLevel="0" collapsed="false">
      <c r="A1088" s="69"/>
      <c r="B1088" s="68"/>
      <c r="C1088" s="76" t="str">
        <f aca="false">IF(B1088="","",IFERROR(INDEX(PE_Nom,MATCH(B1088,PE_Mat,0)),"Matricule inconnu"))</f>
        <v/>
      </c>
      <c r="D1088" s="76" t="str">
        <f aca="false">IF(B1088="","",IFERROR(INDEX(PE_Fonction,MATCH(B1088,PE_Mat,0)),""))</f>
        <v/>
      </c>
      <c r="E1088" s="76" t="str">
        <f aca="false">IF(B1088="","",IFERROR(INDEX(PE_Equipe,MATCH(B1088,PE_Mat,0)),""))</f>
        <v/>
      </c>
      <c r="F1088" s="25"/>
      <c r="G1088" s="25"/>
      <c r="H1088" s="68"/>
      <c r="I1088" s="89"/>
      <c r="J1088" s="31" t="str">
        <f aca="false">IF(B1088="","",IFERROR(INDEX(PE_Taux,MATCH(B1088,PE_Mat,0)),0))</f>
        <v/>
      </c>
      <c r="K1088" s="31" t="str">
        <f aca="false">IF(B1088="","",IF(H1088="A",0,IFERROR(N(I1088)/P_Heures*J1088,0)))</f>
        <v/>
      </c>
      <c r="L1088" s="25"/>
    </row>
    <row r="1089" customFormat="false" ht="15" hidden="false" customHeight="false" outlineLevel="0" collapsed="false">
      <c r="A1089" s="69"/>
      <c r="B1089" s="68"/>
      <c r="C1089" s="76" t="str">
        <f aca="false">IF(B1089="","",IFERROR(INDEX(PE_Nom,MATCH(B1089,PE_Mat,0)),"Matricule inconnu"))</f>
        <v/>
      </c>
      <c r="D1089" s="76" t="str">
        <f aca="false">IF(B1089="","",IFERROR(INDEX(PE_Fonction,MATCH(B1089,PE_Mat,0)),""))</f>
        <v/>
      </c>
      <c r="E1089" s="76" t="str">
        <f aca="false">IF(B1089="","",IFERROR(INDEX(PE_Equipe,MATCH(B1089,PE_Mat,0)),""))</f>
        <v/>
      </c>
      <c r="F1089" s="25"/>
      <c r="G1089" s="25"/>
      <c r="H1089" s="68"/>
      <c r="I1089" s="89"/>
      <c r="J1089" s="31" t="str">
        <f aca="false">IF(B1089="","",IFERROR(INDEX(PE_Taux,MATCH(B1089,PE_Mat,0)),0))</f>
        <v/>
      </c>
      <c r="K1089" s="31" t="str">
        <f aca="false">IF(B1089="","",IF(H1089="A",0,IFERROR(N(I1089)/P_Heures*J1089,0)))</f>
        <v/>
      </c>
      <c r="L1089" s="25"/>
    </row>
    <row r="1090" customFormat="false" ht="15" hidden="false" customHeight="false" outlineLevel="0" collapsed="false">
      <c r="A1090" s="69"/>
      <c r="B1090" s="68"/>
      <c r="C1090" s="76" t="str">
        <f aca="false">IF(B1090="","",IFERROR(INDEX(PE_Nom,MATCH(B1090,PE_Mat,0)),"Matricule inconnu"))</f>
        <v/>
      </c>
      <c r="D1090" s="76" t="str">
        <f aca="false">IF(B1090="","",IFERROR(INDEX(PE_Fonction,MATCH(B1090,PE_Mat,0)),""))</f>
        <v/>
      </c>
      <c r="E1090" s="76" t="str">
        <f aca="false">IF(B1090="","",IFERROR(INDEX(PE_Equipe,MATCH(B1090,PE_Mat,0)),""))</f>
        <v/>
      </c>
      <c r="F1090" s="25"/>
      <c r="G1090" s="25"/>
      <c r="H1090" s="68"/>
      <c r="I1090" s="89"/>
      <c r="J1090" s="31" t="str">
        <f aca="false">IF(B1090="","",IFERROR(INDEX(PE_Taux,MATCH(B1090,PE_Mat,0)),0))</f>
        <v/>
      </c>
      <c r="K1090" s="31" t="str">
        <f aca="false">IF(B1090="","",IF(H1090="A",0,IFERROR(N(I1090)/P_Heures*J1090,0)))</f>
        <v/>
      </c>
      <c r="L1090" s="25"/>
    </row>
    <row r="1091" customFormat="false" ht="15" hidden="false" customHeight="false" outlineLevel="0" collapsed="false">
      <c r="A1091" s="69"/>
      <c r="B1091" s="68"/>
      <c r="C1091" s="76" t="str">
        <f aca="false">IF(B1091="","",IFERROR(INDEX(PE_Nom,MATCH(B1091,PE_Mat,0)),"Matricule inconnu"))</f>
        <v/>
      </c>
      <c r="D1091" s="76" t="str">
        <f aca="false">IF(B1091="","",IFERROR(INDEX(PE_Fonction,MATCH(B1091,PE_Mat,0)),""))</f>
        <v/>
      </c>
      <c r="E1091" s="76" t="str">
        <f aca="false">IF(B1091="","",IFERROR(INDEX(PE_Equipe,MATCH(B1091,PE_Mat,0)),""))</f>
        <v/>
      </c>
      <c r="F1091" s="25"/>
      <c r="G1091" s="25"/>
      <c r="H1091" s="68"/>
      <c r="I1091" s="89"/>
      <c r="J1091" s="31" t="str">
        <f aca="false">IF(B1091="","",IFERROR(INDEX(PE_Taux,MATCH(B1091,PE_Mat,0)),0))</f>
        <v/>
      </c>
      <c r="K1091" s="31" t="str">
        <f aca="false">IF(B1091="","",IF(H1091="A",0,IFERROR(N(I1091)/P_Heures*J1091,0)))</f>
        <v/>
      </c>
      <c r="L1091" s="25"/>
    </row>
    <row r="1092" customFormat="false" ht="15" hidden="false" customHeight="false" outlineLevel="0" collapsed="false">
      <c r="A1092" s="69"/>
      <c r="B1092" s="68"/>
      <c r="C1092" s="76" t="str">
        <f aca="false">IF(B1092="","",IFERROR(INDEX(PE_Nom,MATCH(B1092,PE_Mat,0)),"Matricule inconnu"))</f>
        <v/>
      </c>
      <c r="D1092" s="76" t="str">
        <f aca="false">IF(B1092="","",IFERROR(INDEX(PE_Fonction,MATCH(B1092,PE_Mat,0)),""))</f>
        <v/>
      </c>
      <c r="E1092" s="76" t="str">
        <f aca="false">IF(B1092="","",IFERROR(INDEX(PE_Equipe,MATCH(B1092,PE_Mat,0)),""))</f>
        <v/>
      </c>
      <c r="F1092" s="25"/>
      <c r="G1092" s="25"/>
      <c r="H1092" s="68"/>
      <c r="I1092" s="89"/>
      <c r="J1092" s="31" t="str">
        <f aca="false">IF(B1092="","",IFERROR(INDEX(PE_Taux,MATCH(B1092,PE_Mat,0)),0))</f>
        <v/>
      </c>
      <c r="K1092" s="31" t="str">
        <f aca="false">IF(B1092="","",IF(H1092="A",0,IFERROR(N(I1092)/P_Heures*J1092,0)))</f>
        <v/>
      </c>
      <c r="L1092" s="25"/>
    </row>
    <row r="1093" customFormat="false" ht="15" hidden="false" customHeight="false" outlineLevel="0" collapsed="false">
      <c r="A1093" s="69"/>
      <c r="B1093" s="68"/>
      <c r="C1093" s="76" t="str">
        <f aca="false">IF(B1093="","",IFERROR(INDEX(PE_Nom,MATCH(B1093,PE_Mat,0)),"Matricule inconnu"))</f>
        <v/>
      </c>
      <c r="D1093" s="76" t="str">
        <f aca="false">IF(B1093="","",IFERROR(INDEX(PE_Fonction,MATCH(B1093,PE_Mat,0)),""))</f>
        <v/>
      </c>
      <c r="E1093" s="76" t="str">
        <f aca="false">IF(B1093="","",IFERROR(INDEX(PE_Equipe,MATCH(B1093,PE_Mat,0)),""))</f>
        <v/>
      </c>
      <c r="F1093" s="25"/>
      <c r="G1093" s="25"/>
      <c r="H1093" s="68"/>
      <c r="I1093" s="89"/>
      <c r="J1093" s="31" t="str">
        <f aca="false">IF(B1093="","",IFERROR(INDEX(PE_Taux,MATCH(B1093,PE_Mat,0)),0))</f>
        <v/>
      </c>
      <c r="K1093" s="31" t="str">
        <f aca="false">IF(B1093="","",IF(H1093="A",0,IFERROR(N(I1093)/P_Heures*J1093,0)))</f>
        <v/>
      </c>
      <c r="L1093" s="25"/>
    </row>
    <row r="1094" customFormat="false" ht="15" hidden="false" customHeight="false" outlineLevel="0" collapsed="false">
      <c r="A1094" s="69"/>
      <c r="B1094" s="68"/>
      <c r="C1094" s="76" t="str">
        <f aca="false">IF(B1094="","",IFERROR(INDEX(PE_Nom,MATCH(B1094,PE_Mat,0)),"Matricule inconnu"))</f>
        <v/>
      </c>
      <c r="D1094" s="76" t="str">
        <f aca="false">IF(B1094="","",IFERROR(INDEX(PE_Fonction,MATCH(B1094,PE_Mat,0)),""))</f>
        <v/>
      </c>
      <c r="E1094" s="76" t="str">
        <f aca="false">IF(B1094="","",IFERROR(INDEX(PE_Equipe,MATCH(B1094,PE_Mat,0)),""))</f>
        <v/>
      </c>
      <c r="F1094" s="25"/>
      <c r="G1094" s="25"/>
      <c r="H1094" s="68"/>
      <c r="I1094" s="89"/>
      <c r="J1094" s="31" t="str">
        <f aca="false">IF(B1094="","",IFERROR(INDEX(PE_Taux,MATCH(B1094,PE_Mat,0)),0))</f>
        <v/>
      </c>
      <c r="K1094" s="31" t="str">
        <f aca="false">IF(B1094="","",IF(H1094="A",0,IFERROR(N(I1094)/P_Heures*J1094,0)))</f>
        <v/>
      </c>
      <c r="L1094" s="25"/>
    </row>
    <row r="1095" customFormat="false" ht="15" hidden="false" customHeight="false" outlineLevel="0" collapsed="false">
      <c r="A1095" s="69"/>
      <c r="B1095" s="68"/>
      <c r="C1095" s="76" t="str">
        <f aca="false">IF(B1095="","",IFERROR(INDEX(PE_Nom,MATCH(B1095,PE_Mat,0)),"Matricule inconnu"))</f>
        <v/>
      </c>
      <c r="D1095" s="76" t="str">
        <f aca="false">IF(B1095="","",IFERROR(INDEX(PE_Fonction,MATCH(B1095,PE_Mat,0)),""))</f>
        <v/>
      </c>
      <c r="E1095" s="76" t="str">
        <f aca="false">IF(B1095="","",IFERROR(INDEX(PE_Equipe,MATCH(B1095,PE_Mat,0)),""))</f>
        <v/>
      </c>
      <c r="F1095" s="25"/>
      <c r="G1095" s="25"/>
      <c r="H1095" s="68"/>
      <c r="I1095" s="89"/>
      <c r="J1095" s="31" t="str">
        <f aca="false">IF(B1095="","",IFERROR(INDEX(PE_Taux,MATCH(B1095,PE_Mat,0)),0))</f>
        <v/>
      </c>
      <c r="K1095" s="31" t="str">
        <f aca="false">IF(B1095="","",IF(H1095="A",0,IFERROR(N(I1095)/P_Heures*J1095,0)))</f>
        <v/>
      </c>
      <c r="L1095" s="25"/>
    </row>
    <row r="1096" customFormat="false" ht="15" hidden="false" customHeight="false" outlineLevel="0" collapsed="false">
      <c r="A1096" s="69"/>
      <c r="B1096" s="68"/>
      <c r="C1096" s="76" t="str">
        <f aca="false">IF(B1096="","",IFERROR(INDEX(PE_Nom,MATCH(B1096,PE_Mat,0)),"Matricule inconnu"))</f>
        <v/>
      </c>
      <c r="D1096" s="76" t="str">
        <f aca="false">IF(B1096="","",IFERROR(INDEX(PE_Fonction,MATCH(B1096,PE_Mat,0)),""))</f>
        <v/>
      </c>
      <c r="E1096" s="76" t="str">
        <f aca="false">IF(B1096="","",IFERROR(INDEX(PE_Equipe,MATCH(B1096,PE_Mat,0)),""))</f>
        <v/>
      </c>
      <c r="F1096" s="25"/>
      <c r="G1096" s="25"/>
      <c r="H1096" s="68"/>
      <c r="I1096" s="89"/>
      <c r="J1096" s="31" t="str">
        <f aca="false">IF(B1096="","",IFERROR(INDEX(PE_Taux,MATCH(B1096,PE_Mat,0)),0))</f>
        <v/>
      </c>
      <c r="K1096" s="31" t="str">
        <f aca="false">IF(B1096="","",IF(H1096="A",0,IFERROR(N(I1096)/P_Heures*J1096,0)))</f>
        <v/>
      </c>
      <c r="L1096" s="25"/>
    </row>
    <row r="1097" customFormat="false" ht="15" hidden="false" customHeight="false" outlineLevel="0" collapsed="false">
      <c r="A1097" s="69"/>
      <c r="B1097" s="68"/>
      <c r="C1097" s="76" t="str">
        <f aca="false">IF(B1097="","",IFERROR(INDEX(PE_Nom,MATCH(B1097,PE_Mat,0)),"Matricule inconnu"))</f>
        <v/>
      </c>
      <c r="D1097" s="76" t="str">
        <f aca="false">IF(B1097="","",IFERROR(INDEX(PE_Fonction,MATCH(B1097,PE_Mat,0)),""))</f>
        <v/>
      </c>
      <c r="E1097" s="76" t="str">
        <f aca="false">IF(B1097="","",IFERROR(INDEX(PE_Equipe,MATCH(B1097,PE_Mat,0)),""))</f>
        <v/>
      </c>
      <c r="F1097" s="25"/>
      <c r="G1097" s="25"/>
      <c r="H1097" s="68"/>
      <c r="I1097" s="89"/>
      <c r="J1097" s="31" t="str">
        <f aca="false">IF(B1097="","",IFERROR(INDEX(PE_Taux,MATCH(B1097,PE_Mat,0)),0))</f>
        <v/>
      </c>
      <c r="K1097" s="31" t="str">
        <f aca="false">IF(B1097="","",IF(H1097="A",0,IFERROR(N(I1097)/P_Heures*J1097,0)))</f>
        <v/>
      </c>
      <c r="L1097" s="25"/>
    </row>
    <row r="1098" customFormat="false" ht="15" hidden="false" customHeight="false" outlineLevel="0" collapsed="false">
      <c r="A1098" s="69"/>
      <c r="B1098" s="68"/>
      <c r="C1098" s="76" t="str">
        <f aca="false">IF(B1098="","",IFERROR(INDEX(PE_Nom,MATCH(B1098,PE_Mat,0)),"Matricule inconnu"))</f>
        <v/>
      </c>
      <c r="D1098" s="76" t="str">
        <f aca="false">IF(B1098="","",IFERROR(INDEX(PE_Fonction,MATCH(B1098,PE_Mat,0)),""))</f>
        <v/>
      </c>
      <c r="E1098" s="76" t="str">
        <f aca="false">IF(B1098="","",IFERROR(INDEX(PE_Equipe,MATCH(B1098,PE_Mat,0)),""))</f>
        <v/>
      </c>
      <c r="F1098" s="25"/>
      <c r="G1098" s="25"/>
      <c r="H1098" s="68"/>
      <c r="I1098" s="89"/>
      <c r="J1098" s="31" t="str">
        <f aca="false">IF(B1098="","",IFERROR(INDEX(PE_Taux,MATCH(B1098,PE_Mat,0)),0))</f>
        <v/>
      </c>
      <c r="K1098" s="31" t="str">
        <f aca="false">IF(B1098="","",IF(H1098="A",0,IFERROR(N(I1098)/P_Heures*J1098,0)))</f>
        <v/>
      </c>
      <c r="L1098" s="25"/>
    </row>
    <row r="1099" customFormat="false" ht="15" hidden="false" customHeight="false" outlineLevel="0" collapsed="false">
      <c r="A1099" s="69"/>
      <c r="B1099" s="68"/>
      <c r="C1099" s="76" t="str">
        <f aca="false">IF(B1099="","",IFERROR(INDEX(PE_Nom,MATCH(B1099,PE_Mat,0)),"Matricule inconnu"))</f>
        <v/>
      </c>
      <c r="D1099" s="76" t="str">
        <f aca="false">IF(B1099="","",IFERROR(INDEX(PE_Fonction,MATCH(B1099,PE_Mat,0)),""))</f>
        <v/>
      </c>
      <c r="E1099" s="76" t="str">
        <f aca="false">IF(B1099="","",IFERROR(INDEX(PE_Equipe,MATCH(B1099,PE_Mat,0)),""))</f>
        <v/>
      </c>
      <c r="F1099" s="25"/>
      <c r="G1099" s="25"/>
      <c r="H1099" s="68"/>
      <c r="I1099" s="89"/>
      <c r="J1099" s="31" t="str">
        <f aca="false">IF(B1099="","",IFERROR(INDEX(PE_Taux,MATCH(B1099,PE_Mat,0)),0))</f>
        <v/>
      </c>
      <c r="K1099" s="31" t="str">
        <f aca="false">IF(B1099="","",IF(H1099="A",0,IFERROR(N(I1099)/P_Heures*J1099,0)))</f>
        <v/>
      </c>
      <c r="L1099" s="25"/>
    </row>
    <row r="1100" customFormat="false" ht="15" hidden="false" customHeight="false" outlineLevel="0" collapsed="false">
      <c r="A1100" s="69"/>
      <c r="B1100" s="68"/>
      <c r="C1100" s="76" t="str">
        <f aca="false">IF(B1100="","",IFERROR(INDEX(PE_Nom,MATCH(B1100,PE_Mat,0)),"Matricule inconnu"))</f>
        <v/>
      </c>
      <c r="D1100" s="76" t="str">
        <f aca="false">IF(B1100="","",IFERROR(INDEX(PE_Fonction,MATCH(B1100,PE_Mat,0)),""))</f>
        <v/>
      </c>
      <c r="E1100" s="76" t="str">
        <f aca="false">IF(B1100="","",IFERROR(INDEX(PE_Equipe,MATCH(B1100,PE_Mat,0)),""))</f>
        <v/>
      </c>
      <c r="F1100" s="25"/>
      <c r="G1100" s="25"/>
      <c r="H1100" s="68"/>
      <c r="I1100" s="89"/>
      <c r="J1100" s="31" t="str">
        <f aca="false">IF(B1100="","",IFERROR(INDEX(PE_Taux,MATCH(B1100,PE_Mat,0)),0))</f>
        <v/>
      </c>
      <c r="K1100" s="31" t="str">
        <f aca="false">IF(B1100="","",IF(H1100="A",0,IFERROR(N(I1100)/P_Heures*J1100,0)))</f>
        <v/>
      </c>
      <c r="L1100" s="25"/>
    </row>
    <row r="1101" customFormat="false" ht="15" hidden="false" customHeight="false" outlineLevel="0" collapsed="false">
      <c r="A1101" s="69"/>
      <c r="B1101" s="68"/>
      <c r="C1101" s="76" t="str">
        <f aca="false">IF(B1101="","",IFERROR(INDEX(PE_Nom,MATCH(B1101,PE_Mat,0)),"Matricule inconnu"))</f>
        <v/>
      </c>
      <c r="D1101" s="76" t="str">
        <f aca="false">IF(B1101="","",IFERROR(INDEX(PE_Fonction,MATCH(B1101,PE_Mat,0)),""))</f>
        <v/>
      </c>
      <c r="E1101" s="76" t="str">
        <f aca="false">IF(B1101="","",IFERROR(INDEX(PE_Equipe,MATCH(B1101,PE_Mat,0)),""))</f>
        <v/>
      </c>
      <c r="F1101" s="25"/>
      <c r="G1101" s="25"/>
      <c r="H1101" s="68"/>
      <c r="I1101" s="89"/>
      <c r="J1101" s="31" t="str">
        <f aca="false">IF(B1101="","",IFERROR(INDEX(PE_Taux,MATCH(B1101,PE_Mat,0)),0))</f>
        <v/>
      </c>
      <c r="K1101" s="31" t="str">
        <f aca="false">IF(B1101="","",IF(H1101="A",0,IFERROR(N(I1101)/P_Heures*J1101,0)))</f>
        <v/>
      </c>
      <c r="L1101" s="25"/>
    </row>
    <row r="1102" customFormat="false" ht="15" hidden="false" customHeight="false" outlineLevel="0" collapsed="false">
      <c r="A1102" s="69"/>
      <c r="B1102" s="68"/>
      <c r="C1102" s="76" t="str">
        <f aca="false">IF(B1102="","",IFERROR(INDEX(PE_Nom,MATCH(B1102,PE_Mat,0)),"Matricule inconnu"))</f>
        <v/>
      </c>
      <c r="D1102" s="76" t="str">
        <f aca="false">IF(B1102="","",IFERROR(INDEX(PE_Fonction,MATCH(B1102,PE_Mat,0)),""))</f>
        <v/>
      </c>
      <c r="E1102" s="76" t="str">
        <f aca="false">IF(B1102="","",IFERROR(INDEX(PE_Equipe,MATCH(B1102,PE_Mat,0)),""))</f>
        <v/>
      </c>
      <c r="F1102" s="25"/>
      <c r="G1102" s="25"/>
      <c r="H1102" s="68"/>
      <c r="I1102" s="89"/>
      <c r="J1102" s="31" t="str">
        <f aca="false">IF(B1102="","",IFERROR(INDEX(PE_Taux,MATCH(B1102,PE_Mat,0)),0))</f>
        <v/>
      </c>
      <c r="K1102" s="31" t="str">
        <f aca="false">IF(B1102="","",IF(H1102="A",0,IFERROR(N(I1102)/P_Heures*J1102,0)))</f>
        <v/>
      </c>
      <c r="L1102" s="25"/>
    </row>
    <row r="1103" customFormat="false" ht="15" hidden="false" customHeight="false" outlineLevel="0" collapsed="false">
      <c r="A1103" s="69"/>
      <c r="B1103" s="68"/>
      <c r="C1103" s="76" t="str">
        <f aca="false">IF(B1103="","",IFERROR(INDEX(PE_Nom,MATCH(B1103,PE_Mat,0)),"Matricule inconnu"))</f>
        <v/>
      </c>
      <c r="D1103" s="76" t="str">
        <f aca="false">IF(B1103="","",IFERROR(INDEX(PE_Fonction,MATCH(B1103,PE_Mat,0)),""))</f>
        <v/>
      </c>
      <c r="E1103" s="76" t="str">
        <f aca="false">IF(B1103="","",IFERROR(INDEX(PE_Equipe,MATCH(B1103,PE_Mat,0)),""))</f>
        <v/>
      </c>
      <c r="F1103" s="25"/>
      <c r="G1103" s="25"/>
      <c r="H1103" s="68"/>
      <c r="I1103" s="89"/>
      <c r="J1103" s="31" t="str">
        <f aca="false">IF(B1103="","",IFERROR(INDEX(PE_Taux,MATCH(B1103,PE_Mat,0)),0))</f>
        <v/>
      </c>
      <c r="K1103" s="31" t="str">
        <f aca="false">IF(B1103="","",IF(H1103="A",0,IFERROR(N(I1103)/P_Heures*J1103,0)))</f>
        <v/>
      </c>
      <c r="L1103" s="25"/>
    </row>
    <row r="1104" customFormat="false" ht="15" hidden="false" customHeight="false" outlineLevel="0" collapsed="false">
      <c r="A1104" s="69"/>
      <c r="B1104" s="68"/>
      <c r="C1104" s="76" t="str">
        <f aca="false">IF(B1104="","",IFERROR(INDEX(PE_Nom,MATCH(B1104,PE_Mat,0)),"Matricule inconnu"))</f>
        <v/>
      </c>
      <c r="D1104" s="76" t="str">
        <f aca="false">IF(B1104="","",IFERROR(INDEX(PE_Fonction,MATCH(B1104,PE_Mat,0)),""))</f>
        <v/>
      </c>
      <c r="E1104" s="76" t="str">
        <f aca="false">IF(B1104="","",IFERROR(INDEX(PE_Equipe,MATCH(B1104,PE_Mat,0)),""))</f>
        <v/>
      </c>
      <c r="F1104" s="25"/>
      <c r="G1104" s="25"/>
      <c r="H1104" s="68"/>
      <c r="I1104" s="89"/>
      <c r="J1104" s="31" t="str">
        <f aca="false">IF(B1104="","",IFERROR(INDEX(PE_Taux,MATCH(B1104,PE_Mat,0)),0))</f>
        <v/>
      </c>
      <c r="K1104" s="31" t="str">
        <f aca="false">IF(B1104="","",IF(H1104="A",0,IFERROR(N(I1104)/P_Heures*J1104,0)))</f>
        <v/>
      </c>
      <c r="L1104" s="25"/>
    </row>
    <row r="1105" customFormat="false" ht="15" hidden="false" customHeight="false" outlineLevel="0" collapsed="false">
      <c r="A1105" s="69"/>
      <c r="B1105" s="68"/>
      <c r="C1105" s="76" t="str">
        <f aca="false">IF(B1105="","",IFERROR(INDEX(PE_Nom,MATCH(B1105,PE_Mat,0)),"Matricule inconnu"))</f>
        <v/>
      </c>
      <c r="D1105" s="76" t="str">
        <f aca="false">IF(B1105="","",IFERROR(INDEX(PE_Fonction,MATCH(B1105,PE_Mat,0)),""))</f>
        <v/>
      </c>
      <c r="E1105" s="76" t="str">
        <f aca="false">IF(B1105="","",IFERROR(INDEX(PE_Equipe,MATCH(B1105,PE_Mat,0)),""))</f>
        <v/>
      </c>
      <c r="F1105" s="25"/>
      <c r="G1105" s="25"/>
      <c r="H1105" s="68"/>
      <c r="I1105" s="89"/>
      <c r="J1105" s="31" t="str">
        <f aca="false">IF(B1105="","",IFERROR(INDEX(PE_Taux,MATCH(B1105,PE_Mat,0)),0))</f>
        <v/>
      </c>
      <c r="K1105" s="31" t="str">
        <f aca="false">IF(B1105="","",IF(H1105="A",0,IFERROR(N(I1105)/P_Heures*J1105,0)))</f>
        <v/>
      </c>
      <c r="L1105" s="25"/>
    </row>
    <row r="1106" customFormat="false" ht="15" hidden="false" customHeight="false" outlineLevel="0" collapsed="false">
      <c r="A1106" s="69"/>
      <c r="B1106" s="68"/>
      <c r="C1106" s="76" t="str">
        <f aca="false">IF(B1106="","",IFERROR(INDEX(PE_Nom,MATCH(B1106,PE_Mat,0)),"Matricule inconnu"))</f>
        <v/>
      </c>
      <c r="D1106" s="76" t="str">
        <f aca="false">IF(B1106="","",IFERROR(INDEX(PE_Fonction,MATCH(B1106,PE_Mat,0)),""))</f>
        <v/>
      </c>
      <c r="E1106" s="76" t="str">
        <f aca="false">IF(B1106="","",IFERROR(INDEX(PE_Equipe,MATCH(B1106,PE_Mat,0)),""))</f>
        <v/>
      </c>
      <c r="F1106" s="25"/>
      <c r="G1106" s="25"/>
      <c r="H1106" s="68"/>
      <c r="I1106" s="89"/>
      <c r="J1106" s="31" t="str">
        <f aca="false">IF(B1106="","",IFERROR(INDEX(PE_Taux,MATCH(B1106,PE_Mat,0)),0))</f>
        <v/>
      </c>
      <c r="K1106" s="31" t="str">
        <f aca="false">IF(B1106="","",IF(H1106="A",0,IFERROR(N(I1106)/P_Heures*J1106,0)))</f>
        <v/>
      </c>
      <c r="L1106" s="25"/>
    </row>
    <row r="1107" customFormat="false" ht="15" hidden="false" customHeight="false" outlineLevel="0" collapsed="false">
      <c r="A1107" s="69"/>
      <c r="B1107" s="68"/>
      <c r="C1107" s="76" t="str">
        <f aca="false">IF(B1107="","",IFERROR(INDEX(PE_Nom,MATCH(B1107,PE_Mat,0)),"Matricule inconnu"))</f>
        <v/>
      </c>
      <c r="D1107" s="76" t="str">
        <f aca="false">IF(B1107="","",IFERROR(INDEX(PE_Fonction,MATCH(B1107,PE_Mat,0)),""))</f>
        <v/>
      </c>
      <c r="E1107" s="76" t="str">
        <f aca="false">IF(B1107="","",IFERROR(INDEX(PE_Equipe,MATCH(B1107,PE_Mat,0)),""))</f>
        <v/>
      </c>
      <c r="F1107" s="25"/>
      <c r="G1107" s="25"/>
      <c r="H1107" s="68"/>
      <c r="I1107" s="89"/>
      <c r="J1107" s="31" t="str">
        <f aca="false">IF(B1107="","",IFERROR(INDEX(PE_Taux,MATCH(B1107,PE_Mat,0)),0))</f>
        <v/>
      </c>
      <c r="K1107" s="31" t="str">
        <f aca="false">IF(B1107="","",IF(H1107="A",0,IFERROR(N(I1107)/P_Heures*J1107,0)))</f>
        <v/>
      </c>
      <c r="L1107" s="25"/>
    </row>
    <row r="1108" customFormat="false" ht="15" hidden="false" customHeight="false" outlineLevel="0" collapsed="false">
      <c r="A1108" s="69"/>
      <c r="B1108" s="68"/>
      <c r="C1108" s="76" t="str">
        <f aca="false">IF(B1108="","",IFERROR(INDEX(PE_Nom,MATCH(B1108,PE_Mat,0)),"Matricule inconnu"))</f>
        <v/>
      </c>
      <c r="D1108" s="76" t="str">
        <f aca="false">IF(B1108="","",IFERROR(INDEX(PE_Fonction,MATCH(B1108,PE_Mat,0)),""))</f>
        <v/>
      </c>
      <c r="E1108" s="76" t="str">
        <f aca="false">IF(B1108="","",IFERROR(INDEX(PE_Equipe,MATCH(B1108,PE_Mat,0)),""))</f>
        <v/>
      </c>
      <c r="F1108" s="25"/>
      <c r="G1108" s="25"/>
      <c r="H1108" s="68"/>
      <c r="I1108" s="89"/>
      <c r="J1108" s="31" t="str">
        <f aca="false">IF(B1108="","",IFERROR(INDEX(PE_Taux,MATCH(B1108,PE_Mat,0)),0))</f>
        <v/>
      </c>
      <c r="K1108" s="31" t="str">
        <f aca="false">IF(B1108="","",IF(H1108="A",0,IFERROR(N(I1108)/P_Heures*J1108,0)))</f>
        <v/>
      </c>
      <c r="L1108" s="25"/>
    </row>
    <row r="1109" customFormat="false" ht="15" hidden="false" customHeight="false" outlineLevel="0" collapsed="false">
      <c r="A1109" s="69"/>
      <c r="B1109" s="68"/>
      <c r="C1109" s="76" t="str">
        <f aca="false">IF(B1109="","",IFERROR(INDEX(PE_Nom,MATCH(B1109,PE_Mat,0)),"Matricule inconnu"))</f>
        <v/>
      </c>
      <c r="D1109" s="76" t="str">
        <f aca="false">IF(B1109="","",IFERROR(INDEX(PE_Fonction,MATCH(B1109,PE_Mat,0)),""))</f>
        <v/>
      </c>
      <c r="E1109" s="76" t="str">
        <f aca="false">IF(B1109="","",IFERROR(INDEX(PE_Equipe,MATCH(B1109,PE_Mat,0)),""))</f>
        <v/>
      </c>
      <c r="F1109" s="25"/>
      <c r="G1109" s="25"/>
      <c r="H1109" s="68"/>
      <c r="I1109" s="89"/>
      <c r="J1109" s="31" t="str">
        <f aca="false">IF(B1109="","",IFERROR(INDEX(PE_Taux,MATCH(B1109,PE_Mat,0)),0))</f>
        <v/>
      </c>
      <c r="K1109" s="31" t="str">
        <f aca="false">IF(B1109="","",IF(H1109="A",0,IFERROR(N(I1109)/P_Heures*J1109,0)))</f>
        <v/>
      </c>
      <c r="L1109" s="25"/>
    </row>
    <row r="1110" customFormat="false" ht="15" hidden="false" customHeight="false" outlineLevel="0" collapsed="false">
      <c r="A1110" s="69"/>
      <c r="B1110" s="68"/>
      <c r="C1110" s="76" t="str">
        <f aca="false">IF(B1110="","",IFERROR(INDEX(PE_Nom,MATCH(B1110,PE_Mat,0)),"Matricule inconnu"))</f>
        <v/>
      </c>
      <c r="D1110" s="76" t="str">
        <f aca="false">IF(B1110="","",IFERROR(INDEX(PE_Fonction,MATCH(B1110,PE_Mat,0)),""))</f>
        <v/>
      </c>
      <c r="E1110" s="76" t="str">
        <f aca="false">IF(B1110="","",IFERROR(INDEX(PE_Equipe,MATCH(B1110,PE_Mat,0)),""))</f>
        <v/>
      </c>
      <c r="F1110" s="25"/>
      <c r="G1110" s="25"/>
      <c r="H1110" s="68"/>
      <c r="I1110" s="89"/>
      <c r="J1110" s="31" t="str">
        <f aca="false">IF(B1110="","",IFERROR(INDEX(PE_Taux,MATCH(B1110,PE_Mat,0)),0))</f>
        <v/>
      </c>
      <c r="K1110" s="31" t="str">
        <f aca="false">IF(B1110="","",IF(H1110="A",0,IFERROR(N(I1110)/P_Heures*J1110,0)))</f>
        <v/>
      </c>
      <c r="L1110" s="25"/>
    </row>
    <row r="1111" customFormat="false" ht="15" hidden="false" customHeight="false" outlineLevel="0" collapsed="false">
      <c r="A1111" s="69"/>
      <c r="B1111" s="68"/>
      <c r="C1111" s="76" t="str">
        <f aca="false">IF(B1111="","",IFERROR(INDEX(PE_Nom,MATCH(B1111,PE_Mat,0)),"Matricule inconnu"))</f>
        <v/>
      </c>
      <c r="D1111" s="76" t="str">
        <f aca="false">IF(B1111="","",IFERROR(INDEX(PE_Fonction,MATCH(B1111,PE_Mat,0)),""))</f>
        <v/>
      </c>
      <c r="E1111" s="76" t="str">
        <f aca="false">IF(B1111="","",IFERROR(INDEX(PE_Equipe,MATCH(B1111,PE_Mat,0)),""))</f>
        <v/>
      </c>
      <c r="F1111" s="25"/>
      <c r="G1111" s="25"/>
      <c r="H1111" s="68"/>
      <c r="I1111" s="89"/>
      <c r="J1111" s="31" t="str">
        <f aca="false">IF(B1111="","",IFERROR(INDEX(PE_Taux,MATCH(B1111,PE_Mat,0)),0))</f>
        <v/>
      </c>
      <c r="K1111" s="31" t="str">
        <f aca="false">IF(B1111="","",IF(H1111="A",0,IFERROR(N(I1111)/P_Heures*J1111,0)))</f>
        <v/>
      </c>
      <c r="L1111" s="25"/>
    </row>
    <row r="1112" customFormat="false" ht="15" hidden="false" customHeight="false" outlineLevel="0" collapsed="false">
      <c r="A1112" s="69"/>
      <c r="B1112" s="68"/>
      <c r="C1112" s="76" t="str">
        <f aca="false">IF(B1112="","",IFERROR(INDEX(PE_Nom,MATCH(B1112,PE_Mat,0)),"Matricule inconnu"))</f>
        <v/>
      </c>
      <c r="D1112" s="76" t="str">
        <f aca="false">IF(B1112="","",IFERROR(INDEX(PE_Fonction,MATCH(B1112,PE_Mat,0)),""))</f>
        <v/>
      </c>
      <c r="E1112" s="76" t="str">
        <f aca="false">IF(B1112="","",IFERROR(INDEX(PE_Equipe,MATCH(B1112,PE_Mat,0)),""))</f>
        <v/>
      </c>
      <c r="F1112" s="25"/>
      <c r="G1112" s="25"/>
      <c r="H1112" s="68"/>
      <c r="I1112" s="89"/>
      <c r="J1112" s="31" t="str">
        <f aca="false">IF(B1112="","",IFERROR(INDEX(PE_Taux,MATCH(B1112,PE_Mat,0)),0))</f>
        <v/>
      </c>
      <c r="K1112" s="31" t="str">
        <f aca="false">IF(B1112="","",IF(H1112="A",0,IFERROR(N(I1112)/P_Heures*J1112,0)))</f>
        <v/>
      </c>
      <c r="L1112" s="25"/>
    </row>
    <row r="1113" customFormat="false" ht="15" hidden="false" customHeight="false" outlineLevel="0" collapsed="false">
      <c r="A1113" s="69"/>
      <c r="B1113" s="68"/>
      <c r="C1113" s="76" t="str">
        <f aca="false">IF(B1113="","",IFERROR(INDEX(PE_Nom,MATCH(B1113,PE_Mat,0)),"Matricule inconnu"))</f>
        <v/>
      </c>
      <c r="D1113" s="76" t="str">
        <f aca="false">IF(B1113="","",IFERROR(INDEX(PE_Fonction,MATCH(B1113,PE_Mat,0)),""))</f>
        <v/>
      </c>
      <c r="E1113" s="76" t="str">
        <f aca="false">IF(B1113="","",IFERROR(INDEX(PE_Equipe,MATCH(B1113,PE_Mat,0)),""))</f>
        <v/>
      </c>
      <c r="F1113" s="25"/>
      <c r="G1113" s="25"/>
      <c r="H1113" s="68"/>
      <c r="I1113" s="89"/>
      <c r="J1113" s="31" t="str">
        <f aca="false">IF(B1113="","",IFERROR(INDEX(PE_Taux,MATCH(B1113,PE_Mat,0)),0))</f>
        <v/>
      </c>
      <c r="K1113" s="31" t="str">
        <f aca="false">IF(B1113="","",IF(H1113="A",0,IFERROR(N(I1113)/P_Heures*J1113,0)))</f>
        <v/>
      </c>
      <c r="L1113" s="25"/>
    </row>
    <row r="1114" customFormat="false" ht="15" hidden="false" customHeight="false" outlineLevel="0" collapsed="false">
      <c r="A1114" s="69"/>
      <c r="B1114" s="68"/>
      <c r="C1114" s="76" t="str">
        <f aca="false">IF(B1114="","",IFERROR(INDEX(PE_Nom,MATCH(B1114,PE_Mat,0)),"Matricule inconnu"))</f>
        <v/>
      </c>
      <c r="D1114" s="76" t="str">
        <f aca="false">IF(B1114="","",IFERROR(INDEX(PE_Fonction,MATCH(B1114,PE_Mat,0)),""))</f>
        <v/>
      </c>
      <c r="E1114" s="76" t="str">
        <f aca="false">IF(B1114="","",IFERROR(INDEX(PE_Equipe,MATCH(B1114,PE_Mat,0)),""))</f>
        <v/>
      </c>
      <c r="F1114" s="25"/>
      <c r="G1114" s="25"/>
      <c r="H1114" s="68"/>
      <c r="I1114" s="89"/>
      <c r="J1114" s="31" t="str">
        <f aca="false">IF(B1114="","",IFERROR(INDEX(PE_Taux,MATCH(B1114,PE_Mat,0)),0))</f>
        <v/>
      </c>
      <c r="K1114" s="31" t="str">
        <f aca="false">IF(B1114="","",IF(H1114="A",0,IFERROR(N(I1114)/P_Heures*J1114,0)))</f>
        <v/>
      </c>
      <c r="L1114" s="25"/>
    </row>
    <row r="1115" customFormat="false" ht="15" hidden="false" customHeight="false" outlineLevel="0" collapsed="false">
      <c r="A1115" s="69"/>
      <c r="B1115" s="68"/>
      <c r="C1115" s="76" t="str">
        <f aca="false">IF(B1115="","",IFERROR(INDEX(PE_Nom,MATCH(B1115,PE_Mat,0)),"Matricule inconnu"))</f>
        <v/>
      </c>
      <c r="D1115" s="76" t="str">
        <f aca="false">IF(B1115="","",IFERROR(INDEX(PE_Fonction,MATCH(B1115,PE_Mat,0)),""))</f>
        <v/>
      </c>
      <c r="E1115" s="76" t="str">
        <f aca="false">IF(B1115="","",IFERROR(INDEX(PE_Equipe,MATCH(B1115,PE_Mat,0)),""))</f>
        <v/>
      </c>
      <c r="F1115" s="25"/>
      <c r="G1115" s="25"/>
      <c r="H1115" s="68"/>
      <c r="I1115" s="89"/>
      <c r="J1115" s="31" t="str">
        <f aca="false">IF(B1115="","",IFERROR(INDEX(PE_Taux,MATCH(B1115,PE_Mat,0)),0))</f>
        <v/>
      </c>
      <c r="K1115" s="31" t="str">
        <f aca="false">IF(B1115="","",IF(H1115="A",0,IFERROR(N(I1115)/P_Heures*J1115,0)))</f>
        <v/>
      </c>
      <c r="L1115" s="25"/>
    </row>
    <row r="1116" customFormat="false" ht="15" hidden="false" customHeight="false" outlineLevel="0" collapsed="false">
      <c r="A1116" s="69"/>
      <c r="B1116" s="68"/>
      <c r="C1116" s="76" t="str">
        <f aca="false">IF(B1116="","",IFERROR(INDEX(PE_Nom,MATCH(B1116,PE_Mat,0)),"Matricule inconnu"))</f>
        <v/>
      </c>
      <c r="D1116" s="76" t="str">
        <f aca="false">IF(B1116="","",IFERROR(INDEX(PE_Fonction,MATCH(B1116,PE_Mat,0)),""))</f>
        <v/>
      </c>
      <c r="E1116" s="76" t="str">
        <f aca="false">IF(B1116="","",IFERROR(INDEX(PE_Equipe,MATCH(B1116,PE_Mat,0)),""))</f>
        <v/>
      </c>
      <c r="F1116" s="25"/>
      <c r="G1116" s="25"/>
      <c r="H1116" s="68"/>
      <c r="I1116" s="89"/>
      <c r="J1116" s="31" t="str">
        <f aca="false">IF(B1116="","",IFERROR(INDEX(PE_Taux,MATCH(B1116,PE_Mat,0)),0))</f>
        <v/>
      </c>
      <c r="K1116" s="31" t="str">
        <f aca="false">IF(B1116="","",IF(H1116="A",0,IFERROR(N(I1116)/P_Heures*J1116,0)))</f>
        <v/>
      </c>
      <c r="L1116" s="25"/>
    </row>
    <row r="1117" customFormat="false" ht="15" hidden="false" customHeight="false" outlineLevel="0" collapsed="false">
      <c r="A1117" s="69"/>
      <c r="B1117" s="68"/>
      <c r="C1117" s="76" t="str">
        <f aca="false">IF(B1117="","",IFERROR(INDEX(PE_Nom,MATCH(B1117,PE_Mat,0)),"Matricule inconnu"))</f>
        <v/>
      </c>
      <c r="D1117" s="76" t="str">
        <f aca="false">IF(B1117="","",IFERROR(INDEX(PE_Fonction,MATCH(B1117,PE_Mat,0)),""))</f>
        <v/>
      </c>
      <c r="E1117" s="76" t="str">
        <f aca="false">IF(B1117="","",IFERROR(INDEX(PE_Equipe,MATCH(B1117,PE_Mat,0)),""))</f>
        <v/>
      </c>
      <c r="F1117" s="25"/>
      <c r="G1117" s="25"/>
      <c r="H1117" s="68"/>
      <c r="I1117" s="89"/>
      <c r="J1117" s="31" t="str">
        <f aca="false">IF(B1117="","",IFERROR(INDEX(PE_Taux,MATCH(B1117,PE_Mat,0)),0))</f>
        <v/>
      </c>
      <c r="K1117" s="31" t="str">
        <f aca="false">IF(B1117="","",IF(H1117="A",0,IFERROR(N(I1117)/P_Heures*J1117,0)))</f>
        <v/>
      </c>
      <c r="L1117" s="25"/>
    </row>
    <row r="1118" customFormat="false" ht="15" hidden="false" customHeight="false" outlineLevel="0" collapsed="false">
      <c r="A1118" s="69"/>
      <c r="B1118" s="68"/>
      <c r="C1118" s="76" t="str">
        <f aca="false">IF(B1118="","",IFERROR(INDEX(PE_Nom,MATCH(B1118,PE_Mat,0)),"Matricule inconnu"))</f>
        <v/>
      </c>
      <c r="D1118" s="76" t="str">
        <f aca="false">IF(B1118="","",IFERROR(INDEX(PE_Fonction,MATCH(B1118,PE_Mat,0)),""))</f>
        <v/>
      </c>
      <c r="E1118" s="76" t="str">
        <f aca="false">IF(B1118="","",IFERROR(INDEX(PE_Equipe,MATCH(B1118,PE_Mat,0)),""))</f>
        <v/>
      </c>
      <c r="F1118" s="25"/>
      <c r="G1118" s="25"/>
      <c r="H1118" s="68"/>
      <c r="I1118" s="89"/>
      <c r="J1118" s="31" t="str">
        <f aca="false">IF(B1118="","",IFERROR(INDEX(PE_Taux,MATCH(B1118,PE_Mat,0)),0))</f>
        <v/>
      </c>
      <c r="K1118" s="31" t="str">
        <f aca="false">IF(B1118="","",IF(H1118="A",0,IFERROR(N(I1118)/P_Heures*J1118,0)))</f>
        <v/>
      </c>
      <c r="L1118" s="25"/>
    </row>
    <row r="1119" customFormat="false" ht="15" hidden="false" customHeight="false" outlineLevel="0" collapsed="false">
      <c r="A1119" s="69"/>
      <c r="B1119" s="68"/>
      <c r="C1119" s="76" t="str">
        <f aca="false">IF(B1119="","",IFERROR(INDEX(PE_Nom,MATCH(B1119,PE_Mat,0)),"Matricule inconnu"))</f>
        <v/>
      </c>
      <c r="D1119" s="76" t="str">
        <f aca="false">IF(B1119="","",IFERROR(INDEX(PE_Fonction,MATCH(B1119,PE_Mat,0)),""))</f>
        <v/>
      </c>
      <c r="E1119" s="76" t="str">
        <f aca="false">IF(B1119="","",IFERROR(INDEX(PE_Equipe,MATCH(B1119,PE_Mat,0)),""))</f>
        <v/>
      </c>
      <c r="F1119" s="25"/>
      <c r="G1119" s="25"/>
      <c r="H1119" s="68"/>
      <c r="I1119" s="89"/>
      <c r="J1119" s="31" t="str">
        <f aca="false">IF(B1119="","",IFERROR(INDEX(PE_Taux,MATCH(B1119,PE_Mat,0)),0))</f>
        <v/>
      </c>
      <c r="K1119" s="31" t="str">
        <f aca="false">IF(B1119="","",IF(H1119="A",0,IFERROR(N(I1119)/P_Heures*J1119,0)))</f>
        <v/>
      </c>
      <c r="L1119" s="25"/>
    </row>
    <row r="1120" customFormat="false" ht="15" hidden="false" customHeight="false" outlineLevel="0" collapsed="false">
      <c r="A1120" s="69"/>
      <c r="B1120" s="68"/>
      <c r="C1120" s="76" t="str">
        <f aca="false">IF(B1120="","",IFERROR(INDEX(PE_Nom,MATCH(B1120,PE_Mat,0)),"Matricule inconnu"))</f>
        <v/>
      </c>
      <c r="D1120" s="76" t="str">
        <f aca="false">IF(B1120="","",IFERROR(INDEX(PE_Fonction,MATCH(B1120,PE_Mat,0)),""))</f>
        <v/>
      </c>
      <c r="E1120" s="76" t="str">
        <f aca="false">IF(B1120="","",IFERROR(INDEX(PE_Equipe,MATCH(B1120,PE_Mat,0)),""))</f>
        <v/>
      </c>
      <c r="F1120" s="25"/>
      <c r="G1120" s="25"/>
      <c r="H1120" s="68"/>
      <c r="I1120" s="89"/>
      <c r="J1120" s="31" t="str">
        <f aca="false">IF(B1120="","",IFERROR(INDEX(PE_Taux,MATCH(B1120,PE_Mat,0)),0))</f>
        <v/>
      </c>
      <c r="K1120" s="31" t="str">
        <f aca="false">IF(B1120="","",IF(H1120="A",0,IFERROR(N(I1120)/P_Heures*J1120,0)))</f>
        <v/>
      </c>
      <c r="L1120" s="25"/>
    </row>
    <row r="1121" customFormat="false" ht="15" hidden="false" customHeight="false" outlineLevel="0" collapsed="false">
      <c r="A1121" s="69"/>
      <c r="B1121" s="68"/>
      <c r="C1121" s="76" t="str">
        <f aca="false">IF(B1121="","",IFERROR(INDEX(PE_Nom,MATCH(B1121,PE_Mat,0)),"Matricule inconnu"))</f>
        <v/>
      </c>
      <c r="D1121" s="76" t="str">
        <f aca="false">IF(B1121="","",IFERROR(INDEX(PE_Fonction,MATCH(B1121,PE_Mat,0)),""))</f>
        <v/>
      </c>
      <c r="E1121" s="76" t="str">
        <f aca="false">IF(B1121="","",IFERROR(INDEX(PE_Equipe,MATCH(B1121,PE_Mat,0)),""))</f>
        <v/>
      </c>
      <c r="F1121" s="25"/>
      <c r="G1121" s="25"/>
      <c r="H1121" s="68"/>
      <c r="I1121" s="89"/>
      <c r="J1121" s="31" t="str">
        <f aca="false">IF(B1121="","",IFERROR(INDEX(PE_Taux,MATCH(B1121,PE_Mat,0)),0))</f>
        <v/>
      </c>
      <c r="K1121" s="31" t="str">
        <f aca="false">IF(B1121="","",IF(H1121="A",0,IFERROR(N(I1121)/P_Heures*J1121,0)))</f>
        <v/>
      </c>
      <c r="L1121" s="25"/>
    </row>
    <row r="1122" customFormat="false" ht="15" hidden="false" customHeight="false" outlineLevel="0" collapsed="false">
      <c r="A1122" s="69"/>
      <c r="B1122" s="68"/>
      <c r="C1122" s="76" t="str">
        <f aca="false">IF(B1122="","",IFERROR(INDEX(PE_Nom,MATCH(B1122,PE_Mat,0)),"Matricule inconnu"))</f>
        <v/>
      </c>
      <c r="D1122" s="76" t="str">
        <f aca="false">IF(B1122="","",IFERROR(INDEX(PE_Fonction,MATCH(B1122,PE_Mat,0)),""))</f>
        <v/>
      </c>
      <c r="E1122" s="76" t="str">
        <f aca="false">IF(B1122="","",IFERROR(INDEX(PE_Equipe,MATCH(B1122,PE_Mat,0)),""))</f>
        <v/>
      </c>
      <c r="F1122" s="25"/>
      <c r="G1122" s="25"/>
      <c r="H1122" s="68"/>
      <c r="I1122" s="89"/>
      <c r="J1122" s="31" t="str">
        <f aca="false">IF(B1122="","",IFERROR(INDEX(PE_Taux,MATCH(B1122,PE_Mat,0)),0))</f>
        <v/>
      </c>
      <c r="K1122" s="31" t="str">
        <f aca="false">IF(B1122="","",IF(H1122="A",0,IFERROR(N(I1122)/P_Heures*J1122,0)))</f>
        <v/>
      </c>
      <c r="L1122" s="25"/>
    </row>
    <row r="1123" customFormat="false" ht="15" hidden="false" customHeight="false" outlineLevel="0" collapsed="false">
      <c r="A1123" s="69"/>
      <c r="B1123" s="68"/>
      <c r="C1123" s="76" t="str">
        <f aca="false">IF(B1123="","",IFERROR(INDEX(PE_Nom,MATCH(B1123,PE_Mat,0)),"Matricule inconnu"))</f>
        <v/>
      </c>
      <c r="D1123" s="76" t="str">
        <f aca="false">IF(B1123="","",IFERROR(INDEX(PE_Fonction,MATCH(B1123,PE_Mat,0)),""))</f>
        <v/>
      </c>
      <c r="E1123" s="76" t="str">
        <f aca="false">IF(B1123="","",IFERROR(INDEX(PE_Equipe,MATCH(B1123,PE_Mat,0)),""))</f>
        <v/>
      </c>
      <c r="F1123" s="25"/>
      <c r="G1123" s="25"/>
      <c r="H1123" s="68"/>
      <c r="I1123" s="89"/>
      <c r="J1123" s="31" t="str">
        <f aca="false">IF(B1123="","",IFERROR(INDEX(PE_Taux,MATCH(B1123,PE_Mat,0)),0))</f>
        <v/>
      </c>
      <c r="K1123" s="31" t="str">
        <f aca="false">IF(B1123="","",IF(H1123="A",0,IFERROR(N(I1123)/P_Heures*J1123,0)))</f>
        <v/>
      </c>
      <c r="L1123" s="25"/>
    </row>
    <row r="1124" customFormat="false" ht="15" hidden="false" customHeight="false" outlineLevel="0" collapsed="false">
      <c r="A1124" s="69"/>
      <c r="B1124" s="68"/>
      <c r="C1124" s="76" t="str">
        <f aca="false">IF(B1124="","",IFERROR(INDEX(PE_Nom,MATCH(B1124,PE_Mat,0)),"Matricule inconnu"))</f>
        <v/>
      </c>
      <c r="D1124" s="76" t="str">
        <f aca="false">IF(B1124="","",IFERROR(INDEX(PE_Fonction,MATCH(B1124,PE_Mat,0)),""))</f>
        <v/>
      </c>
      <c r="E1124" s="76" t="str">
        <f aca="false">IF(B1124="","",IFERROR(INDEX(PE_Equipe,MATCH(B1124,PE_Mat,0)),""))</f>
        <v/>
      </c>
      <c r="F1124" s="25"/>
      <c r="G1124" s="25"/>
      <c r="H1124" s="68"/>
      <c r="I1124" s="89"/>
      <c r="J1124" s="31" t="str">
        <f aca="false">IF(B1124="","",IFERROR(INDEX(PE_Taux,MATCH(B1124,PE_Mat,0)),0))</f>
        <v/>
      </c>
      <c r="K1124" s="31" t="str">
        <f aca="false">IF(B1124="","",IF(H1124="A",0,IFERROR(N(I1124)/P_Heures*J1124,0)))</f>
        <v/>
      </c>
      <c r="L1124" s="25"/>
    </row>
    <row r="1125" customFormat="false" ht="15" hidden="false" customHeight="false" outlineLevel="0" collapsed="false">
      <c r="A1125" s="69"/>
      <c r="B1125" s="68"/>
      <c r="C1125" s="76" t="str">
        <f aca="false">IF(B1125="","",IFERROR(INDEX(PE_Nom,MATCH(B1125,PE_Mat,0)),"Matricule inconnu"))</f>
        <v/>
      </c>
      <c r="D1125" s="76" t="str">
        <f aca="false">IF(B1125="","",IFERROR(INDEX(PE_Fonction,MATCH(B1125,PE_Mat,0)),""))</f>
        <v/>
      </c>
      <c r="E1125" s="76" t="str">
        <f aca="false">IF(B1125="","",IFERROR(INDEX(PE_Equipe,MATCH(B1125,PE_Mat,0)),""))</f>
        <v/>
      </c>
      <c r="F1125" s="25"/>
      <c r="G1125" s="25"/>
      <c r="H1125" s="68"/>
      <c r="I1125" s="89"/>
      <c r="J1125" s="31" t="str">
        <f aca="false">IF(B1125="","",IFERROR(INDEX(PE_Taux,MATCH(B1125,PE_Mat,0)),0))</f>
        <v/>
      </c>
      <c r="K1125" s="31" t="str">
        <f aca="false">IF(B1125="","",IF(H1125="A",0,IFERROR(N(I1125)/P_Heures*J1125,0)))</f>
        <v/>
      </c>
      <c r="L1125" s="25"/>
    </row>
    <row r="1126" customFormat="false" ht="15" hidden="false" customHeight="false" outlineLevel="0" collapsed="false">
      <c r="A1126" s="69"/>
      <c r="B1126" s="68"/>
      <c r="C1126" s="76" t="str">
        <f aca="false">IF(B1126="","",IFERROR(INDEX(PE_Nom,MATCH(B1126,PE_Mat,0)),"Matricule inconnu"))</f>
        <v/>
      </c>
      <c r="D1126" s="76" t="str">
        <f aca="false">IF(B1126="","",IFERROR(INDEX(PE_Fonction,MATCH(B1126,PE_Mat,0)),""))</f>
        <v/>
      </c>
      <c r="E1126" s="76" t="str">
        <f aca="false">IF(B1126="","",IFERROR(INDEX(PE_Equipe,MATCH(B1126,PE_Mat,0)),""))</f>
        <v/>
      </c>
      <c r="F1126" s="25"/>
      <c r="G1126" s="25"/>
      <c r="H1126" s="68"/>
      <c r="I1126" s="89"/>
      <c r="J1126" s="31" t="str">
        <f aca="false">IF(B1126="","",IFERROR(INDEX(PE_Taux,MATCH(B1126,PE_Mat,0)),0))</f>
        <v/>
      </c>
      <c r="K1126" s="31" t="str">
        <f aca="false">IF(B1126="","",IF(H1126="A",0,IFERROR(N(I1126)/P_Heures*J1126,0)))</f>
        <v/>
      </c>
      <c r="L1126" s="25"/>
    </row>
    <row r="1127" customFormat="false" ht="15" hidden="false" customHeight="false" outlineLevel="0" collapsed="false">
      <c r="A1127" s="69"/>
      <c r="B1127" s="68"/>
      <c r="C1127" s="76" t="str">
        <f aca="false">IF(B1127="","",IFERROR(INDEX(PE_Nom,MATCH(B1127,PE_Mat,0)),"Matricule inconnu"))</f>
        <v/>
      </c>
      <c r="D1127" s="76" t="str">
        <f aca="false">IF(B1127="","",IFERROR(INDEX(PE_Fonction,MATCH(B1127,PE_Mat,0)),""))</f>
        <v/>
      </c>
      <c r="E1127" s="76" t="str">
        <f aca="false">IF(B1127="","",IFERROR(INDEX(PE_Equipe,MATCH(B1127,PE_Mat,0)),""))</f>
        <v/>
      </c>
      <c r="F1127" s="25"/>
      <c r="G1127" s="25"/>
      <c r="H1127" s="68"/>
      <c r="I1127" s="89"/>
      <c r="J1127" s="31" t="str">
        <f aca="false">IF(B1127="","",IFERROR(INDEX(PE_Taux,MATCH(B1127,PE_Mat,0)),0))</f>
        <v/>
      </c>
      <c r="K1127" s="31" t="str">
        <f aca="false">IF(B1127="","",IF(H1127="A",0,IFERROR(N(I1127)/P_Heures*J1127,0)))</f>
        <v/>
      </c>
      <c r="L1127" s="25"/>
    </row>
    <row r="1128" customFormat="false" ht="15" hidden="false" customHeight="false" outlineLevel="0" collapsed="false">
      <c r="A1128" s="69"/>
      <c r="B1128" s="68"/>
      <c r="C1128" s="76" t="str">
        <f aca="false">IF(B1128="","",IFERROR(INDEX(PE_Nom,MATCH(B1128,PE_Mat,0)),"Matricule inconnu"))</f>
        <v/>
      </c>
      <c r="D1128" s="76" t="str">
        <f aca="false">IF(B1128="","",IFERROR(INDEX(PE_Fonction,MATCH(B1128,PE_Mat,0)),""))</f>
        <v/>
      </c>
      <c r="E1128" s="76" t="str">
        <f aca="false">IF(B1128="","",IFERROR(INDEX(PE_Equipe,MATCH(B1128,PE_Mat,0)),""))</f>
        <v/>
      </c>
      <c r="F1128" s="25"/>
      <c r="G1128" s="25"/>
      <c r="H1128" s="68"/>
      <c r="I1128" s="89"/>
      <c r="J1128" s="31" t="str">
        <f aca="false">IF(B1128="","",IFERROR(INDEX(PE_Taux,MATCH(B1128,PE_Mat,0)),0))</f>
        <v/>
      </c>
      <c r="K1128" s="31" t="str">
        <f aca="false">IF(B1128="","",IF(H1128="A",0,IFERROR(N(I1128)/P_Heures*J1128,0)))</f>
        <v/>
      </c>
      <c r="L1128" s="25"/>
    </row>
    <row r="1129" customFormat="false" ht="15" hidden="false" customHeight="false" outlineLevel="0" collapsed="false">
      <c r="A1129" s="69"/>
      <c r="B1129" s="68"/>
      <c r="C1129" s="76" t="str">
        <f aca="false">IF(B1129="","",IFERROR(INDEX(PE_Nom,MATCH(B1129,PE_Mat,0)),"Matricule inconnu"))</f>
        <v/>
      </c>
      <c r="D1129" s="76" t="str">
        <f aca="false">IF(B1129="","",IFERROR(INDEX(PE_Fonction,MATCH(B1129,PE_Mat,0)),""))</f>
        <v/>
      </c>
      <c r="E1129" s="76" t="str">
        <f aca="false">IF(B1129="","",IFERROR(INDEX(PE_Equipe,MATCH(B1129,PE_Mat,0)),""))</f>
        <v/>
      </c>
      <c r="F1129" s="25"/>
      <c r="G1129" s="25"/>
      <c r="H1129" s="68"/>
      <c r="I1129" s="89"/>
      <c r="J1129" s="31" t="str">
        <f aca="false">IF(B1129="","",IFERROR(INDEX(PE_Taux,MATCH(B1129,PE_Mat,0)),0))</f>
        <v/>
      </c>
      <c r="K1129" s="31" t="str">
        <f aca="false">IF(B1129="","",IF(H1129="A",0,IFERROR(N(I1129)/P_Heures*J1129,0)))</f>
        <v/>
      </c>
      <c r="L1129" s="25"/>
    </row>
    <row r="1130" customFormat="false" ht="15" hidden="false" customHeight="false" outlineLevel="0" collapsed="false">
      <c r="A1130" s="69"/>
      <c r="B1130" s="68"/>
      <c r="C1130" s="76" t="str">
        <f aca="false">IF(B1130="","",IFERROR(INDEX(PE_Nom,MATCH(B1130,PE_Mat,0)),"Matricule inconnu"))</f>
        <v/>
      </c>
      <c r="D1130" s="76" t="str">
        <f aca="false">IF(B1130="","",IFERROR(INDEX(PE_Fonction,MATCH(B1130,PE_Mat,0)),""))</f>
        <v/>
      </c>
      <c r="E1130" s="76" t="str">
        <f aca="false">IF(B1130="","",IFERROR(INDEX(PE_Equipe,MATCH(B1130,PE_Mat,0)),""))</f>
        <v/>
      </c>
      <c r="F1130" s="25"/>
      <c r="G1130" s="25"/>
      <c r="H1130" s="68"/>
      <c r="I1130" s="89"/>
      <c r="J1130" s="31" t="str">
        <f aca="false">IF(B1130="","",IFERROR(INDEX(PE_Taux,MATCH(B1130,PE_Mat,0)),0))</f>
        <v/>
      </c>
      <c r="K1130" s="31" t="str">
        <f aca="false">IF(B1130="","",IF(H1130="A",0,IFERROR(N(I1130)/P_Heures*J1130,0)))</f>
        <v/>
      </c>
      <c r="L1130" s="25"/>
    </row>
    <row r="1131" customFormat="false" ht="15" hidden="false" customHeight="false" outlineLevel="0" collapsed="false">
      <c r="A1131" s="69"/>
      <c r="B1131" s="68"/>
      <c r="C1131" s="76" t="str">
        <f aca="false">IF(B1131="","",IFERROR(INDEX(PE_Nom,MATCH(B1131,PE_Mat,0)),"Matricule inconnu"))</f>
        <v/>
      </c>
      <c r="D1131" s="76" t="str">
        <f aca="false">IF(B1131="","",IFERROR(INDEX(PE_Fonction,MATCH(B1131,PE_Mat,0)),""))</f>
        <v/>
      </c>
      <c r="E1131" s="76" t="str">
        <f aca="false">IF(B1131="","",IFERROR(INDEX(PE_Equipe,MATCH(B1131,PE_Mat,0)),""))</f>
        <v/>
      </c>
      <c r="F1131" s="25"/>
      <c r="G1131" s="25"/>
      <c r="H1131" s="68"/>
      <c r="I1131" s="89"/>
      <c r="J1131" s="31" t="str">
        <f aca="false">IF(B1131="","",IFERROR(INDEX(PE_Taux,MATCH(B1131,PE_Mat,0)),0))</f>
        <v/>
      </c>
      <c r="K1131" s="31" t="str">
        <f aca="false">IF(B1131="","",IF(H1131="A",0,IFERROR(N(I1131)/P_Heures*J1131,0)))</f>
        <v/>
      </c>
      <c r="L1131" s="25"/>
    </row>
    <row r="1132" customFormat="false" ht="15" hidden="false" customHeight="false" outlineLevel="0" collapsed="false">
      <c r="A1132" s="69"/>
      <c r="B1132" s="68"/>
      <c r="C1132" s="76" t="str">
        <f aca="false">IF(B1132="","",IFERROR(INDEX(PE_Nom,MATCH(B1132,PE_Mat,0)),"Matricule inconnu"))</f>
        <v/>
      </c>
      <c r="D1132" s="76" t="str">
        <f aca="false">IF(B1132="","",IFERROR(INDEX(PE_Fonction,MATCH(B1132,PE_Mat,0)),""))</f>
        <v/>
      </c>
      <c r="E1132" s="76" t="str">
        <f aca="false">IF(B1132="","",IFERROR(INDEX(PE_Equipe,MATCH(B1132,PE_Mat,0)),""))</f>
        <v/>
      </c>
      <c r="F1132" s="25"/>
      <c r="G1132" s="25"/>
      <c r="H1132" s="68"/>
      <c r="I1132" s="89"/>
      <c r="J1132" s="31" t="str">
        <f aca="false">IF(B1132="","",IFERROR(INDEX(PE_Taux,MATCH(B1132,PE_Mat,0)),0))</f>
        <v/>
      </c>
      <c r="K1132" s="31" t="str">
        <f aca="false">IF(B1132="","",IF(H1132="A",0,IFERROR(N(I1132)/P_Heures*J1132,0)))</f>
        <v/>
      </c>
      <c r="L1132" s="25"/>
    </row>
    <row r="1133" customFormat="false" ht="15" hidden="false" customHeight="false" outlineLevel="0" collapsed="false">
      <c r="A1133" s="69"/>
      <c r="B1133" s="68"/>
      <c r="C1133" s="76" t="str">
        <f aca="false">IF(B1133="","",IFERROR(INDEX(PE_Nom,MATCH(B1133,PE_Mat,0)),"Matricule inconnu"))</f>
        <v/>
      </c>
      <c r="D1133" s="76" t="str">
        <f aca="false">IF(B1133="","",IFERROR(INDEX(PE_Fonction,MATCH(B1133,PE_Mat,0)),""))</f>
        <v/>
      </c>
      <c r="E1133" s="76" t="str">
        <f aca="false">IF(B1133="","",IFERROR(INDEX(PE_Equipe,MATCH(B1133,PE_Mat,0)),""))</f>
        <v/>
      </c>
      <c r="F1133" s="25"/>
      <c r="G1133" s="25"/>
      <c r="H1133" s="68"/>
      <c r="I1133" s="89"/>
      <c r="J1133" s="31" t="str">
        <f aca="false">IF(B1133="","",IFERROR(INDEX(PE_Taux,MATCH(B1133,PE_Mat,0)),0))</f>
        <v/>
      </c>
      <c r="K1133" s="31" t="str">
        <f aca="false">IF(B1133="","",IF(H1133="A",0,IFERROR(N(I1133)/P_Heures*J1133,0)))</f>
        <v/>
      </c>
      <c r="L1133" s="25"/>
    </row>
    <row r="1134" customFormat="false" ht="15" hidden="false" customHeight="false" outlineLevel="0" collapsed="false">
      <c r="A1134" s="69"/>
      <c r="B1134" s="68"/>
      <c r="C1134" s="76" t="str">
        <f aca="false">IF(B1134="","",IFERROR(INDEX(PE_Nom,MATCH(B1134,PE_Mat,0)),"Matricule inconnu"))</f>
        <v/>
      </c>
      <c r="D1134" s="76" t="str">
        <f aca="false">IF(B1134="","",IFERROR(INDEX(PE_Fonction,MATCH(B1134,PE_Mat,0)),""))</f>
        <v/>
      </c>
      <c r="E1134" s="76" t="str">
        <f aca="false">IF(B1134="","",IFERROR(INDEX(PE_Equipe,MATCH(B1134,PE_Mat,0)),""))</f>
        <v/>
      </c>
      <c r="F1134" s="25"/>
      <c r="G1134" s="25"/>
      <c r="H1134" s="68"/>
      <c r="I1134" s="89"/>
      <c r="J1134" s="31" t="str">
        <f aca="false">IF(B1134="","",IFERROR(INDEX(PE_Taux,MATCH(B1134,PE_Mat,0)),0))</f>
        <v/>
      </c>
      <c r="K1134" s="31" t="str">
        <f aca="false">IF(B1134="","",IF(H1134="A",0,IFERROR(N(I1134)/P_Heures*J1134,0)))</f>
        <v/>
      </c>
      <c r="L1134" s="25"/>
    </row>
    <row r="1135" customFormat="false" ht="15" hidden="false" customHeight="false" outlineLevel="0" collapsed="false">
      <c r="A1135" s="69"/>
      <c r="B1135" s="68"/>
      <c r="C1135" s="76" t="str">
        <f aca="false">IF(B1135="","",IFERROR(INDEX(PE_Nom,MATCH(B1135,PE_Mat,0)),"Matricule inconnu"))</f>
        <v/>
      </c>
      <c r="D1135" s="76" t="str">
        <f aca="false">IF(B1135="","",IFERROR(INDEX(PE_Fonction,MATCH(B1135,PE_Mat,0)),""))</f>
        <v/>
      </c>
      <c r="E1135" s="76" t="str">
        <f aca="false">IF(B1135="","",IFERROR(INDEX(PE_Equipe,MATCH(B1135,PE_Mat,0)),""))</f>
        <v/>
      </c>
      <c r="F1135" s="25"/>
      <c r="G1135" s="25"/>
      <c r="H1135" s="68"/>
      <c r="I1135" s="89"/>
      <c r="J1135" s="31" t="str">
        <f aca="false">IF(B1135="","",IFERROR(INDEX(PE_Taux,MATCH(B1135,PE_Mat,0)),0))</f>
        <v/>
      </c>
      <c r="K1135" s="31" t="str">
        <f aca="false">IF(B1135="","",IF(H1135="A",0,IFERROR(N(I1135)/P_Heures*J1135,0)))</f>
        <v/>
      </c>
      <c r="L1135" s="25"/>
    </row>
    <row r="1136" customFormat="false" ht="15" hidden="false" customHeight="false" outlineLevel="0" collapsed="false">
      <c r="A1136" s="69"/>
      <c r="B1136" s="68"/>
      <c r="C1136" s="76" t="str">
        <f aca="false">IF(B1136="","",IFERROR(INDEX(PE_Nom,MATCH(B1136,PE_Mat,0)),"Matricule inconnu"))</f>
        <v/>
      </c>
      <c r="D1136" s="76" t="str">
        <f aca="false">IF(B1136="","",IFERROR(INDEX(PE_Fonction,MATCH(B1136,PE_Mat,0)),""))</f>
        <v/>
      </c>
      <c r="E1136" s="76" t="str">
        <f aca="false">IF(B1136="","",IFERROR(INDEX(PE_Equipe,MATCH(B1136,PE_Mat,0)),""))</f>
        <v/>
      </c>
      <c r="F1136" s="25"/>
      <c r="G1136" s="25"/>
      <c r="H1136" s="68"/>
      <c r="I1136" s="89"/>
      <c r="J1136" s="31" t="str">
        <f aca="false">IF(B1136="","",IFERROR(INDEX(PE_Taux,MATCH(B1136,PE_Mat,0)),0))</f>
        <v/>
      </c>
      <c r="K1136" s="31" t="str">
        <f aca="false">IF(B1136="","",IF(H1136="A",0,IFERROR(N(I1136)/P_Heures*J1136,0)))</f>
        <v/>
      </c>
      <c r="L1136" s="25"/>
    </row>
    <row r="1137" customFormat="false" ht="15" hidden="false" customHeight="false" outlineLevel="0" collapsed="false">
      <c r="A1137" s="69"/>
      <c r="B1137" s="68"/>
      <c r="C1137" s="76" t="str">
        <f aca="false">IF(B1137="","",IFERROR(INDEX(PE_Nom,MATCH(B1137,PE_Mat,0)),"Matricule inconnu"))</f>
        <v/>
      </c>
      <c r="D1137" s="76" t="str">
        <f aca="false">IF(B1137="","",IFERROR(INDEX(PE_Fonction,MATCH(B1137,PE_Mat,0)),""))</f>
        <v/>
      </c>
      <c r="E1137" s="76" t="str">
        <f aca="false">IF(B1137="","",IFERROR(INDEX(PE_Equipe,MATCH(B1137,PE_Mat,0)),""))</f>
        <v/>
      </c>
      <c r="F1137" s="25"/>
      <c r="G1137" s="25"/>
      <c r="H1137" s="68"/>
      <c r="I1137" s="89"/>
      <c r="J1137" s="31" t="str">
        <f aca="false">IF(B1137="","",IFERROR(INDEX(PE_Taux,MATCH(B1137,PE_Mat,0)),0))</f>
        <v/>
      </c>
      <c r="K1137" s="31" t="str">
        <f aca="false">IF(B1137="","",IF(H1137="A",0,IFERROR(N(I1137)/P_Heures*J1137,0)))</f>
        <v/>
      </c>
      <c r="L1137" s="25"/>
    </row>
    <row r="1138" customFormat="false" ht="15" hidden="false" customHeight="false" outlineLevel="0" collapsed="false">
      <c r="A1138" s="69"/>
      <c r="B1138" s="68"/>
      <c r="C1138" s="76" t="str">
        <f aca="false">IF(B1138="","",IFERROR(INDEX(PE_Nom,MATCH(B1138,PE_Mat,0)),"Matricule inconnu"))</f>
        <v/>
      </c>
      <c r="D1138" s="76" t="str">
        <f aca="false">IF(B1138="","",IFERROR(INDEX(PE_Fonction,MATCH(B1138,PE_Mat,0)),""))</f>
        <v/>
      </c>
      <c r="E1138" s="76" t="str">
        <f aca="false">IF(B1138="","",IFERROR(INDEX(PE_Equipe,MATCH(B1138,PE_Mat,0)),""))</f>
        <v/>
      </c>
      <c r="F1138" s="25"/>
      <c r="G1138" s="25"/>
      <c r="H1138" s="68"/>
      <c r="I1138" s="89"/>
      <c r="J1138" s="31" t="str">
        <f aca="false">IF(B1138="","",IFERROR(INDEX(PE_Taux,MATCH(B1138,PE_Mat,0)),0))</f>
        <v/>
      </c>
      <c r="K1138" s="31" t="str">
        <f aca="false">IF(B1138="","",IF(H1138="A",0,IFERROR(N(I1138)/P_Heures*J1138,0)))</f>
        <v/>
      </c>
      <c r="L1138" s="25"/>
    </row>
    <row r="1139" customFormat="false" ht="15" hidden="false" customHeight="false" outlineLevel="0" collapsed="false">
      <c r="A1139" s="69"/>
      <c r="B1139" s="68"/>
      <c r="C1139" s="76" t="str">
        <f aca="false">IF(B1139="","",IFERROR(INDEX(PE_Nom,MATCH(B1139,PE_Mat,0)),"Matricule inconnu"))</f>
        <v/>
      </c>
      <c r="D1139" s="76" t="str">
        <f aca="false">IF(B1139="","",IFERROR(INDEX(PE_Fonction,MATCH(B1139,PE_Mat,0)),""))</f>
        <v/>
      </c>
      <c r="E1139" s="76" t="str">
        <f aca="false">IF(B1139="","",IFERROR(INDEX(PE_Equipe,MATCH(B1139,PE_Mat,0)),""))</f>
        <v/>
      </c>
      <c r="F1139" s="25"/>
      <c r="G1139" s="25"/>
      <c r="H1139" s="68"/>
      <c r="I1139" s="89"/>
      <c r="J1139" s="31" t="str">
        <f aca="false">IF(B1139="","",IFERROR(INDEX(PE_Taux,MATCH(B1139,PE_Mat,0)),0))</f>
        <v/>
      </c>
      <c r="K1139" s="31" t="str">
        <f aca="false">IF(B1139="","",IF(H1139="A",0,IFERROR(N(I1139)/P_Heures*J1139,0)))</f>
        <v/>
      </c>
      <c r="L1139" s="25"/>
    </row>
    <row r="1140" customFormat="false" ht="15" hidden="false" customHeight="false" outlineLevel="0" collapsed="false">
      <c r="A1140" s="69"/>
      <c r="B1140" s="68"/>
      <c r="C1140" s="76" t="str">
        <f aca="false">IF(B1140="","",IFERROR(INDEX(PE_Nom,MATCH(B1140,PE_Mat,0)),"Matricule inconnu"))</f>
        <v/>
      </c>
      <c r="D1140" s="76" t="str">
        <f aca="false">IF(B1140="","",IFERROR(INDEX(PE_Fonction,MATCH(B1140,PE_Mat,0)),""))</f>
        <v/>
      </c>
      <c r="E1140" s="76" t="str">
        <f aca="false">IF(B1140="","",IFERROR(INDEX(PE_Equipe,MATCH(B1140,PE_Mat,0)),""))</f>
        <v/>
      </c>
      <c r="F1140" s="25"/>
      <c r="G1140" s="25"/>
      <c r="H1140" s="68"/>
      <c r="I1140" s="89"/>
      <c r="J1140" s="31" t="str">
        <f aca="false">IF(B1140="","",IFERROR(INDEX(PE_Taux,MATCH(B1140,PE_Mat,0)),0))</f>
        <v/>
      </c>
      <c r="K1140" s="31" t="str">
        <f aca="false">IF(B1140="","",IF(H1140="A",0,IFERROR(N(I1140)/P_Heures*J1140,0)))</f>
        <v/>
      </c>
      <c r="L1140" s="25"/>
    </row>
    <row r="1141" customFormat="false" ht="15" hidden="false" customHeight="false" outlineLevel="0" collapsed="false">
      <c r="A1141" s="69"/>
      <c r="B1141" s="68"/>
      <c r="C1141" s="76" t="str">
        <f aca="false">IF(B1141="","",IFERROR(INDEX(PE_Nom,MATCH(B1141,PE_Mat,0)),"Matricule inconnu"))</f>
        <v/>
      </c>
      <c r="D1141" s="76" t="str">
        <f aca="false">IF(B1141="","",IFERROR(INDEX(PE_Fonction,MATCH(B1141,PE_Mat,0)),""))</f>
        <v/>
      </c>
      <c r="E1141" s="76" t="str">
        <f aca="false">IF(B1141="","",IFERROR(INDEX(PE_Equipe,MATCH(B1141,PE_Mat,0)),""))</f>
        <v/>
      </c>
      <c r="F1141" s="25"/>
      <c r="G1141" s="25"/>
      <c r="H1141" s="68"/>
      <c r="I1141" s="89"/>
      <c r="J1141" s="31" t="str">
        <f aca="false">IF(B1141="","",IFERROR(INDEX(PE_Taux,MATCH(B1141,PE_Mat,0)),0))</f>
        <v/>
      </c>
      <c r="K1141" s="31" t="str">
        <f aca="false">IF(B1141="","",IF(H1141="A",0,IFERROR(N(I1141)/P_Heures*J1141,0)))</f>
        <v/>
      </c>
      <c r="L1141" s="25"/>
    </row>
    <row r="1142" customFormat="false" ht="15" hidden="false" customHeight="false" outlineLevel="0" collapsed="false">
      <c r="A1142" s="69"/>
      <c r="B1142" s="68"/>
      <c r="C1142" s="76" t="str">
        <f aca="false">IF(B1142="","",IFERROR(INDEX(PE_Nom,MATCH(B1142,PE_Mat,0)),"Matricule inconnu"))</f>
        <v/>
      </c>
      <c r="D1142" s="76" t="str">
        <f aca="false">IF(B1142="","",IFERROR(INDEX(PE_Fonction,MATCH(B1142,PE_Mat,0)),""))</f>
        <v/>
      </c>
      <c r="E1142" s="76" t="str">
        <f aca="false">IF(B1142="","",IFERROR(INDEX(PE_Equipe,MATCH(B1142,PE_Mat,0)),""))</f>
        <v/>
      </c>
      <c r="F1142" s="25"/>
      <c r="G1142" s="25"/>
      <c r="H1142" s="68"/>
      <c r="I1142" s="89"/>
      <c r="J1142" s="31" t="str">
        <f aca="false">IF(B1142="","",IFERROR(INDEX(PE_Taux,MATCH(B1142,PE_Mat,0)),0))</f>
        <v/>
      </c>
      <c r="K1142" s="31" t="str">
        <f aca="false">IF(B1142="","",IF(H1142="A",0,IFERROR(N(I1142)/P_Heures*J1142,0)))</f>
        <v/>
      </c>
      <c r="L1142" s="25"/>
    </row>
    <row r="1143" customFormat="false" ht="15" hidden="false" customHeight="false" outlineLevel="0" collapsed="false">
      <c r="A1143" s="69"/>
      <c r="B1143" s="68"/>
      <c r="C1143" s="76" t="str">
        <f aca="false">IF(B1143="","",IFERROR(INDEX(PE_Nom,MATCH(B1143,PE_Mat,0)),"Matricule inconnu"))</f>
        <v/>
      </c>
      <c r="D1143" s="76" t="str">
        <f aca="false">IF(B1143="","",IFERROR(INDEX(PE_Fonction,MATCH(B1143,PE_Mat,0)),""))</f>
        <v/>
      </c>
      <c r="E1143" s="76" t="str">
        <f aca="false">IF(B1143="","",IFERROR(INDEX(PE_Equipe,MATCH(B1143,PE_Mat,0)),""))</f>
        <v/>
      </c>
      <c r="F1143" s="25"/>
      <c r="G1143" s="25"/>
      <c r="H1143" s="68"/>
      <c r="I1143" s="89"/>
      <c r="J1143" s="31" t="str">
        <f aca="false">IF(B1143="","",IFERROR(INDEX(PE_Taux,MATCH(B1143,PE_Mat,0)),0))</f>
        <v/>
      </c>
      <c r="K1143" s="31" t="str">
        <f aca="false">IF(B1143="","",IF(H1143="A",0,IFERROR(N(I1143)/P_Heures*J1143,0)))</f>
        <v/>
      </c>
      <c r="L1143" s="25"/>
    </row>
    <row r="1144" customFormat="false" ht="15" hidden="false" customHeight="false" outlineLevel="0" collapsed="false">
      <c r="A1144" s="69"/>
      <c r="B1144" s="68"/>
      <c r="C1144" s="76" t="str">
        <f aca="false">IF(B1144="","",IFERROR(INDEX(PE_Nom,MATCH(B1144,PE_Mat,0)),"Matricule inconnu"))</f>
        <v/>
      </c>
      <c r="D1144" s="76" t="str">
        <f aca="false">IF(B1144="","",IFERROR(INDEX(PE_Fonction,MATCH(B1144,PE_Mat,0)),""))</f>
        <v/>
      </c>
      <c r="E1144" s="76" t="str">
        <f aca="false">IF(B1144="","",IFERROR(INDEX(PE_Equipe,MATCH(B1144,PE_Mat,0)),""))</f>
        <v/>
      </c>
      <c r="F1144" s="25"/>
      <c r="G1144" s="25"/>
      <c r="H1144" s="68"/>
      <c r="I1144" s="89"/>
      <c r="J1144" s="31" t="str">
        <f aca="false">IF(B1144="","",IFERROR(INDEX(PE_Taux,MATCH(B1144,PE_Mat,0)),0))</f>
        <v/>
      </c>
      <c r="K1144" s="31" t="str">
        <f aca="false">IF(B1144="","",IF(H1144="A",0,IFERROR(N(I1144)/P_Heures*J1144,0)))</f>
        <v/>
      </c>
      <c r="L1144" s="25"/>
    </row>
    <row r="1145" customFormat="false" ht="15" hidden="false" customHeight="false" outlineLevel="0" collapsed="false">
      <c r="A1145" s="69"/>
      <c r="B1145" s="68"/>
      <c r="C1145" s="76" t="str">
        <f aca="false">IF(B1145="","",IFERROR(INDEX(PE_Nom,MATCH(B1145,PE_Mat,0)),"Matricule inconnu"))</f>
        <v/>
      </c>
      <c r="D1145" s="76" t="str">
        <f aca="false">IF(B1145="","",IFERROR(INDEX(PE_Fonction,MATCH(B1145,PE_Mat,0)),""))</f>
        <v/>
      </c>
      <c r="E1145" s="76" t="str">
        <f aca="false">IF(B1145="","",IFERROR(INDEX(PE_Equipe,MATCH(B1145,PE_Mat,0)),""))</f>
        <v/>
      </c>
      <c r="F1145" s="25"/>
      <c r="G1145" s="25"/>
      <c r="H1145" s="68"/>
      <c r="I1145" s="89"/>
      <c r="J1145" s="31" t="str">
        <f aca="false">IF(B1145="","",IFERROR(INDEX(PE_Taux,MATCH(B1145,PE_Mat,0)),0))</f>
        <v/>
      </c>
      <c r="K1145" s="31" t="str">
        <f aca="false">IF(B1145="","",IF(H1145="A",0,IFERROR(N(I1145)/P_Heures*J1145,0)))</f>
        <v/>
      </c>
      <c r="L1145" s="25"/>
    </row>
    <row r="1146" customFormat="false" ht="15" hidden="false" customHeight="false" outlineLevel="0" collapsed="false">
      <c r="A1146" s="69"/>
      <c r="B1146" s="68"/>
      <c r="C1146" s="76" t="str">
        <f aca="false">IF(B1146="","",IFERROR(INDEX(PE_Nom,MATCH(B1146,PE_Mat,0)),"Matricule inconnu"))</f>
        <v/>
      </c>
      <c r="D1146" s="76" t="str">
        <f aca="false">IF(B1146="","",IFERROR(INDEX(PE_Fonction,MATCH(B1146,PE_Mat,0)),""))</f>
        <v/>
      </c>
      <c r="E1146" s="76" t="str">
        <f aca="false">IF(B1146="","",IFERROR(INDEX(PE_Equipe,MATCH(B1146,PE_Mat,0)),""))</f>
        <v/>
      </c>
      <c r="F1146" s="25"/>
      <c r="G1146" s="25"/>
      <c r="H1146" s="68"/>
      <c r="I1146" s="89"/>
      <c r="J1146" s="31" t="str">
        <f aca="false">IF(B1146="","",IFERROR(INDEX(PE_Taux,MATCH(B1146,PE_Mat,0)),0))</f>
        <v/>
      </c>
      <c r="K1146" s="31" t="str">
        <f aca="false">IF(B1146="","",IF(H1146="A",0,IFERROR(N(I1146)/P_Heures*J1146,0)))</f>
        <v/>
      </c>
      <c r="L1146" s="25"/>
    </row>
    <row r="1147" customFormat="false" ht="15" hidden="false" customHeight="false" outlineLevel="0" collapsed="false">
      <c r="A1147" s="69"/>
      <c r="B1147" s="68"/>
      <c r="C1147" s="76" t="str">
        <f aca="false">IF(B1147="","",IFERROR(INDEX(PE_Nom,MATCH(B1147,PE_Mat,0)),"Matricule inconnu"))</f>
        <v/>
      </c>
      <c r="D1147" s="76" t="str">
        <f aca="false">IF(B1147="","",IFERROR(INDEX(PE_Fonction,MATCH(B1147,PE_Mat,0)),""))</f>
        <v/>
      </c>
      <c r="E1147" s="76" t="str">
        <f aca="false">IF(B1147="","",IFERROR(INDEX(PE_Equipe,MATCH(B1147,PE_Mat,0)),""))</f>
        <v/>
      </c>
      <c r="F1147" s="25"/>
      <c r="G1147" s="25"/>
      <c r="H1147" s="68"/>
      <c r="I1147" s="89"/>
      <c r="J1147" s="31" t="str">
        <f aca="false">IF(B1147="","",IFERROR(INDEX(PE_Taux,MATCH(B1147,PE_Mat,0)),0))</f>
        <v/>
      </c>
      <c r="K1147" s="31" t="str">
        <f aca="false">IF(B1147="","",IF(H1147="A",0,IFERROR(N(I1147)/P_Heures*J1147,0)))</f>
        <v/>
      </c>
      <c r="L1147" s="25"/>
    </row>
    <row r="1148" customFormat="false" ht="15" hidden="false" customHeight="false" outlineLevel="0" collapsed="false">
      <c r="A1148" s="69"/>
      <c r="B1148" s="68"/>
      <c r="C1148" s="76" t="str">
        <f aca="false">IF(B1148="","",IFERROR(INDEX(PE_Nom,MATCH(B1148,PE_Mat,0)),"Matricule inconnu"))</f>
        <v/>
      </c>
      <c r="D1148" s="76" t="str">
        <f aca="false">IF(B1148="","",IFERROR(INDEX(PE_Fonction,MATCH(B1148,PE_Mat,0)),""))</f>
        <v/>
      </c>
      <c r="E1148" s="76" t="str">
        <f aca="false">IF(B1148="","",IFERROR(INDEX(PE_Equipe,MATCH(B1148,PE_Mat,0)),""))</f>
        <v/>
      </c>
      <c r="F1148" s="25"/>
      <c r="G1148" s="25"/>
      <c r="H1148" s="68"/>
      <c r="I1148" s="89"/>
      <c r="J1148" s="31" t="str">
        <f aca="false">IF(B1148="","",IFERROR(INDEX(PE_Taux,MATCH(B1148,PE_Mat,0)),0))</f>
        <v/>
      </c>
      <c r="K1148" s="31" t="str">
        <f aca="false">IF(B1148="","",IF(H1148="A",0,IFERROR(N(I1148)/P_Heures*J1148,0)))</f>
        <v/>
      </c>
      <c r="L1148" s="25"/>
    </row>
    <row r="1149" customFormat="false" ht="15" hidden="false" customHeight="false" outlineLevel="0" collapsed="false">
      <c r="A1149" s="69"/>
      <c r="B1149" s="68"/>
      <c r="C1149" s="76" t="str">
        <f aca="false">IF(B1149="","",IFERROR(INDEX(PE_Nom,MATCH(B1149,PE_Mat,0)),"Matricule inconnu"))</f>
        <v/>
      </c>
      <c r="D1149" s="76" t="str">
        <f aca="false">IF(B1149="","",IFERROR(INDEX(PE_Fonction,MATCH(B1149,PE_Mat,0)),""))</f>
        <v/>
      </c>
      <c r="E1149" s="76" t="str">
        <f aca="false">IF(B1149="","",IFERROR(INDEX(PE_Equipe,MATCH(B1149,PE_Mat,0)),""))</f>
        <v/>
      </c>
      <c r="F1149" s="25"/>
      <c r="G1149" s="25"/>
      <c r="H1149" s="68"/>
      <c r="I1149" s="89"/>
      <c r="J1149" s="31" t="str">
        <f aca="false">IF(B1149="","",IFERROR(INDEX(PE_Taux,MATCH(B1149,PE_Mat,0)),0))</f>
        <v/>
      </c>
      <c r="K1149" s="31" t="str">
        <f aca="false">IF(B1149="","",IF(H1149="A",0,IFERROR(N(I1149)/P_Heures*J1149,0)))</f>
        <v/>
      </c>
      <c r="L1149" s="25"/>
    </row>
    <row r="1150" customFormat="false" ht="15" hidden="false" customHeight="false" outlineLevel="0" collapsed="false">
      <c r="A1150" s="69"/>
      <c r="B1150" s="68"/>
      <c r="C1150" s="76" t="str">
        <f aca="false">IF(B1150="","",IFERROR(INDEX(PE_Nom,MATCH(B1150,PE_Mat,0)),"Matricule inconnu"))</f>
        <v/>
      </c>
      <c r="D1150" s="76" t="str">
        <f aca="false">IF(B1150="","",IFERROR(INDEX(PE_Fonction,MATCH(B1150,PE_Mat,0)),""))</f>
        <v/>
      </c>
      <c r="E1150" s="76" t="str">
        <f aca="false">IF(B1150="","",IFERROR(INDEX(PE_Equipe,MATCH(B1150,PE_Mat,0)),""))</f>
        <v/>
      </c>
      <c r="F1150" s="25"/>
      <c r="G1150" s="25"/>
      <c r="H1150" s="68"/>
      <c r="I1150" s="89"/>
      <c r="J1150" s="31" t="str">
        <f aca="false">IF(B1150="","",IFERROR(INDEX(PE_Taux,MATCH(B1150,PE_Mat,0)),0))</f>
        <v/>
      </c>
      <c r="K1150" s="31" t="str">
        <f aca="false">IF(B1150="","",IF(H1150="A",0,IFERROR(N(I1150)/P_Heures*J1150,0)))</f>
        <v/>
      </c>
      <c r="L1150" s="25"/>
    </row>
    <row r="1151" customFormat="false" ht="15" hidden="false" customHeight="false" outlineLevel="0" collapsed="false">
      <c r="A1151" s="69"/>
      <c r="B1151" s="68"/>
      <c r="C1151" s="76" t="str">
        <f aca="false">IF(B1151="","",IFERROR(INDEX(PE_Nom,MATCH(B1151,PE_Mat,0)),"Matricule inconnu"))</f>
        <v/>
      </c>
      <c r="D1151" s="76" t="str">
        <f aca="false">IF(B1151="","",IFERROR(INDEX(PE_Fonction,MATCH(B1151,PE_Mat,0)),""))</f>
        <v/>
      </c>
      <c r="E1151" s="76" t="str">
        <f aca="false">IF(B1151="","",IFERROR(INDEX(PE_Equipe,MATCH(B1151,PE_Mat,0)),""))</f>
        <v/>
      </c>
      <c r="F1151" s="25"/>
      <c r="G1151" s="25"/>
      <c r="H1151" s="68"/>
      <c r="I1151" s="89"/>
      <c r="J1151" s="31" t="str">
        <f aca="false">IF(B1151="","",IFERROR(INDEX(PE_Taux,MATCH(B1151,PE_Mat,0)),0))</f>
        <v/>
      </c>
      <c r="K1151" s="31" t="str">
        <f aca="false">IF(B1151="","",IF(H1151="A",0,IFERROR(N(I1151)/P_Heures*J1151,0)))</f>
        <v/>
      </c>
      <c r="L1151" s="25"/>
    </row>
    <row r="1152" customFormat="false" ht="15" hidden="false" customHeight="false" outlineLevel="0" collapsed="false">
      <c r="A1152" s="69"/>
      <c r="B1152" s="68"/>
      <c r="C1152" s="76" t="str">
        <f aca="false">IF(B1152="","",IFERROR(INDEX(PE_Nom,MATCH(B1152,PE_Mat,0)),"Matricule inconnu"))</f>
        <v/>
      </c>
      <c r="D1152" s="76" t="str">
        <f aca="false">IF(B1152="","",IFERROR(INDEX(PE_Fonction,MATCH(B1152,PE_Mat,0)),""))</f>
        <v/>
      </c>
      <c r="E1152" s="76" t="str">
        <f aca="false">IF(B1152="","",IFERROR(INDEX(PE_Equipe,MATCH(B1152,PE_Mat,0)),""))</f>
        <v/>
      </c>
      <c r="F1152" s="25"/>
      <c r="G1152" s="25"/>
      <c r="H1152" s="68"/>
      <c r="I1152" s="89"/>
      <c r="J1152" s="31" t="str">
        <f aca="false">IF(B1152="","",IFERROR(INDEX(PE_Taux,MATCH(B1152,PE_Mat,0)),0))</f>
        <v/>
      </c>
      <c r="K1152" s="31" t="str">
        <f aca="false">IF(B1152="","",IF(H1152="A",0,IFERROR(N(I1152)/P_Heures*J1152,0)))</f>
        <v/>
      </c>
      <c r="L1152" s="25"/>
    </row>
    <row r="1153" customFormat="false" ht="15" hidden="false" customHeight="false" outlineLevel="0" collapsed="false">
      <c r="A1153" s="69"/>
      <c r="B1153" s="68"/>
      <c r="C1153" s="76" t="str">
        <f aca="false">IF(B1153="","",IFERROR(INDEX(PE_Nom,MATCH(B1153,PE_Mat,0)),"Matricule inconnu"))</f>
        <v/>
      </c>
      <c r="D1153" s="76" t="str">
        <f aca="false">IF(B1153="","",IFERROR(INDEX(PE_Fonction,MATCH(B1153,PE_Mat,0)),""))</f>
        <v/>
      </c>
      <c r="E1153" s="76" t="str">
        <f aca="false">IF(B1153="","",IFERROR(INDEX(PE_Equipe,MATCH(B1153,PE_Mat,0)),""))</f>
        <v/>
      </c>
      <c r="F1153" s="25"/>
      <c r="G1153" s="25"/>
      <c r="H1153" s="68"/>
      <c r="I1153" s="89"/>
      <c r="J1153" s="31" t="str">
        <f aca="false">IF(B1153="","",IFERROR(INDEX(PE_Taux,MATCH(B1153,PE_Mat,0)),0))</f>
        <v/>
      </c>
      <c r="K1153" s="31" t="str">
        <f aca="false">IF(B1153="","",IF(H1153="A",0,IFERROR(N(I1153)/P_Heures*J1153,0)))</f>
        <v/>
      </c>
      <c r="L1153" s="25"/>
    </row>
    <row r="1154" customFormat="false" ht="15" hidden="false" customHeight="false" outlineLevel="0" collapsed="false">
      <c r="A1154" s="69"/>
      <c r="B1154" s="68"/>
      <c r="C1154" s="76" t="str">
        <f aca="false">IF(B1154="","",IFERROR(INDEX(PE_Nom,MATCH(B1154,PE_Mat,0)),"Matricule inconnu"))</f>
        <v/>
      </c>
      <c r="D1154" s="76" t="str">
        <f aca="false">IF(B1154="","",IFERROR(INDEX(PE_Fonction,MATCH(B1154,PE_Mat,0)),""))</f>
        <v/>
      </c>
      <c r="E1154" s="76" t="str">
        <f aca="false">IF(B1154="","",IFERROR(INDEX(PE_Equipe,MATCH(B1154,PE_Mat,0)),""))</f>
        <v/>
      </c>
      <c r="F1154" s="25"/>
      <c r="G1154" s="25"/>
      <c r="H1154" s="68"/>
      <c r="I1154" s="89"/>
      <c r="J1154" s="31" t="str">
        <f aca="false">IF(B1154="","",IFERROR(INDEX(PE_Taux,MATCH(B1154,PE_Mat,0)),0))</f>
        <v/>
      </c>
      <c r="K1154" s="31" t="str">
        <f aca="false">IF(B1154="","",IF(H1154="A",0,IFERROR(N(I1154)/P_Heures*J1154,0)))</f>
        <v/>
      </c>
      <c r="L1154" s="25"/>
    </row>
    <row r="1155" customFormat="false" ht="15" hidden="false" customHeight="false" outlineLevel="0" collapsed="false">
      <c r="A1155" s="69"/>
      <c r="B1155" s="68"/>
      <c r="C1155" s="76" t="str">
        <f aca="false">IF(B1155="","",IFERROR(INDEX(PE_Nom,MATCH(B1155,PE_Mat,0)),"Matricule inconnu"))</f>
        <v/>
      </c>
      <c r="D1155" s="76" t="str">
        <f aca="false">IF(B1155="","",IFERROR(INDEX(PE_Fonction,MATCH(B1155,PE_Mat,0)),""))</f>
        <v/>
      </c>
      <c r="E1155" s="76" t="str">
        <f aca="false">IF(B1155="","",IFERROR(INDEX(PE_Equipe,MATCH(B1155,PE_Mat,0)),""))</f>
        <v/>
      </c>
      <c r="F1155" s="25"/>
      <c r="G1155" s="25"/>
      <c r="H1155" s="68"/>
      <c r="I1155" s="89"/>
      <c r="J1155" s="31" t="str">
        <f aca="false">IF(B1155="","",IFERROR(INDEX(PE_Taux,MATCH(B1155,PE_Mat,0)),0))</f>
        <v/>
      </c>
      <c r="K1155" s="31" t="str">
        <f aca="false">IF(B1155="","",IF(H1155="A",0,IFERROR(N(I1155)/P_Heures*J1155,0)))</f>
        <v/>
      </c>
      <c r="L1155" s="25"/>
    </row>
    <row r="1156" customFormat="false" ht="15" hidden="false" customHeight="false" outlineLevel="0" collapsed="false">
      <c r="A1156" s="69"/>
      <c r="B1156" s="68"/>
      <c r="C1156" s="76" t="str">
        <f aca="false">IF(B1156="","",IFERROR(INDEX(PE_Nom,MATCH(B1156,PE_Mat,0)),"Matricule inconnu"))</f>
        <v/>
      </c>
      <c r="D1156" s="76" t="str">
        <f aca="false">IF(B1156="","",IFERROR(INDEX(PE_Fonction,MATCH(B1156,PE_Mat,0)),""))</f>
        <v/>
      </c>
      <c r="E1156" s="76" t="str">
        <f aca="false">IF(B1156="","",IFERROR(INDEX(PE_Equipe,MATCH(B1156,PE_Mat,0)),""))</f>
        <v/>
      </c>
      <c r="F1156" s="25"/>
      <c r="G1156" s="25"/>
      <c r="H1156" s="68"/>
      <c r="I1156" s="89"/>
      <c r="J1156" s="31" t="str">
        <f aca="false">IF(B1156="","",IFERROR(INDEX(PE_Taux,MATCH(B1156,PE_Mat,0)),0))</f>
        <v/>
      </c>
      <c r="K1156" s="31" t="str">
        <f aca="false">IF(B1156="","",IF(H1156="A",0,IFERROR(N(I1156)/P_Heures*J1156,0)))</f>
        <v/>
      </c>
      <c r="L1156" s="25"/>
    </row>
    <row r="1157" customFormat="false" ht="15" hidden="false" customHeight="false" outlineLevel="0" collapsed="false">
      <c r="A1157" s="69"/>
      <c r="B1157" s="68"/>
      <c r="C1157" s="76" t="str">
        <f aca="false">IF(B1157="","",IFERROR(INDEX(PE_Nom,MATCH(B1157,PE_Mat,0)),"Matricule inconnu"))</f>
        <v/>
      </c>
      <c r="D1157" s="76" t="str">
        <f aca="false">IF(B1157="","",IFERROR(INDEX(PE_Fonction,MATCH(B1157,PE_Mat,0)),""))</f>
        <v/>
      </c>
      <c r="E1157" s="76" t="str">
        <f aca="false">IF(B1157="","",IFERROR(INDEX(PE_Equipe,MATCH(B1157,PE_Mat,0)),""))</f>
        <v/>
      </c>
      <c r="F1157" s="25"/>
      <c r="G1157" s="25"/>
      <c r="H1157" s="68"/>
      <c r="I1157" s="89"/>
      <c r="J1157" s="31" t="str">
        <f aca="false">IF(B1157="","",IFERROR(INDEX(PE_Taux,MATCH(B1157,PE_Mat,0)),0))</f>
        <v/>
      </c>
      <c r="K1157" s="31" t="str">
        <f aca="false">IF(B1157="","",IF(H1157="A",0,IFERROR(N(I1157)/P_Heures*J1157,0)))</f>
        <v/>
      </c>
      <c r="L1157" s="25"/>
    </row>
    <row r="1158" customFormat="false" ht="15" hidden="false" customHeight="false" outlineLevel="0" collapsed="false">
      <c r="A1158" s="69"/>
      <c r="B1158" s="68"/>
      <c r="C1158" s="76" t="str">
        <f aca="false">IF(B1158="","",IFERROR(INDEX(PE_Nom,MATCH(B1158,PE_Mat,0)),"Matricule inconnu"))</f>
        <v/>
      </c>
      <c r="D1158" s="76" t="str">
        <f aca="false">IF(B1158="","",IFERROR(INDEX(PE_Fonction,MATCH(B1158,PE_Mat,0)),""))</f>
        <v/>
      </c>
      <c r="E1158" s="76" t="str">
        <f aca="false">IF(B1158="","",IFERROR(INDEX(PE_Equipe,MATCH(B1158,PE_Mat,0)),""))</f>
        <v/>
      </c>
      <c r="F1158" s="25"/>
      <c r="G1158" s="25"/>
      <c r="H1158" s="68"/>
      <c r="I1158" s="89"/>
      <c r="J1158" s="31" t="str">
        <f aca="false">IF(B1158="","",IFERROR(INDEX(PE_Taux,MATCH(B1158,PE_Mat,0)),0))</f>
        <v/>
      </c>
      <c r="K1158" s="31" t="str">
        <f aca="false">IF(B1158="","",IF(H1158="A",0,IFERROR(N(I1158)/P_Heures*J1158,0)))</f>
        <v/>
      </c>
      <c r="L1158" s="25"/>
    </row>
    <row r="1159" customFormat="false" ht="15" hidden="false" customHeight="false" outlineLevel="0" collapsed="false">
      <c r="A1159" s="69"/>
      <c r="B1159" s="68"/>
      <c r="C1159" s="76" t="str">
        <f aca="false">IF(B1159="","",IFERROR(INDEX(PE_Nom,MATCH(B1159,PE_Mat,0)),"Matricule inconnu"))</f>
        <v/>
      </c>
      <c r="D1159" s="76" t="str">
        <f aca="false">IF(B1159="","",IFERROR(INDEX(PE_Fonction,MATCH(B1159,PE_Mat,0)),""))</f>
        <v/>
      </c>
      <c r="E1159" s="76" t="str">
        <f aca="false">IF(B1159="","",IFERROR(INDEX(PE_Equipe,MATCH(B1159,PE_Mat,0)),""))</f>
        <v/>
      </c>
      <c r="F1159" s="25"/>
      <c r="G1159" s="25"/>
      <c r="H1159" s="68"/>
      <c r="I1159" s="89"/>
      <c r="J1159" s="31" t="str">
        <f aca="false">IF(B1159="","",IFERROR(INDEX(PE_Taux,MATCH(B1159,PE_Mat,0)),0))</f>
        <v/>
      </c>
      <c r="K1159" s="31" t="str">
        <f aca="false">IF(B1159="","",IF(H1159="A",0,IFERROR(N(I1159)/P_Heures*J1159,0)))</f>
        <v/>
      </c>
      <c r="L1159" s="25"/>
    </row>
    <row r="1160" customFormat="false" ht="15" hidden="false" customHeight="false" outlineLevel="0" collapsed="false">
      <c r="A1160" s="69"/>
      <c r="B1160" s="68"/>
      <c r="C1160" s="76" t="str">
        <f aca="false">IF(B1160="","",IFERROR(INDEX(PE_Nom,MATCH(B1160,PE_Mat,0)),"Matricule inconnu"))</f>
        <v/>
      </c>
      <c r="D1160" s="76" t="str">
        <f aca="false">IF(B1160="","",IFERROR(INDEX(PE_Fonction,MATCH(B1160,PE_Mat,0)),""))</f>
        <v/>
      </c>
      <c r="E1160" s="76" t="str">
        <f aca="false">IF(B1160="","",IFERROR(INDEX(PE_Equipe,MATCH(B1160,PE_Mat,0)),""))</f>
        <v/>
      </c>
      <c r="F1160" s="25"/>
      <c r="G1160" s="25"/>
      <c r="H1160" s="68"/>
      <c r="I1160" s="89"/>
      <c r="J1160" s="31" t="str">
        <f aca="false">IF(B1160="","",IFERROR(INDEX(PE_Taux,MATCH(B1160,PE_Mat,0)),0))</f>
        <v/>
      </c>
      <c r="K1160" s="31" t="str">
        <f aca="false">IF(B1160="","",IF(H1160="A",0,IFERROR(N(I1160)/P_Heures*J1160,0)))</f>
        <v/>
      </c>
      <c r="L1160" s="25"/>
    </row>
    <row r="1161" customFormat="false" ht="15" hidden="false" customHeight="false" outlineLevel="0" collapsed="false">
      <c r="A1161" s="69"/>
      <c r="B1161" s="68"/>
      <c r="C1161" s="76" t="str">
        <f aca="false">IF(B1161="","",IFERROR(INDEX(PE_Nom,MATCH(B1161,PE_Mat,0)),"Matricule inconnu"))</f>
        <v/>
      </c>
      <c r="D1161" s="76" t="str">
        <f aca="false">IF(B1161="","",IFERROR(INDEX(PE_Fonction,MATCH(B1161,PE_Mat,0)),""))</f>
        <v/>
      </c>
      <c r="E1161" s="76" t="str">
        <f aca="false">IF(B1161="","",IFERROR(INDEX(PE_Equipe,MATCH(B1161,PE_Mat,0)),""))</f>
        <v/>
      </c>
      <c r="F1161" s="25"/>
      <c r="G1161" s="25"/>
      <c r="H1161" s="68"/>
      <c r="I1161" s="89"/>
      <c r="J1161" s="31" t="str">
        <f aca="false">IF(B1161="","",IFERROR(INDEX(PE_Taux,MATCH(B1161,PE_Mat,0)),0))</f>
        <v/>
      </c>
      <c r="K1161" s="31" t="str">
        <f aca="false">IF(B1161="","",IF(H1161="A",0,IFERROR(N(I1161)/P_Heures*J1161,0)))</f>
        <v/>
      </c>
      <c r="L1161" s="25"/>
    </row>
    <row r="1162" customFormat="false" ht="15" hidden="false" customHeight="false" outlineLevel="0" collapsed="false">
      <c r="A1162" s="69"/>
      <c r="B1162" s="68"/>
      <c r="C1162" s="76" t="str">
        <f aca="false">IF(B1162="","",IFERROR(INDEX(PE_Nom,MATCH(B1162,PE_Mat,0)),"Matricule inconnu"))</f>
        <v/>
      </c>
      <c r="D1162" s="76" t="str">
        <f aca="false">IF(B1162="","",IFERROR(INDEX(PE_Fonction,MATCH(B1162,PE_Mat,0)),""))</f>
        <v/>
      </c>
      <c r="E1162" s="76" t="str">
        <f aca="false">IF(B1162="","",IFERROR(INDEX(PE_Equipe,MATCH(B1162,PE_Mat,0)),""))</f>
        <v/>
      </c>
      <c r="F1162" s="25"/>
      <c r="G1162" s="25"/>
      <c r="H1162" s="68"/>
      <c r="I1162" s="89"/>
      <c r="J1162" s="31" t="str">
        <f aca="false">IF(B1162="","",IFERROR(INDEX(PE_Taux,MATCH(B1162,PE_Mat,0)),0))</f>
        <v/>
      </c>
      <c r="K1162" s="31" t="str">
        <f aca="false">IF(B1162="","",IF(H1162="A",0,IFERROR(N(I1162)/P_Heures*J1162,0)))</f>
        <v/>
      </c>
      <c r="L1162" s="25"/>
    </row>
    <row r="1163" customFormat="false" ht="15" hidden="false" customHeight="false" outlineLevel="0" collapsed="false">
      <c r="A1163" s="69"/>
      <c r="B1163" s="68"/>
      <c r="C1163" s="76" t="str">
        <f aca="false">IF(B1163="","",IFERROR(INDEX(PE_Nom,MATCH(B1163,PE_Mat,0)),"Matricule inconnu"))</f>
        <v/>
      </c>
      <c r="D1163" s="76" t="str">
        <f aca="false">IF(B1163="","",IFERROR(INDEX(PE_Fonction,MATCH(B1163,PE_Mat,0)),""))</f>
        <v/>
      </c>
      <c r="E1163" s="76" t="str">
        <f aca="false">IF(B1163="","",IFERROR(INDEX(PE_Equipe,MATCH(B1163,PE_Mat,0)),""))</f>
        <v/>
      </c>
      <c r="F1163" s="25"/>
      <c r="G1163" s="25"/>
      <c r="H1163" s="68"/>
      <c r="I1163" s="89"/>
      <c r="J1163" s="31" t="str">
        <f aca="false">IF(B1163="","",IFERROR(INDEX(PE_Taux,MATCH(B1163,PE_Mat,0)),0))</f>
        <v/>
      </c>
      <c r="K1163" s="31" t="str">
        <f aca="false">IF(B1163="","",IF(H1163="A",0,IFERROR(N(I1163)/P_Heures*J1163,0)))</f>
        <v/>
      </c>
      <c r="L1163" s="25"/>
    </row>
    <row r="1164" customFormat="false" ht="15" hidden="false" customHeight="false" outlineLevel="0" collapsed="false">
      <c r="A1164" s="69"/>
      <c r="B1164" s="68"/>
      <c r="C1164" s="76" t="str">
        <f aca="false">IF(B1164="","",IFERROR(INDEX(PE_Nom,MATCH(B1164,PE_Mat,0)),"Matricule inconnu"))</f>
        <v/>
      </c>
      <c r="D1164" s="76" t="str">
        <f aca="false">IF(B1164="","",IFERROR(INDEX(PE_Fonction,MATCH(B1164,PE_Mat,0)),""))</f>
        <v/>
      </c>
      <c r="E1164" s="76" t="str">
        <f aca="false">IF(B1164="","",IFERROR(INDEX(PE_Equipe,MATCH(B1164,PE_Mat,0)),""))</f>
        <v/>
      </c>
      <c r="F1164" s="25"/>
      <c r="G1164" s="25"/>
      <c r="H1164" s="68"/>
      <c r="I1164" s="89"/>
      <c r="J1164" s="31" t="str">
        <f aca="false">IF(B1164="","",IFERROR(INDEX(PE_Taux,MATCH(B1164,PE_Mat,0)),0))</f>
        <v/>
      </c>
      <c r="K1164" s="31" t="str">
        <f aca="false">IF(B1164="","",IF(H1164="A",0,IFERROR(N(I1164)/P_Heures*J1164,0)))</f>
        <v/>
      </c>
      <c r="L1164" s="25"/>
    </row>
    <row r="1165" customFormat="false" ht="15" hidden="false" customHeight="false" outlineLevel="0" collapsed="false">
      <c r="A1165" s="69"/>
      <c r="B1165" s="68"/>
      <c r="C1165" s="76" t="str">
        <f aca="false">IF(B1165="","",IFERROR(INDEX(PE_Nom,MATCH(B1165,PE_Mat,0)),"Matricule inconnu"))</f>
        <v/>
      </c>
      <c r="D1165" s="76" t="str">
        <f aca="false">IF(B1165="","",IFERROR(INDEX(PE_Fonction,MATCH(B1165,PE_Mat,0)),""))</f>
        <v/>
      </c>
      <c r="E1165" s="76" t="str">
        <f aca="false">IF(B1165="","",IFERROR(INDEX(PE_Equipe,MATCH(B1165,PE_Mat,0)),""))</f>
        <v/>
      </c>
      <c r="F1165" s="25"/>
      <c r="G1165" s="25"/>
      <c r="H1165" s="68"/>
      <c r="I1165" s="89"/>
      <c r="J1165" s="31" t="str">
        <f aca="false">IF(B1165="","",IFERROR(INDEX(PE_Taux,MATCH(B1165,PE_Mat,0)),0))</f>
        <v/>
      </c>
      <c r="K1165" s="31" t="str">
        <f aca="false">IF(B1165="","",IF(H1165="A",0,IFERROR(N(I1165)/P_Heures*J1165,0)))</f>
        <v/>
      </c>
      <c r="L1165" s="25"/>
    </row>
    <row r="1166" customFormat="false" ht="15" hidden="false" customHeight="false" outlineLevel="0" collapsed="false">
      <c r="A1166" s="69"/>
      <c r="B1166" s="68"/>
      <c r="C1166" s="76" t="str">
        <f aca="false">IF(B1166="","",IFERROR(INDEX(PE_Nom,MATCH(B1166,PE_Mat,0)),"Matricule inconnu"))</f>
        <v/>
      </c>
      <c r="D1166" s="76" t="str">
        <f aca="false">IF(B1166="","",IFERROR(INDEX(PE_Fonction,MATCH(B1166,PE_Mat,0)),""))</f>
        <v/>
      </c>
      <c r="E1166" s="76" t="str">
        <f aca="false">IF(B1166="","",IFERROR(INDEX(PE_Equipe,MATCH(B1166,PE_Mat,0)),""))</f>
        <v/>
      </c>
      <c r="F1166" s="25"/>
      <c r="G1166" s="25"/>
      <c r="H1166" s="68"/>
      <c r="I1166" s="89"/>
      <c r="J1166" s="31" t="str">
        <f aca="false">IF(B1166="","",IFERROR(INDEX(PE_Taux,MATCH(B1166,PE_Mat,0)),0))</f>
        <v/>
      </c>
      <c r="K1166" s="31" t="str">
        <f aca="false">IF(B1166="","",IF(H1166="A",0,IFERROR(N(I1166)/P_Heures*J1166,0)))</f>
        <v/>
      </c>
      <c r="L1166" s="25"/>
    </row>
    <row r="1167" customFormat="false" ht="15" hidden="false" customHeight="false" outlineLevel="0" collapsed="false">
      <c r="A1167" s="69"/>
      <c r="B1167" s="68"/>
      <c r="C1167" s="76" t="str">
        <f aca="false">IF(B1167="","",IFERROR(INDEX(PE_Nom,MATCH(B1167,PE_Mat,0)),"Matricule inconnu"))</f>
        <v/>
      </c>
      <c r="D1167" s="76" t="str">
        <f aca="false">IF(B1167="","",IFERROR(INDEX(PE_Fonction,MATCH(B1167,PE_Mat,0)),""))</f>
        <v/>
      </c>
      <c r="E1167" s="76" t="str">
        <f aca="false">IF(B1167="","",IFERROR(INDEX(PE_Equipe,MATCH(B1167,PE_Mat,0)),""))</f>
        <v/>
      </c>
      <c r="F1167" s="25"/>
      <c r="G1167" s="25"/>
      <c r="H1167" s="68"/>
      <c r="I1167" s="89"/>
      <c r="J1167" s="31" t="str">
        <f aca="false">IF(B1167="","",IFERROR(INDEX(PE_Taux,MATCH(B1167,PE_Mat,0)),0))</f>
        <v/>
      </c>
      <c r="K1167" s="31" t="str">
        <f aca="false">IF(B1167="","",IF(H1167="A",0,IFERROR(N(I1167)/P_Heures*J1167,0)))</f>
        <v/>
      </c>
      <c r="L1167" s="25"/>
    </row>
    <row r="1168" customFormat="false" ht="15" hidden="false" customHeight="false" outlineLevel="0" collapsed="false">
      <c r="A1168" s="69"/>
      <c r="B1168" s="68"/>
      <c r="C1168" s="76" t="str">
        <f aca="false">IF(B1168="","",IFERROR(INDEX(PE_Nom,MATCH(B1168,PE_Mat,0)),"Matricule inconnu"))</f>
        <v/>
      </c>
      <c r="D1168" s="76" t="str">
        <f aca="false">IF(B1168="","",IFERROR(INDEX(PE_Fonction,MATCH(B1168,PE_Mat,0)),""))</f>
        <v/>
      </c>
      <c r="E1168" s="76" t="str">
        <f aca="false">IF(B1168="","",IFERROR(INDEX(PE_Equipe,MATCH(B1168,PE_Mat,0)),""))</f>
        <v/>
      </c>
      <c r="F1168" s="25"/>
      <c r="G1168" s="25"/>
      <c r="H1168" s="68"/>
      <c r="I1168" s="89"/>
      <c r="J1168" s="31" t="str">
        <f aca="false">IF(B1168="","",IFERROR(INDEX(PE_Taux,MATCH(B1168,PE_Mat,0)),0))</f>
        <v/>
      </c>
      <c r="K1168" s="31" t="str">
        <f aca="false">IF(B1168="","",IF(H1168="A",0,IFERROR(N(I1168)/P_Heures*J1168,0)))</f>
        <v/>
      </c>
      <c r="L1168" s="25"/>
    </row>
    <row r="1169" customFormat="false" ht="15" hidden="false" customHeight="false" outlineLevel="0" collapsed="false">
      <c r="A1169" s="69"/>
      <c r="B1169" s="68"/>
      <c r="C1169" s="76" t="str">
        <f aca="false">IF(B1169="","",IFERROR(INDEX(PE_Nom,MATCH(B1169,PE_Mat,0)),"Matricule inconnu"))</f>
        <v/>
      </c>
      <c r="D1169" s="76" t="str">
        <f aca="false">IF(B1169="","",IFERROR(INDEX(PE_Fonction,MATCH(B1169,PE_Mat,0)),""))</f>
        <v/>
      </c>
      <c r="E1169" s="76" t="str">
        <f aca="false">IF(B1169="","",IFERROR(INDEX(PE_Equipe,MATCH(B1169,PE_Mat,0)),""))</f>
        <v/>
      </c>
      <c r="F1169" s="25"/>
      <c r="G1169" s="25"/>
      <c r="H1169" s="68"/>
      <c r="I1169" s="89"/>
      <c r="J1169" s="31" t="str">
        <f aca="false">IF(B1169="","",IFERROR(INDEX(PE_Taux,MATCH(B1169,PE_Mat,0)),0))</f>
        <v/>
      </c>
      <c r="K1169" s="31" t="str">
        <f aca="false">IF(B1169="","",IF(H1169="A",0,IFERROR(N(I1169)/P_Heures*J1169,0)))</f>
        <v/>
      </c>
      <c r="L1169" s="25"/>
    </row>
    <row r="1170" customFormat="false" ht="15" hidden="false" customHeight="false" outlineLevel="0" collapsed="false">
      <c r="A1170" s="69"/>
      <c r="B1170" s="68"/>
      <c r="C1170" s="76" t="str">
        <f aca="false">IF(B1170="","",IFERROR(INDEX(PE_Nom,MATCH(B1170,PE_Mat,0)),"Matricule inconnu"))</f>
        <v/>
      </c>
      <c r="D1170" s="76" t="str">
        <f aca="false">IF(B1170="","",IFERROR(INDEX(PE_Fonction,MATCH(B1170,PE_Mat,0)),""))</f>
        <v/>
      </c>
      <c r="E1170" s="76" t="str">
        <f aca="false">IF(B1170="","",IFERROR(INDEX(PE_Equipe,MATCH(B1170,PE_Mat,0)),""))</f>
        <v/>
      </c>
      <c r="F1170" s="25"/>
      <c r="G1170" s="25"/>
      <c r="H1170" s="68"/>
      <c r="I1170" s="89"/>
      <c r="J1170" s="31" t="str">
        <f aca="false">IF(B1170="","",IFERROR(INDEX(PE_Taux,MATCH(B1170,PE_Mat,0)),0))</f>
        <v/>
      </c>
      <c r="K1170" s="31" t="str">
        <f aca="false">IF(B1170="","",IF(H1170="A",0,IFERROR(N(I1170)/P_Heures*J1170,0)))</f>
        <v/>
      </c>
      <c r="L1170" s="25"/>
    </row>
    <row r="1171" customFormat="false" ht="15" hidden="false" customHeight="false" outlineLevel="0" collapsed="false">
      <c r="A1171" s="69"/>
      <c r="B1171" s="68"/>
      <c r="C1171" s="76" t="str">
        <f aca="false">IF(B1171="","",IFERROR(INDEX(PE_Nom,MATCH(B1171,PE_Mat,0)),"Matricule inconnu"))</f>
        <v/>
      </c>
      <c r="D1171" s="76" t="str">
        <f aca="false">IF(B1171="","",IFERROR(INDEX(PE_Fonction,MATCH(B1171,PE_Mat,0)),""))</f>
        <v/>
      </c>
      <c r="E1171" s="76" t="str">
        <f aca="false">IF(B1171="","",IFERROR(INDEX(PE_Equipe,MATCH(B1171,PE_Mat,0)),""))</f>
        <v/>
      </c>
      <c r="F1171" s="25"/>
      <c r="G1171" s="25"/>
      <c r="H1171" s="68"/>
      <c r="I1171" s="89"/>
      <c r="J1171" s="31" t="str">
        <f aca="false">IF(B1171="","",IFERROR(INDEX(PE_Taux,MATCH(B1171,PE_Mat,0)),0))</f>
        <v/>
      </c>
      <c r="K1171" s="31" t="str">
        <f aca="false">IF(B1171="","",IF(H1171="A",0,IFERROR(N(I1171)/P_Heures*J1171,0)))</f>
        <v/>
      </c>
      <c r="L1171" s="25"/>
    </row>
    <row r="1172" customFormat="false" ht="15" hidden="false" customHeight="false" outlineLevel="0" collapsed="false">
      <c r="A1172" s="69"/>
      <c r="B1172" s="68"/>
      <c r="C1172" s="76" t="str">
        <f aca="false">IF(B1172="","",IFERROR(INDEX(PE_Nom,MATCH(B1172,PE_Mat,0)),"Matricule inconnu"))</f>
        <v/>
      </c>
      <c r="D1172" s="76" t="str">
        <f aca="false">IF(B1172="","",IFERROR(INDEX(PE_Fonction,MATCH(B1172,PE_Mat,0)),""))</f>
        <v/>
      </c>
      <c r="E1172" s="76" t="str">
        <f aca="false">IF(B1172="","",IFERROR(INDEX(PE_Equipe,MATCH(B1172,PE_Mat,0)),""))</f>
        <v/>
      </c>
      <c r="F1172" s="25"/>
      <c r="G1172" s="25"/>
      <c r="H1172" s="68"/>
      <c r="I1172" s="89"/>
      <c r="J1172" s="31" t="str">
        <f aca="false">IF(B1172="","",IFERROR(INDEX(PE_Taux,MATCH(B1172,PE_Mat,0)),0))</f>
        <v/>
      </c>
      <c r="K1172" s="31" t="str">
        <f aca="false">IF(B1172="","",IF(H1172="A",0,IFERROR(N(I1172)/P_Heures*J1172,0)))</f>
        <v/>
      </c>
      <c r="L1172" s="25"/>
    </row>
    <row r="1173" customFormat="false" ht="15" hidden="false" customHeight="false" outlineLevel="0" collapsed="false">
      <c r="A1173" s="69"/>
      <c r="B1173" s="68"/>
      <c r="C1173" s="76" t="str">
        <f aca="false">IF(B1173="","",IFERROR(INDEX(PE_Nom,MATCH(B1173,PE_Mat,0)),"Matricule inconnu"))</f>
        <v/>
      </c>
      <c r="D1173" s="76" t="str">
        <f aca="false">IF(B1173="","",IFERROR(INDEX(PE_Fonction,MATCH(B1173,PE_Mat,0)),""))</f>
        <v/>
      </c>
      <c r="E1173" s="76" t="str">
        <f aca="false">IF(B1173="","",IFERROR(INDEX(PE_Equipe,MATCH(B1173,PE_Mat,0)),""))</f>
        <v/>
      </c>
      <c r="F1173" s="25"/>
      <c r="G1173" s="25"/>
      <c r="H1173" s="68"/>
      <c r="I1173" s="89"/>
      <c r="J1173" s="31" t="str">
        <f aca="false">IF(B1173="","",IFERROR(INDEX(PE_Taux,MATCH(B1173,PE_Mat,0)),0))</f>
        <v/>
      </c>
      <c r="K1173" s="31" t="str">
        <f aca="false">IF(B1173="","",IF(H1173="A",0,IFERROR(N(I1173)/P_Heures*J1173,0)))</f>
        <v/>
      </c>
      <c r="L1173" s="25"/>
    </row>
    <row r="1174" customFormat="false" ht="15" hidden="false" customHeight="false" outlineLevel="0" collapsed="false">
      <c r="A1174" s="69"/>
      <c r="B1174" s="68"/>
      <c r="C1174" s="76" t="str">
        <f aca="false">IF(B1174="","",IFERROR(INDEX(PE_Nom,MATCH(B1174,PE_Mat,0)),"Matricule inconnu"))</f>
        <v/>
      </c>
      <c r="D1174" s="76" t="str">
        <f aca="false">IF(B1174="","",IFERROR(INDEX(PE_Fonction,MATCH(B1174,PE_Mat,0)),""))</f>
        <v/>
      </c>
      <c r="E1174" s="76" t="str">
        <f aca="false">IF(B1174="","",IFERROR(INDEX(PE_Equipe,MATCH(B1174,PE_Mat,0)),""))</f>
        <v/>
      </c>
      <c r="F1174" s="25"/>
      <c r="G1174" s="25"/>
      <c r="H1174" s="68"/>
      <c r="I1174" s="89"/>
      <c r="J1174" s="31" t="str">
        <f aca="false">IF(B1174="","",IFERROR(INDEX(PE_Taux,MATCH(B1174,PE_Mat,0)),0))</f>
        <v/>
      </c>
      <c r="K1174" s="31" t="str">
        <f aca="false">IF(B1174="","",IF(H1174="A",0,IFERROR(N(I1174)/P_Heures*J1174,0)))</f>
        <v/>
      </c>
      <c r="L1174" s="25"/>
    </row>
    <row r="1175" customFormat="false" ht="15" hidden="false" customHeight="false" outlineLevel="0" collapsed="false">
      <c r="A1175" s="69"/>
      <c r="B1175" s="68"/>
      <c r="C1175" s="76" t="str">
        <f aca="false">IF(B1175="","",IFERROR(INDEX(PE_Nom,MATCH(B1175,PE_Mat,0)),"Matricule inconnu"))</f>
        <v/>
      </c>
      <c r="D1175" s="76" t="str">
        <f aca="false">IF(B1175="","",IFERROR(INDEX(PE_Fonction,MATCH(B1175,PE_Mat,0)),""))</f>
        <v/>
      </c>
      <c r="E1175" s="76" t="str">
        <f aca="false">IF(B1175="","",IFERROR(INDEX(PE_Equipe,MATCH(B1175,PE_Mat,0)),""))</f>
        <v/>
      </c>
      <c r="F1175" s="25"/>
      <c r="G1175" s="25"/>
      <c r="H1175" s="68"/>
      <c r="I1175" s="89"/>
      <c r="J1175" s="31" t="str">
        <f aca="false">IF(B1175="","",IFERROR(INDEX(PE_Taux,MATCH(B1175,PE_Mat,0)),0))</f>
        <v/>
      </c>
      <c r="K1175" s="31" t="str">
        <f aca="false">IF(B1175="","",IF(H1175="A",0,IFERROR(N(I1175)/P_Heures*J1175,0)))</f>
        <v/>
      </c>
      <c r="L1175" s="25"/>
    </row>
    <row r="1176" customFormat="false" ht="15" hidden="false" customHeight="false" outlineLevel="0" collapsed="false">
      <c r="A1176" s="69"/>
      <c r="B1176" s="68"/>
      <c r="C1176" s="76" t="str">
        <f aca="false">IF(B1176="","",IFERROR(INDEX(PE_Nom,MATCH(B1176,PE_Mat,0)),"Matricule inconnu"))</f>
        <v/>
      </c>
      <c r="D1176" s="76" t="str">
        <f aca="false">IF(B1176="","",IFERROR(INDEX(PE_Fonction,MATCH(B1176,PE_Mat,0)),""))</f>
        <v/>
      </c>
      <c r="E1176" s="76" t="str">
        <f aca="false">IF(B1176="","",IFERROR(INDEX(PE_Equipe,MATCH(B1176,PE_Mat,0)),""))</f>
        <v/>
      </c>
      <c r="F1176" s="25"/>
      <c r="G1176" s="25"/>
      <c r="H1176" s="68"/>
      <c r="I1176" s="89"/>
      <c r="J1176" s="31" t="str">
        <f aca="false">IF(B1176="","",IFERROR(INDEX(PE_Taux,MATCH(B1176,PE_Mat,0)),0))</f>
        <v/>
      </c>
      <c r="K1176" s="31" t="str">
        <f aca="false">IF(B1176="","",IF(H1176="A",0,IFERROR(N(I1176)/P_Heures*J1176,0)))</f>
        <v/>
      </c>
      <c r="L1176" s="25"/>
    </row>
    <row r="1177" customFormat="false" ht="15" hidden="false" customHeight="false" outlineLevel="0" collapsed="false">
      <c r="A1177" s="69"/>
      <c r="B1177" s="68"/>
      <c r="C1177" s="76" t="str">
        <f aca="false">IF(B1177="","",IFERROR(INDEX(PE_Nom,MATCH(B1177,PE_Mat,0)),"Matricule inconnu"))</f>
        <v/>
      </c>
      <c r="D1177" s="76" t="str">
        <f aca="false">IF(B1177="","",IFERROR(INDEX(PE_Fonction,MATCH(B1177,PE_Mat,0)),""))</f>
        <v/>
      </c>
      <c r="E1177" s="76" t="str">
        <f aca="false">IF(B1177="","",IFERROR(INDEX(PE_Equipe,MATCH(B1177,PE_Mat,0)),""))</f>
        <v/>
      </c>
      <c r="F1177" s="25"/>
      <c r="G1177" s="25"/>
      <c r="H1177" s="68"/>
      <c r="I1177" s="89"/>
      <c r="J1177" s="31" t="str">
        <f aca="false">IF(B1177="","",IFERROR(INDEX(PE_Taux,MATCH(B1177,PE_Mat,0)),0))</f>
        <v/>
      </c>
      <c r="K1177" s="31" t="str">
        <f aca="false">IF(B1177="","",IF(H1177="A",0,IFERROR(N(I1177)/P_Heures*J1177,0)))</f>
        <v/>
      </c>
      <c r="L1177" s="25"/>
    </row>
    <row r="1178" customFormat="false" ht="15" hidden="false" customHeight="false" outlineLevel="0" collapsed="false">
      <c r="A1178" s="69"/>
      <c r="B1178" s="68"/>
      <c r="C1178" s="76" t="str">
        <f aca="false">IF(B1178="","",IFERROR(INDEX(PE_Nom,MATCH(B1178,PE_Mat,0)),"Matricule inconnu"))</f>
        <v/>
      </c>
      <c r="D1178" s="76" t="str">
        <f aca="false">IF(B1178="","",IFERROR(INDEX(PE_Fonction,MATCH(B1178,PE_Mat,0)),""))</f>
        <v/>
      </c>
      <c r="E1178" s="76" t="str">
        <f aca="false">IF(B1178="","",IFERROR(INDEX(PE_Equipe,MATCH(B1178,PE_Mat,0)),""))</f>
        <v/>
      </c>
      <c r="F1178" s="25"/>
      <c r="G1178" s="25"/>
      <c r="H1178" s="68"/>
      <c r="I1178" s="89"/>
      <c r="J1178" s="31" t="str">
        <f aca="false">IF(B1178="","",IFERROR(INDEX(PE_Taux,MATCH(B1178,PE_Mat,0)),0))</f>
        <v/>
      </c>
      <c r="K1178" s="31" t="str">
        <f aca="false">IF(B1178="","",IF(H1178="A",0,IFERROR(N(I1178)/P_Heures*J1178,0)))</f>
        <v/>
      </c>
      <c r="L1178" s="25"/>
    </row>
    <row r="1179" customFormat="false" ht="15" hidden="false" customHeight="false" outlineLevel="0" collapsed="false">
      <c r="A1179" s="69"/>
      <c r="B1179" s="68"/>
      <c r="C1179" s="76" t="str">
        <f aca="false">IF(B1179="","",IFERROR(INDEX(PE_Nom,MATCH(B1179,PE_Mat,0)),"Matricule inconnu"))</f>
        <v/>
      </c>
      <c r="D1179" s="76" t="str">
        <f aca="false">IF(B1179="","",IFERROR(INDEX(PE_Fonction,MATCH(B1179,PE_Mat,0)),""))</f>
        <v/>
      </c>
      <c r="E1179" s="76" t="str">
        <f aca="false">IF(B1179="","",IFERROR(INDEX(PE_Equipe,MATCH(B1179,PE_Mat,0)),""))</f>
        <v/>
      </c>
      <c r="F1179" s="25"/>
      <c r="G1179" s="25"/>
      <c r="H1179" s="68"/>
      <c r="I1179" s="89"/>
      <c r="J1179" s="31" t="str">
        <f aca="false">IF(B1179="","",IFERROR(INDEX(PE_Taux,MATCH(B1179,PE_Mat,0)),0))</f>
        <v/>
      </c>
      <c r="K1179" s="31" t="str">
        <f aca="false">IF(B1179="","",IF(H1179="A",0,IFERROR(N(I1179)/P_Heures*J1179,0)))</f>
        <v/>
      </c>
      <c r="L1179" s="25"/>
    </row>
    <row r="1180" customFormat="false" ht="15" hidden="false" customHeight="false" outlineLevel="0" collapsed="false">
      <c r="A1180" s="69"/>
      <c r="B1180" s="68"/>
      <c r="C1180" s="76" t="str">
        <f aca="false">IF(B1180="","",IFERROR(INDEX(PE_Nom,MATCH(B1180,PE_Mat,0)),"Matricule inconnu"))</f>
        <v/>
      </c>
      <c r="D1180" s="76" t="str">
        <f aca="false">IF(B1180="","",IFERROR(INDEX(PE_Fonction,MATCH(B1180,PE_Mat,0)),""))</f>
        <v/>
      </c>
      <c r="E1180" s="76" t="str">
        <f aca="false">IF(B1180="","",IFERROR(INDEX(PE_Equipe,MATCH(B1180,PE_Mat,0)),""))</f>
        <v/>
      </c>
      <c r="F1180" s="25"/>
      <c r="G1180" s="25"/>
      <c r="H1180" s="68"/>
      <c r="I1180" s="89"/>
      <c r="J1180" s="31" t="str">
        <f aca="false">IF(B1180="","",IFERROR(INDEX(PE_Taux,MATCH(B1180,PE_Mat,0)),0))</f>
        <v/>
      </c>
      <c r="K1180" s="31" t="str">
        <f aca="false">IF(B1180="","",IF(H1180="A",0,IFERROR(N(I1180)/P_Heures*J1180,0)))</f>
        <v/>
      </c>
      <c r="L1180" s="25"/>
    </row>
    <row r="1181" customFormat="false" ht="15" hidden="false" customHeight="false" outlineLevel="0" collapsed="false">
      <c r="A1181" s="69"/>
      <c r="B1181" s="68"/>
      <c r="C1181" s="76" t="str">
        <f aca="false">IF(B1181="","",IFERROR(INDEX(PE_Nom,MATCH(B1181,PE_Mat,0)),"Matricule inconnu"))</f>
        <v/>
      </c>
      <c r="D1181" s="76" t="str">
        <f aca="false">IF(B1181="","",IFERROR(INDEX(PE_Fonction,MATCH(B1181,PE_Mat,0)),""))</f>
        <v/>
      </c>
      <c r="E1181" s="76" t="str">
        <f aca="false">IF(B1181="","",IFERROR(INDEX(PE_Equipe,MATCH(B1181,PE_Mat,0)),""))</f>
        <v/>
      </c>
      <c r="F1181" s="25"/>
      <c r="G1181" s="25"/>
      <c r="H1181" s="68"/>
      <c r="I1181" s="89"/>
      <c r="J1181" s="31" t="str">
        <f aca="false">IF(B1181="","",IFERROR(INDEX(PE_Taux,MATCH(B1181,PE_Mat,0)),0))</f>
        <v/>
      </c>
      <c r="K1181" s="31" t="str">
        <f aca="false">IF(B1181="","",IF(H1181="A",0,IFERROR(N(I1181)/P_Heures*J1181,0)))</f>
        <v/>
      </c>
      <c r="L1181" s="25"/>
    </row>
    <row r="1182" customFormat="false" ht="15" hidden="false" customHeight="false" outlineLevel="0" collapsed="false">
      <c r="A1182" s="69"/>
      <c r="B1182" s="68"/>
      <c r="C1182" s="76" t="str">
        <f aca="false">IF(B1182="","",IFERROR(INDEX(PE_Nom,MATCH(B1182,PE_Mat,0)),"Matricule inconnu"))</f>
        <v/>
      </c>
      <c r="D1182" s="76" t="str">
        <f aca="false">IF(B1182="","",IFERROR(INDEX(PE_Fonction,MATCH(B1182,PE_Mat,0)),""))</f>
        <v/>
      </c>
      <c r="E1182" s="76" t="str">
        <f aca="false">IF(B1182="","",IFERROR(INDEX(PE_Equipe,MATCH(B1182,PE_Mat,0)),""))</f>
        <v/>
      </c>
      <c r="F1182" s="25"/>
      <c r="G1182" s="25"/>
      <c r="H1182" s="68"/>
      <c r="I1182" s="89"/>
      <c r="J1182" s="31" t="str">
        <f aca="false">IF(B1182="","",IFERROR(INDEX(PE_Taux,MATCH(B1182,PE_Mat,0)),0))</f>
        <v/>
      </c>
      <c r="K1182" s="31" t="str">
        <f aca="false">IF(B1182="","",IF(H1182="A",0,IFERROR(N(I1182)/P_Heures*J1182,0)))</f>
        <v/>
      </c>
      <c r="L1182" s="25"/>
    </row>
    <row r="1183" customFormat="false" ht="15" hidden="false" customHeight="false" outlineLevel="0" collapsed="false">
      <c r="A1183" s="69"/>
      <c r="B1183" s="68"/>
      <c r="C1183" s="76" t="str">
        <f aca="false">IF(B1183="","",IFERROR(INDEX(PE_Nom,MATCH(B1183,PE_Mat,0)),"Matricule inconnu"))</f>
        <v/>
      </c>
      <c r="D1183" s="76" t="str">
        <f aca="false">IF(B1183="","",IFERROR(INDEX(PE_Fonction,MATCH(B1183,PE_Mat,0)),""))</f>
        <v/>
      </c>
      <c r="E1183" s="76" t="str">
        <f aca="false">IF(B1183="","",IFERROR(INDEX(PE_Equipe,MATCH(B1183,PE_Mat,0)),""))</f>
        <v/>
      </c>
      <c r="F1183" s="25"/>
      <c r="G1183" s="25"/>
      <c r="H1183" s="68"/>
      <c r="I1183" s="89"/>
      <c r="J1183" s="31" t="str">
        <f aca="false">IF(B1183="","",IFERROR(INDEX(PE_Taux,MATCH(B1183,PE_Mat,0)),0))</f>
        <v/>
      </c>
      <c r="K1183" s="31" t="str">
        <f aca="false">IF(B1183="","",IF(H1183="A",0,IFERROR(N(I1183)/P_Heures*J1183,0)))</f>
        <v/>
      </c>
      <c r="L1183" s="25"/>
    </row>
    <row r="1184" customFormat="false" ht="15" hidden="false" customHeight="false" outlineLevel="0" collapsed="false">
      <c r="A1184" s="69"/>
      <c r="B1184" s="68"/>
      <c r="C1184" s="76" t="str">
        <f aca="false">IF(B1184="","",IFERROR(INDEX(PE_Nom,MATCH(B1184,PE_Mat,0)),"Matricule inconnu"))</f>
        <v/>
      </c>
      <c r="D1184" s="76" t="str">
        <f aca="false">IF(B1184="","",IFERROR(INDEX(PE_Fonction,MATCH(B1184,PE_Mat,0)),""))</f>
        <v/>
      </c>
      <c r="E1184" s="76" t="str">
        <f aca="false">IF(B1184="","",IFERROR(INDEX(PE_Equipe,MATCH(B1184,PE_Mat,0)),""))</f>
        <v/>
      </c>
      <c r="F1184" s="25"/>
      <c r="G1184" s="25"/>
      <c r="H1184" s="68"/>
      <c r="I1184" s="89"/>
      <c r="J1184" s="31" t="str">
        <f aca="false">IF(B1184="","",IFERROR(INDEX(PE_Taux,MATCH(B1184,PE_Mat,0)),0))</f>
        <v/>
      </c>
      <c r="K1184" s="31" t="str">
        <f aca="false">IF(B1184="","",IF(H1184="A",0,IFERROR(N(I1184)/P_Heures*J1184,0)))</f>
        <v/>
      </c>
      <c r="L1184" s="25"/>
    </row>
    <row r="1185" customFormat="false" ht="15" hidden="false" customHeight="false" outlineLevel="0" collapsed="false">
      <c r="A1185" s="69"/>
      <c r="B1185" s="68"/>
      <c r="C1185" s="76" t="str">
        <f aca="false">IF(B1185="","",IFERROR(INDEX(PE_Nom,MATCH(B1185,PE_Mat,0)),"Matricule inconnu"))</f>
        <v/>
      </c>
      <c r="D1185" s="76" t="str">
        <f aca="false">IF(B1185="","",IFERROR(INDEX(PE_Fonction,MATCH(B1185,PE_Mat,0)),""))</f>
        <v/>
      </c>
      <c r="E1185" s="76" t="str">
        <f aca="false">IF(B1185="","",IFERROR(INDEX(PE_Equipe,MATCH(B1185,PE_Mat,0)),""))</f>
        <v/>
      </c>
      <c r="F1185" s="25"/>
      <c r="G1185" s="25"/>
      <c r="H1185" s="68"/>
      <c r="I1185" s="89"/>
      <c r="J1185" s="31" t="str">
        <f aca="false">IF(B1185="","",IFERROR(INDEX(PE_Taux,MATCH(B1185,PE_Mat,0)),0))</f>
        <v/>
      </c>
      <c r="K1185" s="31" t="str">
        <f aca="false">IF(B1185="","",IF(H1185="A",0,IFERROR(N(I1185)/P_Heures*J1185,0)))</f>
        <v/>
      </c>
      <c r="L1185" s="25"/>
    </row>
    <row r="1186" customFormat="false" ht="15" hidden="false" customHeight="false" outlineLevel="0" collapsed="false">
      <c r="A1186" s="69"/>
      <c r="B1186" s="68"/>
      <c r="C1186" s="76" t="str">
        <f aca="false">IF(B1186="","",IFERROR(INDEX(PE_Nom,MATCH(B1186,PE_Mat,0)),"Matricule inconnu"))</f>
        <v/>
      </c>
      <c r="D1186" s="76" t="str">
        <f aca="false">IF(B1186="","",IFERROR(INDEX(PE_Fonction,MATCH(B1186,PE_Mat,0)),""))</f>
        <v/>
      </c>
      <c r="E1186" s="76" t="str">
        <f aca="false">IF(B1186="","",IFERROR(INDEX(PE_Equipe,MATCH(B1186,PE_Mat,0)),""))</f>
        <v/>
      </c>
      <c r="F1186" s="25"/>
      <c r="G1186" s="25"/>
      <c r="H1186" s="68"/>
      <c r="I1186" s="89"/>
      <c r="J1186" s="31" t="str">
        <f aca="false">IF(B1186="","",IFERROR(INDEX(PE_Taux,MATCH(B1186,PE_Mat,0)),0))</f>
        <v/>
      </c>
      <c r="K1186" s="31" t="str">
        <f aca="false">IF(B1186="","",IF(H1186="A",0,IFERROR(N(I1186)/P_Heures*J1186,0)))</f>
        <v/>
      </c>
      <c r="L1186" s="25"/>
    </row>
    <row r="1187" customFormat="false" ht="15" hidden="false" customHeight="false" outlineLevel="0" collapsed="false">
      <c r="A1187" s="69"/>
      <c r="B1187" s="68"/>
      <c r="C1187" s="76" t="str">
        <f aca="false">IF(B1187="","",IFERROR(INDEX(PE_Nom,MATCH(B1187,PE_Mat,0)),"Matricule inconnu"))</f>
        <v/>
      </c>
      <c r="D1187" s="76" t="str">
        <f aca="false">IF(B1187="","",IFERROR(INDEX(PE_Fonction,MATCH(B1187,PE_Mat,0)),""))</f>
        <v/>
      </c>
      <c r="E1187" s="76" t="str">
        <f aca="false">IF(B1187="","",IFERROR(INDEX(PE_Equipe,MATCH(B1187,PE_Mat,0)),""))</f>
        <v/>
      </c>
      <c r="F1187" s="25"/>
      <c r="G1187" s="25"/>
      <c r="H1187" s="68"/>
      <c r="I1187" s="89"/>
      <c r="J1187" s="31" t="str">
        <f aca="false">IF(B1187="","",IFERROR(INDEX(PE_Taux,MATCH(B1187,PE_Mat,0)),0))</f>
        <v/>
      </c>
      <c r="K1187" s="31" t="str">
        <f aca="false">IF(B1187="","",IF(H1187="A",0,IFERROR(N(I1187)/P_Heures*J1187,0)))</f>
        <v/>
      </c>
      <c r="L1187" s="25"/>
    </row>
    <row r="1188" customFormat="false" ht="15" hidden="false" customHeight="false" outlineLevel="0" collapsed="false">
      <c r="A1188" s="69"/>
      <c r="B1188" s="68"/>
      <c r="C1188" s="76" t="str">
        <f aca="false">IF(B1188="","",IFERROR(INDEX(PE_Nom,MATCH(B1188,PE_Mat,0)),"Matricule inconnu"))</f>
        <v/>
      </c>
      <c r="D1188" s="76" t="str">
        <f aca="false">IF(B1188="","",IFERROR(INDEX(PE_Fonction,MATCH(B1188,PE_Mat,0)),""))</f>
        <v/>
      </c>
      <c r="E1188" s="76" t="str">
        <f aca="false">IF(B1188="","",IFERROR(INDEX(PE_Equipe,MATCH(B1188,PE_Mat,0)),""))</f>
        <v/>
      </c>
      <c r="F1188" s="25"/>
      <c r="G1188" s="25"/>
      <c r="H1188" s="68"/>
      <c r="I1188" s="89"/>
      <c r="J1188" s="31" t="str">
        <f aca="false">IF(B1188="","",IFERROR(INDEX(PE_Taux,MATCH(B1188,PE_Mat,0)),0))</f>
        <v/>
      </c>
      <c r="K1188" s="31" t="str">
        <f aca="false">IF(B1188="","",IF(H1188="A",0,IFERROR(N(I1188)/P_Heures*J1188,0)))</f>
        <v/>
      </c>
      <c r="L1188" s="25"/>
    </row>
    <row r="1189" customFormat="false" ht="15" hidden="false" customHeight="false" outlineLevel="0" collapsed="false">
      <c r="A1189" s="69"/>
      <c r="B1189" s="68"/>
      <c r="C1189" s="76" t="str">
        <f aca="false">IF(B1189="","",IFERROR(INDEX(PE_Nom,MATCH(B1189,PE_Mat,0)),"Matricule inconnu"))</f>
        <v/>
      </c>
      <c r="D1189" s="76" t="str">
        <f aca="false">IF(B1189="","",IFERROR(INDEX(PE_Fonction,MATCH(B1189,PE_Mat,0)),""))</f>
        <v/>
      </c>
      <c r="E1189" s="76" t="str">
        <f aca="false">IF(B1189="","",IFERROR(INDEX(PE_Equipe,MATCH(B1189,PE_Mat,0)),""))</f>
        <v/>
      </c>
      <c r="F1189" s="25"/>
      <c r="G1189" s="25"/>
      <c r="H1189" s="68"/>
      <c r="I1189" s="89"/>
      <c r="J1189" s="31" t="str">
        <f aca="false">IF(B1189="","",IFERROR(INDEX(PE_Taux,MATCH(B1189,PE_Mat,0)),0))</f>
        <v/>
      </c>
      <c r="K1189" s="31" t="str">
        <f aca="false">IF(B1189="","",IF(H1189="A",0,IFERROR(N(I1189)/P_Heures*J1189,0)))</f>
        <v/>
      </c>
      <c r="L1189" s="25"/>
    </row>
    <row r="1190" customFormat="false" ht="15" hidden="false" customHeight="false" outlineLevel="0" collapsed="false">
      <c r="A1190" s="69"/>
      <c r="B1190" s="68"/>
      <c r="C1190" s="76" t="str">
        <f aca="false">IF(B1190="","",IFERROR(INDEX(PE_Nom,MATCH(B1190,PE_Mat,0)),"Matricule inconnu"))</f>
        <v/>
      </c>
      <c r="D1190" s="76" t="str">
        <f aca="false">IF(B1190="","",IFERROR(INDEX(PE_Fonction,MATCH(B1190,PE_Mat,0)),""))</f>
        <v/>
      </c>
      <c r="E1190" s="76" t="str">
        <f aca="false">IF(B1190="","",IFERROR(INDEX(PE_Equipe,MATCH(B1190,PE_Mat,0)),""))</f>
        <v/>
      </c>
      <c r="F1190" s="25"/>
      <c r="G1190" s="25"/>
      <c r="H1190" s="68"/>
      <c r="I1190" s="89"/>
      <c r="J1190" s="31" t="str">
        <f aca="false">IF(B1190="","",IFERROR(INDEX(PE_Taux,MATCH(B1190,PE_Mat,0)),0))</f>
        <v/>
      </c>
      <c r="K1190" s="31" t="str">
        <f aca="false">IF(B1190="","",IF(H1190="A",0,IFERROR(N(I1190)/P_Heures*J1190,0)))</f>
        <v/>
      </c>
      <c r="L1190" s="25"/>
    </row>
    <row r="1191" customFormat="false" ht="15" hidden="false" customHeight="false" outlineLevel="0" collapsed="false">
      <c r="A1191" s="69"/>
      <c r="B1191" s="68"/>
      <c r="C1191" s="76" t="str">
        <f aca="false">IF(B1191="","",IFERROR(INDEX(PE_Nom,MATCH(B1191,PE_Mat,0)),"Matricule inconnu"))</f>
        <v/>
      </c>
      <c r="D1191" s="76" t="str">
        <f aca="false">IF(B1191="","",IFERROR(INDEX(PE_Fonction,MATCH(B1191,PE_Mat,0)),""))</f>
        <v/>
      </c>
      <c r="E1191" s="76" t="str">
        <f aca="false">IF(B1191="","",IFERROR(INDEX(PE_Equipe,MATCH(B1191,PE_Mat,0)),""))</f>
        <v/>
      </c>
      <c r="F1191" s="25"/>
      <c r="G1191" s="25"/>
      <c r="H1191" s="68"/>
      <c r="I1191" s="89"/>
      <c r="J1191" s="31" t="str">
        <f aca="false">IF(B1191="","",IFERROR(INDEX(PE_Taux,MATCH(B1191,PE_Mat,0)),0))</f>
        <v/>
      </c>
      <c r="K1191" s="31" t="str">
        <f aca="false">IF(B1191="","",IF(H1191="A",0,IFERROR(N(I1191)/P_Heures*J1191,0)))</f>
        <v/>
      </c>
      <c r="L1191" s="25"/>
    </row>
    <row r="1192" customFormat="false" ht="15" hidden="false" customHeight="false" outlineLevel="0" collapsed="false">
      <c r="A1192" s="69"/>
      <c r="B1192" s="68"/>
      <c r="C1192" s="76" t="str">
        <f aca="false">IF(B1192="","",IFERROR(INDEX(PE_Nom,MATCH(B1192,PE_Mat,0)),"Matricule inconnu"))</f>
        <v/>
      </c>
      <c r="D1192" s="76" t="str">
        <f aca="false">IF(B1192="","",IFERROR(INDEX(PE_Fonction,MATCH(B1192,PE_Mat,0)),""))</f>
        <v/>
      </c>
      <c r="E1192" s="76" t="str">
        <f aca="false">IF(B1192="","",IFERROR(INDEX(PE_Equipe,MATCH(B1192,PE_Mat,0)),""))</f>
        <v/>
      </c>
      <c r="F1192" s="25"/>
      <c r="G1192" s="25"/>
      <c r="H1192" s="68"/>
      <c r="I1192" s="89"/>
      <c r="J1192" s="31" t="str">
        <f aca="false">IF(B1192="","",IFERROR(INDEX(PE_Taux,MATCH(B1192,PE_Mat,0)),0))</f>
        <v/>
      </c>
      <c r="K1192" s="31" t="str">
        <f aca="false">IF(B1192="","",IF(H1192="A",0,IFERROR(N(I1192)/P_Heures*J1192,0)))</f>
        <v/>
      </c>
      <c r="L1192" s="25"/>
    </row>
    <row r="1193" customFormat="false" ht="15" hidden="false" customHeight="false" outlineLevel="0" collapsed="false">
      <c r="A1193" s="69"/>
      <c r="B1193" s="68"/>
      <c r="C1193" s="76" t="str">
        <f aca="false">IF(B1193="","",IFERROR(INDEX(PE_Nom,MATCH(B1193,PE_Mat,0)),"Matricule inconnu"))</f>
        <v/>
      </c>
      <c r="D1193" s="76" t="str">
        <f aca="false">IF(B1193="","",IFERROR(INDEX(PE_Fonction,MATCH(B1193,PE_Mat,0)),""))</f>
        <v/>
      </c>
      <c r="E1193" s="76" t="str">
        <f aca="false">IF(B1193="","",IFERROR(INDEX(PE_Equipe,MATCH(B1193,PE_Mat,0)),""))</f>
        <v/>
      </c>
      <c r="F1193" s="25"/>
      <c r="G1193" s="25"/>
      <c r="H1193" s="68"/>
      <c r="I1193" s="89"/>
      <c r="J1193" s="31" t="str">
        <f aca="false">IF(B1193="","",IFERROR(INDEX(PE_Taux,MATCH(B1193,PE_Mat,0)),0))</f>
        <v/>
      </c>
      <c r="K1193" s="31" t="str">
        <f aca="false">IF(B1193="","",IF(H1193="A",0,IFERROR(N(I1193)/P_Heures*J1193,0)))</f>
        <v/>
      </c>
      <c r="L1193" s="25"/>
    </row>
    <row r="1194" customFormat="false" ht="15" hidden="false" customHeight="false" outlineLevel="0" collapsed="false">
      <c r="A1194" s="69"/>
      <c r="B1194" s="68"/>
      <c r="C1194" s="76" t="str">
        <f aca="false">IF(B1194="","",IFERROR(INDEX(PE_Nom,MATCH(B1194,PE_Mat,0)),"Matricule inconnu"))</f>
        <v/>
      </c>
      <c r="D1194" s="76" t="str">
        <f aca="false">IF(B1194="","",IFERROR(INDEX(PE_Fonction,MATCH(B1194,PE_Mat,0)),""))</f>
        <v/>
      </c>
      <c r="E1194" s="76" t="str">
        <f aca="false">IF(B1194="","",IFERROR(INDEX(PE_Equipe,MATCH(B1194,PE_Mat,0)),""))</f>
        <v/>
      </c>
      <c r="F1194" s="25"/>
      <c r="G1194" s="25"/>
      <c r="H1194" s="68"/>
      <c r="I1194" s="89"/>
      <c r="J1194" s="31" t="str">
        <f aca="false">IF(B1194="","",IFERROR(INDEX(PE_Taux,MATCH(B1194,PE_Mat,0)),0))</f>
        <v/>
      </c>
      <c r="K1194" s="31" t="str">
        <f aca="false">IF(B1194="","",IF(H1194="A",0,IFERROR(N(I1194)/P_Heures*J1194,0)))</f>
        <v/>
      </c>
      <c r="L1194" s="25"/>
    </row>
    <row r="1195" customFormat="false" ht="15" hidden="false" customHeight="false" outlineLevel="0" collapsed="false">
      <c r="A1195" s="69"/>
      <c r="B1195" s="68"/>
      <c r="C1195" s="76" t="str">
        <f aca="false">IF(B1195="","",IFERROR(INDEX(PE_Nom,MATCH(B1195,PE_Mat,0)),"Matricule inconnu"))</f>
        <v/>
      </c>
      <c r="D1195" s="76" t="str">
        <f aca="false">IF(B1195="","",IFERROR(INDEX(PE_Fonction,MATCH(B1195,PE_Mat,0)),""))</f>
        <v/>
      </c>
      <c r="E1195" s="76" t="str">
        <f aca="false">IF(B1195="","",IFERROR(INDEX(PE_Equipe,MATCH(B1195,PE_Mat,0)),""))</f>
        <v/>
      </c>
      <c r="F1195" s="25"/>
      <c r="G1195" s="25"/>
      <c r="H1195" s="68"/>
      <c r="I1195" s="89"/>
      <c r="J1195" s="31" t="str">
        <f aca="false">IF(B1195="","",IFERROR(INDEX(PE_Taux,MATCH(B1195,PE_Mat,0)),0))</f>
        <v/>
      </c>
      <c r="K1195" s="31" t="str">
        <f aca="false">IF(B1195="","",IF(H1195="A",0,IFERROR(N(I1195)/P_Heures*J1195,0)))</f>
        <v/>
      </c>
      <c r="L1195" s="25"/>
    </row>
    <row r="1196" customFormat="false" ht="15" hidden="false" customHeight="false" outlineLevel="0" collapsed="false">
      <c r="A1196" s="69"/>
      <c r="B1196" s="68"/>
      <c r="C1196" s="76" t="str">
        <f aca="false">IF(B1196="","",IFERROR(INDEX(PE_Nom,MATCH(B1196,PE_Mat,0)),"Matricule inconnu"))</f>
        <v/>
      </c>
      <c r="D1196" s="76" t="str">
        <f aca="false">IF(B1196="","",IFERROR(INDEX(PE_Fonction,MATCH(B1196,PE_Mat,0)),""))</f>
        <v/>
      </c>
      <c r="E1196" s="76" t="str">
        <f aca="false">IF(B1196="","",IFERROR(INDEX(PE_Equipe,MATCH(B1196,PE_Mat,0)),""))</f>
        <v/>
      </c>
      <c r="F1196" s="25"/>
      <c r="G1196" s="25"/>
      <c r="H1196" s="68"/>
      <c r="I1196" s="89"/>
      <c r="J1196" s="31" t="str">
        <f aca="false">IF(B1196="","",IFERROR(INDEX(PE_Taux,MATCH(B1196,PE_Mat,0)),0))</f>
        <v/>
      </c>
      <c r="K1196" s="31" t="str">
        <f aca="false">IF(B1196="","",IF(H1196="A",0,IFERROR(N(I1196)/P_Heures*J1196,0)))</f>
        <v/>
      </c>
      <c r="L1196" s="25"/>
    </row>
    <row r="1197" customFormat="false" ht="15" hidden="false" customHeight="false" outlineLevel="0" collapsed="false">
      <c r="A1197" s="69"/>
      <c r="B1197" s="68"/>
      <c r="C1197" s="76" t="str">
        <f aca="false">IF(B1197="","",IFERROR(INDEX(PE_Nom,MATCH(B1197,PE_Mat,0)),"Matricule inconnu"))</f>
        <v/>
      </c>
      <c r="D1197" s="76" t="str">
        <f aca="false">IF(B1197="","",IFERROR(INDEX(PE_Fonction,MATCH(B1197,PE_Mat,0)),""))</f>
        <v/>
      </c>
      <c r="E1197" s="76" t="str">
        <f aca="false">IF(B1197="","",IFERROR(INDEX(PE_Equipe,MATCH(B1197,PE_Mat,0)),""))</f>
        <v/>
      </c>
      <c r="F1197" s="25"/>
      <c r="G1197" s="25"/>
      <c r="H1197" s="68"/>
      <c r="I1197" s="89"/>
      <c r="J1197" s="31" t="str">
        <f aca="false">IF(B1197="","",IFERROR(INDEX(PE_Taux,MATCH(B1197,PE_Mat,0)),0))</f>
        <v/>
      </c>
      <c r="K1197" s="31" t="str">
        <f aca="false">IF(B1197="","",IF(H1197="A",0,IFERROR(N(I1197)/P_Heures*J1197,0)))</f>
        <v/>
      </c>
      <c r="L1197" s="25"/>
    </row>
    <row r="1198" customFormat="false" ht="15" hidden="false" customHeight="false" outlineLevel="0" collapsed="false">
      <c r="A1198" s="69"/>
      <c r="B1198" s="68"/>
      <c r="C1198" s="76" t="str">
        <f aca="false">IF(B1198="","",IFERROR(INDEX(PE_Nom,MATCH(B1198,PE_Mat,0)),"Matricule inconnu"))</f>
        <v/>
      </c>
      <c r="D1198" s="76" t="str">
        <f aca="false">IF(B1198="","",IFERROR(INDEX(PE_Fonction,MATCH(B1198,PE_Mat,0)),""))</f>
        <v/>
      </c>
      <c r="E1198" s="76" t="str">
        <f aca="false">IF(B1198="","",IFERROR(INDEX(PE_Equipe,MATCH(B1198,PE_Mat,0)),""))</f>
        <v/>
      </c>
      <c r="F1198" s="25"/>
      <c r="G1198" s="25"/>
      <c r="H1198" s="68"/>
      <c r="I1198" s="89"/>
      <c r="J1198" s="31" t="str">
        <f aca="false">IF(B1198="","",IFERROR(INDEX(PE_Taux,MATCH(B1198,PE_Mat,0)),0))</f>
        <v/>
      </c>
      <c r="K1198" s="31" t="str">
        <f aca="false">IF(B1198="","",IF(H1198="A",0,IFERROR(N(I1198)/P_Heures*J1198,0)))</f>
        <v/>
      </c>
      <c r="L1198" s="25"/>
    </row>
    <row r="1199" customFormat="false" ht="15" hidden="false" customHeight="false" outlineLevel="0" collapsed="false">
      <c r="A1199" s="69"/>
      <c r="B1199" s="68"/>
      <c r="C1199" s="76" t="str">
        <f aca="false">IF(B1199="","",IFERROR(INDEX(PE_Nom,MATCH(B1199,PE_Mat,0)),"Matricule inconnu"))</f>
        <v/>
      </c>
      <c r="D1199" s="76" t="str">
        <f aca="false">IF(B1199="","",IFERROR(INDEX(PE_Fonction,MATCH(B1199,PE_Mat,0)),""))</f>
        <v/>
      </c>
      <c r="E1199" s="76" t="str">
        <f aca="false">IF(B1199="","",IFERROR(INDEX(PE_Equipe,MATCH(B1199,PE_Mat,0)),""))</f>
        <v/>
      </c>
      <c r="F1199" s="25"/>
      <c r="G1199" s="25"/>
      <c r="H1199" s="68"/>
      <c r="I1199" s="89"/>
      <c r="J1199" s="31" t="str">
        <f aca="false">IF(B1199="","",IFERROR(INDEX(PE_Taux,MATCH(B1199,PE_Mat,0)),0))</f>
        <v/>
      </c>
      <c r="K1199" s="31" t="str">
        <f aca="false">IF(B1199="","",IF(H1199="A",0,IFERROR(N(I1199)/P_Heures*J1199,0)))</f>
        <v/>
      </c>
      <c r="L1199" s="25"/>
    </row>
    <row r="1200" customFormat="false" ht="15" hidden="false" customHeight="false" outlineLevel="0" collapsed="false">
      <c r="A1200" s="69"/>
      <c r="B1200" s="68"/>
      <c r="C1200" s="76" t="str">
        <f aca="false">IF(B1200="","",IFERROR(INDEX(PE_Nom,MATCH(B1200,PE_Mat,0)),"Matricule inconnu"))</f>
        <v/>
      </c>
      <c r="D1200" s="76" t="str">
        <f aca="false">IF(B1200="","",IFERROR(INDEX(PE_Fonction,MATCH(B1200,PE_Mat,0)),""))</f>
        <v/>
      </c>
      <c r="E1200" s="76" t="str">
        <f aca="false">IF(B1200="","",IFERROR(INDEX(PE_Equipe,MATCH(B1200,PE_Mat,0)),""))</f>
        <v/>
      </c>
      <c r="F1200" s="25"/>
      <c r="G1200" s="25"/>
      <c r="H1200" s="68"/>
      <c r="I1200" s="89"/>
      <c r="J1200" s="31" t="str">
        <f aca="false">IF(B1200="","",IFERROR(INDEX(PE_Taux,MATCH(B1200,PE_Mat,0)),0))</f>
        <v/>
      </c>
      <c r="K1200" s="31" t="str">
        <f aca="false">IF(B1200="","",IF(H1200="A",0,IFERROR(N(I1200)/P_Heures*J1200,0)))</f>
        <v/>
      </c>
      <c r="L1200" s="25"/>
    </row>
    <row r="1201" customFormat="false" ht="15" hidden="false" customHeight="false" outlineLevel="0" collapsed="false">
      <c r="A1201" s="69"/>
      <c r="B1201" s="68"/>
      <c r="C1201" s="76" t="str">
        <f aca="false">IF(B1201="","",IFERROR(INDEX(PE_Nom,MATCH(B1201,PE_Mat,0)),"Matricule inconnu"))</f>
        <v/>
      </c>
      <c r="D1201" s="76" t="str">
        <f aca="false">IF(B1201="","",IFERROR(INDEX(PE_Fonction,MATCH(B1201,PE_Mat,0)),""))</f>
        <v/>
      </c>
      <c r="E1201" s="76" t="str">
        <f aca="false">IF(B1201="","",IFERROR(INDEX(PE_Equipe,MATCH(B1201,PE_Mat,0)),""))</f>
        <v/>
      </c>
      <c r="F1201" s="25"/>
      <c r="G1201" s="25"/>
      <c r="H1201" s="68"/>
      <c r="I1201" s="89"/>
      <c r="J1201" s="31" t="str">
        <f aca="false">IF(B1201="","",IFERROR(INDEX(PE_Taux,MATCH(B1201,PE_Mat,0)),0))</f>
        <v/>
      </c>
      <c r="K1201" s="31" t="str">
        <f aca="false">IF(B1201="","",IF(H1201="A",0,IFERROR(N(I1201)/P_Heures*J1201,0)))</f>
        <v/>
      </c>
      <c r="L1201" s="25"/>
    </row>
    <row r="1202" customFormat="false" ht="15" hidden="false" customHeight="false" outlineLevel="0" collapsed="false">
      <c r="A1202" s="69"/>
      <c r="B1202" s="68"/>
      <c r="C1202" s="76" t="str">
        <f aca="false">IF(B1202="","",IFERROR(INDEX(PE_Nom,MATCH(B1202,PE_Mat,0)),"Matricule inconnu"))</f>
        <v/>
      </c>
      <c r="D1202" s="76" t="str">
        <f aca="false">IF(B1202="","",IFERROR(INDEX(PE_Fonction,MATCH(B1202,PE_Mat,0)),""))</f>
        <v/>
      </c>
      <c r="E1202" s="76" t="str">
        <f aca="false">IF(B1202="","",IFERROR(INDEX(PE_Equipe,MATCH(B1202,PE_Mat,0)),""))</f>
        <v/>
      </c>
      <c r="F1202" s="25"/>
      <c r="G1202" s="25"/>
      <c r="H1202" s="68"/>
      <c r="I1202" s="89"/>
      <c r="J1202" s="31" t="str">
        <f aca="false">IF(B1202="","",IFERROR(INDEX(PE_Taux,MATCH(B1202,PE_Mat,0)),0))</f>
        <v/>
      </c>
      <c r="K1202" s="31" t="str">
        <f aca="false">IF(B1202="","",IF(H1202="A",0,IFERROR(N(I1202)/P_Heures*J1202,0)))</f>
        <v/>
      </c>
      <c r="L1202" s="25"/>
    </row>
    <row r="1203" customFormat="false" ht="15" hidden="false" customHeight="false" outlineLevel="0" collapsed="false">
      <c r="A1203" s="69"/>
      <c r="B1203" s="68"/>
      <c r="C1203" s="76" t="str">
        <f aca="false">IF(B1203="","",IFERROR(INDEX(PE_Nom,MATCH(B1203,PE_Mat,0)),"Matricule inconnu"))</f>
        <v/>
      </c>
      <c r="D1203" s="76" t="str">
        <f aca="false">IF(B1203="","",IFERROR(INDEX(PE_Fonction,MATCH(B1203,PE_Mat,0)),""))</f>
        <v/>
      </c>
      <c r="E1203" s="76" t="str">
        <f aca="false">IF(B1203="","",IFERROR(INDEX(PE_Equipe,MATCH(B1203,PE_Mat,0)),""))</f>
        <v/>
      </c>
      <c r="F1203" s="25"/>
      <c r="G1203" s="25"/>
      <c r="H1203" s="68"/>
      <c r="I1203" s="89"/>
      <c r="J1203" s="31" t="str">
        <f aca="false">IF(B1203="","",IFERROR(INDEX(PE_Taux,MATCH(B1203,PE_Mat,0)),0))</f>
        <v/>
      </c>
      <c r="K1203" s="31" t="str">
        <f aca="false">IF(B1203="","",IF(H1203="A",0,IFERROR(N(I1203)/P_Heures*J1203,0)))</f>
        <v/>
      </c>
      <c r="L1203" s="25"/>
    </row>
    <row r="1204" customFormat="false" ht="15" hidden="false" customHeight="false" outlineLevel="0" collapsed="false">
      <c r="A1204" s="69"/>
      <c r="B1204" s="68"/>
      <c r="C1204" s="76" t="str">
        <f aca="false">IF(B1204="","",IFERROR(INDEX(PE_Nom,MATCH(B1204,PE_Mat,0)),"Matricule inconnu"))</f>
        <v/>
      </c>
      <c r="D1204" s="76" t="str">
        <f aca="false">IF(B1204="","",IFERROR(INDEX(PE_Fonction,MATCH(B1204,PE_Mat,0)),""))</f>
        <v/>
      </c>
      <c r="E1204" s="76" t="str">
        <f aca="false">IF(B1204="","",IFERROR(INDEX(PE_Equipe,MATCH(B1204,PE_Mat,0)),""))</f>
        <v/>
      </c>
      <c r="F1204" s="25"/>
      <c r="G1204" s="25"/>
      <c r="H1204" s="68"/>
      <c r="I1204" s="89"/>
      <c r="J1204" s="31" t="str">
        <f aca="false">IF(B1204="","",IFERROR(INDEX(PE_Taux,MATCH(B1204,PE_Mat,0)),0))</f>
        <v/>
      </c>
      <c r="K1204" s="31" t="str">
        <f aca="false">IF(B1204="","",IF(H1204="A",0,IFERROR(N(I1204)/P_Heures*J1204,0)))</f>
        <v/>
      </c>
      <c r="L1204" s="25"/>
    </row>
    <row r="1205" customFormat="false" ht="15" hidden="false" customHeight="false" outlineLevel="0" collapsed="false">
      <c r="A1205" s="69"/>
      <c r="B1205" s="68"/>
      <c r="C1205" s="76" t="str">
        <f aca="false">IF(B1205="","",IFERROR(INDEX(PE_Nom,MATCH(B1205,PE_Mat,0)),"Matricule inconnu"))</f>
        <v/>
      </c>
      <c r="D1205" s="76" t="str">
        <f aca="false">IF(B1205="","",IFERROR(INDEX(PE_Fonction,MATCH(B1205,PE_Mat,0)),""))</f>
        <v/>
      </c>
      <c r="E1205" s="76" t="str">
        <f aca="false">IF(B1205="","",IFERROR(INDEX(PE_Equipe,MATCH(B1205,PE_Mat,0)),""))</f>
        <v/>
      </c>
      <c r="F1205" s="25"/>
      <c r="G1205" s="25"/>
      <c r="H1205" s="68"/>
      <c r="I1205" s="89"/>
      <c r="J1205" s="31" t="str">
        <f aca="false">IF(B1205="","",IFERROR(INDEX(PE_Taux,MATCH(B1205,PE_Mat,0)),0))</f>
        <v/>
      </c>
      <c r="K1205" s="31" t="str">
        <f aca="false">IF(B1205="","",IF(H1205="A",0,IFERROR(N(I1205)/P_Heures*J1205,0)))</f>
        <v/>
      </c>
      <c r="L1205" s="25"/>
    </row>
    <row r="1206" customFormat="false" ht="15" hidden="false" customHeight="false" outlineLevel="0" collapsed="false">
      <c r="A1206" s="69"/>
      <c r="B1206" s="68"/>
      <c r="C1206" s="76" t="str">
        <f aca="false">IF(B1206="","",IFERROR(INDEX(PE_Nom,MATCH(B1206,PE_Mat,0)),"Matricule inconnu"))</f>
        <v/>
      </c>
      <c r="D1206" s="76" t="str">
        <f aca="false">IF(B1206="","",IFERROR(INDEX(PE_Fonction,MATCH(B1206,PE_Mat,0)),""))</f>
        <v/>
      </c>
      <c r="E1206" s="76" t="str">
        <f aca="false">IF(B1206="","",IFERROR(INDEX(PE_Equipe,MATCH(B1206,PE_Mat,0)),""))</f>
        <v/>
      </c>
      <c r="F1206" s="25"/>
      <c r="G1206" s="25"/>
      <c r="H1206" s="68"/>
      <c r="I1206" s="89"/>
      <c r="J1206" s="31" t="str">
        <f aca="false">IF(B1206="","",IFERROR(INDEX(PE_Taux,MATCH(B1206,PE_Mat,0)),0))</f>
        <v/>
      </c>
      <c r="K1206" s="31" t="str">
        <f aca="false">IF(B1206="","",IF(H1206="A",0,IFERROR(N(I1206)/P_Heures*J1206,0)))</f>
        <v/>
      </c>
      <c r="L1206" s="25"/>
    </row>
    <row r="1207" customFormat="false" ht="15" hidden="false" customHeight="false" outlineLevel="0" collapsed="false">
      <c r="A1207" s="69"/>
      <c r="B1207" s="68"/>
      <c r="C1207" s="76" t="str">
        <f aca="false">IF(B1207="","",IFERROR(INDEX(PE_Nom,MATCH(B1207,PE_Mat,0)),"Matricule inconnu"))</f>
        <v/>
      </c>
      <c r="D1207" s="76" t="str">
        <f aca="false">IF(B1207="","",IFERROR(INDEX(PE_Fonction,MATCH(B1207,PE_Mat,0)),""))</f>
        <v/>
      </c>
      <c r="E1207" s="76" t="str">
        <f aca="false">IF(B1207="","",IFERROR(INDEX(PE_Equipe,MATCH(B1207,PE_Mat,0)),""))</f>
        <v/>
      </c>
      <c r="F1207" s="25"/>
      <c r="G1207" s="25"/>
      <c r="H1207" s="68"/>
      <c r="I1207" s="89"/>
      <c r="J1207" s="31" t="str">
        <f aca="false">IF(B1207="","",IFERROR(INDEX(PE_Taux,MATCH(B1207,PE_Mat,0)),0))</f>
        <v/>
      </c>
      <c r="K1207" s="31" t="str">
        <f aca="false">IF(B1207="","",IF(H1207="A",0,IFERROR(N(I1207)/P_Heures*J1207,0)))</f>
        <v/>
      </c>
      <c r="L1207" s="25"/>
    </row>
    <row r="1208" customFormat="false" ht="15" hidden="false" customHeight="false" outlineLevel="0" collapsed="false">
      <c r="A1208" s="69"/>
      <c r="B1208" s="68"/>
      <c r="C1208" s="76" t="str">
        <f aca="false">IF(B1208="","",IFERROR(INDEX(PE_Nom,MATCH(B1208,PE_Mat,0)),"Matricule inconnu"))</f>
        <v/>
      </c>
      <c r="D1208" s="76" t="str">
        <f aca="false">IF(B1208="","",IFERROR(INDEX(PE_Fonction,MATCH(B1208,PE_Mat,0)),""))</f>
        <v/>
      </c>
      <c r="E1208" s="76" t="str">
        <f aca="false">IF(B1208="","",IFERROR(INDEX(PE_Equipe,MATCH(B1208,PE_Mat,0)),""))</f>
        <v/>
      </c>
      <c r="F1208" s="25"/>
      <c r="G1208" s="25"/>
      <c r="H1208" s="68"/>
      <c r="I1208" s="89"/>
      <c r="J1208" s="31" t="str">
        <f aca="false">IF(B1208="","",IFERROR(INDEX(PE_Taux,MATCH(B1208,PE_Mat,0)),0))</f>
        <v/>
      </c>
      <c r="K1208" s="31" t="str">
        <f aca="false">IF(B1208="","",IF(H1208="A",0,IFERROR(N(I1208)/P_Heures*J1208,0)))</f>
        <v/>
      </c>
      <c r="L1208" s="25"/>
    </row>
    <row r="1209" customFormat="false" ht="15" hidden="false" customHeight="false" outlineLevel="0" collapsed="false">
      <c r="A1209" s="69"/>
      <c r="B1209" s="68"/>
      <c r="C1209" s="76" t="str">
        <f aca="false">IF(B1209="","",IFERROR(INDEX(PE_Nom,MATCH(B1209,PE_Mat,0)),"Matricule inconnu"))</f>
        <v/>
      </c>
      <c r="D1209" s="76" t="str">
        <f aca="false">IF(B1209="","",IFERROR(INDEX(PE_Fonction,MATCH(B1209,PE_Mat,0)),""))</f>
        <v/>
      </c>
      <c r="E1209" s="76" t="str">
        <f aca="false">IF(B1209="","",IFERROR(INDEX(PE_Equipe,MATCH(B1209,PE_Mat,0)),""))</f>
        <v/>
      </c>
      <c r="F1209" s="25"/>
      <c r="G1209" s="25"/>
      <c r="H1209" s="68"/>
      <c r="I1209" s="89"/>
      <c r="J1209" s="31" t="str">
        <f aca="false">IF(B1209="","",IFERROR(INDEX(PE_Taux,MATCH(B1209,PE_Mat,0)),0))</f>
        <v/>
      </c>
      <c r="K1209" s="31" t="str">
        <f aca="false">IF(B1209="","",IF(H1209="A",0,IFERROR(N(I1209)/P_Heures*J1209,0)))</f>
        <v/>
      </c>
      <c r="L1209" s="25"/>
    </row>
    <row r="1210" customFormat="false" ht="15" hidden="false" customHeight="false" outlineLevel="0" collapsed="false">
      <c r="A1210" s="69"/>
      <c r="B1210" s="68"/>
      <c r="C1210" s="76" t="str">
        <f aca="false">IF(B1210="","",IFERROR(INDEX(PE_Nom,MATCH(B1210,PE_Mat,0)),"Matricule inconnu"))</f>
        <v/>
      </c>
      <c r="D1210" s="76" t="str">
        <f aca="false">IF(B1210="","",IFERROR(INDEX(PE_Fonction,MATCH(B1210,PE_Mat,0)),""))</f>
        <v/>
      </c>
      <c r="E1210" s="76" t="str">
        <f aca="false">IF(B1210="","",IFERROR(INDEX(PE_Equipe,MATCH(B1210,PE_Mat,0)),""))</f>
        <v/>
      </c>
      <c r="F1210" s="25"/>
      <c r="G1210" s="25"/>
      <c r="H1210" s="68"/>
      <c r="I1210" s="89"/>
      <c r="J1210" s="31" t="str">
        <f aca="false">IF(B1210="","",IFERROR(INDEX(PE_Taux,MATCH(B1210,PE_Mat,0)),0))</f>
        <v/>
      </c>
      <c r="K1210" s="31" t="str">
        <f aca="false">IF(B1210="","",IF(H1210="A",0,IFERROR(N(I1210)/P_Heures*J1210,0)))</f>
        <v/>
      </c>
      <c r="L1210" s="25"/>
    </row>
    <row r="1211" customFormat="false" ht="15" hidden="false" customHeight="false" outlineLevel="0" collapsed="false">
      <c r="A1211" s="69"/>
      <c r="B1211" s="68"/>
      <c r="C1211" s="76" t="str">
        <f aca="false">IF(B1211="","",IFERROR(INDEX(PE_Nom,MATCH(B1211,PE_Mat,0)),"Matricule inconnu"))</f>
        <v/>
      </c>
      <c r="D1211" s="76" t="str">
        <f aca="false">IF(B1211="","",IFERROR(INDEX(PE_Fonction,MATCH(B1211,PE_Mat,0)),""))</f>
        <v/>
      </c>
      <c r="E1211" s="76" t="str">
        <f aca="false">IF(B1211="","",IFERROR(INDEX(PE_Equipe,MATCH(B1211,PE_Mat,0)),""))</f>
        <v/>
      </c>
      <c r="F1211" s="25"/>
      <c r="G1211" s="25"/>
      <c r="H1211" s="68"/>
      <c r="I1211" s="89"/>
      <c r="J1211" s="31" t="str">
        <f aca="false">IF(B1211="","",IFERROR(INDEX(PE_Taux,MATCH(B1211,PE_Mat,0)),0))</f>
        <v/>
      </c>
      <c r="K1211" s="31" t="str">
        <f aca="false">IF(B1211="","",IF(H1211="A",0,IFERROR(N(I1211)/P_Heures*J1211,0)))</f>
        <v/>
      </c>
      <c r="L1211" s="25"/>
    </row>
    <row r="1212" customFormat="false" ht="15" hidden="false" customHeight="false" outlineLevel="0" collapsed="false">
      <c r="A1212" s="69"/>
      <c r="B1212" s="68"/>
      <c r="C1212" s="76" t="str">
        <f aca="false">IF(B1212="","",IFERROR(INDEX(PE_Nom,MATCH(B1212,PE_Mat,0)),"Matricule inconnu"))</f>
        <v/>
      </c>
      <c r="D1212" s="76" t="str">
        <f aca="false">IF(B1212="","",IFERROR(INDEX(PE_Fonction,MATCH(B1212,PE_Mat,0)),""))</f>
        <v/>
      </c>
      <c r="E1212" s="76" t="str">
        <f aca="false">IF(B1212="","",IFERROR(INDEX(PE_Equipe,MATCH(B1212,PE_Mat,0)),""))</f>
        <v/>
      </c>
      <c r="F1212" s="25"/>
      <c r="G1212" s="25"/>
      <c r="H1212" s="68"/>
      <c r="I1212" s="89"/>
      <c r="J1212" s="31" t="str">
        <f aca="false">IF(B1212="","",IFERROR(INDEX(PE_Taux,MATCH(B1212,PE_Mat,0)),0))</f>
        <v/>
      </c>
      <c r="K1212" s="31" t="str">
        <f aca="false">IF(B1212="","",IF(H1212="A",0,IFERROR(N(I1212)/P_Heures*J1212,0)))</f>
        <v/>
      </c>
      <c r="L1212" s="25"/>
    </row>
    <row r="1213" customFormat="false" ht="15" hidden="false" customHeight="false" outlineLevel="0" collapsed="false">
      <c r="A1213" s="69"/>
      <c r="B1213" s="68"/>
      <c r="C1213" s="76" t="str">
        <f aca="false">IF(B1213="","",IFERROR(INDEX(PE_Nom,MATCH(B1213,PE_Mat,0)),"Matricule inconnu"))</f>
        <v/>
      </c>
      <c r="D1213" s="76" t="str">
        <f aca="false">IF(B1213="","",IFERROR(INDEX(PE_Fonction,MATCH(B1213,PE_Mat,0)),""))</f>
        <v/>
      </c>
      <c r="E1213" s="76" t="str">
        <f aca="false">IF(B1213="","",IFERROR(INDEX(PE_Equipe,MATCH(B1213,PE_Mat,0)),""))</f>
        <v/>
      </c>
      <c r="F1213" s="25"/>
      <c r="G1213" s="25"/>
      <c r="H1213" s="68"/>
      <c r="I1213" s="89"/>
      <c r="J1213" s="31" t="str">
        <f aca="false">IF(B1213="","",IFERROR(INDEX(PE_Taux,MATCH(B1213,PE_Mat,0)),0))</f>
        <v/>
      </c>
      <c r="K1213" s="31" t="str">
        <f aca="false">IF(B1213="","",IF(H1213="A",0,IFERROR(N(I1213)/P_Heures*J1213,0)))</f>
        <v/>
      </c>
      <c r="L1213" s="25"/>
    </row>
    <row r="1214" customFormat="false" ht="15" hidden="false" customHeight="false" outlineLevel="0" collapsed="false">
      <c r="A1214" s="69"/>
      <c r="B1214" s="68"/>
      <c r="C1214" s="76" t="str">
        <f aca="false">IF(B1214="","",IFERROR(INDEX(PE_Nom,MATCH(B1214,PE_Mat,0)),"Matricule inconnu"))</f>
        <v/>
      </c>
      <c r="D1214" s="76" t="str">
        <f aca="false">IF(B1214="","",IFERROR(INDEX(PE_Fonction,MATCH(B1214,PE_Mat,0)),""))</f>
        <v/>
      </c>
      <c r="E1214" s="76" t="str">
        <f aca="false">IF(B1214="","",IFERROR(INDEX(PE_Equipe,MATCH(B1214,PE_Mat,0)),""))</f>
        <v/>
      </c>
      <c r="F1214" s="25"/>
      <c r="G1214" s="25"/>
      <c r="H1214" s="68"/>
      <c r="I1214" s="89"/>
      <c r="J1214" s="31" t="str">
        <f aca="false">IF(B1214="","",IFERROR(INDEX(PE_Taux,MATCH(B1214,PE_Mat,0)),0))</f>
        <v/>
      </c>
      <c r="K1214" s="31" t="str">
        <f aca="false">IF(B1214="","",IF(H1214="A",0,IFERROR(N(I1214)/P_Heures*J1214,0)))</f>
        <v/>
      </c>
      <c r="L1214" s="25"/>
    </row>
    <row r="1215" customFormat="false" ht="15" hidden="false" customHeight="false" outlineLevel="0" collapsed="false">
      <c r="A1215" s="69"/>
      <c r="B1215" s="68"/>
      <c r="C1215" s="76" t="str">
        <f aca="false">IF(B1215="","",IFERROR(INDEX(PE_Nom,MATCH(B1215,PE_Mat,0)),"Matricule inconnu"))</f>
        <v/>
      </c>
      <c r="D1215" s="76" t="str">
        <f aca="false">IF(B1215="","",IFERROR(INDEX(PE_Fonction,MATCH(B1215,PE_Mat,0)),""))</f>
        <v/>
      </c>
      <c r="E1215" s="76" t="str">
        <f aca="false">IF(B1215="","",IFERROR(INDEX(PE_Equipe,MATCH(B1215,PE_Mat,0)),""))</f>
        <v/>
      </c>
      <c r="F1215" s="25"/>
      <c r="G1215" s="25"/>
      <c r="H1215" s="68"/>
      <c r="I1215" s="89"/>
      <c r="J1215" s="31" t="str">
        <f aca="false">IF(B1215="","",IFERROR(INDEX(PE_Taux,MATCH(B1215,PE_Mat,0)),0))</f>
        <v/>
      </c>
      <c r="K1215" s="31" t="str">
        <f aca="false">IF(B1215="","",IF(H1215="A",0,IFERROR(N(I1215)/P_Heures*J1215,0)))</f>
        <v/>
      </c>
      <c r="L1215" s="25"/>
    </row>
    <row r="1216" customFormat="false" ht="15" hidden="false" customHeight="false" outlineLevel="0" collapsed="false">
      <c r="A1216" s="69"/>
      <c r="B1216" s="68"/>
      <c r="C1216" s="76" t="str">
        <f aca="false">IF(B1216="","",IFERROR(INDEX(PE_Nom,MATCH(B1216,PE_Mat,0)),"Matricule inconnu"))</f>
        <v/>
      </c>
      <c r="D1216" s="76" t="str">
        <f aca="false">IF(B1216="","",IFERROR(INDEX(PE_Fonction,MATCH(B1216,PE_Mat,0)),""))</f>
        <v/>
      </c>
      <c r="E1216" s="76" t="str">
        <f aca="false">IF(B1216="","",IFERROR(INDEX(PE_Equipe,MATCH(B1216,PE_Mat,0)),""))</f>
        <v/>
      </c>
      <c r="F1216" s="25"/>
      <c r="G1216" s="25"/>
      <c r="H1216" s="68"/>
      <c r="I1216" s="89"/>
      <c r="J1216" s="31" t="str">
        <f aca="false">IF(B1216="","",IFERROR(INDEX(PE_Taux,MATCH(B1216,PE_Mat,0)),0))</f>
        <v/>
      </c>
      <c r="K1216" s="31" t="str">
        <f aca="false">IF(B1216="","",IF(H1216="A",0,IFERROR(N(I1216)/P_Heures*J1216,0)))</f>
        <v/>
      </c>
      <c r="L1216" s="25"/>
    </row>
    <row r="1217" customFormat="false" ht="15" hidden="false" customHeight="false" outlineLevel="0" collapsed="false">
      <c r="A1217" s="69"/>
      <c r="B1217" s="68"/>
      <c r="C1217" s="76" t="str">
        <f aca="false">IF(B1217="","",IFERROR(INDEX(PE_Nom,MATCH(B1217,PE_Mat,0)),"Matricule inconnu"))</f>
        <v/>
      </c>
      <c r="D1217" s="76" t="str">
        <f aca="false">IF(B1217="","",IFERROR(INDEX(PE_Fonction,MATCH(B1217,PE_Mat,0)),""))</f>
        <v/>
      </c>
      <c r="E1217" s="76" t="str">
        <f aca="false">IF(B1217="","",IFERROR(INDEX(PE_Equipe,MATCH(B1217,PE_Mat,0)),""))</f>
        <v/>
      </c>
      <c r="F1217" s="25"/>
      <c r="G1217" s="25"/>
      <c r="H1217" s="68"/>
      <c r="I1217" s="89"/>
      <c r="J1217" s="31" t="str">
        <f aca="false">IF(B1217="","",IFERROR(INDEX(PE_Taux,MATCH(B1217,PE_Mat,0)),0))</f>
        <v/>
      </c>
      <c r="K1217" s="31" t="str">
        <f aca="false">IF(B1217="","",IF(H1217="A",0,IFERROR(N(I1217)/P_Heures*J1217,0)))</f>
        <v/>
      </c>
      <c r="L1217" s="25"/>
    </row>
    <row r="1218" customFormat="false" ht="15" hidden="false" customHeight="false" outlineLevel="0" collapsed="false">
      <c r="A1218" s="69"/>
      <c r="B1218" s="68"/>
      <c r="C1218" s="76" t="str">
        <f aca="false">IF(B1218="","",IFERROR(INDEX(PE_Nom,MATCH(B1218,PE_Mat,0)),"Matricule inconnu"))</f>
        <v/>
      </c>
      <c r="D1218" s="76" t="str">
        <f aca="false">IF(B1218="","",IFERROR(INDEX(PE_Fonction,MATCH(B1218,PE_Mat,0)),""))</f>
        <v/>
      </c>
      <c r="E1218" s="76" t="str">
        <f aca="false">IF(B1218="","",IFERROR(INDEX(PE_Equipe,MATCH(B1218,PE_Mat,0)),""))</f>
        <v/>
      </c>
      <c r="F1218" s="25"/>
      <c r="G1218" s="25"/>
      <c r="H1218" s="68"/>
      <c r="I1218" s="89"/>
      <c r="J1218" s="31" t="str">
        <f aca="false">IF(B1218="","",IFERROR(INDEX(PE_Taux,MATCH(B1218,PE_Mat,0)),0))</f>
        <v/>
      </c>
      <c r="K1218" s="31" t="str">
        <f aca="false">IF(B1218="","",IF(H1218="A",0,IFERROR(N(I1218)/P_Heures*J1218,0)))</f>
        <v/>
      </c>
      <c r="L1218" s="25"/>
    </row>
    <row r="1219" customFormat="false" ht="15" hidden="false" customHeight="false" outlineLevel="0" collapsed="false">
      <c r="A1219" s="69"/>
      <c r="B1219" s="68"/>
      <c r="C1219" s="76" t="str">
        <f aca="false">IF(B1219="","",IFERROR(INDEX(PE_Nom,MATCH(B1219,PE_Mat,0)),"Matricule inconnu"))</f>
        <v/>
      </c>
      <c r="D1219" s="76" t="str">
        <f aca="false">IF(B1219="","",IFERROR(INDEX(PE_Fonction,MATCH(B1219,PE_Mat,0)),""))</f>
        <v/>
      </c>
      <c r="E1219" s="76" t="str">
        <f aca="false">IF(B1219="","",IFERROR(INDEX(PE_Equipe,MATCH(B1219,PE_Mat,0)),""))</f>
        <v/>
      </c>
      <c r="F1219" s="25"/>
      <c r="G1219" s="25"/>
      <c r="H1219" s="68"/>
      <c r="I1219" s="89"/>
      <c r="J1219" s="31" t="str">
        <f aca="false">IF(B1219="","",IFERROR(INDEX(PE_Taux,MATCH(B1219,PE_Mat,0)),0))</f>
        <v/>
      </c>
      <c r="K1219" s="31" t="str">
        <f aca="false">IF(B1219="","",IF(H1219="A",0,IFERROR(N(I1219)/P_Heures*J1219,0)))</f>
        <v/>
      </c>
      <c r="L1219" s="25"/>
    </row>
    <row r="1220" customFormat="false" ht="15" hidden="false" customHeight="false" outlineLevel="0" collapsed="false">
      <c r="A1220" s="69"/>
      <c r="B1220" s="68"/>
      <c r="C1220" s="76" t="str">
        <f aca="false">IF(B1220="","",IFERROR(INDEX(PE_Nom,MATCH(B1220,PE_Mat,0)),"Matricule inconnu"))</f>
        <v/>
      </c>
      <c r="D1220" s="76" t="str">
        <f aca="false">IF(B1220="","",IFERROR(INDEX(PE_Fonction,MATCH(B1220,PE_Mat,0)),""))</f>
        <v/>
      </c>
      <c r="E1220" s="76" t="str">
        <f aca="false">IF(B1220="","",IFERROR(INDEX(PE_Equipe,MATCH(B1220,PE_Mat,0)),""))</f>
        <v/>
      </c>
      <c r="F1220" s="25"/>
      <c r="G1220" s="25"/>
      <c r="H1220" s="68"/>
      <c r="I1220" s="89"/>
      <c r="J1220" s="31" t="str">
        <f aca="false">IF(B1220="","",IFERROR(INDEX(PE_Taux,MATCH(B1220,PE_Mat,0)),0))</f>
        <v/>
      </c>
      <c r="K1220" s="31" t="str">
        <f aca="false">IF(B1220="","",IF(H1220="A",0,IFERROR(N(I1220)/P_Heures*J1220,0)))</f>
        <v/>
      </c>
      <c r="L1220" s="25"/>
    </row>
    <row r="1221" customFormat="false" ht="15" hidden="false" customHeight="false" outlineLevel="0" collapsed="false">
      <c r="A1221" s="69"/>
      <c r="B1221" s="68"/>
      <c r="C1221" s="76" t="str">
        <f aca="false">IF(B1221="","",IFERROR(INDEX(PE_Nom,MATCH(B1221,PE_Mat,0)),"Matricule inconnu"))</f>
        <v/>
      </c>
      <c r="D1221" s="76" t="str">
        <f aca="false">IF(B1221="","",IFERROR(INDEX(PE_Fonction,MATCH(B1221,PE_Mat,0)),""))</f>
        <v/>
      </c>
      <c r="E1221" s="76" t="str">
        <f aca="false">IF(B1221="","",IFERROR(INDEX(PE_Equipe,MATCH(B1221,PE_Mat,0)),""))</f>
        <v/>
      </c>
      <c r="F1221" s="25"/>
      <c r="G1221" s="25"/>
      <c r="H1221" s="68"/>
      <c r="I1221" s="89"/>
      <c r="J1221" s="31" t="str">
        <f aca="false">IF(B1221="","",IFERROR(INDEX(PE_Taux,MATCH(B1221,PE_Mat,0)),0))</f>
        <v/>
      </c>
      <c r="K1221" s="31" t="str">
        <f aca="false">IF(B1221="","",IF(H1221="A",0,IFERROR(N(I1221)/P_Heures*J1221,0)))</f>
        <v/>
      </c>
      <c r="L1221" s="25"/>
    </row>
    <row r="1222" customFormat="false" ht="15" hidden="false" customHeight="false" outlineLevel="0" collapsed="false">
      <c r="A1222" s="69"/>
      <c r="B1222" s="68"/>
      <c r="C1222" s="76" t="str">
        <f aca="false">IF(B1222="","",IFERROR(INDEX(PE_Nom,MATCH(B1222,PE_Mat,0)),"Matricule inconnu"))</f>
        <v/>
      </c>
      <c r="D1222" s="76" t="str">
        <f aca="false">IF(B1222="","",IFERROR(INDEX(PE_Fonction,MATCH(B1222,PE_Mat,0)),""))</f>
        <v/>
      </c>
      <c r="E1222" s="76" t="str">
        <f aca="false">IF(B1222="","",IFERROR(INDEX(PE_Equipe,MATCH(B1222,PE_Mat,0)),""))</f>
        <v/>
      </c>
      <c r="F1222" s="25"/>
      <c r="G1222" s="25"/>
      <c r="H1222" s="68"/>
      <c r="I1222" s="89"/>
      <c r="J1222" s="31" t="str">
        <f aca="false">IF(B1222="","",IFERROR(INDEX(PE_Taux,MATCH(B1222,PE_Mat,0)),0))</f>
        <v/>
      </c>
      <c r="K1222" s="31" t="str">
        <f aca="false">IF(B1222="","",IF(H1222="A",0,IFERROR(N(I1222)/P_Heures*J1222,0)))</f>
        <v/>
      </c>
      <c r="L1222" s="25"/>
    </row>
    <row r="1223" customFormat="false" ht="15" hidden="false" customHeight="false" outlineLevel="0" collapsed="false">
      <c r="A1223" s="69"/>
      <c r="B1223" s="68"/>
      <c r="C1223" s="76" t="str">
        <f aca="false">IF(B1223="","",IFERROR(INDEX(PE_Nom,MATCH(B1223,PE_Mat,0)),"Matricule inconnu"))</f>
        <v/>
      </c>
      <c r="D1223" s="76" t="str">
        <f aca="false">IF(B1223="","",IFERROR(INDEX(PE_Fonction,MATCH(B1223,PE_Mat,0)),""))</f>
        <v/>
      </c>
      <c r="E1223" s="76" t="str">
        <f aca="false">IF(B1223="","",IFERROR(INDEX(PE_Equipe,MATCH(B1223,PE_Mat,0)),""))</f>
        <v/>
      </c>
      <c r="F1223" s="25"/>
      <c r="G1223" s="25"/>
      <c r="H1223" s="68"/>
      <c r="I1223" s="89"/>
      <c r="J1223" s="31" t="str">
        <f aca="false">IF(B1223="","",IFERROR(INDEX(PE_Taux,MATCH(B1223,PE_Mat,0)),0))</f>
        <v/>
      </c>
      <c r="K1223" s="31" t="str">
        <f aca="false">IF(B1223="","",IF(H1223="A",0,IFERROR(N(I1223)/P_Heures*J1223,0)))</f>
        <v/>
      </c>
      <c r="L1223" s="25"/>
    </row>
    <row r="1224" customFormat="false" ht="15" hidden="false" customHeight="false" outlineLevel="0" collapsed="false">
      <c r="A1224" s="69"/>
      <c r="B1224" s="68"/>
      <c r="C1224" s="76" t="str">
        <f aca="false">IF(B1224="","",IFERROR(INDEX(PE_Nom,MATCH(B1224,PE_Mat,0)),"Matricule inconnu"))</f>
        <v/>
      </c>
      <c r="D1224" s="76" t="str">
        <f aca="false">IF(B1224="","",IFERROR(INDEX(PE_Fonction,MATCH(B1224,PE_Mat,0)),""))</f>
        <v/>
      </c>
      <c r="E1224" s="76" t="str">
        <f aca="false">IF(B1224="","",IFERROR(INDEX(PE_Equipe,MATCH(B1224,PE_Mat,0)),""))</f>
        <v/>
      </c>
      <c r="F1224" s="25"/>
      <c r="G1224" s="25"/>
      <c r="H1224" s="68"/>
      <c r="I1224" s="89"/>
      <c r="J1224" s="31" t="str">
        <f aca="false">IF(B1224="","",IFERROR(INDEX(PE_Taux,MATCH(B1224,PE_Mat,0)),0))</f>
        <v/>
      </c>
      <c r="K1224" s="31" t="str">
        <f aca="false">IF(B1224="","",IF(H1224="A",0,IFERROR(N(I1224)/P_Heures*J1224,0)))</f>
        <v/>
      </c>
      <c r="L1224" s="25"/>
    </row>
    <row r="1225" customFormat="false" ht="15" hidden="false" customHeight="false" outlineLevel="0" collapsed="false">
      <c r="A1225" s="69"/>
      <c r="B1225" s="68"/>
      <c r="C1225" s="76" t="str">
        <f aca="false">IF(B1225="","",IFERROR(INDEX(PE_Nom,MATCH(B1225,PE_Mat,0)),"Matricule inconnu"))</f>
        <v/>
      </c>
      <c r="D1225" s="76" t="str">
        <f aca="false">IF(B1225="","",IFERROR(INDEX(PE_Fonction,MATCH(B1225,PE_Mat,0)),""))</f>
        <v/>
      </c>
      <c r="E1225" s="76" t="str">
        <f aca="false">IF(B1225="","",IFERROR(INDEX(PE_Equipe,MATCH(B1225,PE_Mat,0)),""))</f>
        <v/>
      </c>
      <c r="F1225" s="25"/>
      <c r="G1225" s="25"/>
      <c r="H1225" s="68"/>
      <c r="I1225" s="89"/>
      <c r="J1225" s="31" t="str">
        <f aca="false">IF(B1225="","",IFERROR(INDEX(PE_Taux,MATCH(B1225,PE_Mat,0)),0))</f>
        <v/>
      </c>
      <c r="K1225" s="31" t="str">
        <f aca="false">IF(B1225="","",IF(H1225="A",0,IFERROR(N(I1225)/P_Heures*J1225,0)))</f>
        <v/>
      </c>
      <c r="L1225" s="25"/>
    </row>
    <row r="1226" customFormat="false" ht="15" hidden="false" customHeight="false" outlineLevel="0" collapsed="false">
      <c r="A1226" s="69"/>
      <c r="B1226" s="68"/>
      <c r="C1226" s="76" t="str">
        <f aca="false">IF(B1226="","",IFERROR(INDEX(PE_Nom,MATCH(B1226,PE_Mat,0)),"Matricule inconnu"))</f>
        <v/>
      </c>
      <c r="D1226" s="76" t="str">
        <f aca="false">IF(B1226="","",IFERROR(INDEX(PE_Fonction,MATCH(B1226,PE_Mat,0)),""))</f>
        <v/>
      </c>
      <c r="E1226" s="76" t="str">
        <f aca="false">IF(B1226="","",IFERROR(INDEX(PE_Equipe,MATCH(B1226,PE_Mat,0)),""))</f>
        <v/>
      </c>
      <c r="F1226" s="25"/>
      <c r="G1226" s="25"/>
      <c r="H1226" s="68"/>
      <c r="I1226" s="89"/>
      <c r="J1226" s="31" t="str">
        <f aca="false">IF(B1226="","",IFERROR(INDEX(PE_Taux,MATCH(B1226,PE_Mat,0)),0))</f>
        <v/>
      </c>
      <c r="K1226" s="31" t="str">
        <f aca="false">IF(B1226="","",IF(H1226="A",0,IFERROR(N(I1226)/P_Heures*J1226,0)))</f>
        <v/>
      </c>
      <c r="L1226" s="25"/>
    </row>
    <row r="1227" customFormat="false" ht="15" hidden="false" customHeight="false" outlineLevel="0" collapsed="false">
      <c r="A1227" s="69"/>
      <c r="B1227" s="68"/>
      <c r="C1227" s="76" t="str">
        <f aca="false">IF(B1227="","",IFERROR(INDEX(PE_Nom,MATCH(B1227,PE_Mat,0)),"Matricule inconnu"))</f>
        <v/>
      </c>
      <c r="D1227" s="76" t="str">
        <f aca="false">IF(B1227="","",IFERROR(INDEX(PE_Fonction,MATCH(B1227,PE_Mat,0)),""))</f>
        <v/>
      </c>
      <c r="E1227" s="76" t="str">
        <f aca="false">IF(B1227="","",IFERROR(INDEX(PE_Equipe,MATCH(B1227,PE_Mat,0)),""))</f>
        <v/>
      </c>
      <c r="F1227" s="25"/>
      <c r="G1227" s="25"/>
      <c r="H1227" s="68"/>
      <c r="I1227" s="89"/>
      <c r="J1227" s="31" t="str">
        <f aca="false">IF(B1227="","",IFERROR(INDEX(PE_Taux,MATCH(B1227,PE_Mat,0)),0))</f>
        <v/>
      </c>
      <c r="K1227" s="31" t="str">
        <f aca="false">IF(B1227="","",IF(H1227="A",0,IFERROR(N(I1227)/P_Heures*J1227,0)))</f>
        <v/>
      </c>
      <c r="L1227" s="25"/>
    </row>
    <row r="1228" customFormat="false" ht="15" hidden="false" customHeight="false" outlineLevel="0" collapsed="false">
      <c r="A1228" s="69"/>
      <c r="B1228" s="68"/>
      <c r="C1228" s="76" t="str">
        <f aca="false">IF(B1228="","",IFERROR(INDEX(PE_Nom,MATCH(B1228,PE_Mat,0)),"Matricule inconnu"))</f>
        <v/>
      </c>
      <c r="D1228" s="76" t="str">
        <f aca="false">IF(B1228="","",IFERROR(INDEX(PE_Fonction,MATCH(B1228,PE_Mat,0)),""))</f>
        <v/>
      </c>
      <c r="E1228" s="76" t="str">
        <f aca="false">IF(B1228="","",IFERROR(INDEX(PE_Equipe,MATCH(B1228,PE_Mat,0)),""))</f>
        <v/>
      </c>
      <c r="F1228" s="25"/>
      <c r="G1228" s="25"/>
      <c r="H1228" s="68"/>
      <c r="I1228" s="89"/>
      <c r="J1228" s="31" t="str">
        <f aca="false">IF(B1228="","",IFERROR(INDEX(PE_Taux,MATCH(B1228,PE_Mat,0)),0))</f>
        <v/>
      </c>
      <c r="K1228" s="31" t="str">
        <f aca="false">IF(B1228="","",IF(H1228="A",0,IFERROR(N(I1228)/P_Heures*J1228,0)))</f>
        <v/>
      </c>
      <c r="L1228" s="25"/>
    </row>
    <row r="1229" customFormat="false" ht="15" hidden="false" customHeight="false" outlineLevel="0" collapsed="false">
      <c r="A1229" s="69"/>
      <c r="B1229" s="68"/>
      <c r="C1229" s="76" t="str">
        <f aca="false">IF(B1229="","",IFERROR(INDEX(PE_Nom,MATCH(B1229,PE_Mat,0)),"Matricule inconnu"))</f>
        <v/>
      </c>
      <c r="D1229" s="76" t="str">
        <f aca="false">IF(B1229="","",IFERROR(INDEX(PE_Fonction,MATCH(B1229,PE_Mat,0)),""))</f>
        <v/>
      </c>
      <c r="E1229" s="76" t="str">
        <f aca="false">IF(B1229="","",IFERROR(INDEX(PE_Equipe,MATCH(B1229,PE_Mat,0)),""))</f>
        <v/>
      </c>
      <c r="F1229" s="25"/>
      <c r="G1229" s="25"/>
      <c r="H1229" s="68"/>
      <c r="I1229" s="89"/>
      <c r="J1229" s="31" t="str">
        <f aca="false">IF(B1229="","",IFERROR(INDEX(PE_Taux,MATCH(B1229,PE_Mat,0)),0))</f>
        <v/>
      </c>
      <c r="K1229" s="31" t="str">
        <f aca="false">IF(B1229="","",IF(H1229="A",0,IFERROR(N(I1229)/P_Heures*J1229,0)))</f>
        <v/>
      </c>
      <c r="L1229" s="25"/>
    </row>
    <row r="1230" customFormat="false" ht="15" hidden="false" customHeight="false" outlineLevel="0" collapsed="false">
      <c r="A1230" s="69"/>
      <c r="B1230" s="68"/>
      <c r="C1230" s="76" t="str">
        <f aca="false">IF(B1230="","",IFERROR(INDEX(PE_Nom,MATCH(B1230,PE_Mat,0)),"Matricule inconnu"))</f>
        <v/>
      </c>
      <c r="D1230" s="76" t="str">
        <f aca="false">IF(B1230="","",IFERROR(INDEX(PE_Fonction,MATCH(B1230,PE_Mat,0)),""))</f>
        <v/>
      </c>
      <c r="E1230" s="76" t="str">
        <f aca="false">IF(B1230="","",IFERROR(INDEX(PE_Equipe,MATCH(B1230,PE_Mat,0)),""))</f>
        <v/>
      </c>
      <c r="F1230" s="25"/>
      <c r="G1230" s="25"/>
      <c r="H1230" s="68"/>
      <c r="I1230" s="89"/>
      <c r="J1230" s="31" t="str">
        <f aca="false">IF(B1230="","",IFERROR(INDEX(PE_Taux,MATCH(B1230,PE_Mat,0)),0))</f>
        <v/>
      </c>
      <c r="K1230" s="31" t="str">
        <f aca="false">IF(B1230="","",IF(H1230="A",0,IFERROR(N(I1230)/P_Heures*J1230,0)))</f>
        <v/>
      </c>
      <c r="L1230" s="25"/>
    </row>
    <row r="1231" customFormat="false" ht="15" hidden="false" customHeight="false" outlineLevel="0" collapsed="false">
      <c r="A1231" s="69"/>
      <c r="B1231" s="68"/>
      <c r="C1231" s="76" t="str">
        <f aca="false">IF(B1231="","",IFERROR(INDEX(PE_Nom,MATCH(B1231,PE_Mat,0)),"Matricule inconnu"))</f>
        <v/>
      </c>
      <c r="D1231" s="76" t="str">
        <f aca="false">IF(B1231="","",IFERROR(INDEX(PE_Fonction,MATCH(B1231,PE_Mat,0)),""))</f>
        <v/>
      </c>
      <c r="E1231" s="76" t="str">
        <f aca="false">IF(B1231="","",IFERROR(INDEX(PE_Equipe,MATCH(B1231,PE_Mat,0)),""))</f>
        <v/>
      </c>
      <c r="F1231" s="25"/>
      <c r="G1231" s="25"/>
      <c r="H1231" s="68"/>
      <c r="I1231" s="89"/>
      <c r="J1231" s="31" t="str">
        <f aca="false">IF(B1231="","",IFERROR(INDEX(PE_Taux,MATCH(B1231,PE_Mat,0)),0))</f>
        <v/>
      </c>
      <c r="K1231" s="31" t="str">
        <f aca="false">IF(B1231="","",IF(H1231="A",0,IFERROR(N(I1231)/P_Heures*J1231,0)))</f>
        <v/>
      </c>
      <c r="L1231" s="25"/>
    </row>
    <row r="1232" customFormat="false" ht="15" hidden="false" customHeight="false" outlineLevel="0" collapsed="false">
      <c r="A1232" s="69"/>
      <c r="B1232" s="68"/>
      <c r="C1232" s="76" t="str">
        <f aca="false">IF(B1232="","",IFERROR(INDEX(PE_Nom,MATCH(B1232,PE_Mat,0)),"Matricule inconnu"))</f>
        <v/>
      </c>
      <c r="D1232" s="76" t="str">
        <f aca="false">IF(B1232="","",IFERROR(INDEX(PE_Fonction,MATCH(B1232,PE_Mat,0)),""))</f>
        <v/>
      </c>
      <c r="E1232" s="76" t="str">
        <f aca="false">IF(B1232="","",IFERROR(INDEX(PE_Equipe,MATCH(B1232,PE_Mat,0)),""))</f>
        <v/>
      </c>
      <c r="F1232" s="25"/>
      <c r="G1232" s="25"/>
      <c r="H1232" s="68"/>
      <c r="I1232" s="89"/>
      <c r="J1232" s="31" t="str">
        <f aca="false">IF(B1232="","",IFERROR(INDEX(PE_Taux,MATCH(B1232,PE_Mat,0)),0))</f>
        <v/>
      </c>
      <c r="K1232" s="31" t="str">
        <f aca="false">IF(B1232="","",IF(H1232="A",0,IFERROR(N(I1232)/P_Heures*J1232,0)))</f>
        <v/>
      </c>
      <c r="L1232" s="25"/>
    </row>
    <row r="1233" customFormat="false" ht="15" hidden="false" customHeight="false" outlineLevel="0" collapsed="false">
      <c r="A1233" s="69"/>
      <c r="B1233" s="68"/>
      <c r="C1233" s="76" t="str">
        <f aca="false">IF(B1233="","",IFERROR(INDEX(PE_Nom,MATCH(B1233,PE_Mat,0)),"Matricule inconnu"))</f>
        <v/>
      </c>
      <c r="D1233" s="76" t="str">
        <f aca="false">IF(B1233="","",IFERROR(INDEX(PE_Fonction,MATCH(B1233,PE_Mat,0)),""))</f>
        <v/>
      </c>
      <c r="E1233" s="76" t="str">
        <f aca="false">IF(B1233="","",IFERROR(INDEX(PE_Equipe,MATCH(B1233,PE_Mat,0)),""))</f>
        <v/>
      </c>
      <c r="F1233" s="25"/>
      <c r="G1233" s="25"/>
      <c r="H1233" s="68"/>
      <c r="I1233" s="89"/>
      <c r="J1233" s="31" t="str">
        <f aca="false">IF(B1233="","",IFERROR(INDEX(PE_Taux,MATCH(B1233,PE_Mat,0)),0))</f>
        <v/>
      </c>
      <c r="K1233" s="31" t="str">
        <f aca="false">IF(B1233="","",IF(H1233="A",0,IFERROR(N(I1233)/P_Heures*J1233,0)))</f>
        <v/>
      </c>
      <c r="L1233" s="25"/>
    </row>
    <row r="1234" customFormat="false" ht="15" hidden="false" customHeight="false" outlineLevel="0" collapsed="false">
      <c r="A1234" s="69"/>
      <c r="B1234" s="68"/>
      <c r="C1234" s="76" t="str">
        <f aca="false">IF(B1234="","",IFERROR(INDEX(PE_Nom,MATCH(B1234,PE_Mat,0)),"Matricule inconnu"))</f>
        <v/>
      </c>
      <c r="D1234" s="76" t="str">
        <f aca="false">IF(B1234="","",IFERROR(INDEX(PE_Fonction,MATCH(B1234,PE_Mat,0)),""))</f>
        <v/>
      </c>
      <c r="E1234" s="76" t="str">
        <f aca="false">IF(B1234="","",IFERROR(INDEX(PE_Equipe,MATCH(B1234,PE_Mat,0)),""))</f>
        <v/>
      </c>
      <c r="F1234" s="25"/>
      <c r="G1234" s="25"/>
      <c r="H1234" s="68"/>
      <c r="I1234" s="89"/>
      <c r="J1234" s="31" t="str">
        <f aca="false">IF(B1234="","",IFERROR(INDEX(PE_Taux,MATCH(B1234,PE_Mat,0)),0))</f>
        <v/>
      </c>
      <c r="K1234" s="31" t="str">
        <f aca="false">IF(B1234="","",IF(H1234="A",0,IFERROR(N(I1234)/P_Heures*J1234,0)))</f>
        <v/>
      </c>
      <c r="L1234" s="25"/>
    </row>
    <row r="1235" customFormat="false" ht="15" hidden="false" customHeight="false" outlineLevel="0" collapsed="false">
      <c r="A1235" s="69"/>
      <c r="B1235" s="68"/>
      <c r="C1235" s="76" t="str">
        <f aca="false">IF(B1235="","",IFERROR(INDEX(PE_Nom,MATCH(B1235,PE_Mat,0)),"Matricule inconnu"))</f>
        <v/>
      </c>
      <c r="D1235" s="76" t="str">
        <f aca="false">IF(B1235="","",IFERROR(INDEX(PE_Fonction,MATCH(B1235,PE_Mat,0)),""))</f>
        <v/>
      </c>
      <c r="E1235" s="76" t="str">
        <f aca="false">IF(B1235="","",IFERROR(INDEX(PE_Equipe,MATCH(B1235,PE_Mat,0)),""))</f>
        <v/>
      </c>
      <c r="F1235" s="25"/>
      <c r="G1235" s="25"/>
      <c r="H1235" s="68"/>
      <c r="I1235" s="89"/>
      <c r="J1235" s="31" t="str">
        <f aca="false">IF(B1235="","",IFERROR(INDEX(PE_Taux,MATCH(B1235,PE_Mat,0)),0))</f>
        <v/>
      </c>
      <c r="K1235" s="31" t="str">
        <f aca="false">IF(B1235="","",IF(H1235="A",0,IFERROR(N(I1235)/P_Heures*J1235,0)))</f>
        <v/>
      </c>
      <c r="L1235" s="25"/>
    </row>
    <row r="1236" customFormat="false" ht="15" hidden="false" customHeight="false" outlineLevel="0" collapsed="false">
      <c r="A1236" s="69"/>
      <c r="B1236" s="68"/>
      <c r="C1236" s="76" t="str">
        <f aca="false">IF(B1236="","",IFERROR(INDEX(PE_Nom,MATCH(B1236,PE_Mat,0)),"Matricule inconnu"))</f>
        <v/>
      </c>
      <c r="D1236" s="76" t="str">
        <f aca="false">IF(B1236="","",IFERROR(INDEX(PE_Fonction,MATCH(B1236,PE_Mat,0)),""))</f>
        <v/>
      </c>
      <c r="E1236" s="76" t="str">
        <f aca="false">IF(B1236="","",IFERROR(INDEX(PE_Equipe,MATCH(B1236,PE_Mat,0)),""))</f>
        <v/>
      </c>
      <c r="F1236" s="25"/>
      <c r="G1236" s="25"/>
      <c r="H1236" s="68"/>
      <c r="I1236" s="89"/>
      <c r="J1236" s="31" t="str">
        <f aca="false">IF(B1236="","",IFERROR(INDEX(PE_Taux,MATCH(B1236,PE_Mat,0)),0))</f>
        <v/>
      </c>
      <c r="K1236" s="31" t="str">
        <f aca="false">IF(B1236="","",IF(H1236="A",0,IFERROR(N(I1236)/P_Heures*J1236,0)))</f>
        <v/>
      </c>
      <c r="L1236" s="25"/>
    </row>
    <row r="1237" customFormat="false" ht="15" hidden="false" customHeight="false" outlineLevel="0" collapsed="false">
      <c r="A1237" s="69"/>
      <c r="B1237" s="68"/>
      <c r="C1237" s="76" t="str">
        <f aca="false">IF(B1237="","",IFERROR(INDEX(PE_Nom,MATCH(B1237,PE_Mat,0)),"Matricule inconnu"))</f>
        <v/>
      </c>
      <c r="D1237" s="76" t="str">
        <f aca="false">IF(B1237="","",IFERROR(INDEX(PE_Fonction,MATCH(B1237,PE_Mat,0)),""))</f>
        <v/>
      </c>
      <c r="E1237" s="76" t="str">
        <f aca="false">IF(B1237="","",IFERROR(INDEX(PE_Equipe,MATCH(B1237,PE_Mat,0)),""))</f>
        <v/>
      </c>
      <c r="F1237" s="25"/>
      <c r="G1237" s="25"/>
      <c r="H1237" s="68"/>
      <c r="I1237" s="89"/>
      <c r="J1237" s="31" t="str">
        <f aca="false">IF(B1237="","",IFERROR(INDEX(PE_Taux,MATCH(B1237,PE_Mat,0)),0))</f>
        <v/>
      </c>
      <c r="K1237" s="31" t="str">
        <f aca="false">IF(B1237="","",IF(H1237="A",0,IFERROR(N(I1237)/P_Heures*J1237,0)))</f>
        <v/>
      </c>
      <c r="L1237" s="25"/>
    </row>
    <row r="1238" customFormat="false" ht="15" hidden="false" customHeight="false" outlineLevel="0" collapsed="false">
      <c r="A1238" s="69"/>
      <c r="B1238" s="68"/>
      <c r="C1238" s="76" t="str">
        <f aca="false">IF(B1238="","",IFERROR(INDEX(PE_Nom,MATCH(B1238,PE_Mat,0)),"Matricule inconnu"))</f>
        <v/>
      </c>
      <c r="D1238" s="76" t="str">
        <f aca="false">IF(B1238="","",IFERROR(INDEX(PE_Fonction,MATCH(B1238,PE_Mat,0)),""))</f>
        <v/>
      </c>
      <c r="E1238" s="76" t="str">
        <f aca="false">IF(B1238="","",IFERROR(INDEX(PE_Equipe,MATCH(B1238,PE_Mat,0)),""))</f>
        <v/>
      </c>
      <c r="F1238" s="25"/>
      <c r="G1238" s="25"/>
      <c r="H1238" s="68"/>
      <c r="I1238" s="89"/>
      <c r="J1238" s="31" t="str">
        <f aca="false">IF(B1238="","",IFERROR(INDEX(PE_Taux,MATCH(B1238,PE_Mat,0)),0))</f>
        <v/>
      </c>
      <c r="K1238" s="31" t="str">
        <f aca="false">IF(B1238="","",IF(H1238="A",0,IFERROR(N(I1238)/P_Heures*J1238,0)))</f>
        <v/>
      </c>
      <c r="L1238" s="25"/>
    </row>
    <row r="1239" customFormat="false" ht="15" hidden="false" customHeight="false" outlineLevel="0" collapsed="false">
      <c r="A1239" s="69"/>
      <c r="B1239" s="68"/>
      <c r="C1239" s="76" t="str">
        <f aca="false">IF(B1239="","",IFERROR(INDEX(PE_Nom,MATCH(B1239,PE_Mat,0)),"Matricule inconnu"))</f>
        <v/>
      </c>
      <c r="D1239" s="76" t="str">
        <f aca="false">IF(B1239="","",IFERROR(INDEX(PE_Fonction,MATCH(B1239,PE_Mat,0)),""))</f>
        <v/>
      </c>
      <c r="E1239" s="76" t="str">
        <f aca="false">IF(B1239="","",IFERROR(INDEX(PE_Equipe,MATCH(B1239,PE_Mat,0)),""))</f>
        <v/>
      </c>
      <c r="F1239" s="25"/>
      <c r="G1239" s="25"/>
      <c r="H1239" s="68"/>
      <c r="I1239" s="89"/>
      <c r="J1239" s="31" t="str">
        <f aca="false">IF(B1239="","",IFERROR(INDEX(PE_Taux,MATCH(B1239,PE_Mat,0)),0))</f>
        <v/>
      </c>
      <c r="K1239" s="31" t="str">
        <f aca="false">IF(B1239="","",IF(H1239="A",0,IFERROR(N(I1239)/P_Heures*J1239,0)))</f>
        <v/>
      </c>
      <c r="L1239" s="25"/>
    </row>
    <row r="1240" customFormat="false" ht="15" hidden="false" customHeight="false" outlineLevel="0" collapsed="false">
      <c r="A1240" s="69"/>
      <c r="B1240" s="68"/>
      <c r="C1240" s="76" t="str">
        <f aca="false">IF(B1240="","",IFERROR(INDEX(PE_Nom,MATCH(B1240,PE_Mat,0)),"Matricule inconnu"))</f>
        <v/>
      </c>
      <c r="D1240" s="76" t="str">
        <f aca="false">IF(B1240="","",IFERROR(INDEX(PE_Fonction,MATCH(B1240,PE_Mat,0)),""))</f>
        <v/>
      </c>
      <c r="E1240" s="76" t="str">
        <f aca="false">IF(B1240="","",IFERROR(INDEX(PE_Equipe,MATCH(B1240,PE_Mat,0)),""))</f>
        <v/>
      </c>
      <c r="F1240" s="25"/>
      <c r="G1240" s="25"/>
      <c r="H1240" s="68"/>
      <c r="I1240" s="89"/>
      <c r="J1240" s="31" t="str">
        <f aca="false">IF(B1240="","",IFERROR(INDEX(PE_Taux,MATCH(B1240,PE_Mat,0)),0))</f>
        <v/>
      </c>
      <c r="K1240" s="31" t="str">
        <f aca="false">IF(B1240="","",IF(H1240="A",0,IFERROR(N(I1240)/P_Heures*J1240,0)))</f>
        <v/>
      </c>
      <c r="L1240" s="25"/>
    </row>
    <row r="1241" customFormat="false" ht="15" hidden="false" customHeight="false" outlineLevel="0" collapsed="false">
      <c r="A1241" s="69"/>
      <c r="B1241" s="68"/>
      <c r="C1241" s="76" t="str">
        <f aca="false">IF(B1241="","",IFERROR(INDEX(PE_Nom,MATCH(B1241,PE_Mat,0)),"Matricule inconnu"))</f>
        <v/>
      </c>
      <c r="D1241" s="76" t="str">
        <f aca="false">IF(B1241="","",IFERROR(INDEX(PE_Fonction,MATCH(B1241,PE_Mat,0)),""))</f>
        <v/>
      </c>
      <c r="E1241" s="76" t="str">
        <f aca="false">IF(B1241="","",IFERROR(INDEX(PE_Equipe,MATCH(B1241,PE_Mat,0)),""))</f>
        <v/>
      </c>
      <c r="F1241" s="25"/>
      <c r="G1241" s="25"/>
      <c r="H1241" s="68"/>
      <c r="I1241" s="89"/>
      <c r="J1241" s="31" t="str">
        <f aca="false">IF(B1241="","",IFERROR(INDEX(PE_Taux,MATCH(B1241,PE_Mat,0)),0))</f>
        <v/>
      </c>
      <c r="K1241" s="31" t="str">
        <f aca="false">IF(B1241="","",IF(H1241="A",0,IFERROR(N(I1241)/P_Heures*J1241,0)))</f>
        <v/>
      </c>
      <c r="L1241" s="25"/>
    </row>
    <row r="1242" customFormat="false" ht="15" hidden="false" customHeight="false" outlineLevel="0" collapsed="false">
      <c r="A1242" s="69"/>
      <c r="B1242" s="68"/>
      <c r="C1242" s="76" t="str">
        <f aca="false">IF(B1242="","",IFERROR(INDEX(PE_Nom,MATCH(B1242,PE_Mat,0)),"Matricule inconnu"))</f>
        <v/>
      </c>
      <c r="D1242" s="76" t="str">
        <f aca="false">IF(B1242="","",IFERROR(INDEX(PE_Fonction,MATCH(B1242,PE_Mat,0)),""))</f>
        <v/>
      </c>
      <c r="E1242" s="76" t="str">
        <f aca="false">IF(B1242="","",IFERROR(INDEX(PE_Equipe,MATCH(B1242,PE_Mat,0)),""))</f>
        <v/>
      </c>
      <c r="F1242" s="25"/>
      <c r="G1242" s="25"/>
      <c r="H1242" s="68"/>
      <c r="I1242" s="89"/>
      <c r="J1242" s="31" t="str">
        <f aca="false">IF(B1242="","",IFERROR(INDEX(PE_Taux,MATCH(B1242,PE_Mat,0)),0))</f>
        <v/>
      </c>
      <c r="K1242" s="31" t="str">
        <f aca="false">IF(B1242="","",IF(H1242="A",0,IFERROR(N(I1242)/P_Heures*J1242,0)))</f>
        <v/>
      </c>
      <c r="L1242" s="25"/>
    </row>
    <row r="1243" customFormat="false" ht="15" hidden="false" customHeight="false" outlineLevel="0" collapsed="false">
      <c r="A1243" s="69"/>
      <c r="B1243" s="68"/>
      <c r="C1243" s="76" t="str">
        <f aca="false">IF(B1243="","",IFERROR(INDEX(PE_Nom,MATCH(B1243,PE_Mat,0)),"Matricule inconnu"))</f>
        <v/>
      </c>
      <c r="D1243" s="76" t="str">
        <f aca="false">IF(B1243="","",IFERROR(INDEX(PE_Fonction,MATCH(B1243,PE_Mat,0)),""))</f>
        <v/>
      </c>
      <c r="E1243" s="76" t="str">
        <f aca="false">IF(B1243="","",IFERROR(INDEX(PE_Equipe,MATCH(B1243,PE_Mat,0)),""))</f>
        <v/>
      </c>
      <c r="F1243" s="25"/>
      <c r="G1243" s="25"/>
      <c r="H1243" s="68"/>
      <c r="I1243" s="89"/>
      <c r="J1243" s="31" t="str">
        <f aca="false">IF(B1243="","",IFERROR(INDEX(PE_Taux,MATCH(B1243,PE_Mat,0)),0))</f>
        <v/>
      </c>
      <c r="K1243" s="31" t="str">
        <f aca="false">IF(B1243="","",IF(H1243="A",0,IFERROR(N(I1243)/P_Heures*J1243,0)))</f>
        <v/>
      </c>
      <c r="L1243" s="25"/>
    </row>
    <row r="1244" customFormat="false" ht="15" hidden="false" customHeight="false" outlineLevel="0" collapsed="false">
      <c r="A1244" s="69"/>
      <c r="B1244" s="68"/>
      <c r="C1244" s="76" t="str">
        <f aca="false">IF(B1244="","",IFERROR(INDEX(PE_Nom,MATCH(B1244,PE_Mat,0)),"Matricule inconnu"))</f>
        <v/>
      </c>
      <c r="D1244" s="76" t="str">
        <f aca="false">IF(B1244="","",IFERROR(INDEX(PE_Fonction,MATCH(B1244,PE_Mat,0)),""))</f>
        <v/>
      </c>
      <c r="E1244" s="76" t="str">
        <f aca="false">IF(B1244="","",IFERROR(INDEX(PE_Equipe,MATCH(B1244,PE_Mat,0)),""))</f>
        <v/>
      </c>
      <c r="F1244" s="25"/>
      <c r="G1244" s="25"/>
      <c r="H1244" s="68"/>
      <c r="I1244" s="89"/>
      <c r="J1244" s="31" t="str">
        <f aca="false">IF(B1244="","",IFERROR(INDEX(PE_Taux,MATCH(B1244,PE_Mat,0)),0))</f>
        <v/>
      </c>
      <c r="K1244" s="31" t="str">
        <f aca="false">IF(B1244="","",IF(H1244="A",0,IFERROR(N(I1244)/P_Heures*J1244,0)))</f>
        <v/>
      </c>
      <c r="L1244" s="25"/>
    </row>
    <row r="1245" customFormat="false" ht="15" hidden="false" customHeight="false" outlineLevel="0" collapsed="false">
      <c r="A1245" s="69"/>
      <c r="B1245" s="68"/>
      <c r="C1245" s="76" t="str">
        <f aca="false">IF(B1245="","",IFERROR(INDEX(PE_Nom,MATCH(B1245,PE_Mat,0)),"Matricule inconnu"))</f>
        <v/>
      </c>
      <c r="D1245" s="76" t="str">
        <f aca="false">IF(B1245="","",IFERROR(INDEX(PE_Fonction,MATCH(B1245,PE_Mat,0)),""))</f>
        <v/>
      </c>
      <c r="E1245" s="76" t="str">
        <f aca="false">IF(B1245="","",IFERROR(INDEX(PE_Equipe,MATCH(B1245,PE_Mat,0)),""))</f>
        <v/>
      </c>
      <c r="F1245" s="25"/>
      <c r="G1245" s="25"/>
      <c r="H1245" s="68"/>
      <c r="I1245" s="89"/>
      <c r="J1245" s="31" t="str">
        <f aca="false">IF(B1245="","",IFERROR(INDEX(PE_Taux,MATCH(B1245,PE_Mat,0)),0))</f>
        <v/>
      </c>
      <c r="K1245" s="31" t="str">
        <f aca="false">IF(B1245="","",IF(H1245="A",0,IFERROR(N(I1245)/P_Heures*J1245,0)))</f>
        <v/>
      </c>
      <c r="L1245" s="25"/>
    </row>
    <row r="1246" customFormat="false" ht="15" hidden="false" customHeight="false" outlineLevel="0" collapsed="false">
      <c r="A1246" s="69"/>
      <c r="B1246" s="68"/>
      <c r="C1246" s="76" t="str">
        <f aca="false">IF(B1246="","",IFERROR(INDEX(PE_Nom,MATCH(B1246,PE_Mat,0)),"Matricule inconnu"))</f>
        <v/>
      </c>
      <c r="D1246" s="76" t="str">
        <f aca="false">IF(B1246="","",IFERROR(INDEX(PE_Fonction,MATCH(B1246,PE_Mat,0)),""))</f>
        <v/>
      </c>
      <c r="E1246" s="76" t="str">
        <f aca="false">IF(B1246="","",IFERROR(INDEX(PE_Equipe,MATCH(B1246,PE_Mat,0)),""))</f>
        <v/>
      </c>
      <c r="F1246" s="25"/>
      <c r="G1246" s="25"/>
      <c r="H1246" s="68"/>
      <c r="I1246" s="89"/>
      <c r="J1246" s="31" t="str">
        <f aca="false">IF(B1246="","",IFERROR(INDEX(PE_Taux,MATCH(B1246,PE_Mat,0)),0))</f>
        <v/>
      </c>
      <c r="K1246" s="31" t="str">
        <f aca="false">IF(B1246="","",IF(H1246="A",0,IFERROR(N(I1246)/P_Heures*J1246,0)))</f>
        <v/>
      </c>
      <c r="L1246" s="25"/>
    </row>
    <row r="1247" customFormat="false" ht="15" hidden="false" customHeight="false" outlineLevel="0" collapsed="false">
      <c r="A1247" s="69"/>
      <c r="B1247" s="68"/>
      <c r="C1247" s="76" t="str">
        <f aca="false">IF(B1247="","",IFERROR(INDEX(PE_Nom,MATCH(B1247,PE_Mat,0)),"Matricule inconnu"))</f>
        <v/>
      </c>
      <c r="D1247" s="76" t="str">
        <f aca="false">IF(B1247="","",IFERROR(INDEX(PE_Fonction,MATCH(B1247,PE_Mat,0)),""))</f>
        <v/>
      </c>
      <c r="E1247" s="76" t="str">
        <f aca="false">IF(B1247="","",IFERROR(INDEX(PE_Equipe,MATCH(B1247,PE_Mat,0)),""))</f>
        <v/>
      </c>
      <c r="F1247" s="25"/>
      <c r="G1247" s="25"/>
      <c r="H1247" s="68"/>
      <c r="I1247" s="89"/>
      <c r="J1247" s="31" t="str">
        <f aca="false">IF(B1247="","",IFERROR(INDEX(PE_Taux,MATCH(B1247,PE_Mat,0)),0))</f>
        <v/>
      </c>
      <c r="K1247" s="31" t="str">
        <f aca="false">IF(B1247="","",IF(H1247="A",0,IFERROR(N(I1247)/P_Heures*J1247,0)))</f>
        <v/>
      </c>
      <c r="L1247" s="25"/>
    </row>
    <row r="1248" customFormat="false" ht="15" hidden="false" customHeight="false" outlineLevel="0" collapsed="false">
      <c r="A1248" s="69"/>
      <c r="B1248" s="68"/>
      <c r="C1248" s="76" t="str">
        <f aca="false">IF(B1248="","",IFERROR(INDEX(PE_Nom,MATCH(B1248,PE_Mat,0)),"Matricule inconnu"))</f>
        <v/>
      </c>
      <c r="D1248" s="76" t="str">
        <f aca="false">IF(B1248="","",IFERROR(INDEX(PE_Fonction,MATCH(B1248,PE_Mat,0)),""))</f>
        <v/>
      </c>
      <c r="E1248" s="76" t="str">
        <f aca="false">IF(B1248="","",IFERROR(INDEX(PE_Equipe,MATCH(B1248,PE_Mat,0)),""))</f>
        <v/>
      </c>
      <c r="F1248" s="25"/>
      <c r="G1248" s="25"/>
      <c r="H1248" s="68"/>
      <c r="I1248" s="89"/>
      <c r="J1248" s="31" t="str">
        <f aca="false">IF(B1248="","",IFERROR(INDEX(PE_Taux,MATCH(B1248,PE_Mat,0)),0))</f>
        <v/>
      </c>
      <c r="K1248" s="31" t="str">
        <f aca="false">IF(B1248="","",IF(H1248="A",0,IFERROR(N(I1248)/P_Heures*J1248,0)))</f>
        <v/>
      </c>
      <c r="L1248" s="25"/>
    </row>
    <row r="1249" customFormat="false" ht="15" hidden="false" customHeight="false" outlineLevel="0" collapsed="false">
      <c r="A1249" s="69"/>
      <c r="B1249" s="68"/>
      <c r="C1249" s="76" t="str">
        <f aca="false">IF(B1249="","",IFERROR(INDEX(PE_Nom,MATCH(B1249,PE_Mat,0)),"Matricule inconnu"))</f>
        <v/>
      </c>
      <c r="D1249" s="76" t="str">
        <f aca="false">IF(B1249="","",IFERROR(INDEX(PE_Fonction,MATCH(B1249,PE_Mat,0)),""))</f>
        <v/>
      </c>
      <c r="E1249" s="76" t="str">
        <f aca="false">IF(B1249="","",IFERROR(INDEX(PE_Equipe,MATCH(B1249,PE_Mat,0)),""))</f>
        <v/>
      </c>
      <c r="F1249" s="25"/>
      <c r="G1249" s="25"/>
      <c r="H1249" s="68"/>
      <c r="I1249" s="89"/>
      <c r="J1249" s="31" t="str">
        <f aca="false">IF(B1249="","",IFERROR(INDEX(PE_Taux,MATCH(B1249,PE_Mat,0)),0))</f>
        <v/>
      </c>
      <c r="K1249" s="31" t="str">
        <f aca="false">IF(B1249="","",IF(H1249="A",0,IFERROR(N(I1249)/P_Heures*J1249,0)))</f>
        <v/>
      </c>
      <c r="L1249" s="25"/>
    </row>
    <row r="1250" customFormat="false" ht="15" hidden="false" customHeight="false" outlineLevel="0" collapsed="false">
      <c r="A1250" s="69"/>
      <c r="B1250" s="68"/>
      <c r="C1250" s="76" t="str">
        <f aca="false">IF(B1250="","",IFERROR(INDEX(PE_Nom,MATCH(B1250,PE_Mat,0)),"Matricule inconnu"))</f>
        <v/>
      </c>
      <c r="D1250" s="76" t="str">
        <f aca="false">IF(B1250="","",IFERROR(INDEX(PE_Fonction,MATCH(B1250,PE_Mat,0)),""))</f>
        <v/>
      </c>
      <c r="E1250" s="76" t="str">
        <f aca="false">IF(B1250="","",IFERROR(INDEX(PE_Equipe,MATCH(B1250,PE_Mat,0)),""))</f>
        <v/>
      </c>
      <c r="F1250" s="25"/>
      <c r="G1250" s="25"/>
      <c r="H1250" s="68"/>
      <c r="I1250" s="89"/>
      <c r="J1250" s="31" t="str">
        <f aca="false">IF(B1250="","",IFERROR(INDEX(PE_Taux,MATCH(B1250,PE_Mat,0)),0))</f>
        <v/>
      </c>
      <c r="K1250" s="31" t="str">
        <f aca="false">IF(B1250="","",IF(H1250="A",0,IFERROR(N(I1250)/P_Heures*J1250,0)))</f>
        <v/>
      </c>
      <c r="L1250" s="25"/>
    </row>
    <row r="1251" customFormat="false" ht="15" hidden="false" customHeight="false" outlineLevel="0" collapsed="false">
      <c r="A1251" s="69"/>
      <c r="B1251" s="68"/>
      <c r="C1251" s="76" t="str">
        <f aca="false">IF(B1251="","",IFERROR(INDEX(PE_Nom,MATCH(B1251,PE_Mat,0)),"Matricule inconnu"))</f>
        <v/>
      </c>
      <c r="D1251" s="76" t="str">
        <f aca="false">IF(B1251="","",IFERROR(INDEX(PE_Fonction,MATCH(B1251,PE_Mat,0)),""))</f>
        <v/>
      </c>
      <c r="E1251" s="76" t="str">
        <f aca="false">IF(B1251="","",IFERROR(INDEX(PE_Equipe,MATCH(B1251,PE_Mat,0)),""))</f>
        <v/>
      </c>
      <c r="F1251" s="25"/>
      <c r="G1251" s="25"/>
      <c r="H1251" s="68"/>
      <c r="I1251" s="89"/>
      <c r="J1251" s="31" t="str">
        <f aca="false">IF(B1251="","",IFERROR(INDEX(PE_Taux,MATCH(B1251,PE_Mat,0)),0))</f>
        <v/>
      </c>
      <c r="K1251" s="31" t="str">
        <f aca="false">IF(B1251="","",IF(H1251="A",0,IFERROR(N(I1251)/P_Heures*J1251,0)))</f>
        <v/>
      </c>
      <c r="L1251" s="25"/>
    </row>
    <row r="1252" customFormat="false" ht="15" hidden="false" customHeight="false" outlineLevel="0" collapsed="false">
      <c r="A1252" s="69"/>
      <c r="B1252" s="68"/>
      <c r="C1252" s="76" t="str">
        <f aca="false">IF(B1252="","",IFERROR(INDEX(PE_Nom,MATCH(B1252,PE_Mat,0)),"Matricule inconnu"))</f>
        <v/>
      </c>
      <c r="D1252" s="76" t="str">
        <f aca="false">IF(B1252="","",IFERROR(INDEX(PE_Fonction,MATCH(B1252,PE_Mat,0)),""))</f>
        <v/>
      </c>
      <c r="E1252" s="76" t="str">
        <f aca="false">IF(B1252="","",IFERROR(INDEX(PE_Equipe,MATCH(B1252,PE_Mat,0)),""))</f>
        <v/>
      </c>
      <c r="F1252" s="25"/>
      <c r="G1252" s="25"/>
      <c r="H1252" s="68"/>
      <c r="I1252" s="89"/>
      <c r="J1252" s="31" t="str">
        <f aca="false">IF(B1252="","",IFERROR(INDEX(PE_Taux,MATCH(B1252,PE_Mat,0)),0))</f>
        <v/>
      </c>
      <c r="K1252" s="31" t="str">
        <f aca="false">IF(B1252="","",IF(H1252="A",0,IFERROR(N(I1252)/P_Heures*J1252,0)))</f>
        <v/>
      </c>
      <c r="L1252" s="25"/>
    </row>
    <row r="1253" customFormat="false" ht="15" hidden="false" customHeight="false" outlineLevel="0" collapsed="false">
      <c r="A1253" s="69"/>
      <c r="B1253" s="68"/>
      <c r="C1253" s="76" t="str">
        <f aca="false">IF(B1253="","",IFERROR(INDEX(PE_Nom,MATCH(B1253,PE_Mat,0)),"Matricule inconnu"))</f>
        <v/>
      </c>
      <c r="D1253" s="76" t="str">
        <f aca="false">IF(B1253="","",IFERROR(INDEX(PE_Fonction,MATCH(B1253,PE_Mat,0)),""))</f>
        <v/>
      </c>
      <c r="E1253" s="76" t="str">
        <f aca="false">IF(B1253="","",IFERROR(INDEX(PE_Equipe,MATCH(B1253,PE_Mat,0)),""))</f>
        <v/>
      </c>
      <c r="F1253" s="25"/>
      <c r="G1253" s="25"/>
      <c r="H1253" s="68"/>
      <c r="I1253" s="89"/>
      <c r="J1253" s="31" t="str">
        <f aca="false">IF(B1253="","",IFERROR(INDEX(PE_Taux,MATCH(B1253,PE_Mat,0)),0))</f>
        <v/>
      </c>
      <c r="K1253" s="31" t="str">
        <f aca="false">IF(B1253="","",IF(H1253="A",0,IFERROR(N(I1253)/P_Heures*J1253,0)))</f>
        <v/>
      </c>
      <c r="L1253" s="25"/>
    </row>
    <row r="1254" customFormat="false" ht="15" hidden="false" customHeight="false" outlineLevel="0" collapsed="false">
      <c r="A1254" s="69"/>
      <c r="B1254" s="68"/>
      <c r="C1254" s="76" t="str">
        <f aca="false">IF(B1254="","",IFERROR(INDEX(PE_Nom,MATCH(B1254,PE_Mat,0)),"Matricule inconnu"))</f>
        <v/>
      </c>
      <c r="D1254" s="76" t="str">
        <f aca="false">IF(B1254="","",IFERROR(INDEX(PE_Fonction,MATCH(B1254,PE_Mat,0)),""))</f>
        <v/>
      </c>
      <c r="E1254" s="76" t="str">
        <f aca="false">IF(B1254="","",IFERROR(INDEX(PE_Equipe,MATCH(B1254,PE_Mat,0)),""))</f>
        <v/>
      </c>
      <c r="F1254" s="25"/>
      <c r="G1254" s="25"/>
      <c r="H1254" s="68"/>
      <c r="I1254" s="89"/>
      <c r="J1254" s="31" t="str">
        <f aca="false">IF(B1254="","",IFERROR(INDEX(PE_Taux,MATCH(B1254,PE_Mat,0)),0))</f>
        <v/>
      </c>
      <c r="K1254" s="31" t="str">
        <f aca="false">IF(B1254="","",IF(H1254="A",0,IFERROR(N(I1254)/P_Heures*J1254,0)))</f>
        <v/>
      </c>
      <c r="L1254" s="25"/>
    </row>
    <row r="1255" customFormat="false" ht="15" hidden="false" customHeight="false" outlineLevel="0" collapsed="false">
      <c r="A1255" s="69"/>
      <c r="B1255" s="68"/>
      <c r="C1255" s="76" t="str">
        <f aca="false">IF(B1255="","",IFERROR(INDEX(PE_Nom,MATCH(B1255,PE_Mat,0)),"Matricule inconnu"))</f>
        <v/>
      </c>
      <c r="D1255" s="76" t="str">
        <f aca="false">IF(B1255="","",IFERROR(INDEX(PE_Fonction,MATCH(B1255,PE_Mat,0)),""))</f>
        <v/>
      </c>
      <c r="E1255" s="76" t="str">
        <f aca="false">IF(B1255="","",IFERROR(INDEX(PE_Equipe,MATCH(B1255,PE_Mat,0)),""))</f>
        <v/>
      </c>
      <c r="F1255" s="25"/>
      <c r="G1255" s="25"/>
      <c r="H1255" s="68"/>
      <c r="I1255" s="89"/>
      <c r="J1255" s="31" t="str">
        <f aca="false">IF(B1255="","",IFERROR(INDEX(PE_Taux,MATCH(B1255,PE_Mat,0)),0))</f>
        <v/>
      </c>
      <c r="K1255" s="31" t="str">
        <f aca="false">IF(B1255="","",IF(H1255="A",0,IFERROR(N(I1255)/P_Heures*J1255,0)))</f>
        <v/>
      </c>
      <c r="L1255" s="25"/>
    </row>
    <row r="1256" customFormat="false" ht="15" hidden="false" customHeight="false" outlineLevel="0" collapsed="false">
      <c r="A1256" s="69"/>
      <c r="B1256" s="68"/>
      <c r="C1256" s="76" t="str">
        <f aca="false">IF(B1256="","",IFERROR(INDEX(PE_Nom,MATCH(B1256,PE_Mat,0)),"Matricule inconnu"))</f>
        <v/>
      </c>
      <c r="D1256" s="76" t="str">
        <f aca="false">IF(B1256="","",IFERROR(INDEX(PE_Fonction,MATCH(B1256,PE_Mat,0)),""))</f>
        <v/>
      </c>
      <c r="E1256" s="76" t="str">
        <f aca="false">IF(B1256="","",IFERROR(INDEX(PE_Equipe,MATCH(B1256,PE_Mat,0)),""))</f>
        <v/>
      </c>
      <c r="F1256" s="25"/>
      <c r="G1256" s="25"/>
      <c r="H1256" s="68"/>
      <c r="I1256" s="89"/>
      <c r="J1256" s="31" t="str">
        <f aca="false">IF(B1256="","",IFERROR(INDEX(PE_Taux,MATCH(B1256,PE_Mat,0)),0))</f>
        <v/>
      </c>
      <c r="K1256" s="31" t="str">
        <f aca="false">IF(B1256="","",IF(H1256="A",0,IFERROR(N(I1256)/P_Heures*J1256,0)))</f>
        <v/>
      </c>
      <c r="L1256" s="25"/>
    </row>
    <row r="1257" customFormat="false" ht="15" hidden="false" customHeight="false" outlineLevel="0" collapsed="false">
      <c r="A1257" s="69"/>
      <c r="B1257" s="68"/>
      <c r="C1257" s="76" t="str">
        <f aca="false">IF(B1257="","",IFERROR(INDEX(PE_Nom,MATCH(B1257,PE_Mat,0)),"Matricule inconnu"))</f>
        <v/>
      </c>
      <c r="D1257" s="76" t="str">
        <f aca="false">IF(B1257="","",IFERROR(INDEX(PE_Fonction,MATCH(B1257,PE_Mat,0)),""))</f>
        <v/>
      </c>
      <c r="E1257" s="76" t="str">
        <f aca="false">IF(B1257="","",IFERROR(INDEX(PE_Equipe,MATCH(B1257,PE_Mat,0)),""))</f>
        <v/>
      </c>
      <c r="F1257" s="25"/>
      <c r="G1257" s="25"/>
      <c r="H1257" s="68"/>
      <c r="I1257" s="89"/>
      <c r="J1257" s="31" t="str">
        <f aca="false">IF(B1257="","",IFERROR(INDEX(PE_Taux,MATCH(B1257,PE_Mat,0)),0))</f>
        <v/>
      </c>
      <c r="K1257" s="31" t="str">
        <f aca="false">IF(B1257="","",IF(H1257="A",0,IFERROR(N(I1257)/P_Heures*J1257,0)))</f>
        <v/>
      </c>
      <c r="L1257" s="25"/>
    </row>
    <row r="1258" customFormat="false" ht="15" hidden="false" customHeight="false" outlineLevel="0" collapsed="false">
      <c r="A1258" s="69"/>
      <c r="B1258" s="68"/>
      <c r="C1258" s="76" t="str">
        <f aca="false">IF(B1258="","",IFERROR(INDEX(PE_Nom,MATCH(B1258,PE_Mat,0)),"Matricule inconnu"))</f>
        <v/>
      </c>
      <c r="D1258" s="76" t="str">
        <f aca="false">IF(B1258="","",IFERROR(INDEX(PE_Fonction,MATCH(B1258,PE_Mat,0)),""))</f>
        <v/>
      </c>
      <c r="E1258" s="76" t="str">
        <f aca="false">IF(B1258="","",IFERROR(INDEX(PE_Equipe,MATCH(B1258,PE_Mat,0)),""))</f>
        <v/>
      </c>
      <c r="F1258" s="25"/>
      <c r="G1258" s="25"/>
      <c r="H1258" s="68"/>
      <c r="I1258" s="89"/>
      <c r="J1258" s="31" t="str">
        <f aca="false">IF(B1258="","",IFERROR(INDEX(PE_Taux,MATCH(B1258,PE_Mat,0)),0))</f>
        <v/>
      </c>
      <c r="K1258" s="31" t="str">
        <f aca="false">IF(B1258="","",IF(H1258="A",0,IFERROR(N(I1258)/P_Heures*J1258,0)))</f>
        <v/>
      </c>
      <c r="L1258" s="25"/>
    </row>
    <row r="1259" customFormat="false" ht="15" hidden="false" customHeight="false" outlineLevel="0" collapsed="false">
      <c r="A1259" s="69"/>
      <c r="B1259" s="68"/>
      <c r="C1259" s="76" t="str">
        <f aca="false">IF(B1259="","",IFERROR(INDEX(PE_Nom,MATCH(B1259,PE_Mat,0)),"Matricule inconnu"))</f>
        <v/>
      </c>
      <c r="D1259" s="76" t="str">
        <f aca="false">IF(B1259="","",IFERROR(INDEX(PE_Fonction,MATCH(B1259,PE_Mat,0)),""))</f>
        <v/>
      </c>
      <c r="E1259" s="76" t="str">
        <f aca="false">IF(B1259="","",IFERROR(INDEX(PE_Equipe,MATCH(B1259,PE_Mat,0)),""))</f>
        <v/>
      </c>
      <c r="F1259" s="25"/>
      <c r="G1259" s="25"/>
      <c r="H1259" s="68"/>
      <c r="I1259" s="89"/>
      <c r="J1259" s="31" t="str">
        <f aca="false">IF(B1259="","",IFERROR(INDEX(PE_Taux,MATCH(B1259,PE_Mat,0)),0))</f>
        <v/>
      </c>
      <c r="K1259" s="31" t="str">
        <f aca="false">IF(B1259="","",IF(H1259="A",0,IFERROR(N(I1259)/P_Heures*J1259,0)))</f>
        <v/>
      </c>
      <c r="L1259" s="25"/>
    </row>
    <row r="1260" customFormat="false" ht="15" hidden="false" customHeight="false" outlineLevel="0" collapsed="false">
      <c r="A1260" s="69"/>
      <c r="B1260" s="68"/>
      <c r="C1260" s="76" t="str">
        <f aca="false">IF(B1260="","",IFERROR(INDEX(PE_Nom,MATCH(B1260,PE_Mat,0)),"Matricule inconnu"))</f>
        <v/>
      </c>
      <c r="D1260" s="76" t="str">
        <f aca="false">IF(B1260="","",IFERROR(INDEX(PE_Fonction,MATCH(B1260,PE_Mat,0)),""))</f>
        <v/>
      </c>
      <c r="E1260" s="76" t="str">
        <f aca="false">IF(B1260="","",IFERROR(INDEX(PE_Equipe,MATCH(B1260,PE_Mat,0)),""))</f>
        <v/>
      </c>
      <c r="F1260" s="25"/>
      <c r="G1260" s="25"/>
      <c r="H1260" s="68"/>
      <c r="I1260" s="89"/>
      <c r="J1260" s="31" t="str">
        <f aca="false">IF(B1260="","",IFERROR(INDEX(PE_Taux,MATCH(B1260,PE_Mat,0)),0))</f>
        <v/>
      </c>
      <c r="K1260" s="31" t="str">
        <f aca="false">IF(B1260="","",IF(H1260="A",0,IFERROR(N(I1260)/P_Heures*J1260,0)))</f>
        <v/>
      </c>
      <c r="L1260" s="25"/>
    </row>
    <row r="1261" customFormat="false" ht="15" hidden="false" customHeight="false" outlineLevel="0" collapsed="false">
      <c r="A1261" s="69"/>
      <c r="B1261" s="68"/>
      <c r="C1261" s="76" t="str">
        <f aca="false">IF(B1261="","",IFERROR(INDEX(PE_Nom,MATCH(B1261,PE_Mat,0)),"Matricule inconnu"))</f>
        <v/>
      </c>
      <c r="D1261" s="76" t="str">
        <f aca="false">IF(B1261="","",IFERROR(INDEX(PE_Fonction,MATCH(B1261,PE_Mat,0)),""))</f>
        <v/>
      </c>
      <c r="E1261" s="76" t="str">
        <f aca="false">IF(B1261="","",IFERROR(INDEX(PE_Equipe,MATCH(B1261,PE_Mat,0)),""))</f>
        <v/>
      </c>
      <c r="F1261" s="25"/>
      <c r="G1261" s="25"/>
      <c r="H1261" s="68"/>
      <c r="I1261" s="89"/>
      <c r="J1261" s="31" t="str">
        <f aca="false">IF(B1261="","",IFERROR(INDEX(PE_Taux,MATCH(B1261,PE_Mat,0)),0))</f>
        <v/>
      </c>
      <c r="K1261" s="31" t="str">
        <f aca="false">IF(B1261="","",IF(H1261="A",0,IFERROR(N(I1261)/P_Heures*J1261,0)))</f>
        <v/>
      </c>
      <c r="L1261" s="25"/>
    </row>
    <row r="1262" customFormat="false" ht="15" hidden="false" customHeight="false" outlineLevel="0" collapsed="false">
      <c r="A1262" s="69"/>
      <c r="B1262" s="68"/>
      <c r="C1262" s="76" t="str">
        <f aca="false">IF(B1262="","",IFERROR(INDEX(PE_Nom,MATCH(B1262,PE_Mat,0)),"Matricule inconnu"))</f>
        <v/>
      </c>
      <c r="D1262" s="76" t="str">
        <f aca="false">IF(B1262="","",IFERROR(INDEX(PE_Fonction,MATCH(B1262,PE_Mat,0)),""))</f>
        <v/>
      </c>
      <c r="E1262" s="76" t="str">
        <f aca="false">IF(B1262="","",IFERROR(INDEX(PE_Equipe,MATCH(B1262,PE_Mat,0)),""))</f>
        <v/>
      </c>
      <c r="F1262" s="25"/>
      <c r="G1262" s="25"/>
      <c r="H1262" s="68"/>
      <c r="I1262" s="89"/>
      <c r="J1262" s="31" t="str">
        <f aca="false">IF(B1262="","",IFERROR(INDEX(PE_Taux,MATCH(B1262,PE_Mat,0)),0))</f>
        <v/>
      </c>
      <c r="K1262" s="31" t="str">
        <f aca="false">IF(B1262="","",IF(H1262="A",0,IFERROR(N(I1262)/P_Heures*J1262,0)))</f>
        <v/>
      </c>
      <c r="L1262" s="25"/>
    </row>
    <row r="1263" customFormat="false" ht="15" hidden="false" customHeight="false" outlineLevel="0" collapsed="false">
      <c r="A1263" s="69"/>
      <c r="B1263" s="68"/>
      <c r="C1263" s="76" t="str">
        <f aca="false">IF(B1263="","",IFERROR(INDEX(PE_Nom,MATCH(B1263,PE_Mat,0)),"Matricule inconnu"))</f>
        <v/>
      </c>
      <c r="D1263" s="76" t="str">
        <f aca="false">IF(B1263="","",IFERROR(INDEX(PE_Fonction,MATCH(B1263,PE_Mat,0)),""))</f>
        <v/>
      </c>
      <c r="E1263" s="76" t="str">
        <f aca="false">IF(B1263="","",IFERROR(INDEX(PE_Equipe,MATCH(B1263,PE_Mat,0)),""))</f>
        <v/>
      </c>
      <c r="F1263" s="25"/>
      <c r="G1263" s="25"/>
      <c r="H1263" s="68"/>
      <c r="I1263" s="89"/>
      <c r="J1263" s="31" t="str">
        <f aca="false">IF(B1263="","",IFERROR(INDEX(PE_Taux,MATCH(B1263,PE_Mat,0)),0))</f>
        <v/>
      </c>
      <c r="K1263" s="31" t="str">
        <f aca="false">IF(B1263="","",IF(H1263="A",0,IFERROR(N(I1263)/P_Heures*J1263,0)))</f>
        <v/>
      </c>
      <c r="L1263" s="25"/>
    </row>
    <row r="1264" customFormat="false" ht="15" hidden="false" customHeight="false" outlineLevel="0" collapsed="false">
      <c r="A1264" s="69"/>
      <c r="B1264" s="68"/>
      <c r="C1264" s="76" t="str">
        <f aca="false">IF(B1264="","",IFERROR(INDEX(PE_Nom,MATCH(B1264,PE_Mat,0)),"Matricule inconnu"))</f>
        <v/>
      </c>
      <c r="D1264" s="76" t="str">
        <f aca="false">IF(B1264="","",IFERROR(INDEX(PE_Fonction,MATCH(B1264,PE_Mat,0)),""))</f>
        <v/>
      </c>
      <c r="E1264" s="76" t="str">
        <f aca="false">IF(B1264="","",IFERROR(INDEX(PE_Equipe,MATCH(B1264,PE_Mat,0)),""))</f>
        <v/>
      </c>
      <c r="F1264" s="25"/>
      <c r="G1264" s="25"/>
      <c r="H1264" s="68"/>
      <c r="I1264" s="89"/>
      <c r="J1264" s="31" t="str">
        <f aca="false">IF(B1264="","",IFERROR(INDEX(PE_Taux,MATCH(B1264,PE_Mat,0)),0))</f>
        <v/>
      </c>
      <c r="K1264" s="31" t="str">
        <f aca="false">IF(B1264="","",IF(H1264="A",0,IFERROR(N(I1264)/P_Heures*J1264,0)))</f>
        <v/>
      </c>
      <c r="L1264" s="25"/>
    </row>
    <row r="1265" customFormat="false" ht="15" hidden="false" customHeight="false" outlineLevel="0" collapsed="false">
      <c r="A1265" s="69"/>
      <c r="B1265" s="68"/>
      <c r="C1265" s="76" t="str">
        <f aca="false">IF(B1265="","",IFERROR(INDEX(PE_Nom,MATCH(B1265,PE_Mat,0)),"Matricule inconnu"))</f>
        <v/>
      </c>
      <c r="D1265" s="76" t="str">
        <f aca="false">IF(B1265="","",IFERROR(INDEX(PE_Fonction,MATCH(B1265,PE_Mat,0)),""))</f>
        <v/>
      </c>
      <c r="E1265" s="76" t="str">
        <f aca="false">IF(B1265="","",IFERROR(INDEX(PE_Equipe,MATCH(B1265,PE_Mat,0)),""))</f>
        <v/>
      </c>
      <c r="F1265" s="25"/>
      <c r="G1265" s="25"/>
      <c r="H1265" s="68"/>
      <c r="I1265" s="89"/>
      <c r="J1265" s="31" t="str">
        <f aca="false">IF(B1265="","",IFERROR(INDEX(PE_Taux,MATCH(B1265,PE_Mat,0)),0))</f>
        <v/>
      </c>
      <c r="K1265" s="31" t="str">
        <f aca="false">IF(B1265="","",IF(H1265="A",0,IFERROR(N(I1265)/P_Heures*J1265,0)))</f>
        <v/>
      </c>
      <c r="L1265" s="25"/>
    </row>
    <row r="1266" customFormat="false" ht="15" hidden="false" customHeight="false" outlineLevel="0" collapsed="false">
      <c r="A1266" s="69"/>
      <c r="B1266" s="68"/>
      <c r="C1266" s="76" t="str">
        <f aca="false">IF(B1266="","",IFERROR(INDEX(PE_Nom,MATCH(B1266,PE_Mat,0)),"Matricule inconnu"))</f>
        <v/>
      </c>
      <c r="D1266" s="76" t="str">
        <f aca="false">IF(B1266="","",IFERROR(INDEX(PE_Fonction,MATCH(B1266,PE_Mat,0)),""))</f>
        <v/>
      </c>
      <c r="E1266" s="76" t="str">
        <f aca="false">IF(B1266="","",IFERROR(INDEX(PE_Equipe,MATCH(B1266,PE_Mat,0)),""))</f>
        <v/>
      </c>
      <c r="F1266" s="25"/>
      <c r="G1266" s="25"/>
      <c r="H1266" s="68"/>
      <c r="I1266" s="89"/>
      <c r="J1266" s="31" t="str">
        <f aca="false">IF(B1266="","",IFERROR(INDEX(PE_Taux,MATCH(B1266,PE_Mat,0)),0))</f>
        <v/>
      </c>
      <c r="K1266" s="31" t="str">
        <f aca="false">IF(B1266="","",IF(H1266="A",0,IFERROR(N(I1266)/P_Heures*J1266,0)))</f>
        <v/>
      </c>
      <c r="L1266" s="25"/>
    </row>
    <row r="1267" customFormat="false" ht="15" hidden="false" customHeight="false" outlineLevel="0" collapsed="false">
      <c r="A1267" s="69"/>
      <c r="B1267" s="68"/>
      <c r="C1267" s="76" t="str">
        <f aca="false">IF(B1267="","",IFERROR(INDEX(PE_Nom,MATCH(B1267,PE_Mat,0)),"Matricule inconnu"))</f>
        <v/>
      </c>
      <c r="D1267" s="76" t="str">
        <f aca="false">IF(B1267="","",IFERROR(INDEX(PE_Fonction,MATCH(B1267,PE_Mat,0)),""))</f>
        <v/>
      </c>
      <c r="E1267" s="76" t="str">
        <f aca="false">IF(B1267="","",IFERROR(INDEX(PE_Equipe,MATCH(B1267,PE_Mat,0)),""))</f>
        <v/>
      </c>
      <c r="F1267" s="25"/>
      <c r="G1267" s="25"/>
      <c r="H1267" s="68"/>
      <c r="I1267" s="89"/>
      <c r="J1267" s="31" t="str">
        <f aca="false">IF(B1267="","",IFERROR(INDEX(PE_Taux,MATCH(B1267,PE_Mat,0)),0))</f>
        <v/>
      </c>
      <c r="K1267" s="31" t="str">
        <f aca="false">IF(B1267="","",IF(H1267="A",0,IFERROR(N(I1267)/P_Heures*J1267,0)))</f>
        <v/>
      </c>
      <c r="L1267" s="25"/>
    </row>
    <row r="1268" customFormat="false" ht="15" hidden="false" customHeight="false" outlineLevel="0" collapsed="false">
      <c r="A1268" s="69"/>
      <c r="B1268" s="68"/>
      <c r="C1268" s="76" t="str">
        <f aca="false">IF(B1268="","",IFERROR(INDEX(PE_Nom,MATCH(B1268,PE_Mat,0)),"Matricule inconnu"))</f>
        <v/>
      </c>
      <c r="D1268" s="76" t="str">
        <f aca="false">IF(B1268="","",IFERROR(INDEX(PE_Fonction,MATCH(B1268,PE_Mat,0)),""))</f>
        <v/>
      </c>
      <c r="E1268" s="76" t="str">
        <f aca="false">IF(B1268="","",IFERROR(INDEX(PE_Equipe,MATCH(B1268,PE_Mat,0)),""))</f>
        <v/>
      </c>
      <c r="F1268" s="25"/>
      <c r="G1268" s="25"/>
      <c r="H1268" s="68"/>
      <c r="I1268" s="89"/>
      <c r="J1268" s="31" t="str">
        <f aca="false">IF(B1268="","",IFERROR(INDEX(PE_Taux,MATCH(B1268,PE_Mat,0)),0))</f>
        <v/>
      </c>
      <c r="K1268" s="31" t="str">
        <f aca="false">IF(B1268="","",IF(H1268="A",0,IFERROR(N(I1268)/P_Heures*J1268,0)))</f>
        <v/>
      </c>
      <c r="L1268" s="25"/>
    </row>
    <row r="1269" customFormat="false" ht="15" hidden="false" customHeight="false" outlineLevel="0" collapsed="false">
      <c r="A1269" s="69"/>
      <c r="B1269" s="68"/>
      <c r="C1269" s="76" t="str">
        <f aca="false">IF(B1269="","",IFERROR(INDEX(PE_Nom,MATCH(B1269,PE_Mat,0)),"Matricule inconnu"))</f>
        <v/>
      </c>
      <c r="D1269" s="76" t="str">
        <f aca="false">IF(B1269="","",IFERROR(INDEX(PE_Fonction,MATCH(B1269,PE_Mat,0)),""))</f>
        <v/>
      </c>
      <c r="E1269" s="76" t="str">
        <f aca="false">IF(B1269="","",IFERROR(INDEX(PE_Equipe,MATCH(B1269,PE_Mat,0)),""))</f>
        <v/>
      </c>
      <c r="F1269" s="25"/>
      <c r="G1269" s="25"/>
      <c r="H1269" s="68"/>
      <c r="I1269" s="89"/>
      <c r="J1269" s="31" t="str">
        <f aca="false">IF(B1269="","",IFERROR(INDEX(PE_Taux,MATCH(B1269,PE_Mat,0)),0))</f>
        <v/>
      </c>
      <c r="K1269" s="31" t="str">
        <f aca="false">IF(B1269="","",IF(H1269="A",0,IFERROR(N(I1269)/P_Heures*J1269,0)))</f>
        <v/>
      </c>
      <c r="L1269" s="25"/>
    </row>
    <row r="1270" customFormat="false" ht="15" hidden="false" customHeight="false" outlineLevel="0" collapsed="false">
      <c r="A1270" s="69"/>
      <c r="B1270" s="68"/>
      <c r="C1270" s="76" t="str">
        <f aca="false">IF(B1270="","",IFERROR(INDEX(PE_Nom,MATCH(B1270,PE_Mat,0)),"Matricule inconnu"))</f>
        <v/>
      </c>
      <c r="D1270" s="76" t="str">
        <f aca="false">IF(B1270="","",IFERROR(INDEX(PE_Fonction,MATCH(B1270,PE_Mat,0)),""))</f>
        <v/>
      </c>
      <c r="E1270" s="76" t="str">
        <f aca="false">IF(B1270="","",IFERROR(INDEX(PE_Equipe,MATCH(B1270,PE_Mat,0)),""))</f>
        <v/>
      </c>
      <c r="F1270" s="25"/>
      <c r="G1270" s="25"/>
      <c r="H1270" s="68"/>
      <c r="I1270" s="89"/>
      <c r="J1270" s="31" t="str">
        <f aca="false">IF(B1270="","",IFERROR(INDEX(PE_Taux,MATCH(B1270,PE_Mat,0)),0))</f>
        <v/>
      </c>
      <c r="K1270" s="31" t="str">
        <f aca="false">IF(B1270="","",IF(H1270="A",0,IFERROR(N(I1270)/P_Heures*J1270,0)))</f>
        <v/>
      </c>
      <c r="L1270" s="25"/>
    </row>
    <row r="1271" customFormat="false" ht="15" hidden="false" customHeight="false" outlineLevel="0" collapsed="false">
      <c r="A1271" s="69"/>
      <c r="B1271" s="68"/>
      <c r="C1271" s="76" t="str">
        <f aca="false">IF(B1271="","",IFERROR(INDEX(PE_Nom,MATCH(B1271,PE_Mat,0)),"Matricule inconnu"))</f>
        <v/>
      </c>
      <c r="D1271" s="76" t="str">
        <f aca="false">IF(B1271="","",IFERROR(INDEX(PE_Fonction,MATCH(B1271,PE_Mat,0)),""))</f>
        <v/>
      </c>
      <c r="E1271" s="76" t="str">
        <f aca="false">IF(B1271="","",IFERROR(INDEX(PE_Equipe,MATCH(B1271,PE_Mat,0)),""))</f>
        <v/>
      </c>
      <c r="F1271" s="25"/>
      <c r="G1271" s="25"/>
      <c r="H1271" s="68"/>
      <c r="I1271" s="89"/>
      <c r="J1271" s="31" t="str">
        <f aca="false">IF(B1271="","",IFERROR(INDEX(PE_Taux,MATCH(B1271,PE_Mat,0)),0))</f>
        <v/>
      </c>
      <c r="K1271" s="31" t="str">
        <f aca="false">IF(B1271="","",IF(H1271="A",0,IFERROR(N(I1271)/P_Heures*J1271,0)))</f>
        <v/>
      </c>
      <c r="L1271" s="25"/>
    </row>
    <row r="1272" customFormat="false" ht="15" hidden="false" customHeight="false" outlineLevel="0" collapsed="false">
      <c r="A1272" s="69"/>
      <c r="B1272" s="68"/>
      <c r="C1272" s="76" t="str">
        <f aca="false">IF(B1272="","",IFERROR(INDEX(PE_Nom,MATCH(B1272,PE_Mat,0)),"Matricule inconnu"))</f>
        <v/>
      </c>
      <c r="D1272" s="76" t="str">
        <f aca="false">IF(B1272="","",IFERROR(INDEX(PE_Fonction,MATCH(B1272,PE_Mat,0)),""))</f>
        <v/>
      </c>
      <c r="E1272" s="76" t="str">
        <f aca="false">IF(B1272="","",IFERROR(INDEX(PE_Equipe,MATCH(B1272,PE_Mat,0)),""))</f>
        <v/>
      </c>
      <c r="F1272" s="25"/>
      <c r="G1272" s="25"/>
      <c r="H1272" s="68"/>
      <c r="I1272" s="89"/>
      <c r="J1272" s="31" t="str">
        <f aca="false">IF(B1272="","",IFERROR(INDEX(PE_Taux,MATCH(B1272,PE_Mat,0)),0))</f>
        <v/>
      </c>
      <c r="K1272" s="31" t="str">
        <f aca="false">IF(B1272="","",IF(H1272="A",0,IFERROR(N(I1272)/P_Heures*J1272,0)))</f>
        <v/>
      </c>
      <c r="L1272" s="25"/>
    </row>
    <row r="1273" customFormat="false" ht="15" hidden="false" customHeight="false" outlineLevel="0" collapsed="false">
      <c r="A1273" s="69"/>
      <c r="B1273" s="68"/>
      <c r="C1273" s="76" t="str">
        <f aca="false">IF(B1273="","",IFERROR(INDEX(PE_Nom,MATCH(B1273,PE_Mat,0)),"Matricule inconnu"))</f>
        <v/>
      </c>
      <c r="D1273" s="76" t="str">
        <f aca="false">IF(B1273="","",IFERROR(INDEX(PE_Fonction,MATCH(B1273,PE_Mat,0)),""))</f>
        <v/>
      </c>
      <c r="E1273" s="76" t="str">
        <f aca="false">IF(B1273="","",IFERROR(INDEX(PE_Equipe,MATCH(B1273,PE_Mat,0)),""))</f>
        <v/>
      </c>
      <c r="F1273" s="25"/>
      <c r="G1273" s="25"/>
      <c r="H1273" s="68"/>
      <c r="I1273" s="89"/>
      <c r="J1273" s="31" t="str">
        <f aca="false">IF(B1273="","",IFERROR(INDEX(PE_Taux,MATCH(B1273,PE_Mat,0)),0))</f>
        <v/>
      </c>
      <c r="K1273" s="31" t="str">
        <f aca="false">IF(B1273="","",IF(H1273="A",0,IFERROR(N(I1273)/P_Heures*J1273,0)))</f>
        <v/>
      </c>
      <c r="L1273" s="25"/>
    </row>
    <row r="1274" customFormat="false" ht="15" hidden="false" customHeight="false" outlineLevel="0" collapsed="false">
      <c r="A1274" s="69"/>
      <c r="B1274" s="68"/>
      <c r="C1274" s="76" t="str">
        <f aca="false">IF(B1274="","",IFERROR(INDEX(PE_Nom,MATCH(B1274,PE_Mat,0)),"Matricule inconnu"))</f>
        <v/>
      </c>
      <c r="D1274" s="76" t="str">
        <f aca="false">IF(B1274="","",IFERROR(INDEX(PE_Fonction,MATCH(B1274,PE_Mat,0)),""))</f>
        <v/>
      </c>
      <c r="E1274" s="76" t="str">
        <f aca="false">IF(B1274="","",IFERROR(INDEX(PE_Equipe,MATCH(B1274,PE_Mat,0)),""))</f>
        <v/>
      </c>
      <c r="F1274" s="25"/>
      <c r="G1274" s="25"/>
      <c r="H1274" s="68"/>
      <c r="I1274" s="89"/>
      <c r="J1274" s="31" t="str">
        <f aca="false">IF(B1274="","",IFERROR(INDEX(PE_Taux,MATCH(B1274,PE_Mat,0)),0))</f>
        <v/>
      </c>
      <c r="K1274" s="31" t="str">
        <f aca="false">IF(B1274="","",IF(H1274="A",0,IFERROR(N(I1274)/P_Heures*J1274,0)))</f>
        <v/>
      </c>
      <c r="L1274" s="25"/>
    </row>
    <row r="1275" customFormat="false" ht="15" hidden="false" customHeight="false" outlineLevel="0" collapsed="false">
      <c r="A1275" s="69"/>
      <c r="B1275" s="68"/>
      <c r="C1275" s="76" t="str">
        <f aca="false">IF(B1275="","",IFERROR(INDEX(PE_Nom,MATCH(B1275,PE_Mat,0)),"Matricule inconnu"))</f>
        <v/>
      </c>
      <c r="D1275" s="76" t="str">
        <f aca="false">IF(B1275="","",IFERROR(INDEX(PE_Fonction,MATCH(B1275,PE_Mat,0)),""))</f>
        <v/>
      </c>
      <c r="E1275" s="76" t="str">
        <f aca="false">IF(B1275="","",IFERROR(INDEX(PE_Equipe,MATCH(B1275,PE_Mat,0)),""))</f>
        <v/>
      </c>
      <c r="F1275" s="25"/>
      <c r="G1275" s="25"/>
      <c r="H1275" s="68"/>
      <c r="I1275" s="89"/>
      <c r="J1275" s="31" t="str">
        <f aca="false">IF(B1275="","",IFERROR(INDEX(PE_Taux,MATCH(B1275,PE_Mat,0)),0))</f>
        <v/>
      </c>
      <c r="K1275" s="31" t="str">
        <f aca="false">IF(B1275="","",IF(H1275="A",0,IFERROR(N(I1275)/P_Heures*J1275,0)))</f>
        <v/>
      </c>
      <c r="L1275" s="25"/>
    </row>
    <row r="1276" customFormat="false" ht="15" hidden="false" customHeight="false" outlineLevel="0" collapsed="false">
      <c r="A1276" s="69"/>
      <c r="B1276" s="68"/>
      <c r="C1276" s="76" t="str">
        <f aca="false">IF(B1276="","",IFERROR(INDEX(PE_Nom,MATCH(B1276,PE_Mat,0)),"Matricule inconnu"))</f>
        <v/>
      </c>
      <c r="D1276" s="76" t="str">
        <f aca="false">IF(B1276="","",IFERROR(INDEX(PE_Fonction,MATCH(B1276,PE_Mat,0)),""))</f>
        <v/>
      </c>
      <c r="E1276" s="76" t="str">
        <f aca="false">IF(B1276="","",IFERROR(INDEX(PE_Equipe,MATCH(B1276,PE_Mat,0)),""))</f>
        <v/>
      </c>
      <c r="F1276" s="25"/>
      <c r="G1276" s="25"/>
      <c r="H1276" s="68"/>
      <c r="I1276" s="89"/>
      <c r="J1276" s="31" t="str">
        <f aca="false">IF(B1276="","",IFERROR(INDEX(PE_Taux,MATCH(B1276,PE_Mat,0)),0))</f>
        <v/>
      </c>
      <c r="K1276" s="31" t="str">
        <f aca="false">IF(B1276="","",IF(H1276="A",0,IFERROR(N(I1276)/P_Heures*J1276,0)))</f>
        <v/>
      </c>
      <c r="L1276" s="25"/>
    </row>
    <row r="1277" customFormat="false" ht="15" hidden="false" customHeight="false" outlineLevel="0" collapsed="false">
      <c r="A1277" s="69"/>
      <c r="B1277" s="68"/>
      <c r="C1277" s="76" t="str">
        <f aca="false">IF(B1277="","",IFERROR(INDEX(PE_Nom,MATCH(B1277,PE_Mat,0)),"Matricule inconnu"))</f>
        <v/>
      </c>
      <c r="D1277" s="76" t="str">
        <f aca="false">IF(B1277="","",IFERROR(INDEX(PE_Fonction,MATCH(B1277,PE_Mat,0)),""))</f>
        <v/>
      </c>
      <c r="E1277" s="76" t="str">
        <f aca="false">IF(B1277="","",IFERROR(INDEX(PE_Equipe,MATCH(B1277,PE_Mat,0)),""))</f>
        <v/>
      </c>
      <c r="F1277" s="25"/>
      <c r="G1277" s="25"/>
      <c r="H1277" s="68"/>
      <c r="I1277" s="89"/>
      <c r="J1277" s="31" t="str">
        <f aca="false">IF(B1277="","",IFERROR(INDEX(PE_Taux,MATCH(B1277,PE_Mat,0)),0))</f>
        <v/>
      </c>
      <c r="K1277" s="31" t="str">
        <f aca="false">IF(B1277="","",IF(H1277="A",0,IFERROR(N(I1277)/P_Heures*J1277,0)))</f>
        <v/>
      </c>
      <c r="L1277" s="25"/>
    </row>
    <row r="1278" customFormat="false" ht="15" hidden="false" customHeight="false" outlineLevel="0" collapsed="false">
      <c r="A1278" s="69"/>
      <c r="B1278" s="68"/>
      <c r="C1278" s="76" t="str">
        <f aca="false">IF(B1278="","",IFERROR(INDEX(PE_Nom,MATCH(B1278,PE_Mat,0)),"Matricule inconnu"))</f>
        <v/>
      </c>
      <c r="D1278" s="76" t="str">
        <f aca="false">IF(B1278="","",IFERROR(INDEX(PE_Fonction,MATCH(B1278,PE_Mat,0)),""))</f>
        <v/>
      </c>
      <c r="E1278" s="76" t="str">
        <f aca="false">IF(B1278="","",IFERROR(INDEX(PE_Equipe,MATCH(B1278,PE_Mat,0)),""))</f>
        <v/>
      </c>
      <c r="F1278" s="25"/>
      <c r="G1278" s="25"/>
      <c r="H1278" s="68"/>
      <c r="I1278" s="89"/>
      <c r="J1278" s="31" t="str">
        <f aca="false">IF(B1278="","",IFERROR(INDEX(PE_Taux,MATCH(B1278,PE_Mat,0)),0))</f>
        <v/>
      </c>
      <c r="K1278" s="31" t="str">
        <f aca="false">IF(B1278="","",IF(H1278="A",0,IFERROR(N(I1278)/P_Heures*J1278,0)))</f>
        <v/>
      </c>
      <c r="L1278" s="25"/>
    </row>
    <row r="1279" customFormat="false" ht="15" hidden="false" customHeight="false" outlineLevel="0" collapsed="false">
      <c r="A1279" s="69"/>
      <c r="B1279" s="68"/>
      <c r="C1279" s="76" t="str">
        <f aca="false">IF(B1279="","",IFERROR(INDEX(PE_Nom,MATCH(B1279,PE_Mat,0)),"Matricule inconnu"))</f>
        <v/>
      </c>
      <c r="D1279" s="76" t="str">
        <f aca="false">IF(B1279="","",IFERROR(INDEX(PE_Fonction,MATCH(B1279,PE_Mat,0)),""))</f>
        <v/>
      </c>
      <c r="E1279" s="76" t="str">
        <f aca="false">IF(B1279="","",IFERROR(INDEX(PE_Equipe,MATCH(B1279,PE_Mat,0)),""))</f>
        <v/>
      </c>
      <c r="F1279" s="25"/>
      <c r="G1279" s="25"/>
      <c r="H1279" s="68"/>
      <c r="I1279" s="89"/>
      <c r="J1279" s="31" t="str">
        <f aca="false">IF(B1279="","",IFERROR(INDEX(PE_Taux,MATCH(B1279,PE_Mat,0)),0))</f>
        <v/>
      </c>
      <c r="K1279" s="31" t="str">
        <f aca="false">IF(B1279="","",IF(H1279="A",0,IFERROR(N(I1279)/P_Heures*J1279,0)))</f>
        <v/>
      </c>
      <c r="L1279" s="25"/>
    </row>
    <row r="1280" customFormat="false" ht="15" hidden="false" customHeight="false" outlineLevel="0" collapsed="false">
      <c r="A1280" s="69"/>
      <c r="B1280" s="68"/>
      <c r="C1280" s="76" t="str">
        <f aca="false">IF(B1280="","",IFERROR(INDEX(PE_Nom,MATCH(B1280,PE_Mat,0)),"Matricule inconnu"))</f>
        <v/>
      </c>
      <c r="D1280" s="76" t="str">
        <f aca="false">IF(B1280="","",IFERROR(INDEX(PE_Fonction,MATCH(B1280,PE_Mat,0)),""))</f>
        <v/>
      </c>
      <c r="E1280" s="76" t="str">
        <f aca="false">IF(B1280="","",IFERROR(INDEX(PE_Equipe,MATCH(B1280,PE_Mat,0)),""))</f>
        <v/>
      </c>
      <c r="F1280" s="25"/>
      <c r="G1280" s="25"/>
      <c r="H1280" s="68"/>
      <c r="I1280" s="89"/>
      <c r="J1280" s="31" t="str">
        <f aca="false">IF(B1280="","",IFERROR(INDEX(PE_Taux,MATCH(B1280,PE_Mat,0)),0))</f>
        <v/>
      </c>
      <c r="K1280" s="31" t="str">
        <f aca="false">IF(B1280="","",IF(H1280="A",0,IFERROR(N(I1280)/P_Heures*J1280,0)))</f>
        <v/>
      </c>
      <c r="L1280" s="25"/>
    </row>
    <row r="1281" customFormat="false" ht="15" hidden="false" customHeight="false" outlineLevel="0" collapsed="false">
      <c r="A1281" s="69"/>
      <c r="B1281" s="68"/>
      <c r="C1281" s="76" t="str">
        <f aca="false">IF(B1281="","",IFERROR(INDEX(PE_Nom,MATCH(B1281,PE_Mat,0)),"Matricule inconnu"))</f>
        <v/>
      </c>
      <c r="D1281" s="76" t="str">
        <f aca="false">IF(B1281="","",IFERROR(INDEX(PE_Fonction,MATCH(B1281,PE_Mat,0)),""))</f>
        <v/>
      </c>
      <c r="E1281" s="76" t="str">
        <f aca="false">IF(B1281="","",IFERROR(INDEX(PE_Equipe,MATCH(B1281,PE_Mat,0)),""))</f>
        <v/>
      </c>
      <c r="F1281" s="25"/>
      <c r="G1281" s="25"/>
      <c r="H1281" s="68"/>
      <c r="I1281" s="89"/>
      <c r="J1281" s="31" t="str">
        <f aca="false">IF(B1281="","",IFERROR(INDEX(PE_Taux,MATCH(B1281,PE_Mat,0)),0))</f>
        <v/>
      </c>
      <c r="K1281" s="31" t="str">
        <f aca="false">IF(B1281="","",IF(H1281="A",0,IFERROR(N(I1281)/P_Heures*J1281,0)))</f>
        <v/>
      </c>
      <c r="L1281" s="25"/>
    </row>
    <row r="1282" customFormat="false" ht="15" hidden="false" customHeight="false" outlineLevel="0" collapsed="false">
      <c r="A1282" s="69"/>
      <c r="B1282" s="68"/>
      <c r="C1282" s="76" t="str">
        <f aca="false">IF(B1282="","",IFERROR(INDEX(PE_Nom,MATCH(B1282,PE_Mat,0)),"Matricule inconnu"))</f>
        <v/>
      </c>
      <c r="D1282" s="76" t="str">
        <f aca="false">IF(B1282="","",IFERROR(INDEX(PE_Fonction,MATCH(B1282,PE_Mat,0)),""))</f>
        <v/>
      </c>
      <c r="E1282" s="76" t="str">
        <f aca="false">IF(B1282="","",IFERROR(INDEX(PE_Equipe,MATCH(B1282,PE_Mat,0)),""))</f>
        <v/>
      </c>
      <c r="F1282" s="25"/>
      <c r="G1282" s="25"/>
      <c r="H1282" s="68"/>
      <c r="I1282" s="89"/>
      <c r="J1282" s="31" t="str">
        <f aca="false">IF(B1282="","",IFERROR(INDEX(PE_Taux,MATCH(B1282,PE_Mat,0)),0))</f>
        <v/>
      </c>
      <c r="K1282" s="31" t="str">
        <f aca="false">IF(B1282="","",IF(H1282="A",0,IFERROR(N(I1282)/P_Heures*J1282,0)))</f>
        <v/>
      </c>
      <c r="L1282" s="25"/>
    </row>
    <row r="1283" customFormat="false" ht="15" hidden="false" customHeight="false" outlineLevel="0" collapsed="false">
      <c r="A1283" s="69"/>
      <c r="B1283" s="68"/>
      <c r="C1283" s="76" t="str">
        <f aca="false">IF(B1283="","",IFERROR(INDEX(PE_Nom,MATCH(B1283,PE_Mat,0)),"Matricule inconnu"))</f>
        <v/>
      </c>
      <c r="D1283" s="76" t="str">
        <f aca="false">IF(B1283="","",IFERROR(INDEX(PE_Fonction,MATCH(B1283,PE_Mat,0)),""))</f>
        <v/>
      </c>
      <c r="E1283" s="76" t="str">
        <f aca="false">IF(B1283="","",IFERROR(INDEX(PE_Equipe,MATCH(B1283,PE_Mat,0)),""))</f>
        <v/>
      </c>
      <c r="F1283" s="25"/>
      <c r="G1283" s="25"/>
      <c r="H1283" s="68"/>
      <c r="I1283" s="89"/>
      <c r="J1283" s="31" t="str">
        <f aca="false">IF(B1283="","",IFERROR(INDEX(PE_Taux,MATCH(B1283,PE_Mat,0)),0))</f>
        <v/>
      </c>
      <c r="K1283" s="31" t="str">
        <f aca="false">IF(B1283="","",IF(H1283="A",0,IFERROR(N(I1283)/P_Heures*J1283,0)))</f>
        <v/>
      </c>
      <c r="L1283" s="25"/>
    </row>
    <row r="1284" customFormat="false" ht="15" hidden="false" customHeight="false" outlineLevel="0" collapsed="false">
      <c r="A1284" s="69"/>
      <c r="B1284" s="68"/>
      <c r="C1284" s="76" t="str">
        <f aca="false">IF(B1284="","",IFERROR(INDEX(PE_Nom,MATCH(B1284,PE_Mat,0)),"Matricule inconnu"))</f>
        <v/>
      </c>
      <c r="D1284" s="76" t="str">
        <f aca="false">IF(B1284="","",IFERROR(INDEX(PE_Fonction,MATCH(B1284,PE_Mat,0)),""))</f>
        <v/>
      </c>
      <c r="E1284" s="76" t="str">
        <f aca="false">IF(B1284="","",IFERROR(INDEX(PE_Equipe,MATCH(B1284,PE_Mat,0)),""))</f>
        <v/>
      </c>
      <c r="F1284" s="25"/>
      <c r="G1284" s="25"/>
      <c r="H1284" s="68"/>
      <c r="I1284" s="89"/>
      <c r="J1284" s="31" t="str">
        <f aca="false">IF(B1284="","",IFERROR(INDEX(PE_Taux,MATCH(B1284,PE_Mat,0)),0))</f>
        <v/>
      </c>
      <c r="K1284" s="31" t="str">
        <f aca="false">IF(B1284="","",IF(H1284="A",0,IFERROR(N(I1284)/P_Heures*J1284,0)))</f>
        <v/>
      </c>
      <c r="L1284" s="25"/>
    </row>
    <row r="1285" customFormat="false" ht="15" hidden="false" customHeight="false" outlineLevel="0" collapsed="false">
      <c r="A1285" s="69"/>
      <c r="B1285" s="68"/>
      <c r="C1285" s="76" t="str">
        <f aca="false">IF(B1285="","",IFERROR(INDEX(PE_Nom,MATCH(B1285,PE_Mat,0)),"Matricule inconnu"))</f>
        <v/>
      </c>
      <c r="D1285" s="76" t="str">
        <f aca="false">IF(B1285="","",IFERROR(INDEX(PE_Fonction,MATCH(B1285,PE_Mat,0)),""))</f>
        <v/>
      </c>
      <c r="E1285" s="76" t="str">
        <f aca="false">IF(B1285="","",IFERROR(INDEX(PE_Equipe,MATCH(B1285,PE_Mat,0)),""))</f>
        <v/>
      </c>
      <c r="F1285" s="25"/>
      <c r="G1285" s="25"/>
      <c r="H1285" s="68"/>
      <c r="I1285" s="89"/>
      <c r="J1285" s="31" t="str">
        <f aca="false">IF(B1285="","",IFERROR(INDEX(PE_Taux,MATCH(B1285,PE_Mat,0)),0))</f>
        <v/>
      </c>
      <c r="K1285" s="31" t="str">
        <f aca="false">IF(B1285="","",IF(H1285="A",0,IFERROR(N(I1285)/P_Heures*J1285,0)))</f>
        <v/>
      </c>
      <c r="L1285" s="25"/>
    </row>
    <row r="1286" customFormat="false" ht="15" hidden="false" customHeight="false" outlineLevel="0" collapsed="false">
      <c r="A1286" s="69"/>
      <c r="B1286" s="68"/>
      <c r="C1286" s="76" t="str">
        <f aca="false">IF(B1286="","",IFERROR(INDEX(PE_Nom,MATCH(B1286,PE_Mat,0)),"Matricule inconnu"))</f>
        <v/>
      </c>
      <c r="D1286" s="76" t="str">
        <f aca="false">IF(B1286="","",IFERROR(INDEX(PE_Fonction,MATCH(B1286,PE_Mat,0)),""))</f>
        <v/>
      </c>
      <c r="E1286" s="76" t="str">
        <f aca="false">IF(B1286="","",IFERROR(INDEX(PE_Equipe,MATCH(B1286,PE_Mat,0)),""))</f>
        <v/>
      </c>
      <c r="F1286" s="25"/>
      <c r="G1286" s="25"/>
      <c r="H1286" s="68"/>
      <c r="I1286" s="89"/>
      <c r="J1286" s="31" t="str">
        <f aca="false">IF(B1286="","",IFERROR(INDEX(PE_Taux,MATCH(B1286,PE_Mat,0)),0))</f>
        <v/>
      </c>
      <c r="K1286" s="31" t="str">
        <f aca="false">IF(B1286="","",IF(H1286="A",0,IFERROR(N(I1286)/P_Heures*J1286,0)))</f>
        <v/>
      </c>
      <c r="L1286" s="25"/>
    </row>
    <row r="1287" customFormat="false" ht="15" hidden="false" customHeight="false" outlineLevel="0" collapsed="false">
      <c r="A1287" s="69"/>
      <c r="B1287" s="68"/>
      <c r="C1287" s="76" t="str">
        <f aca="false">IF(B1287="","",IFERROR(INDEX(PE_Nom,MATCH(B1287,PE_Mat,0)),"Matricule inconnu"))</f>
        <v/>
      </c>
      <c r="D1287" s="76" t="str">
        <f aca="false">IF(B1287="","",IFERROR(INDEX(PE_Fonction,MATCH(B1287,PE_Mat,0)),""))</f>
        <v/>
      </c>
      <c r="E1287" s="76" t="str">
        <f aca="false">IF(B1287="","",IFERROR(INDEX(PE_Equipe,MATCH(B1287,PE_Mat,0)),""))</f>
        <v/>
      </c>
      <c r="F1287" s="25"/>
      <c r="G1287" s="25"/>
      <c r="H1287" s="68"/>
      <c r="I1287" s="89"/>
      <c r="J1287" s="31" t="str">
        <f aca="false">IF(B1287="","",IFERROR(INDEX(PE_Taux,MATCH(B1287,PE_Mat,0)),0))</f>
        <v/>
      </c>
      <c r="K1287" s="31" t="str">
        <f aca="false">IF(B1287="","",IF(H1287="A",0,IFERROR(N(I1287)/P_Heures*J1287,0)))</f>
        <v/>
      </c>
      <c r="L1287" s="25"/>
    </row>
    <row r="1288" customFormat="false" ht="15" hidden="false" customHeight="false" outlineLevel="0" collapsed="false">
      <c r="A1288" s="69"/>
      <c r="B1288" s="68"/>
      <c r="C1288" s="76" t="str">
        <f aca="false">IF(B1288="","",IFERROR(INDEX(PE_Nom,MATCH(B1288,PE_Mat,0)),"Matricule inconnu"))</f>
        <v/>
      </c>
      <c r="D1288" s="76" t="str">
        <f aca="false">IF(B1288="","",IFERROR(INDEX(PE_Fonction,MATCH(B1288,PE_Mat,0)),""))</f>
        <v/>
      </c>
      <c r="E1288" s="76" t="str">
        <f aca="false">IF(B1288="","",IFERROR(INDEX(PE_Equipe,MATCH(B1288,PE_Mat,0)),""))</f>
        <v/>
      </c>
      <c r="F1288" s="25"/>
      <c r="G1288" s="25"/>
      <c r="H1288" s="68"/>
      <c r="I1288" s="89"/>
      <c r="J1288" s="31" t="str">
        <f aca="false">IF(B1288="","",IFERROR(INDEX(PE_Taux,MATCH(B1288,PE_Mat,0)),0))</f>
        <v/>
      </c>
      <c r="K1288" s="31" t="str">
        <f aca="false">IF(B1288="","",IF(H1288="A",0,IFERROR(N(I1288)/P_Heures*J1288,0)))</f>
        <v/>
      </c>
      <c r="L1288" s="25"/>
    </row>
    <row r="1289" customFormat="false" ht="15" hidden="false" customHeight="false" outlineLevel="0" collapsed="false">
      <c r="A1289" s="69"/>
      <c r="B1289" s="68"/>
      <c r="C1289" s="76" t="str">
        <f aca="false">IF(B1289="","",IFERROR(INDEX(PE_Nom,MATCH(B1289,PE_Mat,0)),"Matricule inconnu"))</f>
        <v/>
      </c>
      <c r="D1289" s="76" t="str">
        <f aca="false">IF(B1289="","",IFERROR(INDEX(PE_Fonction,MATCH(B1289,PE_Mat,0)),""))</f>
        <v/>
      </c>
      <c r="E1289" s="76" t="str">
        <f aca="false">IF(B1289="","",IFERROR(INDEX(PE_Equipe,MATCH(B1289,PE_Mat,0)),""))</f>
        <v/>
      </c>
      <c r="F1289" s="25"/>
      <c r="G1289" s="25"/>
      <c r="H1289" s="68"/>
      <c r="I1289" s="89"/>
      <c r="J1289" s="31" t="str">
        <f aca="false">IF(B1289="","",IFERROR(INDEX(PE_Taux,MATCH(B1289,PE_Mat,0)),0))</f>
        <v/>
      </c>
      <c r="K1289" s="31" t="str">
        <f aca="false">IF(B1289="","",IF(H1289="A",0,IFERROR(N(I1289)/P_Heures*J1289,0)))</f>
        <v/>
      </c>
      <c r="L1289" s="25"/>
    </row>
    <row r="1290" customFormat="false" ht="15" hidden="false" customHeight="false" outlineLevel="0" collapsed="false">
      <c r="A1290" s="69"/>
      <c r="B1290" s="68"/>
      <c r="C1290" s="76" t="str">
        <f aca="false">IF(B1290="","",IFERROR(INDEX(PE_Nom,MATCH(B1290,PE_Mat,0)),"Matricule inconnu"))</f>
        <v/>
      </c>
      <c r="D1290" s="76" t="str">
        <f aca="false">IF(B1290="","",IFERROR(INDEX(PE_Fonction,MATCH(B1290,PE_Mat,0)),""))</f>
        <v/>
      </c>
      <c r="E1290" s="76" t="str">
        <f aca="false">IF(B1290="","",IFERROR(INDEX(PE_Equipe,MATCH(B1290,PE_Mat,0)),""))</f>
        <v/>
      </c>
      <c r="F1290" s="25"/>
      <c r="G1290" s="25"/>
      <c r="H1290" s="68"/>
      <c r="I1290" s="89"/>
      <c r="J1290" s="31" t="str">
        <f aca="false">IF(B1290="","",IFERROR(INDEX(PE_Taux,MATCH(B1290,PE_Mat,0)),0))</f>
        <v/>
      </c>
      <c r="K1290" s="31" t="str">
        <f aca="false">IF(B1290="","",IF(H1290="A",0,IFERROR(N(I1290)/P_Heures*J1290,0)))</f>
        <v/>
      </c>
      <c r="L1290" s="25"/>
    </row>
    <row r="1291" customFormat="false" ht="15" hidden="false" customHeight="false" outlineLevel="0" collapsed="false">
      <c r="A1291" s="69"/>
      <c r="B1291" s="68"/>
      <c r="C1291" s="76" t="str">
        <f aca="false">IF(B1291="","",IFERROR(INDEX(PE_Nom,MATCH(B1291,PE_Mat,0)),"Matricule inconnu"))</f>
        <v/>
      </c>
      <c r="D1291" s="76" t="str">
        <f aca="false">IF(B1291="","",IFERROR(INDEX(PE_Fonction,MATCH(B1291,PE_Mat,0)),""))</f>
        <v/>
      </c>
      <c r="E1291" s="76" t="str">
        <f aca="false">IF(B1291="","",IFERROR(INDEX(PE_Equipe,MATCH(B1291,PE_Mat,0)),""))</f>
        <v/>
      </c>
      <c r="F1291" s="25"/>
      <c r="G1291" s="25"/>
      <c r="H1291" s="68"/>
      <c r="I1291" s="89"/>
      <c r="J1291" s="31" t="str">
        <f aca="false">IF(B1291="","",IFERROR(INDEX(PE_Taux,MATCH(B1291,PE_Mat,0)),0))</f>
        <v/>
      </c>
      <c r="K1291" s="31" t="str">
        <f aca="false">IF(B1291="","",IF(H1291="A",0,IFERROR(N(I1291)/P_Heures*J1291,0)))</f>
        <v/>
      </c>
      <c r="L1291" s="25"/>
    </row>
    <row r="1292" customFormat="false" ht="15" hidden="false" customHeight="false" outlineLevel="0" collapsed="false">
      <c r="A1292" s="69"/>
      <c r="B1292" s="68"/>
      <c r="C1292" s="76" t="str">
        <f aca="false">IF(B1292="","",IFERROR(INDEX(PE_Nom,MATCH(B1292,PE_Mat,0)),"Matricule inconnu"))</f>
        <v/>
      </c>
      <c r="D1292" s="76" t="str">
        <f aca="false">IF(B1292="","",IFERROR(INDEX(PE_Fonction,MATCH(B1292,PE_Mat,0)),""))</f>
        <v/>
      </c>
      <c r="E1292" s="76" t="str">
        <f aca="false">IF(B1292="","",IFERROR(INDEX(PE_Equipe,MATCH(B1292,PE_Mat,0)),""))</f>
        <v/>
      </c>
      <c r="F1292" s="25"/>
      <c r="G1292" s="25"/>
      <c r="H1292" s="68"/>
      <c r="I1292" s="89"/>
      <c r="J1292" s="31" t="str">
        <f aca="false">IF(B1292="","",IFERROR(INDEX(PE_Taux,MATCH(B1292,PE_Mat,0)),0))</f>
        <v/>
      </c>
      <c r="K1292" s="31" t="str">
        <f aca="false">IF(B1292="","",IF(H1292="A",0,IFERROR(N(I1292)/P_Heures*J1292,0)))</f>
        <v/>
      </c>
      <c r="L1292" s="25"/>
    </row>
    <row r="1293" customFormat="false" ht="15" hidden="false" customHeight="false" outlineLevel="0" collapsed="false">
      <c r="A1293" s="69"/>
      <c r="B1293" s="68"/>
      <c r="C1293" s="76" t="str">
        <f aca="false">IF(B1293="","",IFERROR(INDEX(PE_Nom,MATCH(B1293,PE_Mat,0)),"Matricule inconnu"))</f>
        <v/>
      </c>
      <c r="D1293" s="76" t="str">
        <f aca="false">IF(B1293="","",IFERROR(INDEX(PE_Fonction,MATCH(B1293,PE_Mat,0)),""))</f>
        <v/>
      </c>
      <c r="E1293" s="76" t="str">
        <f aca="false">IF(B1293="","",IFERROR(INDEX(PE_Equipe,MATCH(B1293,PE_Mat,0)),""))</f>
        <v/>
      </c>
      <c r="F1293" s="25"/>
      <c r="G1293" s="25"/>
      <c r="H1293" s="68"/>
      <c r="I1293" s="89"/>
      <c r="J1293" s="31" t="str">
        <f aca="false">IF(B1293="","",IFERROR(INDEX(PE_Taux,MATCH(B1293,PE_Mat,0)),0))</f>
        <v/>
      </c>
      <c r="K1293" s="31" t="str">
        <f aca="false">IF(B1293="","",IF(H1293="A",0,IFERROR(N(I1293)/P_Heures*J1293,0)))</f>
        <v/>
      </c>
      <c r="L1293" s="25"/>
    </row>
    <row r="1294" customFormat="false" ht="15" hidden="false" customHeight="false" outlineLevel="0" collapsed="false">
      <c r="A1294" s="69"/>
      <c r="B1294" s="68"/>
      <c r="C1294" s="76" t="str">
        <f aca="false">IF(B1294="","",IFERROR(INDEX(PE_Nom,MATCH(B1294,PE_Mat,0)),"Matricule inconnu"))</f>
        <v/>
      </c>
      <c r="D1294" s="76" t="str">
        <f aca="false">IF(B1294="","",IFERROR(INDEX(PE_Fonction,MATCH(B1294,PE_Mat,0)),""))</f>
        <v/>
      </c>
      <c r="E1294" s="76" t="str">
        <f aca="false">IF(B1294="","",IFERROR(INDEX(PE_Equipe,MATCH(B1294,PE_Mat,0)),""))</f>
        <v/>
      </c>
      <c r="F1294" s="25"/>
      <c r="G1294" s="25"/>
      <c r="H1294" s="68"/>
      <c r="I1294" s="89"/>
      <c r="J1294" s="31" t="str">
        <f aca="false">IF(B1294="","",IFERROR(INDEX(PE_Taux,MATCH(B1294,PE_Mat,0)),0))</f>
        <v/>
      </c>
      <c r="K1294" s="31" t="str">
        <f aca="false">IF(B1294="","",IF(H1294="A",0,IFERROR(N(I1294)/P_Heures*J1294,0)))</f>
        <v/>
      </c>
      <c r="L1294" s="25"/>
    </row>
    <row r="1295" customFormat="false" ht="15" hidden="false" customHeight="false" outlineLevel="0" collapsed="false">
      <c r="A1295" s="69"/>
      <c r="B1295" s="68"/>
      <c r="C1295" s="76" t="str">
        <f aca="false">IF(B1295="","",IFERROR(INDEX(PE_Nom,MATCH(B1295,PE_Mat,0)),"Matricule inconnu"))</f>
        <v/>
      </c>
      <c r="D1295" s="76" t="str">
        <f aca="false">IF(B1295="","",IFERROR(INDEX(PE_Fonction,MATCH(B1295,PE_Mat,0)),""))</f>
        <v/>
      </c>
      <c r="E1295" s="76" t="str">
        <f aca="false">IF(B1295="","",IFERROR(INDEX(PE_Equipe,MATCH(B1295,PE_Mat,0)),""))</f>
        <v/>
      </c>
      <c r="F1295" s="25"/>
      <c r="G1295" s="25"/>
      <c r="H1295" s="68"/>
      <c r="I1295" s="89"/>
      <c r="J1295" s="31" t="str">
        <f aca="false">IF(B1295="","",IFERROR(INDEX(PE_Taux,MATCH(B1295,PE_Mat,0)),0))</f>
        <v/>
      </c>
      <c r="K1295" s="31" t="str">
        <f aca="false">IF(B1295="","",IF(H1295="A",0,IFERROR(N(I1295)/P_Heures*J1295,0)))</f>
        <v/>
      </c>
      <c r="L1295" s="25"/>
    </row>
    <row r="1296" customFormat="false" ht="15" hidden="false" customHeight="false" outlineLevel="0" collapsed="false">
      <c r="A1296" s="69"/>
      <c r="B1296" s="68"/>
      <c r="C1296" s="76" t="str">
        <f aca="false">IF(B1296="","",IFERROR(INDEX(PE_Nom,MATCH(B1296,PE_Mat,0)),"Matricule inconnu"))</f>
        <v/>
      </c>
      <c r="D1296" s="76" t="str">
        <f aca="false">IF(B1296="","",IFERROR(INDEX(PE_Fonction,MATCH(B1296,PE_Mat,0)),""))</f>
        <v/>
      </c>
      <c r="E1296" s="76" t="str">
        <f aca="false">IF(B1296="","",IFERROR(INDEX(PE_Equipe,MATCH(B1296,PE_Mat,0)),""))</f>
        <v/>
      </c>
      <c r="F1296" s="25"/>
      <c r="G1296" s="25"/>
      <c r="H1296" s="68"/>
      <c r="I1296" s="89"/>
      <c r="J1296" s="31" t="str">
        <f aca="false">IF(B1296="","",IFERROR(INDEX(PE_Taux,MATCH(B1296,PE_Mat,0)),0))</f>
        <v/>
      </c>
      <c r="K1296" s="31" t="str">
        <f aca="false">IF(B1296="","",IF(H1296="A",0,IFERROR(N(I1296)/P_Heures*J1296,0)))</f>
        <v/>
      </c>
      <c r="L1296" s="25"/>
    </row>
    <row r="1297" customFormat="false" ht="15" hidden="false" customHeight="false" outlineLevel="0" collapsed="false">
      <c r="A1297" s="69"/>
      <c r="B1297" s="68"/>
      <c r="C1297" s="76" t="str">
        <f aca="false">IF(B1297="","",IFERROR(INDEX(PE_Nom,MATCH(B1297,PE_Mat,0)),"Matricule inconnu"))</f>
        <v/>
      </c>
      <c r="D1297" s="76" t="str">
        <f aca="false">IF(B1297="","",IFERROR(INDEX(PE_Fonction,MATCH(B1297,PE_Mat,0)),""))</f>
        <v/>
      </c>
      <c r="E1297" s="76" t="str">
        <f aca="false">IF(B1297="","",IFERROR(INDEX(PE_Equipe,MATCH(B1297,PE_Mat,0)),""))</f>
        <v/>
      </c>
      <c r="F1297" s="25"/>
      <c r="G1297" s="25"/>
      <c r="H1297" s="68"/>
      <c r="I1297" s="89"/>
      <c r="J1297" s="31" t="str">
        <f aca="false">IF(B1297="","",IFERROR(INDEX(PE_Taux,MATCH(B1297,PE_Mat,0)),0))</f>
        <v/>
      </c>
      <c r="K1297" s="31" t="str">
        <f aca="false">IF(B1297="","",IF(H1297="A",0,IFERROR(N(I1297)/P_Heures*J1297,0)))</f>
        <v/>
      </c>
      <c r="L1297" s="25"/>
    </row>
    <row r="1298" customFormat="false" ht="15" hidden="false" customHeight="false" outlineLevel="0" collapsed="false">
      <c r="A1298" s="69"/>
      <c r="B1298" s="68"/>
      <c r="C1298" s="76" t="str">
        <f aca="false">IF(B1298="","",IFERROR(INDEX(PE_Nom,MATCH(B1298,PE_Mat,0)),"Matricule inconnu"))</f>
        <v/>
      </c>
      <c r="D1298" s="76" t="str">
        <f aca="false">IF(B1298="","",IFERROR(INDEX(PE_Fonction,MATCH(B1298,PE_Mat,0)),""))</f>
        <v/>
      </c>
      <c r="E1298" s="76" t="str">
        <f aca="false">IF(B1298="","",IFERROR(INDEX(PE_Equipe,MATCH(B1298,PE_Mat,0)),""))</f>
        <v/>
      </c>
      <c r="F1298" s="25"/>
      <c r="G1298" s="25"/>
      <c r="H1298" s="68"/>
      <c r="I1298" s="89"/>
      <c r="J1298" s="31" t="str">
        <f aca="false">IF(B1298="","",IFERROR(INDEX(PE_Taux,MATCH(B1298,PE_Mat,0)),0))</f>
        <v/>
      </c>
      <c r="K1298" s="31" t="str">
        <f aca="false">IF(B1298="","",IF(H1298="A",0,IFERROR(N(I1298)/P_Heures*J1298,0)))</f>
        <v/>
      </c>
      <c r="L1298" s="25"/>
    </row>
    <row r="1299" customFormat="false" ht="15" hidden="false" customHeight="false" outlineLevel="0" collapsed="false">
      <c r="A1299" s="69"/>
      <c r="B1299" s="68"/>
      <c r="C1299" s="76" t="str">
        <f aca="false">IF(B1299="","",IFERROR(INDEX(PE_Nom,MATCH(B1299,PE_Mat,0)),"Matricule inconnu"))</f>
        <v/>
      </c>
      <c r="D1299" s="76" t="str">
        <f aca="false">IF(B1299="","",IFERROR(INDEX(PE_Fonction,MATCH(B1299,PE_Mat,0)),""))</f>
        <v/>
      </c>
      <c r="E1299" s="76" t="str">
        <f aca="false">IF(B1299="","",IFERROR(INDEX(PE_Equipe,MATCH(B1299,PE_Mat,0)),""))</f>
        <v/>
      </c>
      <c r="F1299" s="25"/>
      <c r="G1299" s="25"/>
      <c r="H1299" s="68"/>
      <c r="I1299" s="89"/>
      <c r="J1299" s="31" t="str">
        <f aca="false">IF(B1299="","",IFERROR(INDEX(PE_Taux,MATCH(B1299,PE_Mat,0)),0))</f>
        <v/>
      </c>
      <c r="K1299" s="31" t="str">
        <f aca="false">IF(B1299="","",IF(H1299="A",0,IFERROR(N(I1299)/P_Heures*J1299,0)))</f>
        <v/>
      </c>
      <c r="L1299" s="25"/>
    </row>
    <row r="1300" customFormat="false" ht="15" hidden="false" customHeight="false" outlineLevel="0" collapsed="false">
      <c r="A1300" s="69"/>
      <c r="B1300" s="68"/>
      <c r="C1300" s="76" t="str">
        <f aca="false">IF(B1300="","",IFERROR(INDEX(PE_Nom,MATCH(B1300,PE_Mat,0)),"Matricule inconnu"))</f>
        <v/>
      </c>
      <c r="D1300" s="76" t="str">
        <f aca="false">IF(B1300="","",IFERROR(INDEX(PE_Fonction,MATCH(B1300,PE_Mat,0)),""))</f>
        <v/>
      </c>
      <c r="E1300" s="76" t="str">
        <f aca="false">IF(B1300="","",IFERROR(INDEX(PE_Equipe,MATCH(B1300,PE_Mat,0)),""))</f>
        <v/>
      </c>
      <c r="F1300" s="25"/>
      <c r="G1300" s="25"/>
      <c r="H1300" s="68"/>
      <c r="I1300" s="89"/>
      <c r="J1300" s="31" t="str">
        <f aca="false">IF(B1300="","",IFERROR(INDEX(PE_Taux,MATCH(B1300,PE_Mat,0)),0))</f>
        <v/>
      </c>
      <c r="K1300" s="31" t="str">
        <f aca="false">IF(B1300="","",IF(H1300="A",0,IFERROR(N(I1300)/P_Heures*J1300,0)))</f>
        <v/>
      </c>
      <c r="L1300" s="25"/>
    </row>
    <row r="1301" customFormat="false" ht="15" hidden="false" customHeight="false" outlineLevel="0" collapsed="false">
      <c r="A1301" s="69"/>
      <c r="B1301" s="68"/>
      <c r="C1301" s="76" t="str">
        <f aca="false">IF(B1301="","",IFERROR(INDEX(PE_Nom,MATCH(B1301,PE_Mat,0)),"Matricule inconnu"))</f>
        <v/>
      </c>
      <c r="D1301" s="76" t="str">
        <f aca="false">IF(B1301="","",IFERROR(INDEX(PE_Fonction,MATCH(B1301,PE_Mat,0)),""))</f>
        <v/>
      </c>
      <c r="E1301" s="76" t="str">
        <f aca="false">IF(B1301="","",IFERROR(INDEX(PE_Equipe,MATCH(B1301,PE_Mat,0)),""))</f>
        <v/>
      </c>
      <c r="F1301" s="25"/>
      <c r="G1301" s="25"/>
      <c r="H1301" s="68"/>
      <c r="I1301" s="89"/>
      <c r="J1301" s="31" t="str">
        <f aca="false">IF(B1301="","",IFERROR(INDEX(PE_Taux,MATCH(B1301,PE_Mat,0)),0))</f>
        <v/>
      </c>
      <c r="K1301" s="31" t="str">
        <f aca="false">IF(B1301="","",IF(H1301="A",0,IFERROR(N(I1301)/P_Heures*J1301,0)))</f>
        <v/>
      </c>
      <c r="L1301" s="25"/>
    </row>
    <row r="1302" customFormat="false" ht="15" hidden="false" customHeight="false" outlineLevel="0" collapsed="false">
      <c r="A1302" s="69"/>
      <c r="B1302" s="68"/>
      <c r="C1302" s="76" t="str">
        <f aca="false">IF(B1302="","",IFERROR(INDEX(PE_Nom,MATCH(B1302,PE_Mat,0)),"Matricule inconnu"))</f>
        <v/>
      </c>
      <c r="D1302" s="76" t="str">
        <f aca="false">IF(B1302="","",IFERROR(INDEX(PE_Fonction,MATCH(B1302,PE_Mat,0)),""))</f>
        <v/>
      </c>
      <c r="E1302" s="76" t="str">
        <f aca="false">IF(B1302="","",IFERROR(INDEX(PE_Equipe,MATCH(B1302,PE_Mat,0)),""))</f>
        <v/>
      </c>
      <c r="F1302" s="25"/>
      <c r="G1302" s="25"/>
      <c r="H1302" s="68"/>
      <c r="I1302" s="89"/>
      <c r="J1302" s="31" t="str">
        <f aca="false">IF(B1302="","",IFERROR(INDEX(PE_Taux,MATCH(B1302,PE_Mat,0)),0))</f>
        <v/>
      </c>
      <c r="K1302" s="31" t="str">
        <f aca="false">IF(B1302="","",IF(H1302="A",0,IFERROR(N(I1302)/P_Heures*J1302,0)))</f>
        <v/>
      </c>
      <c r="L1302" s="25"/>
    </row>
    <row r="1303" customFormat="false" ht="15" hidden="false" customHeight="false" outlineLevel="0" collapsed="false">
      <c r="A1303" s="69"/>
      <c r="B1303" s="68"/>
      <c r="C1303" s="76" t="str">
        <f aca="false">IF(B1303="","",IFERROR(INDEX(PE_Nom,MATCH(B1303,PE_Mat,0)),"Matricule inconnu"))</f>
        <v/>
      </c>
      <c r="D1303" s="76" t="str">
        <f aca="false">IF(B1303="","",IFERROR(INDEX(PE_Fonction,MATCH(B1303,PE_Mat,0)),""))</f>
        <v/>
      </c>
      <c r="E1303" s="76" t="str">
        <f aca="false">IF(B1303="","",IFERROR(INDEX(PE_Equipe,MATCH(B1303,PE_Mat,0)),""))</f>
        <v/>
      </c>
      <c r="F1303" s="25"/>
      <c r="G1303" s="25"/>
      <c r="H1303" s="68"/>
      <c r="I1303" s="89"/>
      <c r="J1303" s="31" t="str">
        <f aca="false">IF(B1303="","",IFERROR(INDEX(PE_Taux,MATCH(B1303,PE_Mat,0)),0))</f>
        <v/>
      </c>
      <c r="K1303" s="31" t="str">
        <f aca="false">IF(B1303="","",IF(H1303="A",0,IFERROR(N(I1303)/P_Heures*J1303,0)))</f>
        <v/>
      </c>
      <c r="L1303" s="25"/>
    </row>
    <row r="1304" customFormat="false" ht="15" hidden="false" customHeight="false" outlineLevel="0" collapsed="false">
      <c r="A1304" s="69"/>
      <c r="B1304" s="68"/>
      <c r="C1304" s="76" t="str">
        <f aca="false">IF(B1304="","",IFERROR(INDEX(PE_Nom,MATCH(B1304,PE_Mat,0)),"Matricule inconnu"))</f>
        <v/>
      </c>
      <c r="D1304" s="76" t="str">
        <f aca="false">IF(B1304="","",IFERROR(INDEX(PE_Fonction,MATCH(B1304,PE_Mat,0)),""))</f>
        <v/>
      </c>
      <c r="E1304" s="76" t="str">
        <f aca="false">IF(B1304="","",IFERROR(INDEX(PE_Equipe,MATCH(B1304,PE_Mat,0)),""))</f>
        <v/>
      </c>
      <c r="F1304" s="25"/>
      <c r="G1304" s="25"/>
      <c r="H1304" s="68"/>
      <c r="I1304" s="89"/>
      <c r="J1304" s="31" t="str">
        <f aca="false">IF(B1304="","",IFERROR(INDEX(PE_Taux,MATCH(B1304,PE_Mat,0)),0))</f>
        <v/>
      </c>
      <c r="K1304" s="31" t="str">
        <f aca="false">IF(B1304="","",IF(H1304="A",0,IFERROR(N(I1304)/P_Heures*J1304,0)))</f>
        <v/>
      </c>
      <c r="L1304" s="25"/>
    </row>
    <row r="1305" customFormat="false" ht="15" hidden="false" customHeight="false" outlineLevel="0" collapsed="false">
      <c r="A1305" s="69"/>
      <c r="B1305" s="68"/>
      <c r="C1305" s="76" t="str">
        <f aca="false">IF(B1305="","",IFERROR(INDEX(PE_Nom,MATCH(B1305,PE_Mat,0)),"Matricule inconnu"))</f>
        <v/>
      </c>
      <c r="D1305" s="76" t="str">
        <f aca="false">IF(B1305="","",IFERROR(INDEX(PE_Fonction,MATCH(B1305,PE_Mat,0)),""))</f>
        <v/>
      </c>
      <c r="E1305" s="76" t="str">
        <f aca="false">IF(B1305="","",IFERROR(INDEX(PE_Equipe,MATCH(B1305,PE_Mat,0)),""))</f>
        <v/>
      </c>
      <c r="F1305" s="25"/>
      <c r="G1305" s="25"/>
      <c r="H1305" s="68"/>
      <c r="I1305" s="89"/>
      <c r="J1305" s="31" t="str">
        <f aca="false">IF(B1305="","",IFERROR(INDEX(PE_Taux,MATCH(B1305,PE_Mat,0)),0))</f>
        <v/>
      </c>
      <c r="K1305" s="31" t="str">
        <f aca="false">IF(B1305="","",IF(H1305="A",0,IFERROR(N(I1305)/P_Heures*J1305,0)))</f>
        <v/>
      </c>
      <c r="L1305" s="25"/>
    </row>
    <row r="1306" customFormat="false" ht="15" hidden="false" customHeight="false" outlineLevel="0" collapsed="false">
      <c r="A1306" s="69"/>
      <c r="B1306" s="68"/>
      <c r="C1306" s="76" t="str">
        <f aca="false">IF(B1306="","",IFERROR(INDEX(PE_Nom,MATCH(B1306,PE_Mat,0)),"Matricule inconnu"))</f>
        <v/>
      </c>
      <c r="D1306" s="76" t="str">
        <f aca="false">IF(B1306="","",IFERROR(INDEX(PE_Fonction,MATCH(B1306,PE_Mat,0)),""))</f>
        <v/>
      </c>
      <c r="E1306" s="76" t="str">
        <f aca="false">IF(B1306="","",IFERROR(INDEX(PE_Equipe,MATCH(B1306,PE_Mat,0)),""))</f>
        <v/>
      </c>
      <c r="F1306" s="25"/>
      <c r="G1306" s="25"/>
      <c r="H1306" s="68"/>
      <c r="I1306" s="89"/>
      <c r="J1306" s="31" t="str">
        <f aca="false">IF(B1306="","",IFERROR(INDEX(PE_Taux,MATCH(B1306,PE_Mat,0)),0))</f>
        <v/>
      </c>
      <c r="K1306" s="31" t="str">
        <f aca="false">IF(B1306="","",IF(H1306="A",0,IFERROR(N(I1306)/P_Heures*J1306,0)))</f>
        <v/>
      </c>
      <c r="L1306" s="25"/>
    </row>
    <row r="1307" customFormat="false" ht="15" hidden="false" customHeight="false" outlineLevel="0" collapsed="false">
      <c r="A1307" s="69"/>
      <c r="B1307" s="68"/>
      <c r="C1307" s="76" t="str">
        <f aca="false">IF(B1307="","",IFERROR(INDEX(PE_Nom,MATCH(B1307,PE_Mat,0)),"Matricule inconnu"))</f>
        <v/>
      </c>
      <c r="D1307" s="76" t="str">
        <f aca="false">IF(B1307="","",IFERROR(INDEX(PE_Fonction,MATCH(B1307,PE_Mat,0)),""))</f>
        <v/>
      </c>
      <c r="E1307" s="76" t="str">
        <f aca="false">IF(B1307="","",IFERROR(INDEX(PE_Equipe,MATCH(B1307,PE_Mat,0)),""))</f>
        <v/>
      </c>
      <c r="F1307" s="25"/>
      <c r="G1307" s="25"/>
      <c r="H1307" s="68"/>
      <c r="I1307" s="89"/>
      <c r="J1307" s="31" t="str">
        <f aca="false">IF(B1307="","",IFERROR(INDEX(PE_Taux,MATCH(B1307,PE_Mat,0)),0))</f>
        <v/>
      </c>
      <c r="K1307" s="31" t="str">
        <f aca="false">IF(B1307="","",IF(H1307="A",0,IFERROR(N(I1307)/P_Heures*J1307,0)))</f>
        <v/>
      </c>
      <c r="L1307" s="25"/>
    </row>
    <row r="1308" customFormat="false" ht="15" hidden="false" customHeight="false" outlineLevel="0" collapsed="false">
      <c r="A1308" s="69"/>
      <c r="B1308" s="68"/>
      <c r="C1308" s="76" t="str">
        <f aca="false">IF(B1308="","",IFERROR(INDEX(PE_Nom,MATCH(B1308,PE_Mat,0)),"Matricule inconnu"))</f>
        <v/>
      </c>
      <c r="D1308" s="76" t="str">
        <f aca="false">IF(B1308="","",IFERROR(INDEX(PE_Fonction,MATCH(B1308,PE_Mat,0)),""))</f>
        <v/>
      </c>
      <c r="E1308" s="76" t="str">
        <f aca="false">IF(B1308="","",IFERROR(INDEX(PE_Equipe,MATCH(B1308,PE_Mat,0)),""))</f>
        <v/>
      </c>
      <c r="F1308" s="25"/>
      <c r="G1308" s="25"/>
      <c r="H1308" s="68"/>
      <c r="I1308" s="89"/>
      <c r="J1308" s="31" t="str">
        <f aca="false">IF(B1308="","",IFERROR(INDEX(PE_Taux,MATCH(B1308,PE_Mat,0)),0))</f>
        <v/>
      </c>
      <c r="K1308" s="31" t="str">
        <f aca="false">IF(B1308="","",IF(H1308="A",0,IFERROR(N(I1308)/P_Heures*J1308,0)))</f>
        <v/>
      </c>
      <c r="L1308" s="25"/>
    </row>
    <row r="1309" customFormat="false" ht="15" hidden="false" customHeight="false" outlineLevel="0" collapsed="false">
      <c r="A1309" s="69"/>
      <c r="B1309" s="68"/>
      <c r="C1309" s="76" t="str">
        <f aca="false">IF(B1309="","",IFERROR(INDEX(PE_Nom,MATCH(B1309,PE_Mat,0)),"Matricule inconnu"))</f>
        <v/>
      </c>
      <c r="D1309" s="76" t="str">
        <f aca="false">IF(B1309="","",IFERROR(INDEX(PE_Fonction,MATCH(B1309,PE_Mat,0)),""))</f>
        <v/>
      </c>
      <c r="E1309" s="76" t="str">
        <f aca="false">IF(B1309="","",IFERROR(INDEX(PE_Equipe,MATCH(B1309,PE_Mat,0)),""))</f>
        <v/>
      </c>
      <c r="F1309" s="25"/>
      <c r="G1309" s="25"/>
      <c r="H1309" s="68"/>
      <c r="I1309" s="89"/>
      <c r="J1309" s="31" t="str">
        <f aca="false">IF(B1309="","",IFERROR(INDEX(PE_Taux,MATCH(B1309,PE_Mat,0)),0))</f>
        <v/>
      </c>
      <c r="K1309" s="31" t="str">
        <f aca="false">IF(B1309="","",IF(H1309="A",0,IFERROR(N(I1309)/P_Heures*J1309,0)))</f>
        <v/>
      </c>
      <c r="L1309" s="25"/>
    </row>
    <row r="1310" customFormat="false" ht="15" hidden="false" customHeight="false" outlineLevel="0" collapsed="false">
      <c r="A1310" s="69"/>
      <c r="B1310" s="68"/>
      <c r="C1310" s="76" t="str">
        <f aca="false">IF(B1310="","",IFERROR(INDEX(PE_Nom,MATCH(B1310,PE_Mat,0)),"Matricule inconnu"))</f>
        <v/>
      </c>
      <c r="D1310" s="76" t="str">
        <f aca="false">IF(B1310="","",IFERROR(INDEX(PE_Fonction,MATCH(B1310,PE_Mat,0)),""))</f>
        <v/>
      </c>
      <c r="E1310" s="76" t="str">
        <f aca="false">IF(B1310="","",IFERROR(INDEX(PE_Equipe,MATCH(B1310,PE_Mat,0)),""))</f>
        <v/>
      </c>
      <c r="F1310" s="25"/>
      <c r="G1310" s="25"/>
      <c r="H1310" s="68"/>
      <c r="I1310" s="89"/>
      <c r="J1310" s="31" t="str">
        <f aca="false">IF(B1310="","",IFERROR(INDEX(PE_Taux,MATCH(B1310,PE_Mat,0)),0))</f>
        <v/>
      </c>
      <c r="K1310" s="31" t="str">
        <f aca="false">IF(B1310="","",IF(H1310="A",0,IFERROR(N(I1310)/P_Heures*J1310,0)))</f>
        <v/>
      </c>
      <c r="L1310" s="25"/>
    </row>
    <row r="1311" customFormat="false" ht="15" hidden="false" customHeight="false" outlineLevel="0" collapsed="false">
      <c r="A1311" s="69"/>
      <c r="B1311" s="68"/>
      <c r="C1311" s="76" t="str">
        <f aca="false">IF(B1311="","",IFERROR(INDEX(PE_Nom,MATCH(B1311,PE_Mat,0)),"Matricule inconnu"))</f>
        <v/>
      </c>
      <c r="D1311" s="76" t="str">
        <f aca="false">IF(B1311="","",IFERROR(INDEX(PE_Fonction,MATCH(B1311,PE_Mat,0)),""))</f>
        <v/>
      </c>
      <c r="E1311" s="76" t="str">
        <f aca="false">IF(B1311="","",IFERROR(INDEX(PE_Equipe,MATCH(B1311,PE_Mat,0)),""))</f>
        <v/>
      </c>
      <c r="F1311" s="25"/>
      <c r="G1311" s="25"/>
      <c r="H1311" s="68"/>
      <c r="I1311" s="89"/>
      <c r="J1311" s="31" t="str">
        <f aca="false">IF(B1311="","",IFERROR(INDEX(PE_Taux,MATCH(B1311,PE_Mat,0)),0))</f>
        <v/>
      </c>
      <c r="K1311" s="31" t="str">
        <f aca="false">IF(B1311="","",IF(H1311="A",0,IFERROR(N(I1311)/P_Heures*J1311,0)))</f>
        <v/>
      </c>
      <c r="L1311" s="25"/>
    </row>
    <row r="1312" customFormat="false" ht="15" hidden="false" customHeight="false" outlineLevel="0" collapsed="false">
      <c r="A1312" s="69"/>
      <c r="B1312" s="68"/>
      <c r="C1312" s="76" t="str">
        <f aca="false">IF(B1312="","",IFERROR(INDEX(PE_Nom,MATCH(B1312,PE_Mat,0)),"Matricule inconnu"))</f>
        <v/>
      </c>
      <c r="D1312" s="76" t="str">
        <f aca="false">IF(B1312="","",IFERROR(INDEX(PE_Fonction,MATCH(B1312,PE_Mat,0)),""))</f>
        <v/>
      </c>
      <c r="E1312" s="76" t="str">
        <f aca="false">IF(B1312="","",IFERROR(INDEX(PE_Equipe,MATCH(B1312,PE_Mat,0)),""))</f>
        <v/>
      </c>
      <c r="F1312" s="25"/>
      <c r="G1312" s="25"/>
      <c r="H1312" s="68"/>
      <c r="I1312" s="89"/>
      <c r="J1312" s="31" t="str">
        <f aca="false">IF(B1312="","",IFERROR(INDEX(PE_Taux,MATCH(B1312,PE_Mat,0)),0))</f>
        <v/>
      </c>
      <c r="K1312" s="31" t="str">
        <f aca="false">IF(B1312="","",IF(H1312="A",0,IFERROR(N(I1312)/P_Heures*J1312,0)))</f>
        <v/>
      </c>
      <c r="L1312" s="25"/>
    </row>
    <row r="1313" customFormat="false" ht="15" hidden="false" customHeight="false" outlineLevel="0" collapsed="false">
      <c r="A1313" s="69"/>
      <c r="B1313" s="68"/>
      <c r="C1313" s="76" t="str">
        <f aca="false">IF(B1313="","",IFERROR(INDEX(PE_Nom,MATCH(B1313,PE_Mat,0)),"Matricule inconnu"))</f>
        <v/>
      </c>
      <c r="D1313" s="76" t="str">
        <f aca="false">IF(B1313="","",IFERROR(INDEX(PE_Fonction,MATCH(B1313,PE_Mat,0)),""))</f>
        <v/>
      </c>
      <c r="E1313" s="76" t="str">
        <f aca="false">IF(B1313="","",IFERROR(INDEX(PE_Equipe,MATCH(B1313,PE_Mat,0)),""))</f>
        <v/>
      </c>
      <c r="F1313" s="25"/>
      <c r="G1313" s="25"/>
      <c r="H1313" s="68"/>
      <c r="I1313" s="89"/>
      <c r="J1313" s="31" t="str">
        <f aca="false">IF(B1313="","",IFERROR(INDEX(PE_Taux,MATCH(B1313,PE_Mat,0)),0))</f>
        <v/>
      </c>
      <c r="K1313" s="31" t="str">
        <f aca="false">IF(B1313="","",IF(H1313="A",0,IFERROR(N(I1313)/P_Heures*J1313,0)))</f>
        <v/>
      </c>
      <c r="L1313" s="25"/>
    </row>
    <row r="1314" customFormat="false" ht="15" hidden="false" customHeight="false" outlineLevel="0" collapsed="false">
      <c r="A1314" s="69"/>
      <c r="B1314" s="68"/>
      <c r="C1314" s="76" t="str">
        <f aca="false">IF(B1314="","",IFERROR(INDEX(PE_Nom,MATCH(B1314,PE_Mat,0)),"Matricule inconnu"))</f>
        <v/>
      </c>
      <c r="D1314" s="76" t="str">
        <f aca="false">IF(B1314="","",IFERROR(INDEX(PE_Fonction,MATCH(B1314,PE_Mat,0)),""))</f>
        <v/>
      </c>
      <c r="E1314" s="76" t="str">
        <f aca="false">IF(B1314="","",IFERROR(INDEX(PE_Equipe,MATCH(B1314,PE_Mat,0)),""))</f>
        <v/>
      </c>
      <c r="F1314" s="25"/>
      <c r="G1314" s="25"/>
      <c r="H1314" s="68"/>
      <c r="I1314" s="89"/>
      <c r="J1314" s="31" t="str">
        <f aca="false">IF(B1314="","",IFERROR(INDEX(PE_Taux,MATCH(B1314,PE_Mat,0)),0))</f>
        <v/>
      </c>
      <c r="K1314" s="31" t="str">
        <f aca="false">IF(B1314="","",IF(H1314="A",0,IFERROR(N(I1314)/P_Heures*J1314,0)))</f>
        <v/>
      </c>
      <c r="L1314" s="25"/>
    </row>
    <row r="1315" customFormat="false" ht="15" hidden="false" customHeight="false" outlineLevel="0" collapsed="false">
      <c r="A1315" s="69"/>
      <c r="B1315" s="68"/>
      <c r="C1315" s="76" t="str">
        <f aca="false">IF(B1315="","",IFERROR(INDEX(PE_Nom,MATCH(B1315,PE_Mat,0)),"Matricule inconnu"))</f>
        <v/>
      </c>
      <c r="D1315" s="76" t="str">
        <f aca="false">IF(B1315="","",IFERROR(INDEX(PE_Fonction,MATCH(B1315,PE_Mat,0)),""))</f>
        <v/>
      </c>
      <c r="E1315" s="76" t="str">
        <f aca="false">IF(B1315="","",IFERROR(INDEX(PE_Equipe,MATCH(B1315,PE_Mat,0)),""))</f>
        <v/>
      </c>
      <c r="F1315" s="25"/>
      <c r="G1315" s="25"/>
      <c r="H1315" s="68"/>
      <c r="I1315" s="89"/>
      <c r="J1315" s="31" t="str">
        <f aca="false">IF(B1315="","",IFERROR(INDEX(PE_Taux,MATCH(B1315,PE_Mat,0)),0))</f>
        <v/>
      </c>
      <c r="K1315" s="31" t="str">
        <f aca="false">IF(B1315="","",IF(H1315="A",0,IFERROR(N(I1315)/P_Heures*J1315,0)))</f>
        <v/>
      </c>
      <c r="L1315" s="25"/>
    </row>
    <row r="1316" customFormat="false" ht="15" hidden="false" customHeight="false" outlineLevel="0" collapsed="false">
      <c r="A1316" s="69"/>
      <c r="B1316" s="68"/>
      <c r="C1316" s="76" t="str">
        <f aca="false">IF(B1316="","",IFERROR(INDEX(PE_Nom,MATCH(B1316,PE_Mat,0)),"Matricule inconnu"))</f>
        <v/>
      </c>
      <c r="D1316" s="76" t="str">
        <f aca="false">IF(B1316="","",IFERROR(INDEX(PE_Fonction,MATCH(B1316,PE_Mat,0)),""))</f>
        <v/>
      </c>
      <c r="E1316" s="76" t="str">
        <f aca="false">IF(B1316="","",IFERROR(INDEX(PE_Equipe,MATCH(B1316,PE_Mat,0)),""))</f>
        <v/>
      </c>
      <c r="F1316" s="25"/>
      <c r="G1316" s="25"/>
      <c r="H1316" s="68"/>
      <c r="I1316" s="89"/>
      <c r="J1316" s="31" t="str">
        <f aca="false">IF(B1316="","",IFERROR(INDEX(PE_Taux,MATCH(B1316,PE_Mat,0)),0))</f>
        <v/>
      </c>
      <c r="K1316" s="31" t="str">
        <f aca="false">IF(B1316="","",IF(H1316="A",0,IFERROR(N(I1316)/P_Heures*J1316,0)))</f>
        <v/>
      </c>
      <c r="L1316" s="25"/>
    </row>
    <row r="1317" customFormat="false" ht="15" hidden="false" customHeight="false" outlineLevel="0" collapsed="false">
      <c r="A1317" s="69"/>
      <c r="B1317" s="68"/>
      <c r="C1317" s="76" t="str">
        <f aca="false">IF(B1317="","",IFERROR(INDEX(PE_Nom,MATCH(B1317,PE_Mat,0)),"Matricule inconnu"))</f>
        <v/>
      </c>
      <c r="D1317" s="76" t="str">
        <f aca="false">IF(B1317="","",IFERROR(INDEX(PE_Fonction,MATCH(B1317,PE_Mat,0)),""))</f>
        <v/>
      </c>
      <c r="E1317" s="76" t="str">
        <f aca="false">IF(B1317="","",IFERROR(INDEX(PE_Equipe,MATCH(B1317,PE_Mat,0)),""))</f>
        <v/>
      </c>
      <c r="F1317" s="25"/>
      <c r="G1317" s="25"/>
      <c r="H1317" s="68"/>
      <c r="I1317" s="89"/>
      <c r="J1317" s="31" t="str">
        <f aca="false">IF(B1317="","",IFERROR(INDEX(PE_Taux,MATCH(B1317,PE_Mat,0)),0))</f>
        <v/>
      </c>
      <c r="K1317" s="31" t="str">
        <f aca="false">IF(B1317="","",IF(H1317="A",0,IFERROR(N(I1317)/P_Heures*J1317,0)))</f>
        <v/>
      </c>
      <c r="L1317" s="25"/>
    </row>
    <row r="1318" customFormat="false" ht="15" hidden="false" customHeight="false" outlineLevel="0" collapsed="false">
      <c r="A1318" s="69"/>
      <c r="B1318" s="68"/>
      <c r="C1318" s="76" t="str">
        <f aca="false">IF(B1318="","",IFERROR(INDEX(PE_Nom,MATCH(B1318,PE_Mat,0)),"Matricule inconnu"))</f>
        <v/>
      </c>
      <c r="D1318" s="76" t="str">
        <f aca="false">IF(B1318="","",IFERROR(INDEX(PE_Fonction,MATCH(B1318,PE_Mat,0)),""))</f>
        <v/>
      </c>
      <c r="E1318" s="76" t="str">
        <f aca="false">IF(B1318="","",IFERROR(INDEX(PE_Equipe,MATCH(B1318,PE_Mat,0)),""))</f>
        <v/>
      </c>
      <c r="F1318" s="25"/>
      <c r="G1318" s="25"/>
      <c r="H1318" s="68"/>
      <c r="I1318" s="89"/>
      <c r="J1318" s="31" t="str">
        <f aca="false">IF(B1318="","",IFERROR(INDEX(PE_Taux,MATCH(B1318,PE_Mat,0)),0))</f>
        <v/>
      </c>
      <c r="K1318" s="31" t="str">
        <f aca="false">IF(B1318="","",IF(H1318="A",0,IFERROR(N(I1318)/P_Heures*J1318,0)))</f>
        <v/>
      </c>
      <c r="L1318" s="25"/>
    </row>
    <row r="1319" customFormat="false" ht="15" hidden="false" customHeight="false" outlineLevel="0" collapsed="false">
      <c r="A1319" s="69"/>
      <c r="B1319" s="68"/>
      <c r="C1319" s="76" t="str">
        <f aca="false">IF(B1319="","",IFERROR(INDEX(PE_Nom,MATCH(B1319,PE_Mat,0)),"Matricule inconnu"))</f>
        <v/>
      </c>
      <c r="D1319" s="76" t="str">
        <f aca="false">IF(B1319="","",IFERROR(INDEX(PE_Fonction,MATCH(B1319,PE_Mat,0)),""))</f>
        <v/>
      </c>
      <c r="E1319" s="76" t="str">
        <f aca="false">IF(B1319="","",IFERROR(INDEX(PE_Equipe,MATCH(B1319,PE_Mat,0)),""))</f>
        <v/>
      </c>
      <c r="F1319" s="25"/>
      <c r="G1319" s="25"/>
      <c r="H1319" s="68"/>
      <c r="I1319" s="89"/>
      <c r="J1319" s="31" t="str">
        <f aca="false">IF(B1319="","",IFERROR(INDEX(PE_Taux,MATCH(B1319,PE_Mat,0)),0))</f>
        <v/>
      </c>
      <c r="K1319" s="31" t="str">
        <f aca="false">IF(B1319="","",IF(H1319="A",0,IFERROR(N(I1319)/P_Heures*J1319,0)))</f>
        <v/>
      </c>
      <c r="L1319" s="25"/>
    </row>
    <row r="1320" customFormat="false" ht="15" hidden="false" customHeight="false" outlineLevel="0" collapsed="false">
      <c r="A1320" s="69"/>
      <c r="B1320" s="68"/>
      <c r="C1320" s="76" t="str">
        <f aca="false">IF(B1320="","",IFERROR(INDEX(PE_Nom,MATCH(B1320,PE_Mat,0)),"Matricule inconnu"))</f>
        <v/>
      </c>
      <c r="D1320" s="76" t="str">
        <f aca="false">IF(B1320="","",IFERROR(INDEX(PE_Fonction,MATCH(B1320,PE_Mat,0)),""))</f>
        <v/>
      </c>
      <c r="E1320" s="76" t="str">
        <f aca="false">IF(B1320="","",IFERROR(INDEX(PE_Equipe,MATCH(B1320,PE_Mat,0)),""))</f>
        <v/>
      </c>
      <c r="F1320" s="25"/>
      <c r="G1320" s="25"/>
      <c r="H1320" s="68"/>
      <c r="I1320" s="89"/>
      <c r="J1320" s="31" t="str">
        <f aca="false">IF(B1320="","",IFERROR(INDEX(PE_Taux,MATCH(B1320,PE_Mat,0)),0))</f>
        <v/>
      </c>
      <c r="K1320" s="31" t="str">
        <f aca="false">IF(B1320="","",IF(H1320="A",0,IFERROR(N(I1320)/P_Heures*J1320,0)))</f>
        <v/>
      </c>
      <c r="L1320" s="25"/>
    </row>
    <row r="1321" customFormat="false" ht="15" hidden="false" customHeight="false" outlineLevel="0" collapsed="false">
      <c r="A1321" s="69"/>
      <c r="B1321" s="68"/>
      <c r="C1321" s="76" t="str">
        <f aca="false">IF(B1321="","",IFERROR(INDEX(PE_Nom,MATCH(B1321,PE_Mat,0)),"Matricule inconnu"))</f>
        <v/>
      </c>
      <c r="D1321" s="76" t="str">
        <f aca="false">IF(B1321="","",IFERROR(INDEX(PE_Fonction,MATCH(B1321,PE_Mat,0)),""))</f>
        <v/>
      </c>
      <c r="E1321" s="76" t="str">
        <f aca="false">IF(B1321="","",IFERROR(INDEX(PE_Equipe,MATCH(B1321,PE_Mat,0)),""))</f>
        <v/>
      </c>
      <c r="F1321" s="25"/>
      <c r="G1321" s="25"/>
      <c r="H1321" s="68"/>
      <c r="I1321" s="89"/>
      <c r="J1321" s="31" t="str">
        <f aca="false">IF(B1321="","",IFERROR(INDEX(PE_Taux,MATCH(B1321,PE_Mat,0)),0))</f>
        <v/>
      </c>
      <c r="K1321" s="31" t="str">
        <f aca="false">IF(B1321="","",IF(H1321="A",0,IFERROR(N(I1321)/P_Heures*J1321,0)))</f>
        <v/>
      </c>
      <c r="L1321" s="25"/>
    </row>
    <row r="1322" customFormat="false" ht="15" hidden="false" customHeight="false" outlineLevel="0" collapsed="false">
      <c r="A1322" s="69"/>
      <c r="B1322" s="68"/>
      <c r="C1322" s="76" t="str">
        <f aca="false">IF(B1322="","",IFERROR(INDEX(PE_Nom,MATCH(B1322,PE_Mat,0)),"Matricule inconnu"))</f>
        <v/>
      </c>
      <c r="D1322" s="76" t="str">
        <f aca="false">IF(B1322="","",IFERROR(INDEX(PE_Fonction,MATCH(B1322,PE_Mat,0)),""))</f>
        <v/>
      </c>
      <c r="E1322" s="76" t="str">
        <f aca="false">IF(B1322="","",IFERROR(INDEX(PE_Equipe,MATCH(B1322,PE_Mat,0)),""))</f>
        <v/>
      </c>
      <c r="F1322" s="25"/>
      <c r="G1322" s="25"/>
      <c r="H1322" s="68"/>
      <c r="I1322" s="89"/>
      <c r="J1322" s="31" t="str">
        <f aca="false">IF(B1322="","",IFERROR(INDEX(PE_Taux,MATCH(B1322,PE_Mat,0)),0))</f>
        <v/>
      </c>
      <c r="K1322" s="31" t="str">
        <f aca="false">IF(B1322="","",IF(H1322="A",0,IFERROR(N(I1322)/P_Heures*J1322,0)))</f>
        <v/>
      </c>
      <c r="L1322" s="25"/>
    </row>
    <row r="1323" customFormat="false" ht="15" hidden="false" customHeight="false" outlineLevel="0" collapsed="false">
      <c r="A1323" s="69"/>
      <c r="B1323" s="68"/>
      <c r="C1323" s="76" t="str">
        <f aca="false">IF(B1323="","",IFERROR(INDEX(PE_Nom,MATCH(B1323,PE_Mat,0)),"Matricule inconnu"))</f>
        <v/>
      </c>
      <c r="D1323" s="76" t="str">
        <f aca="false">IF(B1323="","",IFERROR(INDEX(PE_Fonction,MATCH(B1323,PE_Mat,0)),""))</f>
        <v/>
      </c>
      <c r="E1323" s="76" t="str">
        <f aca="false">IF(B1323="","",IFERROR(INDEX(PE_Equipe,MATCH(B1323,PE_Mat,0)),""))</f>
        <v/>
      </c>
      <c r="F1323" s="25"/>
      <c r="G1323" s="25"/>
      <c r="H1323" s="68"/>
      <c r="I1323" s="89"/>
      <c r="J1323" s="31" t="str">
        <f aca="false">IF(B1323="","",IFERROR(INDEX(PE_Taux,MATCH(B1323,PE_Mat,0)),0))</f>
        <v/>
      </c>
      <c r="K1323" s="31" t="str">
        <f aca="false">IF(B1323="","",IF(H1323="A",0,IFERROR(N(I1323)/P_Heures*J1323,0)))</f>
        <v/>
      </c>
      <c r="L1323" s="25"/>
    </row>
    <row r="1324" customFormat="false" ht="15" hidden="false" customHeight="false" outlineLevel="0" collapsed="false">
      <c r="A1324" s="69"/>
      <c r="B1324" s="68"/>
      <c r="C1324" s="76" t="str">
        <f aca="false">IF(B1324="","",IFERROR(INDEX(PE_Nom,MATCH(B1324,PE_Mat,0)),"Matricule inconnu"))</f>
        <v/>
      </c>
      <c r="D1324" s="76" t="str">
        <f aca="false">IF(B1324="","",IFERROR(INDEX(PE_Fonction,MATCH(B1324,PE_Mat,0)),""))</f>
        <v/>
      </c>
      <c r="E1324" s="76" t="str">
        <f aca="false">IF(B1324="","",IFERROR(INDEX(PE_Equipe,MATCH(B1324,PE_Mat,0)),""))</f>
        <v/>
      </c>
      <c r="F1324" s="25"/>
      <c r="G1324" s="25"/>
      <c r="H1324" s="68"/>
      <c r="I1324" s="89"/>
      <c r="J1324" s="31" t="str">
        <f aca="false">IF(B1324="","",IFERROR(INDEX(PE_Taux,MATCH(B1324,PE_Mat,0)),0))</f>
        <v/>
      </c>
      <c r="K1324" s="31" t="str">
        <f aca="false">IF(B1324="","",IF(H1324="A",0,IFERROR(N(I1324)/P_Heures*J1324,0)))</f>
        <v/>
      </c>
      <c r="L1324" s="25"/>
    </row>
    <row r="1325" customFormat="false" ht="15" hidden="false" customHeight="false" outlineLevel="0" collapsed="false">
      <c r="A1325" s="69"/>
      <c r="B1325" s="68"/>
      <c r="C1325" s="76" t="str">
        <f aca="false">IF(B1325="","",IFERROR(INDEX(PE_Nom,MATCH(B1325,PE_Mat,0)),"Matricule inconnu"))</f>
        <v/>
      </c>
      <c r="D1325" s="76" t="str">
        <f aca="false">IF(B1325="","",IFERROR(INDEX(PE_Fonction,MATCH(B1325,PE_Mat,0)),""))</f>
        <v/>
      </c>
      <c r="E1325" s="76" t="str">
        <f aca="false">IF(B1325="","",IFERROR(INDEX(PE_Equipe,MATCH(B1325,PE_Mat,0)),""))</f>
        <v/>
      </c>
      <c r="F1325" s="25"/>
      <c r="G1325" s="25"/>
      <c r="H1325" s="68"/>
      <c r="I1325" s="89"/>
      <c r="J1325" s="31" t="str">
        <f aca="false">IF(B1325="","",IFERROR(INDEX(PE_Taux,MATCH(B1325,PE_Mat,0)),0))</f>
        <v/>
      </c>
      <c r="K1325" s="31" t="str">
        <f aca="false">IF(B1325="","",IF(H1325="A",0,IFERROR(N(I1325)/P_Heures*J1325,0)))</f>
        <v/>
      </c>
      <c r="L1325" s="25"/>
    </row>
    <row r="1326" customFormat="false" ht="15" hidden="false" customHeight="false" outlineLevel="0" collapsed="false">
      <c r="A1326" s="69"/>
      <c r="B1326" s="68"/>
      <c r="C1326" s="76" t="str">
        <f aca="false">IF(B1326="","",IFERROR(INDEX(PE_Nom,MATCH(B1326,PE_Mat,0)),"Matricule inconnu"))</f>
        <v/>
      </c>
      <c r="D1326" s="76" t="str">
        <f aca="false">IF(B1326="","",IFERROR(INDEX(PE_Fonction,MATCH(B1326,PE_Mat,0)),""))</f>
        <v/>
      </c>
      <c r="E1326" s="76" t="str">
        <f aca="false">IF(B1326="","",IFERROR(INDEX(PE_Equipe,MATCH(B1326,PE_Mat,0)),""))</f>
        <v/>
      </c>
      <c r="F1326" s="25"/>
      <c r="G1326" s="25"/>
      <c r="H1326" s="68"/>
      <c r="I1326" s="89"/>
      <c r="J1326" s="31" t="str">
        <f aca="false">IF(B1326="","",IFERROR(INDEX(PE_Taux,MATCH(B1326,PE_Mat,0)),0))</f>
        <v/>
      </c>
      <c r="K1326" s="31" t="str">
        <f aca="false">IF(B1326="","",IF(H1326="A",0,IFERROR(N(I1326)/P_Heures*J1326,0)))</f>
        <v/>
      </c>
      <c r="L1326" s="25"/>
    </row>
    <row r="1327" customFormat="false" ht="15" hidden="false" customHeight="false" outlineLevel="0" collapsed="false">
      <c r="A1327" s="69"/>
      <c r="B1327" s="68"/>
      <c r="C1327" s="76" t="str">
        <f aca="false">IF(B1327="","",IFERROR(INDEX(PE_Nom,MATCH(B1327,PE_Mat,0)),"Matricule inconnu"))</f>
        <v/>
      </c>
      <c r="D1327" s="76" t="str">
        <f aca="false">IF(B1327="","",IFERROR(INDEX(PE_Fonction,MATCH(B1327,PE_Mat,0)),""))</f>
        <v/>
      </c>
      <c r="E1327" s="76" t="str">
        <f aca="false">IF(B1327="","",IFERROR(INDEX(PE_Equipe,MATCH(B1327,PE_Mat,0)),""))</f>
        <v/>
      </c>
      <c r="F1327" s="25"/>
      <c r="G1327" s="25"/>
      <c r="H1327" s="68"/>
      <c r="I1327" s="89"/>
      <c r="J1327" s="31" t="str">
        <f aca="false">IF(B1327="","",IFERROR(INDEX(PE_Taux,MATCH(B1327,PE_Mat,0)),0))</f>
        <v/>
      </c>
      <c r="K1327" s="31" t="str">
        <f aca="false">IF(B1327="","",IF(H1327="A",0,IFERROR(N(I1327)/P_Heures*J1327,0)))</f>
        <v/>
      </c>
      <c r="L1327" s="25"/>
    </row>
    <row r="1328" customFormat="false" ht="15" hidden="false" customHeight="false" outlineLevel="0" collapsed="false">
      <c r="A1328" s="69"/>
      <c r="B1328" s="68"/>
      <c r="C1328" s="76" t="str">
        <f aca="false">IF(B1328="","",IFERROR(INDEX(PE_Nom,MATCH(B1328,PE_Mat,0)),"Matricule inconnu"))</f>
        <v/>
      </c>
      <c r="D1328" s="76" t="str">
        <f aca="false">IF(B1328="","",IFERROR(INDEX(PE_Fonction,MATCH(B1328,PE_Mat,0)),""))</f>
        <v/>
      </c>
      <c r="E1328" s="76" t="str">
        <f aca="false">IF(B1328="","",IFERROR(INDEX(PE_Equipe,MATCH(B1328,PE_Mat,0)),""))</f>
        <v/>
      </c>
      <c r="F1328" s="25"/>
      <c r="G1328" s="25"/>
      <c r="H1328" s="68"/>
      <c r="I1328" s="89"/>
      <c r="J1328" s="31" t="str">
        <f aca="false">IF(B1328="","",IFERROR(INDEX(PE_Taux,MATCH(B1328,PE_Mat,0)),0))</f>
        <v/>
      </c>
      <c r="K1328" s="31" t="str">
        <f aca="false">IF(B1328="","",IF(H1328="A",0,IFERROR(N(I1328)/P_Heures*J1328,0)))</f>
        <v/>
      </c>
      <c r="L1328" s="25"/>
    </row>
    <row r="1329" customFormat="false" ht="15" hidden="false" customHeight="false" outlineLevel="0" collapsed="false">
      <c r="A1329" s="69"/>
      <c r="B1329" s="68"/>
      <c r="C1329" s="76" t="str">
        <f aca="false">IF(B1329="","",IFERROR(INDEX(PE_Nom,MATCH(B1329,PE_Mat,0)),"Matricule inconnu"))</f>
        <v/>
      </c>
      <c r="D1329" s="76" t="str">
        <f aca="false">IF(B1329="","",IFERROR(INDEX(PE_Fonction,MATCH(B1329,PE_Mat,0)),""))</f>
        <v/>
      </c>
      <c r="E1329" s="76" t="str">
        <f aca="false">IF(B1329="","",IFERROR(INDEX(PE_Equipe,MATCH(B1329,PE_Mat,0)),""))</f>
        <v/>
      </c>
      <c r="F1329" s="25"/>
      <c r="G1329" s="25"/>
      <c r="H1329" s="68"/>
      <c r="I1329" s="89"/>
      <c r="J1329" s="31" t="str">
        <f aca="false">IF(B1329="","",IFERROR(INDEX(PE_Taux,MATCH(B1329,PE_Mat,0)),0))</f>
        <v/>
      </c>
      <c r="K1329" s="31" t="str">
        <f aca="false">IF(B1329="","",IF(H1329="A",0,IFERROR(N(I1329)/P_Heures*J1329,0)))</f>
        <v/>
      </c>
      <c r="L1329" s="25"/>
    </row>
    <row r="1330" customFormat="false" ht="15" hidden="false" customHeight="false" outlineLevel="0" collapsed="false">
      <c r="A1330" s="69"/>
      <c r="B1330" s="68"/>
      <c r="C1330" s="76" t="str">
        <f aca="false">IF(B1330="","",IFERROR(INDEX(PE_Nom,MATCH(B1330,PE_Mat,0)),"Matricule inconnu"))</f>
        <v/>
      </c>
      <c r="D1330" s="76" t="str">
        <f aca="false">IF(B1330="","",IFERROR(INDEX(PE_Fonction,MATCH(B1330,PE_Mat,0)),""))</f>
        <v/>
      </c>
      <c r="E1330" s="76" t="str">
        <f aca="false">IF(B1330="","",IFERROR(INDEX(PE_Equipe,MATCH(B1330,PE_Mat,0)),""))</f>
        <v/>
      </c>
      <c r="F1330" s="25"/>
      <c r="G1330" s="25"/>
      <c r="H1330" s="68"/>
      <c r="I1330" s="89"/>
      <c r="J1330" s="31" t="str">
        <f aca="false">IF(B1330="","",IFERROR(INDEX(PE_Taux,MATCH(B1330,PE_Mat,0)),0))</f>
        <v/>
      </c>
      <c r="K1330" s="31" t="str">
        <f aca="false">IF(B1330="","",IF(H1330="A",0,IFERROR(N(I1330)/P_Heures*J1330,0)))</f>
        <v/>
      </c>
      <c r="L1330" s="25"/>
    </row>
    <row r="1331" customFormat="false" ht="15" hidden="false" customHeight="false" outlineLevel="0" collapsed="false">
      <c r="A1331" s="69"/>
      <c r="B1331" s="68"/>
      <c r="C1331" s="76" t="str">
        <f aca="false">IF(B1331="","",IFERROR(INDEX(PE_Nom,MATCH(B1331,PE_Mat,0)),"Matricule inconnu"))</f>
        <v/>
      </c>
      <c r="D1331" s="76" t="str">
        <f aca="false">IF(B1331="","",IFERROR(INDEX(PE_Fonction,MATCH(B1331,PE_Mat,0)),""))</f>
        <v/>
      </c>
      <c r="E1331" s="76" t="str">
        <f aca="false">IF(B1331="","",IFERROR(INDEX(PE_Equipe,MATCH(B1331,PE_Mat,0)),""))</f>
        <v/>
      </c>
      <c r="F1331" s="25"/>
      <c r="G1331" s="25"/>
      <c r="H1331" s="68"/>
      <c r="I1331" s="89"/>
      <c r="J1331" s="31" t="str">
        <f aca="false">IF(B1331="","",IFERROR(INDEX(PE_Taux,MATCH(B1331,PE_Mat,0)),0))</f>
        <v/>
      </c>
      <c r="K1331" s="31" t="str">
        <f aca="false">IF(B1331="","",IF(H1331="A",0,IFERROR(N(I1331)/P_Heures*J1331,0)))</f>
        <v/>
      </c>
      <c r="L1331" s="25"/>
    </row>
    <row r="1332" customFormat="false" ht="15" hidden="false" customHeight="false" outlineLevel="0" collapsed="false">
      <c r="A1332" s="69"/>
      <c r="B1332" s="68"/>
      <c r="C1332" s="76" t="str">
        <f aca="false">IF(B1332="","",IFERROR(INDEX(PE_Nom,MATCH(B1332,PE_Mat,0)),"Matricule inconnu"))</f>
        <v/>
      </c>
      <c r="D1332" s="76" t="str">
        <f aca="false">IF(B1332="","",IFERROR(INDEX(PE_Fonction,MATCH(B1332,PE_Mat,0)),""))</f>
        <v/>
      </c>
      <c r="E1332" s="76" t="str">
        <f aca="false">IF(B1332="","",IFERROR(INDEX(PE_Equipe,MATCH(B1332,PE_Mat,0)),""))</f>
        <v/>
      </c>
      <c r="F1332" s="25"/>
      <c r="G1332" s="25"/>
      <c r="H1332" s="68"/>
      <c r="I1332" s="89"/>
      <c r="J1332" s="31" t="str">
        <f aca="false">IF(B1332="","",IFERROR(INDEX(PE_Taux,MATCH(B1332,PE_Mat,0)),0))</f>
        <v/>
      </c>
      <c r="K1332" s="31" t="str">
        <f aca="false">IF(B1332="","",IF(H1332="A",0,IFERROR(N(I1332)/P_Heures*J1332,0)))</f>
        <v/>
      </c>
      <c r="L1332" s="25"/>
    </row>
    <row r="1333" customFormat="false" ht="15" hidden="false" customHeight="false" outlineLevel="0" collapsed="false">
      <c r="A1333" s="69"/>
      <c r="B1333" s="68"/>
      <c r="C1333" s="76" t="str">
        <f aca="false">IF(B1333="","",IFERROR(INDEX(PE_Nom,MATCH(B1333,PE_Mat,0)),"Matricule inconnu"))</f>
        <v/>
      </c>
      <c r="D1333" s="76" t="str">
        <f aca="false">IF(B1333="","",IFERROR(INDEX(PE_Fonction,MATCH(B1333,PE_Mat,0)),""))</f>
        <v/>
      </c>
      <c r="E1333" s="76" t="str">
        <f aca="false">IF(B1333="","",IFERROR(INDEX(PE_Equipe,MATCH(B1333,PE_Mat,0)),""))</f>
        <v/>
      </c>
      <c r="F1333" s="25"/>
      <c r="G1333" s="25"/>
      <c r="H1333" s="68"/>
      <c r="I1333" s="89"/>
      <c r="J1333" s="31" t="str">
        <f aca="false">IF(B1333="","",IFERROR(INDEX(PE_Taux,MATCH(B1333,PE_Mat,0)),0))</f>
        <v/>
      </c>
      <c r="K1333" s="31" t="str">
        <f aca="false">IF(B1333="","",IF(H1333="A",0,IFERROR(N(I1333)/P_Heures*J1333,0)))</f>
        <v/>
      </c>
      <c r="L1333" s="25"/>
    </row>
    <row r="1334" customFormat="false" ht="15" hidden="false" customHeight="false" outlineLevel="0" collapsed="false">
      <c r="A1334" s="69"/>
      <c r="B1334" s="68"/>
      <c r="C1334" s="76" t="str">
        <f aca="false">IF(B1334="","",IFERROR(INDEX(PE_Nom,MATCH(B1334,PE_Mat,0)),"Matricule inconnu"))</f>
        <v/>
      </c>
      <c r="D1334" s="76" t="str">
        <f aca="false">IF(B1334="","",IFERROR(INDEX(PE_Fonction,MATCH(B1334,PE_Mat,0)),""))</f>
        <v/>
      </c>
      <c r="E1334" s="76" t="str">
        <f aca="false">IF(B1334="","",IFERROR(INDEX(PE_Equipe,MATCH(B1334,PE_Mat,0)),""))</f>
        <v/>
      </c>
      <c r="F1334" s="25"/>
      <c r="G1334" s="25"/>
      <c r="H1334" s="68"/>
      <c r="I1334" s="89"/>
      <c r="J1334" s="31" t="str">
        <f aca="false">IF(B1334="","",IFERROR(INDEX(PE_Taux,MATCH(B1334,PE_Mat,0)),0))</f>
        <v/>
      </c>
      <c r="K1334" s="31" t="str">
        <f aca="false">IF(B1334="","",IF(H1334="A",0,IFERROR(N(I1334)/P_Heures*J1334,0)))</f>
        <v/>
      </c>
      <c r="L1334" s="25"/>
    </row>
    <row r="1335" customFormat="false" ht="15" hidden="false" customHeight="false" outlineLevel="0" collapsed="false">
      <c r="A1335" s="69"/>
      <c r="B1335" s="68"/>
      <c r="C1335" s="76" t="str">
        <f aca="false">IF(B1335="","",IFERROR(INDEX(PE_Nom,MATCH(B1335,PE_Mat,0)),"Matricule inconnu"))</f>
        <v/>
      </c>
      <c r="D1335" s="76" t="str">
        <f aca="false">IF(B1335="","",IFERROR(INDEX(PE_Fonction,MATCH(B1335,PE_Mat,0)),""))</f>
        <v/>
      </c>
      <c r="E1335" s="76" t="str">
        <f aca="false">IF(B1335="","",IFERROR(INDEX(PE_Equipe,MATCH(B1335,PE_Mat,0)),""))</f>
        <v/>
      </c>
      <c r="F1335" s="25"/>
      <c r="G1335" s="25"/>
      <c r="H1335" s="68"/>
      <c r="I1335" s="89"/>
      <c r="J1335" s="31" t="str">
        <f aca="false">IF(B1335="","",IFERROR(INDEX(PE_Taux,MATCH(B1335,PE_Mat,0)),0))</f>
        <v/>
      </c>
      <c r="K1335" s="31" t="str">
        <f aca="false">IF(B1335="","",IF(H1335="A",0,IFERROR(N(I1335)/P_Heures*J1335,0)))</f>
        <v/>
      </c>
      <c r="L1335" s="25"/>
    </row>
    <row r="1336" customFormat="false" ht="15" hidden="false" customHeight="false" outlineLevel="0" collapsed="false">
      <c r="A1336" s="69"/>
      <c r="B1336" s="68"/>
      <c r="C1336" s="76" t="str">
        <f aca="false">IF(B1336="","",IFERROR(INDEX(PE_Nom,MATCH(B1336,PE_Mat,0)),"Matricule inconnu"))</f>
        <v/>
      </c>
      <c r="D1336" s="76" t="str">
        <f aca="false">IF(B1336="","",IFERROR(INDEX(PE_Fonction,MATCH(B1336,PE_Mat,0)),""))</f>
        <v/>
      </c>
      <c r="E1336" s="76" t="str">
        <f aca="false">IF(B1336="","",IFERROR(INDEX(PE_Equipe,MATCH(B1336,PE_Mat,0)),""))</f>
        <v/>
      </c>
      <c r="F1336" s="25"/>
      <c r="G1336" s="25"/>
      <c r="H1336" s="68"/>
      <c r="I1336" s="89"/>
      <c r="J1336" s="31" t="str">
        <f aca="false">IF(B1336="","",IFERROR(INDEX(PE_Taux,MATCH(B1336,PE_Mat,0)),0))</f>
        <v/>
      </c>
      <c r="K1336" s="31" t="str">
        <f aca="false">IF(B1336="","",IF(H1336="A",0,IFERROR(N(I1336)/P_Heures*J1336,0)))</f>
        <v/>
      </c>
      <c r="L1336" s="25"/>
    </row>
    <row r="1337" customFormat="false" ht="15" hidden="false" customHeight="false" outlineLevel="0" collapsed="false">
      <c r="A1337" s="69"/>
      <c r="B1337" s="68"/>
      <c r="C1337" s="76" t="str">
        <f aca="false">IF(B1337="","",IFERROR(INDEX(PE_Nom,MATCH(B1337,PE_Mat,0)),"Matricule inconnu"))</f>
        <v/>
      </c>
      <c r="D1337" s="76" t="str">
        <f aca="false">IF(B1337="","",IFERROR(INDEX(PE_Fonction,MATCH(B1337,PE_Mat,0)),""))</f>
        <v/>
      </c>
      <c r="E1337" s="76" t="str">
        <f aca="false">IF(B1337="","",IFERROR(INDEX(PE_Equipe,MATCH(B1337,PE_Mat,0)),""))</f>
        <v/>
      </c>
      <c r="F1337" s="25"/>
      <c r="G1337" s="25"/>
      <c r="H1337" s="68"/>
      <c r="I1337" s="89"/>
      <c r="J1337" s="31" t="str">
        <f aca="false">IF(B1337="","",IFERROR(INDEX(PE_Taux,MATCH(B1337,PE_Mat,0)),0))</f>
        <v/>
      </c>
      <c r="K1337" s="31" t="str">
        <f aca="false">IF(B1337="","",IF(H1337="A",0,IFERROR(N(I1337)/P_Heures*J1337,0)))</f>
        <v/>
      </c>
      <c r="L1337" s="25"/>
    </row>
    <row r="1338" customFormat="false" ht="15" hidden="false" customHeight="false" outlineLevel="0" collapsed="false">
      <c r="A1338" s="69"/>
      <c r="B1338" s="68"/>
      <c r="C1338" s="76" t="str">
        <f aca="false">IF(B1338="","",IFERROR(INDEX(PE_Nom,MATCH(B1338,PE_Mat,0)),"Matricule inconnu"))</f>
        <v/>
      </c>
      <c r="D1338" s="76" t="str">
        <f aca="false">IF(B1338="","",IFERROR(INDEX(PE_Fonction,MATCH(B1338,PE_Mat,0)),""))</f>
        <v/>
      </c>
      <c r="E1338" s="76" t="str">
        <f aca="false">IF(B1338="","",IFERROR(INDEX(PE_Equipe,MATCH(B1338,PE_Mat,0)),""))</f>
        <v/>
      </c>
      <c r="F1338" s="25"/>
      <c r="G1338" s="25"/>
      <c r="H1338" s="68"/>
      <c r="I1338" s="89"/>
      <c r="J1338" s="31" t="str">
        <f aca="false">IF(B1338="","",IFERROR(INDEX(PE_Taux,MATCH(B1338,PE_Mat,0)),0))</f>
        <v/>
      </c>
      <c r="K1338" s="31" t="str">
        <f aca="false">IF(B1338="","",IF(H1338="A",0,IFERROR(N(I1338)/P_Heures*J1338,0)))</f>
        <v/>
      </c>
      <c r="L1338" s="25"/>
    </row>
    <row r="1339" customFormat="false" ht="15" hidden="false" customHeight="false" outlineLevel="0" collapsed="false">
      <c r="A1339" s="69"/>
      <c r="B1339" s="68"/>
      <c r="C1339" s="76" t="str">
        <f aca="false">IF(B1339="","",IFERROR(INDEX(PE_Nom,MATCH(B1339,PE_Mat,0)),"Matricule inconnu"))</f>
        <v/>
      </c>
      <c r="D1339" s="76" t="str">
        <f aca="false">IF(B1339="","",IFERROR(INDEX(PE_Fonction,MATCH(B1339,PE_Mat,0)),""))</f>
        <v/>
      </c>
      <c r="E1339" s="76" t="str">
        <f aca="false">IF(B1339="","",IFERROR(INDEX(PE_Equipe,MATCH(B1339,PE_Mat,0)),""))</f>
        <v/>
      </c>
      <c r="F1339" s="25"/>
      <c r="G1339" s="25"/>
      <c r="H1339" s="68"/>
      <c r="I1339" s="89"/>
      <c r="J1339" s="31" t="str">
        <f aca="false">IF(B1339="","",IFERROR(INDEX(PE_Taux,MATCH(B1339,PE_Mat,0)),0))</f>
        <v/>
      </c>
      <c r="K1339" s="31" t="str">
        <f aca="false">IF(B1339="","",IF(H1339="A",0,IFERROR(N(I1339)/P_Heures*J1339,0)))</f>
        <v/>
      </c>
      <c r="L1339" s="25"/>
    </row>
    <row r="1340" customFormat="false" ht="15" hidden="false" customHeight="false" outlineLevel="0" collapsed="false">
      <c r="A1340" s="69"/>
      <c r="B1340" s="68"/>
      <c r="C1340" s="76" t="str">
        <f aca="false">IF(B1340="","",IFERROR(INDEX(PE_Nom,MATCH(B1340,PE_Mat,0)),"Matricule inconnu"))</f>
        <v/>
      </c>
      <c r="D1340" s="76" t="str">
        <f aca="false">IF(B1340="","",IFERROR(INDEX(PE_Fonction,MATCH(B1340,PE_Mat,0)),""))</f>
        <v/>
      </c>
      <c r="E1340" s="76" t="str">
        <f aca="false">IF(B1340="","",IFERROR(INDEX(PE_Equipe,MATCH(B1340,PE_Mat,0)),""))</f>
        <v/>
      </c>
      <c r="F1340" s="25"/>
      <c r="G1340" s="25"/>
      <c r="H1340" s="68"/>
      <c r="I1340" s="89"/>
      <c r="J1340" s="31" t="str">
        <f aca="false">IF(B1340="","",IFERROR(INDEX(PE_Taux,MATCH(B1340,PE_Mat,0)),0))</f>
        <v/>
      </c>
      <c r="K1340" s="31" t="str">
        <f aca="false">IF(B1340="","",IF(H1340="A",0,IFERROR(N(I1340)/P_Heures*J1340,0)))</f>
        <v/>
      </c>
      <c r="L1340" s="25"/>
    </row>
    <row r="1341" customFormat="false" ht="15" hidden="false" customHeight="false" outlineLevel="0" collapsed="false">
      <c r="A1341" s="69"/>
      <c r="B1341" s="68"/>
      <c r="C1341" s="76" t="str">
        <f aca="false">IF(B1341="","",IFERROR(INDEX(PE_Nom,MATCH(B1341,PE_Mat,0)),"Matricule inconnu"))</f>
        <v/>
      </c>
      <c r="D1341" s="76" t="str">
        <f aca="false">IF(B1341="","",IFERROR(INDEX(PE_Fonction,MATCH(B1341,PE_Mat,0)),""))</f>
        <v/>
      </c>
      <c r="E1341" s="76" t="str">
        <f aca="false">IF(B1341="","",IFERROR(INDEX(PE_Equipe,MATCH(B1341,PE_Mat,0)),""))</f>
        <v/>
      </c>
      <c r="F1341" s="25"/>
      <c r="G1341" s="25"/>
      <c r="H1341" s="68"/>
      <c r="I1341" s="89"/>
      <c r="J1341" s="31" t="str">
        <f aca="false">IF(B1341="","",IFERROR(INDEX(PE_Taux,MATCH(B1341,PE_Mat,0)),0))</f>
        <v/>
      </c>
      <c r="K1341" s="31" t="str">
        <f aca="false">IF(B1341="","",IF(H1341="A",0,IFERROR(N(I1341)/P_Heures*J1341,0)))</f>
        <v/>
      </c>
      <c r="L1341" s="25"/>
    </row>
    <row r="1342" customFormat="false" ht="15" hidden="false" customHeight="false" outlineLevel="0" collapsed="false">
      <c r="A1342" s="69"/>
      <c r="B1342" s="68"/>
      <c r="C1342" s="76" t="str">
        <f aca="false">IF(B1342="","",IFERROR(INDEX(PE_Nom,MATCH(B1342,PE_Mat,0)),"Matricule inconnu"))</f>
        <v/>
      </c>
      <c r="D1342" s="76" t="str">
        <f aca="false">IF(B1342="","",IFERROR(INDEX(PE_Fonction,MATCH(B1342,PE_Mat,0)),""))</f>
        <v/>
      </c>
      <c r="E1342" s="76" t="str">
        <f aca="false">IF(B1342="","",IFERROR(INDEX(PE_Equipe,MATCH(B1342,PE_Mat,0)),""))</f>
        <v/>
      </c>
      <c r="F1342" s="25"/>
      <c r="G1342" s="25"/>
      <c r="H1342" s="68"/>
      <c r="I1342" s="89"/>
      <c r="J1342" s="31" t="str">
        <f aca="false">IF(B1342="","",IFERROR(INDEX(PE_Taux,MATCH(B1342,PE_Mat,0)),0))</f>
        <v/>
      </c>
      <c r="K1342" s="31" t="str">
        <f aca="false">IF(B1342="","",IF(H1342="A",0,IFERROR(N(I1342)/P_Heures*J1342,0)))</f>
        <v/>
      </c>
      <c r="L1342" s="25"/>
    </row>
    <row r="1343" customFormat="false" ht="15" hidden="false" customHeight="false" outlineLevel="0" collapsed="false">
      <c r="A1343" s="69"/>
      <c r="B1343" s="68"/>
      <c r="C1343" s="76" t="str">
        <f aca="false">IF(B1343="","",IFERROR(INDEX(PE_Nom,MATCH(B1343,PE_Mat,0)),"Matricule inconnu"))</f>
        <v/>
      </c>
      <c r="D1343" s="76" t="str">
        <f aca="false">IF(B1343="","",IFERROR(INDEX(PE_Fonction,MATCH(B1343,PE_Mat,0)),""))</f>
        <v/>
      </c>
      <c r="E1343" s="76" t="str">
        <f aca="false">IF(B1343="","",IFERROR(INDEX(PE_Equipe,MATCH(B1343,PE_Mat,0)),""))</f>
        <v/>
      </c>
      <c r="F1343" s="25"/>
      <c r="G1343" s="25"/>
      <c r="H1343" s="68"/>
      <c r="I1343" s="89"/>
      <c r="J1343" s="31" t="str">
        <f aca="false">IF(B1343="","",IFERROR(INDEX(PE_Taux,MATCH(B1343,PE_Mat,0)),0))</f>
        <v/>
      </c>
      <c r="K1343" s="31" t="str">
        <f aca="false">IF(B1343="","",IF(H1343="A",0,IFERROR(N(I1343)/P_Heures*J1343,0)))</f>
        <v/>
      </c>
      <c r="L1343" s="25"/>
    </row>
    <row r="1344" customFormat="false" ht="15" hidden="false" customHeight="false" outlineLevel="0" collapsed="false">
      <c r="A1344" s="69"/>
      <c r="B1344" s="68"/>
      <c r="C1344" s="76" t="str">
        <f aca="false">IF(B1344="","",IFERROR(INDEX(PE_Nom,MATCH(B1344,PE_Mat,0)),"Matricule inconnu"))</f>
        <v/>
      </c>
      <c r="D1344" s="76" t="str">
        <f aca="false">IF(B1344="","",IFERROR(INDEX(PE_Fonction,MATCH(B1344,PE_Mat,0)),""))</f>
        <v/>
      </c>
      <c r="E1344" s="76" t="str">
        <f aca="false">IF(B1344="","",IFERROR(INDEX(PE_Equipe,MATCH(B1344,PE_Mat,0)),""))</f>
        <v/>
      </c>
      <c r="F1344" s="25"/>
      <c r="G1344" s="25"/>
      <c r="H1344" s="68"/>
      <c r="I1344" s="89"/>
      <c r="J1344" s="31" t="str">
        <f aca="false">IF(B1344="","",IFERROR(INDEX(PE_Taux,MATCH(B1344,PE_Mat,0)),0))</f>
        <v/>
      </c>
      <c r="K1344" s="31" t="str">
        <f aca="false">IF(B1344="","",IF(H1344="A",0,IFERROR(N(I1344)/P_Heures*J1344,0)))</f>
        <v/>
      </c>
      <c r="L1344" s="25"/>
    </row>
    <row r="1345" customFormat="false" ht="15" hidden="false" customHeight="false" outlineLevel="0" collapsed="false">
      <c r="A1345" s="69"/>
      <c r="B1345" s="68"/>
      <c r="C1345" s="76" t="str">
        <f aca="false">IF(B1345="","",IFERROR(INDEX(PE_Nom,MATCH(B1345,PE_Mat,0)),"Matricule inconnu"))</f>
        <v/>
      </c>
      <c r="D1345" s="76" t="str">
        <f aca="false">IF(B1345="","",IFERROR(INDEX(PE_Fonction,MATCH(B1345,PE_Mat,0)),""))</f>
        <v/>
      </c>
      <c r="E1345" s="76" t="str">
        <f aca="false">IF(B1345="","",IFERROR(INDEX(PE_Equipe,MATCH(B1345,PE_Mat,0)),""))</f>
        <v/>
      </c>
      <c r="F1345" s="25"/>
      <c r="G1345" s="25"/>
      <c r="H1345" s="68"/>
      <c r="I1345" s="89"/>
      <c r="J1345" s="31" t="str">
        <f aca="false">IF(B1345="","",IFERROR(INDEX(PE_Taux,MATCH(B1345,PE_Mat,0)),0))</f>
        <v/>
      </c>
      <c r="K1345" s="31" t="str">
        <f aca="false">IF(B1345="","",IF(H1345="A",0,IFERROR(N(I1345)/P_Heures*J1345,0)))</f>
        <v/>
      </c>
      <c r="L1345" s="25"/>
    </row>
    <row r="1346" customFormat="false" ht="15" hidden="false" customHeight="false" outlineLevel="0" collapsed="false">
      <c r="A1346" s="69"/>
      <c r="B1346" s="68"/>
      <c r="C1346" s="76" t="str">
        <f aca="false">IF(B1346="","",IFERROR(INDEX(PE_Nom,MATCH(B1346,PE_Mat,0)),"Matricule inconnu"))</f>
        <v/>
      </c>
      <c r="D1346" s="76" t="str">
        <f aca="false">IF(B1346="","",IFERROR(INDEX(PE_Fonction,MATCH(B1346,PE_Mat,0)),""))</f>
        <v/>
      </c>
      <c r="E1346" s="76" t="str">
        <f aca="false">IF(B1346="","",IFERROR(INDEX(PE_Equipe,MATCH(B1346,PE_Mat,0)),""))</f>
        <v/>
      </c>
      <c r="F1346" s="25"/>
      <c r="G1346" s="25"/>
      <c r="H1346" s="68"/>
      <c r="I1346" s="89"/>
      <c r="J1346" s="31" t="str">
        <f aca="false">IF(B1346="","",IFERROR(INDEX(PE_Taux,MATCH(B1346,PE_Mat,0)),0))</f>
        <v/>
      </c>
      <c r="K1346" s="31" t="str">
        <f aca="false">IF(B1346="","",IF(H1346="A",0,IFERROR(N(I1346)/P_Heures*J1346,0)))</f>
        <v/>
      </c>
      <c r="L1346" s="25"/>
    </row>
    <row r="1347" customFormat="false" ht="15" hidden="false" customHeight="false" outlineLevel="0" collapsed="false">
      <c r="A1347" s="69"/>
      <c r="B1347" s="68"/>
      <c r="C1347" s="76" t="str">
        <f aca="false">IF(B1347="","",IFERROR(INDEX(PE_Nom,MATCH(B1347,PE_Mat,0)),"Matricule inconnu"))</f>
        <v/>
      </c>
      <c r="D1347" s="76" t="str">
        <f aca="false">IF(B1347="","",IFERROR(INDEX(PE_Fonction,MATCH(B1347,PE_Mat,0)),""))</f>
        <v/>
      </c>
      <c r="E1347" s="76" t="str">
        <f aca="false">IF(B1347="","",IFERROR(INDEX(PE_Equipe,MATCH(B1347,PE_Mat,0)),""))</f>
        <v/>
      </c>
      <c r="F1347" s="25"/>
      <c r="G1347" s="25"/>
      <c r="H1347" s="68"/>
      <c r="I1347" s="89"/>
      <c r="J1347" s="31" t="str">
        <f aca="false">IF(B1347="","",IFERROR(INDEX(PE_Taux,MATCH(B1347,PE_Mat,0)),0))</f>
        <v/>
      </c>
      <c r="K1347" s="31" t="str">
        <f aca="false">IF(B1347="","",IF(H1347="A",0,IFERROR(N(I1347)/P_Heures*J1347,0)))</f>
        <v/>
      </c>
      <c r="L1347" s="25"/>
    </row>
    <row r="1348" customFormat="false" ht="15" hidden="false" customHeight="false" outlineLevel="0" collapsed="false">
      <c r="A1348" s="69"/>
      <c r="B1348" s="68"/>
      <c r="C1348" s="76" t="str">
        <f aca="false">IF(B1348="","",IFERROR(INDEX(PE_Nom,MATCH(B1348,PE_Mat,0)),"Matricule inconnu"))</f>
        <v/>
      </c>
      <c r="D1348" s="76" t="str">
        <f aca="false">IF(B1348="","",IFERROR(INDEX(PE_Fonction,MATCH(B1348,PE_Mat,0)),""))</f>
        <v/>
      </c>
      <c r="E1348" s="76" t="str">
        <f aca="false">IF(B1348="","",IFERROR(INDEX(PE_Equipe,MATCH(B1348,PE_Mat,0)),""))</f>
        <v/>
      </c>
      <c r="F1348" s="25"/>
      <c r="G1348" s="25"/>
      <c r="H1348" s="68"/>
      <c r="I1348" s="89"/>
      <c r="J1348" s="31" t="str">
        <f aca="false">IF(B1348="","",IFERROR(INDEX(PE_Taux,MATCH(B1348,PE_Mat,0)),0))</f>
        <v/>
      </c>
      <c r="K1348" s="31" t="str">
        <f aca="false">IF(B1348="","",IF(H1348="A",0,IFERROR(N(I1348)/P_Heures*J1348,0)))</f>
        <v/>
      </c>
      <c r="L1348" s="25"/>
    </row>
    <row r="1349" customFormat="false" ht="15" hidden="false" customHeight="false" outlineLevel="0" collapsed="false">
      <c r="A1349" s="69"/>
      <c r="B1349" s="68"/>
      <c r="C1349" s="76" t="str">
        <f aca="false">IF(B1349="","",IFERROR(INDEX(PE_Nom,MATCH(B1349,PE_Mat,0)),"Matricule inconnu"))</f>
        <v/>
      </c>
      <c r="D1349" s="76" t="str">
        <f aca="false">IF(B1349="","",IFERROR(INDEX(PE_Fonction,MATCH(B1349,PE_Mat,0)),""))</f>
        <v/>
      </c>
      <c r="E1349" s="76" t="str">
        <f aca="false">IF(B1349="","",IFERROR(INDEX(PE_Equipe,MATCH(B1349,PE_Mat,0)),""))</f>
        <v/>
      </c>
      <c r="F1349" s="25"/>
      <c r="G1349" s="25"/>
      <c r="H1349" s="68"/>
      <c r="I1349" s="89"/>
      <c r="J1349" s="31" t="str">
        <f aca="false">IF(B1349="","",IFERROR(INDEX(PE_Taux,MATCH(B1349,PE_Mat,0)),0))</f>
        <v/>
      </c>
      <c r="K1349" s="31" t="str">
        <f aca="false">IF(B1349="","",IF(H1349="A",0,IFERROR(N(I1349)/P_Heures*J1349,0)))</f>
        <v/>
      </c>
      <c r="L1349" s="25"/>
    </row>
    <row r="1350" customFormat="false" ht="15" hidden="false" customHeight="false" outlineLevel="0" collapsed="false">
      <c r="A1350" s="69"/>
      <c r="B1350" s="68"/>
      <c r="C1350" s="76" t="str">
        <f aca="false">IF(B1350="","",IFERROR(INDEX(PE_Nom,MATCH(B1350,PE_Mat,0)),"Matricule inconnu"))</f>
        <v/>
      </c>
      <c r="D1350" s="76" t="str">
        <f aca="false">IF(B1350="","",IFERROR(INDEX(PE_Fonction,MATCH(B1350,PE_Mat,0)),""))</f>
        <v/>
      </c>
      <c r="E1350" s="76" t="str">
        <f aca="false">IF(B1350="","",IFERROR(INDEX(PE_Equipe,MATCH(B1350,PE_Mat,0)),""))</f>
        <v/>
      </c>
      <c r="F1350" s="25"/>
      <c r="G1350" s="25"/>
      <c r="H1350" s="68"/>
      <c r="I1350" s="89"/>
      <c r="J1350" s="31" t="str">
        <f aca="false">IF(B1350="","",IFERROR(INDEX(PE_Taux,MATCH(B1350,PE_Mat,0)),0))</f>
        <v/>
      </c>
      <c r="K1350" s="31" t="str">
        <f aca="false">IF(B1350="","",IF(H1350="A",0,IFERROR(N(I1350)/P_Heures*J1350,0)))</f>
        <v/>
      </c>
      <c r="L1350" s="25"/>
    </row>
    <row r="1351" customFormat="false" ht="15" hidden="false" customHeight="false" outlineLevel="0" collapsed="false">
      <c r="A1351" s="69"/>
      <c r="B1351" s="68"/>
      <c r="C1351" s="76" t="str">
        <f aca="false">IF(B1351="","",IFERROR(INDEX(PE_Nom,MATCH(B1351,PE_Mat,0)),"Matricule inconnu"))</f>
        <v/>
      </c>
      <c r="D1351" s="76" t="str">
        <f aca="false">IF(B1351="","",IFERROR(INDEX(PE_Fonction,MATCH(B1351,PE_Mat,0)),""))</f>
        <v/>
      </c>
      <c r="E1351" s="76" t="str">
        <f aca="false">IF(B1351="","",IFERROR(INDEX(PE_Equipe,MATCH(B1351,PE_Mat,0)),""))</f>
        <v/>
      </c>
      <c r="F1351" s="25"/>
      <c r="G1351" s="25"/>
      <c r="H1351" s="68"/>
      <c r="I1351" s="89"/>
      <c r="J1351" s="31" t="str">
        <f aca="false">IF(B1351="","",IFERROR(INDEX(PE_Taux,MATCH(B1351,PE_Mat,0)),0))</f>
        <v/>
      </c>
      <c r="K1351" s="31" t="str">
        <f aca="false">IF(B1351="","",IF(H1351="A",0,IFERROR(N(I1351)/P_Heures*J1351,0)))</f>
        <v/>
      </c>
      <c r="L1351" s="25"/>
    </row>
    <row r="1352" customFormat="false" ht="15" hidden="false" customHeight="false" outlineLevel="0" collapsed="false">
      <c r="A1352" s="69"/>
      <c r="B1352" s="68"/>
      <c r="C1352" s="76" t="str">
        <f aca="false">IF(B1352="","",IFERROR(INDEX(PE_Nom,MATCH(B1352,PE_Mat,0)),"Matricule inconnu"))</f>
        <v/>
      </c>
      <c r="D1352" s="76" t="str">
        <f aca="false">IF(B1352="","",IFERROR(INDEX(PE_Fonction,MATCH(B1352,PE_Mat,0)),""))</f>
        <v/>
      </c>
      <c r="E1352" s="76" t="str">
        <f aca="false">IF(B1352="","",IFERROR(INDEX(PE_Equipe,MATCH(B1352,PE_Mat,0)),""))</f>
        <v/>
      </c>
      <c r="F1352" s="25"/>
      <c r="G1352" s="25"/>
      <c r="H1352" s="68"/>
      <c r="I1352" s="89"/>
      <c r="J1352" s="31" t="str">
        <f aca="false">IF(B1352="","",IFERROR(INDEX(PE_Taux,MATCH(B1352,PE_Mat,0)),0))</f>
        <v/>
      </c>
      <c r="K1352" s="31" t="str">
        <f aca="false">IF(B1352="","",IF(H1352="A",0,IFERROR(N(I1352)/P_Heures*J1352,0)))</f>
        <v/>
      </c>
      <c r="L1352" s="25"/>
    </row>
    <row r="1353" customFormat="false" ht="15" hidden="false" customHeight="false" outlineLevel="0" collapsed="false">
      <c r="A1353" s="69"/>
      <c r="B1353" s="68"/>
      <c r="C1353" s="76" t="str">
        <f aca="false">IF(B1353="","",IFERROR(INDEX(PE_Nom,MATCH(B1353,PE_Mat,0)),"Matricule inconnu"))</f>
        <v/>
      </c>
      <c r="D1353" s="76" t="str">
        <f aca="false">IF(B1353="","",IFERROR(INDEX(PE_Fonction,MATCH(B1353,PE_Mat,0)),""))</f>
        <v/>
      </c>
      <c r="E1353" s="76" t="str">
        <f aca="false">IF(B1353="","",IFERROR(INDEX(PE_Equipe,MATCH(B1353,PE_Mat,0)),""))</f>
        <v/>
      </c>
      <c r="F1353" s="25"/>
      <c r="G1353" s="25"/>
      <c r="H1353" s="68"/>
      <c r="I1353" s="89"/>
      <c r="J1353" s="31" t="str">
        <f aca="false">IF(B1353="","",IFERROR(INDEX(PE_Taux,MATCH(B1353,PE_Mat,0)),0))</f>
        <v/>
      </c>
      <c r="K1353" s="31" t="str">
        <f aca="false">IF(B1353="","",IF(H1353="A",0,IFERROR(N(I1353)/P_Heures*J1353,0)))</f>
        <v/>
      </c>
      <c r="L1353" s="25"/>
    </row>
    <row r="1354" customFormat="false" ht="15" hidden="false" customHeight="false" outlineLevel="0" collapsed="false">
      <c r="A1354" s="69"/>
      <c r="B1354" s="68"/>
      <c r="C1354" s="76" t="str">
        <f aca="false">IF(B1354="","",IFERROR(INDEX(PE_Nom,MATCH(B1354,PE_Mat,0)),"Matricule inconnu"))</f>
        <v/>
      </c>
      <c r="D1354" s="76" t="str">
        <f aca="false">IF(B1354="","",IFERROR(INDEX(PE_Fonction,MATCH(B1354,PE_Mat,0)),""))</f>
        <v/>
      </c>
      <c r="E1354" s="76" t="str">
        <f aca="false">IF(B1354="","",IFERROR(INDEX(PE_Equipe,MATCH(B1354,PE_Mat,0)),""))</f>
        <v/>
      </c>
      <c r="F1354" s="25"/>
      <c r="G1354" s="25"/>
      <c r="H1354" s="68"/>
      <c r="I1354" s="89"/>
      <c r="J1354" s="31" t="str">
        <f aca="false">IF(B1354="","",IFERROR(INDEX(PE_Taux,MATCH(B1354,PE_Mat,0)),0))</f>
        <v/>
      </c>
      <c r="K1354" s="31" t="str">
        <f aca="false">IF(B1354="","",IF(H1354="A",0,IFERROR(N(I1354)/P_Heures*J1354,0)))</f>
        <v/>
      </c>
      <c r="L1354" s="25"/>
    </row>
    <row r="1355" customFormat="false" ht="15" hidden="false" customHeight="false" outlineLevel="0" collapsed="false">
      <c r="A1355" s="69"/>
      <c r="B1355" s="68"/>
      <c r="C1355" s="76" t="str">
        <f aca="false">IF(B1355="","",IFERROR(INDEX(PE_Nom,MATCH(B1355,PE_Mat,0)),"Matricule inconnu"))</f>
        <v/>
      </c>
      <c r="D1355" s="76" t="str">
        <f aca="false">IF(B1355="","",IFERROR(INDEX(PE_Fonction,MATCH(B1355,PE_Mat,0)),""))</f>
        <v/>
      </c>
      <c r="E1355" s="76" t="str">
        <f aca="false">IF(B1355="","",IFERROR(INDEX(PE_Equipe,MATCH(B1355,PE_Mat,0)),""))</f>
        <v/>
      </c>
      <c r="F1355" s="25"/>
      <c r="G1355" s="25"/>
      <c r="H1355" s="68"/>
      <c r="I1355" s="89"/>
      <c r="J1355" s="31" t="str">
        <f aca="false">IF(B1355="","",IFERROR(INDEX(PE_Taux,MATCH(B1355,PE_Mat,0)),0))</f>
        <v/>
      </c>
      <c r="K1355" s="31" t="str">
        <f aca="false">IF(B1355="","",IF(H1355="A",0,IFERROR(N(I1355)/P_Heures*J1355,0)))</f>
        <v/>
      </c>
      <c r="L1355" s="25"/>
    </row>
    <row r="1356" customFormat="false" ht="15" hidden="false" customHeight="false" outlineLevel="0" collapsed="false">
      <c r="A1356" s="69"/>
      <c r="B1356" s="68"/>
      <c r="C1356" s="76" t="str">
        <f aca="false">IF(B1356="","",IFERROR(INDEX(PE_Nom,MATCH(B1356,PE_Mat,0)),"Matricule inconnu"))</f>
        <v/>
      </c>
      <c r="D1356" s="76" t="str">
        <f aca="false">IF(B1356="","",IFERROR(INDEX(PE_Fonction,MATCH(B1356,PE_Mat,0)),""))</f>
        <v/>
      </c>
      <c r="E1356" s="76" t="str">
        <f aca="false">IF(B1356="","",IFERROR(INDEX(PE_Equipe,MATCH(B1356,PE_Mat,0)),""))</f>
        <v/>
      </c>
      <c r="F1356" s="25"/>
      <c r="G1356" s="25"/>
      <c r="H1356" s="68"/>
      <c r="I1356" s="89"/>
      <c r="J1356" s="31" t="str">
        <f aca="false">IF(B1356="","",IFERROR(INDEX(PE_Taux,MATCH(B1356,PE_Mat,0)),0))</f>
        <v/>
      </c>
      <c r="K1356" s="31" t="str">
        <f aca="false">IF(B1356="","",IF(H1356="A",0,IFERROR(N(I1356)/P_Heures*J1356,0)))</f>
        <v/>
      </c>
      <c r="L1356" s="25"/>
    </row>
    <row r="1357" customFormat="false" ht="15" hidden="false" customHeight="false" outlineLevel="0" collapsed="false">
      <c r="A1357" s="69"/>
      <c r="B1357" s="68"/>
      <c r="C1357" s="76" t="str">
        <f aca="false">IF(B1357="","",IFERROR(INDEX(PE_Nom,MATCH(B1357,PE_Mat,0)),"Matricule inconnu"))</f>
        <v/>
      </c>
      <c r="D1357" s="76" t="str">
        <f aca="false">IF(B1357="","",IFERROR(INDEX(PE_Fonction,MATCH(B1357,PE_Mat,0)),""))</f>
        <v/>
      </c>
      <c r="E1357" s="76" t="str">
        <f aca="false">IF(B1357="","",IFERROR(INDEX(PE_Equipe,MATCH(B1357,PE_Mat,0)),""))</f>
        <v/>
      </c>
      <c r="F1357" s="25"/>
      <c r="G1357" s="25"/>
      <c r="H1357" s="68"/>
      <c r="I1357" s="89"/>
      <c r="J1357" s="31" t="str">
        <f aca="false">IF(B1357="","",IFERROR(INDEX(PE_Taux,MATCH(B1357,PE_Mat,0)),0))</f>
        <v/>
      </c>
      <c r="K1357" s="31" t="str">
        <f aca="false">IF(B1357="","",IF(H1357="A",0,IFERROR(N(I1357)/P_Heures*J1357,0)))</f>
        <v/>
      </c>
      <c r="L1357" s="25"/>
    </row>
    <row r="1358" customFormat="false" ht="15" hidden="false" customHeight="false" outlineLevel="0" collapsed="false">
      <c r="A1358" s="69"/>
      <c r="B1358" s="68"/>
      <c r="C1358" s="76" t="str">
        <f aca="false">IF(B1358="","",IFERROR(INDEX(PE_Nom,MATCH(B1358,PE_Mat,0)),"Matricule inconnu"))</f>
        <v/>
      </c>
      <c r="D1358" s="76" t="str">
        <f aca="false">IF(B1358="","",IFERROR(INDEX(PE_Fonction,MATCH(B1358,PE_Mat,0)),""))</f>
        <v/>
      </c>
      <c r="E1358" s="76" t="str">
        <f aca="false">IF(B1358="","",IFERROR(INDEX(PE_Equipe,MATCH(B1358,PE_Mat,0)),""))</f>
        <v/>
      </c>
      <c r="F1358" s="25"/>
      <c r="G1358" s="25"/>
      <c r="H1358" s="68"/>
      <c r="I1358" s="89"/>
      <c r="J1358" s="31" t="str">
        <f aca="false">IF(B1358="","",IFERROR(INDEX(PE_Taux,MATCH(B1358,PE_Mat,0)),0))</f>
        <v/>
      </c>
      <c r="K1358" s="31" t="str">
        <f aca="false">IF(B1358="","",IF(H1358="A",0,IFERROR(N(I1358)/P_Heures*J1358,0)))</f>
        <v/>
      </c>
      <c r="L1358" s="25"/>
    </row>
    <row r="1359" customFormat="false" ht="15" hidden="false" customHeight="false" outlineLevel="0" collapsed="false">
      <c r="A1359" s="69"/>
      <c r="B1359" s="68"/>
      <c r="C1359" s="76" t="str">
        <f aca="false">IF(B1359="","",IFERROR(INDEX(PE_Nom,MATCH(B1359,PE_Mat,0)),"Matricule inconnu"))</f>
        <v/>
      </c>
      <c r="D1359" s="76" t="str">
        <f aca="false">IF(B1359="","",IFERROR(INDEX(PE_Fonction,MATCH(B1359,PE_Mat,0)),""))</f>
        <v/>
      </c>
      <c r="E1359" s="76" t="str">
        <f aca="false">IF(B1359="","",IFERROR(INDEX(PE_Equipe,MATCH(B1359,PE_Mat,0)),""))</f>
        <v/>
      </c>
      <c r="F1359" s="25"/>
      <c r="G1359" s="25"/>
      <c r="H1359" s="68"/>
      <c r="I1359" s="89"/>
      <c r="J1359" s="31" t="str">
        <f aca="false">IF(B1359="","",IFERROR(INDEX(PE_Taux,MATCH(B1359,PE_Mat,0)),0))</f>
        <v/>
      </c>
      <c r="K1359" s="31" t="str">
        <f aca="false">IF(B1359="","",IF(H1359="A",0,IFERROR(N(I1359)/P_Heures*J1359,0)))</f>
        <v/>
      </c>
      <c r="L1359" s="25"/>
    </row>
    <row r="1360" customFormat="false" ht="15" hidden="false" customHeight="false" outlineLevel="0" collapsed="false">
      <c r="A1360" s="69"/>
      <c r="B1360" s="68"/>
      <c r="C1360" s="76" t="str">
        <f aca="false">IF(B1360="","",IFERROR(INDEX(PE_Nom,MATCH(B1360,PE_Mat,0)),"Matricule inconnu"))</f>
        <v/>
      </c>
      <c r="D1360" s="76" t="str">
        <f aca="false">IF(B1360="","",IFERROR(INDEX(PE_Fonction,MATCH(B1360,PE_Mat,0)),""))</f>
        <v/>
      </c>
      <c r="E1360" s="76" t="str">
        <f aca="false">IF(B1360="","",IFERROR(INDEX(PE_Equipe,MATCH(B1360,PE_Mat,0)),""))</f>
        <v/>
      </c>
      <c r="F1360" s="25"/>
      <c r="G1360" s="25"/>
      <c r="H1360" s="68"/>
      <c r="I1360" s="89"/>
      <c r="J1360" s="31" t="str">
        <f aca="false">IF(B1360="","",IFERROR(INDEX(PE_Taux,MATCH(B1360,PE_Mat,0)),0))</f>
        <v/>
      </c>
      <c r="K1360" s="31" t="str">
        <f aca="false">IF(B1360="","",IF(H1360="A",0,IFERROR(N(I1360)/P_Heures*J1360,0)))</f>
        <v/>
      </c>
      <c r="L1360" s="25"/>
    </row>
    <row r="1361" customFormat="false" ht="15" hidden="false" customHeight="false" outlineLevel="0" collapsed="false">
      <c r="A1361" s="69"/>
      <c r="B1361" s="68"/>
      <c r="C1361" s="76" t="str">
        <f aca="false">IF(B1361="","",IFERROR(INDEX(PE_Nom,MATCH(B1361,PE_Mat,0)),"Matricule inconnu"))</f>
        <v/>
      </c>
      <c r="D1361" s="76" t="str">
        <f aca="false">IF(B1361="","",IFERROR(INDEX(PE_Fonction,MATCH(B1361,PE_Mat,0)),""))</f>
        <v/>
      </c>
      <c r="E1361" s="76" t="str">
        <f aca="false">IF(B1361="","",IFERROR(INDEX(PE_Equipe,MATCH(B1361,PE_Mat,0)),""))</f>
        <v/>
      </c>
      <c r="F1361" s="25"/>
      <c r="G1361" s="25"/>
      <c r="H1361" s="68"/>
      <c r="I1361" s="89"/>
      <c r="J1361" s="31" t="str">
        <f aca="false">IF(B1361="","",IFERROR(INDEX(PE_Taux,MATCH(B1361,PE_Mat,0)),0))</f>
        <v/>
      </c>
      <c r="K1361" s="31" t="str">
        <f aca="false">IF(B1361="","",IF(H1361="A",0,IFERROR(N(I1361)/P_Heures*J1361,0)))</f>
        <v/>
      </c>
      <c r="L1361" s="25"/>
    </row>
    <row r="1362" customFormat="false" ht="15" hidden="false" customHeight="false" outlineLevel="0" collapsed="false">
      <c r="A1362" s="69"/>
      <c r="B1362" s="68"/>
      <c r="C1362" s="76" t="str">
        <f aca="false">IF(B1362="","",IFERROR(INDEX(PE_Nom,MATCH(B1362,PE_Mat,0)),"Matricule inconnu"))</f>
        <v/>
      </c>
      <c r="D1362" s="76" t="str">
        <f aca="false">IF(B1362="","",IFERROR(INDEX(PE_Fonction,MATCH(B1362,PE_Mat,0)),""))</f>
        <v/>
      </c>
      <c r="E1362" s="76" t="str">
        <f aca="false">IF(B1362="","",IFERROR(INDEX(PE_Equipe,MATCH(B1362,PE_Mat,0)),""))</f>
        <v/>
      </c>
      <c r="F1362" s="25"/>
      <c r="G1362" s="25"/>
      <c r="H1362" s="68"/>
      <c r="I1362" s="89"/>
      <c r="J1362" s="31" t="str">
        <f aca="false">IF(B1362="","",IFERROR(INDEX(PE_Taux,MATCH(B1362,PE_Mat,0)),0))</f>
        <v/>
      </c>
      <c r="K1362" s="31" t="str">
        <f aca="false">IF(B1362="","",IF(H1362="A",0,IFERROR(N(I1362)/P_Heures*J1362,0)))</f>
        <v/>
      </c>
      <c r="L1362" s="25"/>
    </row>
    <row r="1363" customFormat="false" ht="15" hidden="false" customHeight="false" outlineLevel="0" collapsed="false">
      <c r="A1363" s="69"/>
      <c r="B1363" s="68"/>
      <c r="C1363" s="76" t="str">
        <f aca="false">IF(B1363="","",IFERROR(INDEX(PE_Nom,MATCH(B1363,PE_Mat,0)),"Matricule inconnu"))</f>
        <v/>
      </c>
      <c r="D1363" s="76" t="str">
        <f aca="false">IF(B1363="","",IFERROR(INDEX(PE_Fonction,MATCH(B1363,PE_Mat,0)),""))</f>
        <v/>
      </c>
      <c r="E1363" s="76" t="str">
        <f aca="false">IF(B1363="","",IFERROR(INDEX(PE_Equipe,MATCH(B1363,PE_Mat,0)),""))</f>
        <v/>
      </c>
      <c r="F1363" s="25"/>
      <c r="G1363" s="25"/>
      <c r="H1363" s="68"/>
      <c r="I1363" s="89"/>
      <c r="J1363" s="31" t="str">
        <f aca="false">IF(B1363="","",IFERROR(INDEX(PE_Taux,MATCH(B1363,PE_Mat,0)),0))</f>
        <v/>
      </c>
      <c r="K1363" s="31" t="str">
        <f aca="false">IF(B1363="","",IF(H1363="A",0,IFERROR(N(I1363)/P_Heures*J1363,0)))</f>
        <v/>
      </c>
      <c r="L1363" s="25"/>
    </row>
    <row r="1364" customFormat="false" ht="15" hidden="false" customHeight="false" outlineLevel="0" collapsed="false">
      <c r="A1364" s="69"/>
      <c r="B1364" s="68"/>
      <c r="C1364" s="76" t="str">
        <f aca="false">IF(B1364="","",IFERROR(INDEX(PE_Nom,MATCH(B1364,PE_Mat,0)),"Matricule inconnu"))</f>
        <v/>
      </c>
      <c r="D1364" s="76" t="str">
        <f aca="false">IF(B1364="","",IFERROR(INDEX(PE_Fonction,MATCH(B1364,PE_Mat,0)),""))</f>
        <v/>
      </c>
      <c r="E1364" s="76" t="str">
        <f aca="false">IF(B1364="","",IFERROR(INDEX(PE_Equipe,MATCH(B1364,PE_Mat,0)),""))</f>
        <v/>
      </c>
      <c r="F1364" s="25"/>
      <c r="G1364" s="25"/>
      <c r="H1364" s="68"/>
      <c r="I1364" s="89"/>
      <c r="J1364" s="31" t="str">
        <f aca="false">IF(B1364="","",IFERROR(INDEX(PE_Taux,MATCH(B1364,PE_Mat,0)),0))</f>
        <v/>
      </c>
      <c r="K1364" s="31" t="str">
        <f aca="false">IF(B1364="","",IF(H1364="A",0,IFERROR(N(I1364)/P_Heures*J1364,0)))</f>
        <v/>
      </c>
      <c r="L1364" s="25"/>
    </row>
    <row r="1365" customFormat="false" ht="15" hidden="false" customHeight="false" outlineLevel="0" collapsed="false">
      <c r="A1365" s="69"/>
      <c r="B1365" s="68"/>
      <c r="C1365" s="76" t="str">
        <f aca="false">IF(B1365="","",IFERROR(INDEX(PE_Nom,MATCH(B1365,PE_Mat,0)),"Matricule inconnu"))</f>
        <v/>
      </c>
      <c r="D1365" s="76" t="str">
        <f aca="false">IF(B1365="","",IFERROR(INDEX(PE_Fonction,MATCH(B1365,PE_Mat,0)),""))</f>
        <v/>
      </c>
      <c r="E1365" s="76" t="str">
        <f aca="false">IF(B1365="","",IFERROR(INDEX(PE_Equipe,MATCH(B1365,PE_Mat,0)),""))</f>
        <v/>
      </c>
      <c r="F1365" s="25"/>
      <c r="G1365" s="25"/>
      <c r="H1365" s="68"/>
      <c r="I1365" s="89"/>
      <c r="J1365" s="31" t="str">
        <f aca="false">IF(B1365="","",IFERROR(INDEX(PE_Taux,MATCH(B1365,PE_Mat,0)),0))</f>
        <v/>
      </c>
      <c r="K1365" s="31" t="str">
        <f aca="false">IF(B1365="","",IF(H1365="A",0,IFERROR(N(I1365)/P_Heures*J1365,0)))</f>
        <v/>
      </c>
      <c r="L1365" s="25"/>
    </row>
    <row r="1366" customFormat="false" ht="15" hidden="false" customHeight="false" outlineLevel="0" collapsed="false">
      <c r="A1366" s="69"/>
      <c r="B1366" s="68"/>
      <c r="C1366" s="76" t="str">
        <f aca="false">IF(B1366="","",IFERROR(INDEX(PE_Nom,MATCH(B1366,PE_Mat,0)),"Matricule inconnu"))</f>
        <v/>
      </c>
      <c r="D1366" s="76" t="str">
        <f aca="false">IF(B1366="","",IFERROR(INDEX(PE_Fonction,MATCH(B1366,PE_Mat,0)),""))</f>
        <v/>
      </c>
      <c r="E1366" s="76" t="str">
        <f aca="false">IF(B1366="","",IFERROR(INDEX(PE_Equipe,MATCH(B1366,PE_Mat,0)),""))</f>
        <v/>
      </c>
      <c r="F1366" s="25"/>
      <c r="G1366" s="25"/>
      <c r="H1366" s="68"/>
      <c r="I1366" s="89"/>
      <c r="J1366" s="31" t="str">
        <f aca="false">IF(B1366="","",IFERROR(INDEX(PE_Taux,MATCH(B1366,PE_Mat,0)),0))</f>
        <v/>
      </c>
      <c r="K1366" s="31" t="str">
        <f aca="false">IF(B1366="","",IF(H1366="A",0,IFERROR(N(I1366)/P_Heures*J1366,0)))</f>
        <v/>
      </c>
      <c r="L1366" s="25"/>
    </row>
    <row r="1367" customFormat="false" ht="15" hidden="false" customHeight="false" outlineLevel="0" collapsed="false">
      <c r="A1367" s="69"/>
      <c r="B1367" s="68"/>
      <c r="C1367" s="76" t="str">
        <f aca="false">IF(B1367="","",IFERROR(INDEX(PE_Nom,MATCH(B1367,PE_Mat,0)),"Matricule inconnu"))</f>
        <v/>
      </c>
      <c r="D1367" s="76" t="str">
        <f aca="false">IF(B1367="","",IFERROR(INDEX(PE_Fonction,MATCH(B1367,PE_Mat,0)),""))</f>
        <v/>
      </c>
      <c r="E1367" s="76" t="str">
        <f aca="false">IF(B1367="","",IFERROR(INDEX(PE_Equipe,MATCH(B1367,PE_Mat,0)),""))</f>
        <v/>
      </c>
      <c r="F1367" s="25"/>
      <c r="G1367" s="25"/>
      <c r="H1367" s="68"/>
      <c r="I1367" s="89"/>
      <c r="J1367" s="31" t="str">
        <f aca="false">IF(B1367="","",IFERROR(INDEX(PE_Taux,MATCH(B1367,PE_Mat,0)),0))</f>
        <v/>
      </c>
      <c r="K1367" s="31" t="str">
        <f aca="false">IF(B1367="","",IF(H1367="A",0,IFERROR(N(I1367)/P_Heures*J1367,0)))</f>
        <v/>
      </c>
      <c r="L1367" s="25"/>
    </row>
    <row r="1368" customFormat="false" ht="15" hidden="false" customHeight="false" outlineLevel="0" collapsed="false">
      <c r="A1368" s="69"/>
      <c r="B1368" s="68"/>
      <c r="C1368" s="76" t="str">
        <f aca="false">IF(B1368="","",IFERROR(INDEX(PE_Nom,MATCH(B1368,PE_Mat,0)),"Matricule inconnu"))</f>
        <v/>
      </c>
      <c r="D1368" s="76" t="str">
        <f aca="false">IF(B1368="","",IFERROR(INDEX(PE_Fonction,MATCH(B1368,PE_Mat,0)),""))</f>
        <v/>
      </c>
      <c r="E1368" s="76" t="str">
        <f aca="false">IF(B1368="","",IFERROR(INDEX(PE_Equipe,MATCH(B1368,PE_Mat,0)),""))</f>
        <v/>
      </c>
      <c r="F1368" s="25"/>
      <c r="G1368" s="25"/>
      <c r="H1368" s="68"/>
      <c r="I1368" s="89"/>
      <c r="J1368" s="31" t="str">
        <f aca="false">IF(B1368="","",IFERROR(INDEX(PE_Taux,MATCH(B1368,PE_Mat,0)),0))</f>
        <v/>
      </c>
      <c r="K1368" s="31" t="str">
        <f aca="false">IF(B1368="","",IF(H1368="A",0,IFERROR(N(I1368)/P_Heures*J1368,0)))</f>
        <v/>
      </c>
      <c r="L1368" s="25"/>
    </row>
    <row r="1369" customFormat="false" ht="15" hidden="false" customHeight="false" outlineLevel="0" collapsed="false">
      <c r="A1369" s="69"/>
      <c r="B1369" s="68"/>
      <c r="C1369" s="76" t="str">
        <f aca="false">IF(B1369="","",IFERROR(INDEX(PE_Nom,MATCH(B1369,PE_Mat,0)),"Matricule inconnu"))</f>
        <v/>
      </c>
      <c r="D1369" s="76" t="str">
        <f aca="false">IF(B1369="","",IFERROR(INDEX(PE_Fonction,MATCH(B1369,PE_Mat,0)),""))</f>
        <v/>
      </c>
      <c r="E1369" s="76" t="str">
        <f aca="false">IF(B1369="","",IFERROR(INDEX(PE_Equipe,MATCH(B1369,PE_Mat,0)),""))</f>
        <v/>
      </c>
      <c r="F1369" s="25"/>
      <c r="G1369" s="25"/>
      <c r="H1369" s="68"/>
      <c r="I1369" s="89"/>
      <c r="J1369" s="31" t="str">
        <f aca="false">IF(B1369="","",IFERROR(INDEX(PE_Taux,MATCH(B1369,PE_Mat,0)),0))</f>
        <v/>
      </c>
      <c r="K1369" s="31" t="str">
        <f aca="false">IF(B1369="","",IF(H1369="A",0,IFERROR(N(I1369)/P_Heures*J1369,0)))</f>
        <v/>
      </c>
      <c r="L1369" s="25"/>
    </row>
    <row r="1370" customFormat="false" ht="15" hidden="false" customHeight="false" outlineLevel="0" collapsed="false">
      <c r="A1370" s="69"/>
      <c r="B1370" s="68"/>
      <c r="C1370" s="76" t="str">
        <f aca="false">IF(B1370="","",IFERROR(INDEX(PE_Nom,MATCH(B1370,PE_Mat,0)),"Matricule inconnu"))</f>
        <v/>
      </c>
      <c r="D1370" s="76" t="str">
        <f aca="false">IF(B1370="","",IFERROR(INDEX(PE_Fonction,MATCH(B1370,PE_Mat,0)),""))</f>
        <v/>
      </c>
      <c r="E1370" s="76" t="str">
        <f aca="false">IF(B1370="","",IFERROR(INDEX(PE_Equipe,MATCH(B1370,PE_Mat,0)),""))</f>
        <v/>
      </c>
      <c r="F1370" s="25"/>
      <c r="G1370" s="25"/>
      <c r="H1370" s="68"/>
      <c r="I1370" s="89"/>
      <c r="J1370" s="31" t="str">
        <f aca="false">IF(B1370="","",IFERROR(INDEX(PE_Taux,MATCH(B1370,PE_Mat,0)),0))</f>
        <v/>
      </c>
      <c r="K1370" s="31" t="str">
        <f aca="false">IF(B1370="","",IF(H1370="A",0,IFERROR(N(I1370)/P_Heures*J1370,0)))</f>
        <v/>
      </c>
      <c r="L1370" s="25"/>
    </row>
    <row r="1371" customFormat="false" ht="15" hidden="false" customHeight="false" outlineLevel="0" collapsed="false">
      <c r="A1371" s="69"/>
      <c r="B1371" s="68"/>
      <c r="C1371" s="76" t="str">
        <f aca="false">IF(B1371="","",IFERROR(INDEX(PE_Nom,MATCH(B1371,PE_Mat,0)),"Matricule inconnu"))</f>
        <v/>
      </c>
      <c r="D1371" s="76" t="str">
        <f aca="false">IF(B1371="","",IFERROR(INDEX(PE_Fonction,MATCH(B1371,PE_Mat,0)),""))</f>
        <v/>
      </c>
      <c r="E1371" s="76" t="str">
        <f aca="false">IF(B1371="","",IFERROR(INDEX(PE_Equipe,MATCH(B1371,PE_Mat,0)),""))</f>
        <v/>
      </c>
      <c r="F1371" s="25"/>
      <c r="G1371" s="25"/>
      <c r="H1371" s="68"/>
      <c r="I1371" s="89"/>
      <c r="J1371" s="31" t="str">
        <f aca="false">IF(B1371="","",IFERROR(INDEX(PE_Taux,MATCH(B1371,PE_Mat,0)),0))</f>
        <v/>
      </c>
      <c r="K1371" s="31" t="str">
        <f aca="false">IF(B1371="","",IF(H1371="A",0,IFERROR(N(I1371)/P_Heures*J1371,0)))</f>
        <v/>
      </c>
      <c r="L1371" s="25"/>
    </row>
    <row r="1372" customFormat="false" ht="15" hidden="false" customHeight="false" outlineLevel="0" collapsed="false">
      <c r="A1372" s="69"/>
      <c r="B1372" s="68"/>
      <c r="C1372" s="76" t="str">
        <f aca="false">IF(B1372="","",IFERROR(INDEX(PE_Nom,MATCH(B1372,PE_Mat,0)),"Matricule inconnu"))</f>
        <v/>
      </c>
      <c r="D1372" s="76" t="str">
        <f aca="false">IF(B1372="","",IFERROR(INDEX(PE_Fonction,MATCH(B1372,PE_Mat,0)),""))</f>
        <v/>
      </c>
      <c r="E1372" s="76" t="str">
        <f aca="false">IF(B1372="","",IFERROR(INDEX(PE_Equipe,MATCH(B1372,PE_Mat,0)),""))</f>
        <v/>
      </c>
      <c r="F1372" s="25"/>
      <c r="G1372" s="25"/>
      <c r="H1372" s="68"/>
      <c r="I1372" s="89"/>
      <c r="J1372" s="31" t="str">
        <f aca="false">IF(B1372="","",IFERROR(INDEX(PE_Taux,MATCH(B1372,PE_Mat,0)),0))</f>
        <v/>
      </c>
      <c r="K1372" s="31" t="str">
        <f aca="false">IF(B1372="","",IF(H1372="A",0,IFERROR(N(I1372)/P_Heures*J1372,0)))</f>
        <v/>
      </c>
      <c r="L1372" s="25"/>
    </row>
    <row r="1373" customFormat="false" ht="15" hidden="false" customHeight="false" outlineLevel="0" collapsed="false">
      <c r="A1373" s="69"/>
      <c r="B1373" s="68"/>
      <c r="C1373" s="76" t="str">
        <f aca="false">IF(B1373="","",IFERROR(INDEX(PE_Nom,MATCH(B1373,PE_Mat,0)),"Matricule inconnu"))</f>
        <v/>
      </c>
      <c r="D1373" s="76" t="str">
        <f aca="false">IF(B1373="","",IFERROR(INDEX(PE_Fonction,MATCH(B1373,PE_Mat,0)),""))</f>
        <v/>
      </c>
      <c r="E1373" s="76" t="str">
        <f aca="false">IF(B1373="","",IFERROR(INDEX(PE_Equipe,MATCH(B1373,PE_Mat,0)),""))</f>
        <v/>
      </c>
      <c r="F1373" s="25"/>
      <c r="G1373" s="25"/>
      <c r="H1373" s="68"/>
      <c r="I1373" s="89"/>
      <c r="J1373" s="31" t="str">
        <f aca="false">IF(B1373="","",IFERROR(INDEX(PE_Taux,MATCH(B1373,PE_Mat,0)),0))</f>
        <v/>
      </c>
      <c r="K1373" s="31" t="str">
        <f aca="false">IF(B1373="","",IF(H1373="A",0,IFERROR(N(I1373)/P_Heures*J1373,0)))</f>
        <v/>
      </c>
      <c r="L1373" s="25"/>
    </row>
    <row r="1374" customFormat="false" ht="15" hidden="false" customHeight="false" outlineLevel="0" collapsed="false">
      <c r="A1374" s="69"/>
      <c r="B1374" s="68"/>
      <c r="C1374" s="76" t="str">
        <f aca="false">IF(B1374="","",IFERROR(INDEX(PE_Nom,MATCH(B1374,PE_Mat,0)),"Matricule inconnu"))</f>
        <v/>
      </c>
      <c r="D1374" s="76" t="str">
        <f aca="false">IF(B1374="","",IFERROR(INDEX(PE_Fonction,MATCH(B1374,PE_Mat,0)),""))</f>
        <v/>
      </c>
      <c r="E1374" s="76" t="str">
        <f aca="false">IF(B1374="","",IFERROR(INDEX(PE_Equipe,MATCH(B1374,PE_Mat,0)),""))</f>
        <v/>
      </c>
      <c r="F1374" s="25"/>
      <c r="G1374" s="25"/>
      <c r="H1374" s="68"/>
      <c r="I1374" s="89"/>
      <c r="J1374" s="31" t="str">
        <f aca="false">IF(B1374="","",IFERROR(INDEX(PE_Taux,MATCH(B1374,PE_Mat,0)),0))</f>
        <v/>
      </c>
      <c r="K1374" s="31" t="str">
        <f aca="false">IF(B1374="","",IF(H1374="A",0,IFERROR(N(I1374)/P_Heures*J1374,0)))</f>
        <v/>
      </c>
      <c r="L1374" s="25"/>
    </row>
    <row r="1375" customFormat="false" ht="15" hidden="false" customHeight="false" outlineLevel="0" collapsed="false">
      <c r="A1375" s="69"/>
      <c r="B1375" s="68"/>
      <c r="C1375" s="76" t="str">
        <f aca="false">IF(B1375="","",IFERROR(INDEX(PE_Nom,MATCH(B1375,PE_Mat,0)),"Matricule inconnu"))</f>
        <v/>
      </c>
      <c r="D1375" s="76" t="str">
        <f aca="false">IF(B1375="","",IFERROR(INDEX(PE_Fonction,MATCH(B1375,PE_Mat,0)),""))</f>
        <v/>
      </c>
      <c r="E1375" s="76" t="str">
        <f aca="false">IF(B1375="","",IFERROR(INDEX(PE_Equipe,MATCH(B1375,PE_Mat,0)),""))</f>
        <v/>
      </c>
      <c r="F1375" s="25"/>
      <c r="G1375" s="25"/>
      <c r="H1375" s="68"/>
      <c r="I1375" s="89"/>
      <c r="J1375" s="31" t="str">
        <f aca="false">IF(B1375="","",IFERROR(INDEX(PE_Taux,MATCH(B1375,PE_Mat,0)),0))</f>
        <v/>
      </c>
      <c r="K1375" s="31" t="str">
        <f aca="false">IF(B1375="","",IF(H1375="A",0,IFERROR(N(I1375)/P_Heures*J1375,0)))</f>
        <v/>
      </c>
      <c r="L1375" s="25"/>
    </row>
    <row r="1376" customFormat="false" ht="15" hidden="false" customHeight="false" outlineLevel="0" collapsed="false">
      <c r="A1376" s="69"/>
      <c r="B1376" s="68"/>
      <c r="C1376" s="76" t="str">
        <f aca="false">IF(B1376="","",IFERROR(INDEX(PE_Nom,MATCH(B1376,PE_Mat,0)),"Matricule inconnu"))</f>
        <v/>
      </c>
      <c r="D1376" s="76" t="str">
        <f aca="false">IF(B1376="","",IFERROR(INDEX(PE_Fonction,MATCH(B1376,PE_Mat,0)),""))</f>
        <v/>
      </c>
      <c r="E1376" s="76" t="str">
        <f aca="false">IF(B1376="","",IFERROR(INDEX(PE_Equipe,MATCH(B1376,PE_Mat,0)),""))</f>
        <v/>
      </c>
      <c r="F1376" s="25"/>
      <c r="G1376" s="25"/>
      <c r="H1376" s="68"/>
      <c r="I1376" s="89"/>
      <c r="J1376" s="31" t="str">
        <f aca="false">IF(B1376="","",IFERROR(INDEX(PE_Taux,MATCH(B1376,PE_Mat,0)),0))</f>
        <v/>
      </c>
      <c r="K1376" s="31" t="str">
        <f aca="false">IF(B1376="","",IF(H1376="A",0,IFERROR(N(I1376)/P_Heures*J1376,0)))</f>
        <v/>
      </c>
      <c r="L1376" s="25"/>
    </row>
    <row r="1377" customFormat="false" ht="15" hidden="false" customHeight="false" outlineLevel="0" collapsed="false">
      <c r="A1377" s="69"/>
      <c r="B1377" s="68"/>
      <c r="C1377" s="76" t="str">
        <f aca="false">IF(B1377="","",IFERROR(INDEX(PE_Nom,MATCH(B1377,PE_Mat,0)),"Matricule inconnu"))</f>
        <v/>
      </c>
      <c r="D1377" s="76" t="str">
        <f aca="false">IF(B1377="","",IFERROR(INDEX(PE_Fonction,MATCH(B1377,PE_Mat,0)),""))</f>
        <v/>
      </c>
      <c r="E1377" s="76" t="str">
        <f aca="false">IF(B1377="","",IFERROR(INDEX(PE_Equipe,MATCH(B1377,PE_Mat,0)),""))</f>
        <v/>
      </c>
      <c r="F1377" s="25"/>
      <c r="G1377" s="25"/>
      <c r="H1377" s="68"/>
      <c r="I1377" s="89"/>
      <c r="J1377" s="31" t="str">
        <f aca="false">IF(B1377="","",IFERROR(INDEX(PE_Taux,MATCH(B1377,PE_Mat,0)),0))</f>
        <v/>
      </c>
      <c r="K1377" s="31" t="str">
        <f aca="false">IF(B1377="","",IF(H1377="A",0,IFERROR(N(I1377)/P_Heures*J1377,0)))</f>
        <v/>
      </c>
      <c r="L1377" s="25"/>
    </row>
    <row r="1378" customFormat="false" ht="15" hidden="false" customHeight="false" outlineLevel="0" collapsed="false">
      <c r="A1378" s="69"/>
      <c r="B1378" s="68"/>
      <c r="C1378" s="76" t="str">
        <f aca="false">IF(B1378="","",IFERROR(INDEX(PE_Nom,MATCH(B1378,PE_Mat,0)),"Matricule inconnu"))</f>
        <v/>
      </c>
      <c r="D1378" s="76" t="str">
        <f aca="false">IF(B1378="","",IFERROR(INDEX(PE_Fonction,MATCH(B1378,PE_Mat,0)),""))</f>
        <v/>
      </c>
      <c r="E1378" s="76" t="str">
        <f aca="false">IF(B1378="","",IFERROR(INDEX(PE_Equipe,MATCH(B1378,PE_Mat,0)),""))</f>
        <v/>
      </c>
      <c r="F1378" s="25"/>
      <c r="G1378" s="25"/>
      <c r="H1378" s="68"/>
      <c r="I1378" s="89"/>
      <c r="J1378" s="31" t="str">
        <f aca="false">IF(B1378="","",IFERROR(INDEX(PE_Taux,MATCH(B1378,PE_Mat,0)),0))</f>
        <v/>
      </c>
      <c r="K1378" s="31" t="str">
        <f aca="false">IF(B1378="","",IF(H1378="A",0,IFERROR(N(I1378)/P_Heures*J1378,0)))</f>
        <v/>
      </c>
      <c r="L1378" s="25"/>
    </row>
    <row r="1379" customFormat="false" ht="15" hidden="false" customHeight="false" outlineLevel="0" collapsed="false">
      <c r="A1379" s="69"/>
      <c r="B1379" s="68"/>
      <c r="C1379" s="76" t="str">
        <f aca="false">IF(B1379="","",IFERROR(INDEX(PE_Nom,MATCH(B1379,PE_Mat,0)),"Matricule inconnu"))</f>
        <v/>
      </c>
      <c r="D1379" s="76" t="str">
        <f aca="false">IF(B1379="","",IFERROR(INDEX(PE_Fonction,MATCH(B1379,PE_Mat,0)),""))</f>
        <v/>
      </c>
      <c r="E1379" s="76" t="str">
        <f aca="false">IF(B1379="","",IFERROR(INDEX(PE_Equipe,MATCH(B1379,PE_Mat,0)),""))</f>
        <v/>
      </c>
      <c r="F1379" s="25"/>
      <c r="G1379" s="25"/>
      <c r="H1379" s="68"/>
      <c r="I1379" s="89"/>
      <c r="J1379" s="31" t="str">
        <f aca="false">IF(B1379="","",IFERROR(INDEX(PE_Taux,MATCH(B1379,PE_Mat,0)),0))</f>
        <v/>
      </c>
      <c r="K1379" s="31" t="str">
        <f aca="false">IF(B1379="","",IF(H1379="A",0,IFERROR(N(I1379)/P_Heures*J1379,0)))</f>
        <v/>
      </c>
      <c r="L1379" s="25"/>
    </row>
    <row r="1380" customFormat="false" ht="15" hidden="false" customHeight="false" outlineLevel="0" collapsed="false">
      <c r="A1380" s="69"/>
      <c r="B1380" s="68"/>
      <c r="C1380" s="76" t="str">
        <f aca="false">IF(B1380="","",IFERROR(INDEX(PE_Nom,MATCH(B1380,PE_Mat,0)),"Matricule inconnu"))</f>
        <v/>
      </c>
      <c r="D1380" s="76" t="str">
        <f aca="false">IF(B1380="","",IFERROR(INDEX(PE_Fonction,MATCH(B1380,PE_Mat,0)),""))</f>
        <v/>
      </c>
      <c r="E1380" s="76" t="str">
        <f aca="false">IF(B1380="","",IFERROR(INDEX(PE_Equipe,MATCH(B1380,PE_Mat,0)),""))</f>
        <v/>
      </c>
      <c r="F1380" s="25"/>
      <c r="G1380" s="25"/>
      <c r="H1380" s="68"/>
      <c r="I1380" s="89"/>
      <c r="J1380" s="31" t="str">
        <f aca="false">IF(B1380="","",IFERROR(INDEX(PE_Taux,MATCH(B1380,PE_Mat,0)),0))</f>
        <v/>
      </c>
      <c r="K1380" s="31" t="str">
        <f aca="false">IF(B1380="","",IF(H1380="A",0,IFERROR(N(I1380)/P_Heures*J1380,0)))</f>
        <v/>
      </c>
      <c r="L1380" s="25"/>
    </row>
    <row r="1381" customFormat="false" ht="15" hidden="false" customHeight="false" outlineLevel="0" collapsed="false">
      <c r="A1381" s="69"/>
      <c r="B1381" s="68"/>
      <c r="C1381" s="76" t="str">
        <f aca="false">IF(B1381="","",IFERROR(INDEX(PE_Nom,MATCH(B1381,PE_Mat,0)),"Matricule inconnu"))</f>
        <v/>
      </c>
      <c r="D1381" s="76" t="str">
        <f aca="false">IF(B1381="","",IFERROR(INDEX(PE_Fonction,MATCH(B1381,PE_Mat,0)),""))</f>
        <v/>
      </c>
      <c r="E1381" s="76" t="str">
        <f aca="false">IF(B1381="","",IFERROR(INDEX(PE_Equipe,MATCH(B1381,PE_Mat,0)),""))</f>
        <v/>
      </c>
      <c r="F1381" s="25"/>
      <c r="G1381" s="25"/>
      <c r="H1381" s="68"/>
      <c r="I1381" s="89"/>
      <c r="J1381" s="31" t="str">
        <f aca="false">IF(B1381="","",IFERROR(INDEX(PE_Taux,MATCH(B1381,PE_Mat,0)),0))</f>
        <v/>
      </c>
      <c r="K1381" s="31" t="str">
        <f aca="false">IF(B1381="","",IF(H1381="A",0,IFERROR(N(I1381)/P_Heures*J1381,0)))</f>
        <v/>
      </c>
      <c r="L1381" s="25"/>
    </row>
    <row r="1382" customFormat="false" ht="15" hidden="false" customHeight="false" outlineLevel="0" collapsed="false">
      <c r="A1382" s="69"/>
      <c r="B1382" s="68"/>
      <c r="C1382" s="76" t="str">
        <f aca="false">IF(B1382="","",IFERROR(INDEX(PE_Nom,MATCH(B1382,PE_Mat,0)),"Matricule inconnu"))</f>
        <v/>
      </c>
      <c r="D1382" s="76" t="str">
        <f aca="false">IF(B1382="","",IFERROR(INDEX(PE_Fonction,MATCH(B1382,PE_Mat,0)),""))</f>
        <v/>
      </c>
      <c r="E1382" s="76" t="str">
        <f aca="false">IF(B1382="","",IFERROR(INDEX(PE_Equipe,MATCH(B1382,PE_Mat,0)),""))</f>
        <v/>
      </c>
      <c r="F1382" s="25"/>
      <c r="G1382" s="25"/>
      <c r="H1382" s="68"/>
      <c r="I1382" s="89"/>
      <c r="J1382" s="31" t="str">
        <f aca="false">IF(B1382="","",IFERROR(INDEX(PE_Taux,MATCH(B1382,PE_Mat,0)),0))</f>
        <v/>
      </c>
      <c r="K1382" s="31" t="str">
        <f aca="false">IF(B1382="","",IF(H1382="A",0,IFERROR(N(I1382)/P_Heures*J1382,0)))</f>
        <v/>
      </c>
      <c r="L1382" s="25"/>
    </row>
    <row r="1383" customFormat="false" ht="15" hidden="false" customHeight="false" outlineLevel="0" collapsed="false">
      <c r="A1383" s="69"/>
      <c r="B1383" s="68"/>
      <c r="C1383" s="76" t="str">
        <f aca="false">IF(B1383="","",IFERROR(INDEX(PE_Nom,MATCH(B1383,PE_Mat,0)),"Matricule inconnu"))</f>
        <v/>
      </c>
      <c r="D1383" s="76" t="str">
        <f aca="false">IF(B1383="","",IFERROR(INDEX(PE_Fonction,MATCH(B1383,PE_Mat,0)),""))</f>
        <v/>
      </c>
      <c r="E1383" s="76" t="str">
        <f aca="false">IF(B1383="","",IFERROR(INDEX(PE_Equipe,MATCH(B1383,PE_Mat,0)),""))</f>
        <v/>
      </c>
      <c r="F1383" s="25"/>
      <c r="G1383" s="25"/>
      <c r="H1383" s="68"/>
      <c r="I1383" s="89"/>
      <c r="J1383" s="31" t="str">
        <f aca="false">IF(B1383="","",IFERROR(INDEX(PE_Taux,MATCH(B1383,PE_Mat,0)),0))</f>
        <v/>
      </c>
      <c r="K1383" s="31" t="str">
        <f aca="false">IF(B1383="","",IF(H1383="A",0,IFERROR(N(I1383)/P_Heures*J1383,0)))</f>
        <v/>
      </c>
      <c r="L1383" s="25"/>
    </row>
    <row r="1384" customFormat="false" ht="15" hidden="false" customHeight="false" outlineLevel="0" collapsed="false">
      <c r="A1384" s="69"/>
      <c r="B1384" s="68"/>
      <c r="C1384" s="76" t="str">
        <f aca="false">IF(B1384="","",IFERROR(INDEX(PE_Nom,MATCH(B1384,PE_Mat,0)),"Matricule inconnu"))</f>
        <v/>
      </c>
      <c r="D1384" s="76" t="str">
        <f aca="false">IF(B1384="","",IFERROR(INDEX(PE_Fonction,MATCH(B1384,PE_Mat,0)),""))</f>
        <v/>
      </c>
      <c r="E1384" s="76" t="str">
        <f aca="false">IF(B1384="","",IFERROR(INDEX(PE_Equipe,MATCH(B1384,PE_Mat,0)),""))</f>
        <v/>
      </c>
      <c r="F1384" s="25"/>
      <c r="G1384" s="25"/>
      <c r="H1384" s="68"/>
      <c r="I1384" s="89"/>
      <c r="J1384" s="31" t="str">
        <f aca="false">IF(B1384="","",IFERROR(INDEX(PE_Taux,MATCH(B1384,PE_Mat,0)),0))</f>
        <v/>
      </c>
      <c r="K1384" s="31" t="str">
        <f aca="false">IF(B1384="","",IF(H1384="A",0,IFERROR(N(I1384)/P_Heures*J1384,0)))</f>
        <v/>
      </c>
      <c r="L1384" s="25"/>
    </row>
    <row r="1385" customFormat="false" ht="15" hidden="false" customHeight="false" outlineLevel="0" collapsed="false">
      <c r="A1385" s="69"/>
      <c r="B1385" s="68"/>
      <c r="C1385" s="76" t="str">
        <f aca="false">IF(B1385="","",IFERROR(INDEX(PE_Nom,MATCH(B1385,PE_Mat,0)),"Matricule inconnu"))</f>
        <v/>
      </c>
      <c r="D1385" s="76" t="str">
        <f aca="false">IF(B1385="","",IFERROR(INDEX(PE_Fonction,MATCH(B1385,PE_Mat,0)),""))</f>
        <v/>
      </c>
      <c r="E1385" s="76" t="str">
        <f aca="false">IF(B1385="","",IFERROR(INDEX(PE_Equipe,MATCH(B1385,PE_Mat,0)),""))</f>
        <v/>
      </c>
      <c r="F1385" s="25"/>
      <c r="G1385" s="25"/>
      <c r="H1385" s="68"/>
      <c r="I1385" s="89"/>
      <c r="J1385" s="31" t="str">
        <f aca="false">IF(B1385="","",IFERROR(INDEX(PE_Taux,MATCH(B1385,PE_Mat,0)),0))</f>
        <v/>
      </c>
      <c r="K1385" s="31" t="str">
        <f aca="false">IF(B1385="","",IF(H1385="A",0,IFERROR(N(I1385)/P_Heures*J1385,0)))</f>
        <v/>
      </c>
      <c r="L1385" s="25"/>
    </row>
    <row r="1386" customFormat="false" ht="15" hidden="false" customHeight="false" outlineLevel="0" collapsed="false">
      <c r="A1386" s="69"/>
      <c r="B1386" s="68"/>
      <c r="C1386" s="76" t="str">
        <f aca="false">IF(B1386="","",IFERROR(INDEX(PE_Nom,MATCH(B1386,PE_Mat,0)),"Matricule inconnu"))</f>
        <v/>
      </c>
      <c r="D1386" s="76" t="str">
        <f aca="false">IF(B1386="","",IFERROR(INDEX(PE_Fonction,MATCH(B1386,PE_Mat,0)),""))</f>
        <v/>
      </c>
      <c r="E1386" s="76" t="str">
        <f aca="false">IF(B1386="","",IFERROR(INDEX(PE_Equipe,MATCH(B1386,PE_Mat,0)),""))</f>
        <v/>
      </c>
      <c r="F1386" s="25"/>
      <c r="G1386" s="25"/>
      <c r="H1386" s="68"/>
      <c r="I1386" s="89"/>
      <c r="J1386" s="31" t="str">
        <f aca="false">IF(B1386="","",IFERROR(INDEX(PE_Taux,MATCH(B1386,PE_Mat,0)),0))</f>
        <v/>
      </c>
      <c r="K1386" s="31" t="str">
        <f aca="false">IF(B1386="","",IF(H1386="A",0,IFERROR(N(I1386)/P_Heures*J1386,0)))</f>
        <v/>
      </c>
      <c r="L1386" s="25"/>
    </row>
    <row r="1387" customFormat="false" ht="15" hidden="false" customHeight="false" outlineLevel="0" collapsed="false">
      <c r="A1387" s="69"/>
      <c r="B1387" s="68"/>
      <c r="C1387" s="76" t="str">
        <f aca="false">IF(B1387="","",IFERROR(INDEX(PE_Nom,MATCH(B1387,PE_Mat,0)),"Matricule inconnu"))</f>
        <v/>
      </c>
      <c r="D1387" s="76" t="str">
        <f aca="false">IF(B1387="","",IFERROR(INDEX(PE_Fonction,MATCH(B1387,PE_Mat,0)),""))</f>
        <v/>
      </c>
      <c r="E1387" s="76" t="str">
        <f aca="false">IF(B1387="","",IFERROR(INDEX(PE_Equipe,MATCH(B1387,PE_Mat,0)),""))</f>
        <v/>
      </c>
      <c r="F1387" s="25"/>
      <c r="G1387" s="25"/>
      <c r="H1387" s="68"/>
      <c r="I1387" s="89"/>
      <c r="J1387" s="31" t="str">
        <f aca="false">IF(B1387="","",IFERROR(INDEX(PE_Taux,MATCH(B1387,PE_Mat,0)),0))</f>
        <v/>
      </c>
      <c r="K1387" s="31" t="str">
        <f aca="false">IF(B1387="","",IF(H1387="A",0,IFERROR(N(I1387)/P_Heures*J1387,0)))</f>
        <v/>
      </c>
      <c r="L1387" s="25"/>
    </row>
    <row r="1388" customFormat="false" ht="15" hidden="false" customHeight="false" outlineLevel="0" collapsed="false">
      <c r="A1388" s="69"/>
      <c r="B1388" s="68"/>
      <c r="C1388" s="76" t="str">
        <f aca="false">IF(B1388="","",IFERROR(INDEX(PE_Nom,MATCH(B1388,PE_Mat,0)),"Matricule inconnu"))</f>
        <v/>
      </c>
      <c r="D1388" s="76" t="str">
        <f aca="false">IF(B1388="","",IFERROR(INDEX(PE_Fonction,MATCH(B1388,PE_Mat,0)),""))</f>
        <v/>
      </c>
      <c r="E1388" s="76" t="str">
        <f aca="false">IF(B1388="","",IFERROR(INDEX(PE_Equipe,MATCH(B1388,PE_Mat,0)),""))</f>
        <v/>
      </c>
      <c r="F1388" s="25"/>
      <c r="G1388" s="25"/>
      <c r="H1388" s="68"/>
      <c r="I1388" s="89"/>
      <c r="J1388" s="31" t="str">
        <f aca="false">IF(B1388="","",IFERROR(INDEX(PE_Taux,MATCH(B1388,PE_Mat,0)),0))</f>
        <v/>
      </c>
      <c r="K1388" s="31" t="str">
        <f aca="false">IF(B1388="","",IF(H1388="A",0,IFERROR(N(I1388)/P_Heures*J1388,0)))</f>
        <v/>
      </c>
      <c r="L1388" s="25"/>
    </row>
    <row r="1389" customFormat="false" ht="15" hidden="false" customHeight="false" outlineLevel="0" collapsed="false">
      <c r="A1389" s="69"/>
      <c r="B1389" s="68"/>
      <c r="C1389" s="76" t="str">
        <f aca="false">IF(B1389="","",IFERROR(INDEX(PE_Nom,MATCH(B1389,PE_Mat,0)),"Matricule inconnu"))</f>
        <v/>
      </c>
      <c r="D1389" s="76" t="str">
        <f aca="false">IF(B1389="","",IFERROR(INDEX(PE_Fonction,MATCH(B1389,PE_Mat,0)),""))</f>
        <v/>
      </c>
      <c r="E1389" s="76" t="str">
        <f aca="false">IF(B1389="","",IFERROR(INDEX(PE_Equipe,MATCH(B1389,PE_Mat,0)),""))</f>
        <v/>
      </c>
      <c r="F1389" s="25"/>
      <c r="G1389" s="25"/>
      <c r="H1389" s="68"/>
      <c r="I1389" s="89"/>
      <c r="J1389" s="31" t="str">
        <f aca="false">IF(B1389="","",IFERROR(INDEX(PE_Taux,MATCH(B1389,PE_Mat,0)),0))</f>
        <v/>
      </c>
      <c r="K1389" s="31" t="str">
        <f aca="false">IF(B1389="","",IF(H1389="A",0,IFERROR(N(I1389)/P_Heures*J1389,0)))</f>
        <v/>
      </c>
      <c r="L1389" s="25"/>
    </row>
    <row r="1390" customFormat="false" ht="15" hidden="false" customHeight="false" outlineLevel="0" collapsed="false">
      <c r="A1390" s="69"/>
      <c r="B1390" s="68"/>
      <c r="C1390" s="76" t="str">
        <f aca="false">IF(B1390="","",IFERROR(INDEX(PE_Nom,MATCH(B1390,PE_Mat,0)),"Matricule inconnu"))</f>
        <v/>
      </c>
      <c r="D1390" s="76" t="str">
        <f aca="false">IF(B1390="","",IFERROR(INDEX(PE_Fonction,MATCH(B1390,PE_Mat,0)),""))</f>
        <v/>
      </c>
      <c r="E1390" s="76" t="str">
        <f aca="false">IF(B1390="","",IFERROR(INDEX(PE_Equipe,MATCH(B1390,PE_Mat,0)),""))</f>
        <v/>
      </c>
      <c r="F1390" s="25"/>
      <c r="G1390" s="25"/>
      <c r="H1390" s="68"/>
      <c r="I1390" s="89"/>
      <c r="J1390" s="31" t="str">
        <f aca="false">IF(B1390="","",IFERROR(INDEX(PE_Taux,MATCH(B1390,PE_Mat,0)),0))</f>
        <v/>
      </c>
      <c r="K1390" s="31" t="str">
        <f aca="false">IF(B1390="","",IF(H1390="A",0,IFERROR(N(I1390)/P_Heures*J1390,0)))</f>
        <v/>
      </c>
      <c r="L1390" s="25"/>
    </row>
    <row r="1391" customFormat="false" ht="15" hidden="false" customHeight="false" outlineLevel="0" collapsed="false">
      <c r="A1391" s="69"/>
      <c r="B1391" s="68"/>
      <c r="C1391" s="76" t="str">
        <f aca="false">IF(B1391="","",IFERROR(INDEX(PE_Nom,MATCH(B1391,PE_Mat,0)),"Matricule inconnu"))</f>
        <v/>
      </c>
      <c r="D1391" s="76" t="str">
        <f aca="false">IF(B1391="","",IFERROR(INDEX(PE_Fonction,MATCH(B1391,PE_Mat,0)),""))</f>
        <v/>
      </c>
      <c r="E1391" s="76" t="str">
        <f aca="false">IF(B1391="","",IFERROR(INDEX(PE_Equipe,MATCH(B1391,PE_Mat,0)),""))</f>
        <v/>
      </c>
      <c r="F1391" s="25"/>
      <c r="G1391" s="25"/>
      <c r="H1391" s="68"/>
      <c r="I1391" s="89"/>
      <c r="J1391" s="31" t="str">
        <f aca="false">IF(B1391="","",IFERROR(INDEX(PE_Taux,MATCH(B1391,PE_Mat,0)),0))</f>
        <v/>
      </c>
      <c r="K1391" s="31" t="str">
        <f aca="false">IF(B1391="","",IF(H1391="A",0,IFERROR(N(I1391)/P_Heures*J1391,0)))</f>
        <v/>
      </c>
      <c r="L1391" s="25"/>
    </row>
    <row r="1392" customFormat="false" ht="15" hidden="false" customHeight="false" outlineLevel="0" collapsed="false">
      <c r="A1392" s="69"/>
      <c r="B1392" s="68"/>
      <c r="C1392" s="76" t="str">
        <f aca="false">IF(B1392="","",IFERROR(INDEX(PE_Nom,MATCH(B1392,PE_Mat,0)),"Matricule inconnu"))</f>
        <v/>
      </c>
      <c r="D1392" s="76" t="str">
        <f aca="false">IF(B1392="","",IFERROR(INDEX(PE_Fonction,MATCH(B1392,PE_Mat,0)),""))</f>
        <v/>
      </c>
      <c r="E1392" s="76" t="str">
        <f aca="false">IF(B1392="","",IFERROR(INDEX(PE_Equipe,MATCH(B1392,PE_Mat,0)),""))</f>
        <v/>
      </c>
      <c r="F1392" s="25"/>
      <c r="G1392" s="25"/>
      <c r="H1392" s="68"/>
      <c r="I1392" s="89"/>
      <c r="J1392" s="31" t="str">
        <f aca="false">IF(B1392="","",IFERROR(INDEX(PE_Taux,MATCH(B1392,PE_Mat,0)),0))</f>
        <v/>
      </c>
      <c r="K1392" s="31" t="str">
        <f aca="false">IF(B1392="","",IF(H1392="A",0,IFERROR(N(I1392)/P_Heures*J1392,0)))</f>
        <v/>
      </c>
      <c r="L1392" s="25"/>
    </row>
    <row r="1393" customFormat="false" ht="15" hidden="false" customHeight="false" outlineLevel="0" collapsed="false">
      <c r="A1393" s="69"/>
      <c r="B1393" s="68"/>
      <c r="C1393" s="76" t="str">
        <f aca="false">IF(B1393="","",IFERROR(INDEX(PE_Nom,MATCH(B1393,PE_Mat,0)),"Matricule inconnu"))</f>
        <v/>
      </c>
      <c r="D1393" s="76" t="str">
        <f aca="false">IF(B1393="","",IFERROR(INDEX(PE_Fonction,MATCH(B1393,PE_Mat,0)),""))</f>
        <v/>
      </c>
      <c r="E1393" s="76" t="str">
        <f aca="false">IF(B1393="","",IFERROR(INDEX(PE_Equipe,MATCH(B1393,PE_Mat,0)),""))</f>
        <v/>
      </c>
      <c r="F1393" s="25"/>
      <c r="G1393" s="25"/>
      <c r="H1393" s="68"/>
      <c r="I1393" s="89"/>
      <c r="J1393" s="31" t="str">
        <f aca="false">IF(B1393="","",IFERROR(INDEX(PE_Taux,MATCH(B1393,PE_Mat,0)),0))</f>
        <v/>
      </c>
      <c r="K1393" s="31" t="str">
        <f aca="false">IF(B1393="","",IF(H1393="A",0,IFERROR(N(I1393)/P_Heures*J1393,0)))</f>
        <v/>
      </c>
      <c r="L1393" s="25"/>
    </row>
    <row r="1394" customFormat="false" ht="15" hidden="false" customHeight="false" outlineLevel="0" collapsed="false">
      <c r="A1394" s="69"/>
      <c r="B1394" s="68"/>
      <c r="C1394" s="76" t="str">
        <f aca="false">IF(B1394="","",IFERROR(INDEX(PE_Nom,MATCH(B1394,PE_Mat,0)),"Matricule inconnu"))</f>
        <v/>
      </c>
      <c r="D1394" s="76" t="str">
        <f aca="false">IF(B1394="","",IFERROR(INDEX(PE_Fonction,MATCH(B1394,PE_Mat,0)),""))</f>
        <v/>
      </c>
      <c r="E1394" s="76" t="str">
        <f aca="false">IF(B1394="","",IFERROR(INDEX(PE_Equipe,MATCH(B1394,PE_Mat,0)),""))</f>
        <v/>
      </c>
      <c r="F1394" s="25"/>
      <c r="G1394" s="25"/>
      <c r="H1394" s="68"/>
      <c r="I1394" s="89"/>
      <c r="J1394" s="31" t="str">
        <f aca="false">IF(B1394="","",IFERROR(INDEX(PE_Taux,MATCH(B1394,PE_Mat,0)),0))</f>
        <v/>
      </c>
      <c r="K1394" s="31" t="str">
        <f aca="false">IF(B1394="","",IF(H1394="A",0,IFERROR(N(I1394)/P_Heures*J1394,0)))</f>
        <v/>
      </c>
      <c r="L1394" s="25"/>
    </row>
    <row r="1395" customFormat="false" ht="15" hidden="false" customHeight="false" outlineLevel="0" collapsed="false">
      <c r="A1395" s="69"/>
      <c r="B1395" s="68"/>
      <c r="C1395" s="76" t="str">
        <f aca="false">IF(B1395="","",IFERROR(INDEX(PE_Nom,MATCH(B1395,PE_Mat,0)),"Matricule inconnu"))</f>
        <v/>
      </c>
      <c r="D1395" s="76" t="str">
        <f aca="false">IF(B1395="","",IFERROR(INDEX(PE_Fonction,MATCH(B1395,PE_Mat,0)),""))</f>
        <v/>
      </c>
      <c r="E1395" s="76" t="str">
        <f aca="false">IF(B1395="","",IFERROR(INDEX(PE_Equipe,MATCH(B1395,PE_Mat,0)),""))</f>
        <v/>
      </c>
      <c r="F1395" s="25"/>
      <c r="G1395" s="25"/>
      <c r="H1395" s="68"/>
      <c r="I1395" s="89"/>
      <c r="J1395" s="31" t="str">
        <f aca="false">IF(B1395="","",IFERROR(INDEX(PE_Taux,MATCH(B1395,PE_Mat,0)),0))</f>
        <v/>
      </c>
      <c r="K1395" s="31" t="str">
        <f aca="false">IF(B1395="","",IF(H1395="A",0,IFERROR(N(I1395)/P_Heures*J1395,0)))</f>
        <v/>
      </c>
      <c r="L1395" s="25"/>
    </row>
    <row r="1396" customFormat="false" ht="15" hidden="false" customHeight="false" outlineLevel="0" collapsed="false">
      <c r="A1396" s="69"/>
      <c r="B1396" s="68"/>
      <c r="C1396" s="76" t="str">
        <f aca="false">IF(B1396="","",IFERROR(INDEX(PE_Nom,MATCH(B1396,PE_Mat,0)),"Matricule inconnu"))</f>
        <v/>
      </c>
      <c r="D1396" s="76" t="str">
        <f aca="false">IF(B1396="","",IFERROR(INDEX(PE_Fonction,MATCH(B1396,PE_Mat,0)),""))</f>
        <v/>
      </c>
      <c r="E1396" s="76" t="str">
        <f aca="false">IF(B1396="","",IFERROR(INDEX(PE_Equipe,MATCH(B1396,PE_Mat,0)),""))</f>
        <v/>
      </c>
      <c r="F1396" s="25"/>
      <c r="G1396" s="25"/>
      <c r="H1396" s="68"/>
      <c r="I1396" s="89"/>
      <c r="J1396" s="31" t="str">
        <f aca="false">IF(B1396="","",IFERROR(INDEX(PE_Taux,MATCH(B1396,PE_Mat,0)),0))</f>
        <v/>
      </c>
      <c r="K1396" s="31" t="str">
        <f aca="false">IF(B1396="","",IF(H1396="A",0,IFERROR(N(I1396)/P_Heures*J1396,0)))</f>
        <v/>
      </c>
      <c r="L1396" s="25"/>
    </row>
    <row r="1397" customFormat="false" ht="15" hidden="false" customHeight="false" outlineLevel="0" collapsed="false">
      <c r="A1397" s="69"/>
      <c r="B1397" s="68"/>
      <c r="C1397" s="76" t="str">
        <f aca="false">IF(B1397="","",IFERROR(INDEX(PE_Nom,MATCH(B1397,PE_Mat,0)),"Matricule inconnu"))</f>
        <v/>
      </c>
      <c r="D1397" s="76" t="str">
        <f aca="false">IF(B1397="","",IFERROR(INDEX(PE_Fonction,MATCH(B1397,PE_Mat,0)),""))</f>
        <v/>
      </c>
      <c r="E1397" s="76" t="str">
        <f aca="false">IF(B1397="","",IFERROR(INDEX(PE_Equipe,MATCH(B1397,PE_Mat,0)),""))</f>
        <v/>
      </c>
      <c r="F1397" s="25"/>
      <c r="G1397" s="25"/>
      <c r="H1397" s="68"/>
      <c r="I1397" s="89"/>
      <c r="J1397" s="31" t="str">
        <f aca="false">IF(B1397="","",IFERROR(INDEX(PE_Taux,MATCH(B1397,PE_Mat,0)),0))</f>
        <v/>
      </c>
      <c r="K1397" s="31" t="str">
        <f aca="false">IF(B1397="","",IF(H1397="A",0,IFERROR(N(I1397)/P_Heures*J1397,0)))</f>
        <v/>
      </c>
      <c r="L1397" s="25"/>
    </row>
    <row r="1398" customFormat="false" ht="15" hidden="false" customHeight="false" outlineLevel="0" collapsed="false">
      <c r="A1398" s="69"/>
      <c r="B1398" s="68"/>
      <c r="C1398" s="76" t="str">
        <f aca="false">IF(B1398="","",IFERROR(INDEX(PE_Nom,MATCH(B1398,PE_Mat,0)),"Matricule inconnu"))</f>
        <v/>
      </c>
      <c r="D1398" s="76" t="str">
        <f aca="false">IF(B1398="","",IFERROR(INDEX(PE_Fonction,MATCH(B1398,PE_Mat,0)),""))</f>
        <v/>
      </c>
      <c r="E1398" s="76" t="str">
        <f aca="false">IF(B1398="","",IFERROR(INDEX(PE_Equipe,MATCH(B1398,PE_Mat,0)),""))</f>
        <v/>
      </c>
      <c r="F1398" s="25"/>
      <c r="G1398" s="25"/>
      <c r="H1398" s="68"/>
      <c r="I1398" s="89"/>
      <c r="J1398" s="31" t="str">
        <f aca="false">IF(B1398="","",IFERROR(INDEX(PE_Taux,MATCH(B1398,PE_Mat,0)),0))</f>
        <v/>
      </c>
      <c r="K1398" s="31" t="str">
        <f aca="false">IF(B1398="","",IF(H1398="A",0,IFERROR(N(I1398)/P_Heures*J1398,0)))</f>
        <v/>
      </c>
      <c r="L1398" s="25"/>
    </row>
    <row r="1399" customFormat="false" ht="15" hidden="false" customHeight="false" outlineLevel="0" collapsed="false">
      <c r="A1399" s="69"/>
      <c r="B1399" s="68"/>
      <c r="C1399" s="76" t="str">
        <f aca="false">IF(B1399="","",IFERROR(INDEX(PE_Nom,MATCH(B1399,PE_Mat,0)),"Matricule inconnu"))</f>
        <v/>
      </c>
      <c r="D1399" s="76" t="str">
        <f aca="false">IF(B1399="","",IFERROR(INDEX(PE_Fonction,MATCH(B1399,PE_Mat,0)),""))</f>
        <v/>
      </c>
      <c r="E1399" s="76" t="str">
        <f aca="false">IF(B1399="","",IFERROR(INDEX(PE_Equipe,MATCH(B1399,PE_Mat,0)),""))</f>
        <v/>
      </c>
      <c r="F1399" s="25"/>
      <c r="G1399" s="25"/>
      <c r="H1399" s="68"/>
      <c r="I1399" s="89"/>
      <c r="J1399" s="31" t="str">
        <f aca="false">IF(B1399="","",IFERROR(INDEX(PE_Taux,MATCH(B1399,PE_Mat,0)),0))</f>
        <v/>
      </c>
      <c r="K1399" s="31" t="str">
        <f aca="false">IF(B1399="","",IF(H1399="A",0,IFERROR(N(I1399)/P_Heures*J1399,0)))</f>
        <v/>
      </c>
      <c r="L1399" s="25"/>
    </row>
    <row r="1400" customFormat="false" ht="15" hidden="false" customHeight="false" outlineLevel="0" collapsed="false">
      <c r="A1400" s="69"/>
      <c r="B1400" s="68"/>
      <c r="C1400" s="76" t="str">
        <f aca="false">IF(B1400="","",IFERROR(INDEX(PE_Nom,MATCH(B1400,PE_Mat,0)),"Matricule inconnu"))</f>
        <v/>
      </c>
      <c r="D1400" s="76" t="str">
        <f aca="false">IF(B1400="","",IFERROR(INDEX(PE_Fonction,MATCH(B1400,PE_Mat,0)),""))</f>
        <v/>
      </c>
      <c r="E1400" s="76" t="str">
        <f aca="false">IF(B1400="","",IFERROR(INDEX(PE_Equipe,MATCH(B1400,PE_Mat,0)),""))</f>
        <v/>
      </c>
      <c r="F1400" s="25"/>
      <c r="G1400" s="25"/>
      <c r="H1400" s="68"/>
      <c r="I1400" s="89"/>
      <c r="J1400" s="31" t="str">
        <f aca="false">IF(B1400="","",IFERROR(INDEX(PE_Taux,MATCH(B1400,PE_Mat,0)),0))</f>
        <v/>
      </c>
      <c r="K1400" s="31" t="str">
        <f aca="false">IF(B1400="","",IF(H1400="A",0,IFERROR(N(I1400)/P_Heures*J1400,0)))</f>
        <v/>
      </c>
      <c r="L1400" s="25"/>
    </row>
    <row r="1401" customFormat="false" ht="15" hidden="false" customHeight="false" outlineLevel="0" collapsed="false">
      <c r="A1401" s="69"/>
      <c r="B1401" s="68"/>
      <c r="C1401" s="76" t="str">
        <f aca="false">IF(B1401="","",IFERROR(INDEX(PE_Nom,MATCH(B1401,PE_Mat,0)),"Matricule inconnu"))</f>
        <v/>
      </c>
      <c r="D1401" s="76" t="str">
        <f aca="false">IF(B1401="","",IFERROR(INDEX(PE_Fonction,MATCH(B1401,PE_Mat,0)),""))</f>
        <v/>
      </c>
      <c r="E1401" s="76" t="str">
        <f aca="false">IF(B1401="","",IFERROR(INDEX(PE_Equipe,MATCH(B1401,PE_Mat,0)),""))</f>
        <v/>
      </c>
      <c r="F1401" s="25"/>
      <c r="G1401" s="25"/>
      <c r="H1401" s="68"/>
      <c r="I1401" s="89"/>
      <c r="J1401" s="31" t="str">
        <f aca="false">IF(B1401="","",IFERROR(INDEX(PE_Taux,MATCH(B1401,PE_Mat,0)),0))</f>
        <v/>
      </c>
      <c r="K1401" s="31" t="str">
        <f aca="false">IF(B1401="","",IF(H1401="A",0,IFERROR(N(I1401)/P_Heures*J1401,0)))</f>
        <v/>
      </c>
      <c r="L1401" s="25"/>
    </row>
    <row r="1402" customFormat="false" ht="15" hidden="false" customHeight="false" outlineLevel="0" collapsed="false">
      <c r="A1402" s="69"/>
      <c r="B1402" s="68"/>
      <c r="C1402" s="76" t="str">
        <f aca="false">IF(B1402="","",IFERROR(INDEX(PE_Nom,MATCH(B1402,PE_Mat,0)),"Matricule inconnu"))</f>
        <v/>
      </c>
      <c r="D1402" s="76" t="str">
        <f aca="false">IF(B1402="","",IFERROR(INDEX(PE_Fonction,MATCH(B1402,PE_Mat,0)),""))</f>
        <v/>
      </c>
      <c r="E1402" s="76" t="str">
        <f aca="false">IF(B1402="","",IFERROR(INDEX(PE_Equipe,MATCH(B1402,PE_Mat,0)),""))</f>
        <v/>
      </c>
      <c r="F1402" s="25"/>
      <c r="G1402" s="25"/>
      <c r="H1402" s="68"/>
      <c r="I1402" s="89"/>
      <c r="J1402" s="31" t="str">
        <f aca="false">IF(B1402="","",IFERROR(INDEX(PE_Taux,MATCH(B1402,PE_Mat,0)),0))</f>
        <v/>
      </c>
      <c r="K1402" s="31" t="str">
        <f aca="false">IF(B1402="","",IF(H1402="A",0,IFERROR(N(I1402)/P_Heures*J1402,0)))</f>
        <v/>
      </c>
      <c r="L1402" s="25"/>
    </row>
    <row r="1403" customFormat="false" ht="15" hidden="false" customHeight="false" outlineLevel="0" collapsed="false">
      <c r="A1403" s="69"/>
      <c r="B1403" s="68"/>
      <c r="C1403" s="76" t="str">
        <f aca="false">IF(B1403="","",IFERROR(INDEX(PE_Nom,MATCH(B1403,PE_Mat,0)),"Matricule inconnu"))</f>
        <v/>
      </c>
      <c r="D1403" s="76" t="str">
        <f aca="false">IF(B1403="","",IFERROR(INDEX(PE_Fonction,MATCH(B1403,PE_Mat,0)),""))</f>
        <v/>
      </c>
      <c r="E1403" s="76" t="str">
        <f aca="false">IF(B1403="","",IFERROR(INDEX(PE_Equipe,MATCH(B1403,PE_Mat,0)),""))</f>
        <v/>
      </c>
      <c r="F1403" s="25"/>
      <c r="G1403" s="25"/>
      <c r="H1403" s="68"/>
      <c r="I1403" s="89"/>
      <c r="J1403" s="31" t="str">
        <f aca="false">IF(B1403="","",IFERROR(INDEX(PE_Taux,MATCH(B1403,PE_Mat,0)),0))</f>
        <v/>
      </c>
      <c r="K1403" s="31" t="str">
        <f aca="false">IF(B1403="","",IF(H1403="A",0,IFERROR(N(I1403)/P_Heures*J1403,0)))</f>
        <v/>
      </c>
      <c r="L1403" s="25"/>
    </row>
    <row r="1404" customFormat="false" ht="15" hidden="false" customHeight="false" outlineLevel="0" collapsed="false">
      <c r="A1404" s="69"/>
      <c r="B1404" s="68"/>
      <c r="C1404" s="76" t="str">
        <f aca="false">IF(B1404="","",IFERROR(INDEX(PE_Nom,MATCH(B1404,PE_Mat,0)),"Matricule inconnu"))</f>
        <v/>
      </c>
      <c r="D1404" s="76" t="str">
        <f aca="false">IF(B1404="","",IFERROR(INDEX(PE_Fonction,MATCH(B1404,PE_Mat,0)),""))</f>
        <v/>
      </c>
      <c r="E1404" s="76" t="str">
        <f aca="false">IF(B1404="","",IFERROR(INDEX(PE_Equipe,MATCH(B1404,PE_Mat,0)),""))</f>
        <v/>
      </c>
      <c r="F1404" s="25"/>
      <c r="G1404" s="25"/>
      <c r="H1404" s="68"/>
      <c r="I1404" s="89"/>
      <c r="J1404" s="31" t="str">
        <f aca="false">IF(B1404="","",IFERROR(INDEX(PE_Taux,MATCH(B1404,PE_Mat,0)),0))</f>
        <v/>
      </c>
      <c r="K1404" s="31" t="str">
        <f aca="false">IF(B1404="","",IF(H1404="A",0,IFERROR(N(I1404)/P_Heures*J1404,0)))</f>
        <v/>
      </c>
      <c r="L1404" s="25"/>
    </row>
    <row r="1405" customFormat="false" ht="15" hidden="false" customHeight="false" outlineLevel="0" collapsed="false">
      <c r="A1405" s="69"/>
      <c r="B1405" s="68"/>
      <c r="C1405" s="76" t="str">
        <f aca="false">IF(B1405="","",IFERROR(INDEX(PE_Nom,MATCH(B1405,PE_Mat,0)),"Matricule inconnu"))</f>
        <v/>
      </c>
      <c r="D1405" s="76" t="str">
        <f aca="false">IF(B1405="","",IFERROR(INDEX(PE_Fonction,MATCH(B1405,PE_Mat,0)),""))</f>
        <v/>
      </c>
      <c r="E1405" s="76" t="str">
        <f aca="false">IF(B1405="","",IFERROR(INDEX(PE_Equipe,MATCH(B1405,PE_Mat,0)),""))</f>
        <v/>
      </c>
      <c r="F1405" s="25"/>
      <c r="G1405" s="25"/>
      <c r="H1405" s="68"/>
      <c r="I1405" s="89"/>
      <c r="J1405" s="31" t="str">
        <f aca="false">IF(B1405="","",IFERROR(INDEX(PE_Taux,MATCH(B1405,PE_Mat,0)),0))</f>
        <v/>
      </c>
      <c r="K1405" s="31" t="str">
        <f aca="false">IF(B1405="","",IF(H1405="A",0,IFERROR(N(I1405)/P_Heures*J1405,0)))</f>
        <v/>
      </c>
      <c r="L1405" s="25"/>
    </row>
    <row r="1406" customFormat="false" ht="15" hidden="false" customHeight="false" outlineLevel="0" collapsed="false">
      <c r="A1406" s="69"/>
      <c r="B1406" s="68"/>
      <c r="C1406" s="76" t="str">
        <f aca="false">IF(B1406="","",IFERROR(INDEX(PE_Nom,MATCH(B1406,PE_Mat,0)),"Matricule inconnu"))</f>
        <v/>
      </c>
      <c r="D1406" s="76" t="str">
        <f aca="false">IF(B1406="","",IFERROR(INDEX(PE_Fonction,MATCH(B1406,PE_Mat,0)),""))</f>
        <v/>
      </c>
      <c r="E1406" s="76" t="str">
        <f aca="false">IF(B1406="","",IFERROR(INDEX(PE_Equipe,MATCH(B1406,PE_Mat,0)),""))</f>
        <v/>
      </c>
      <c r="F1406" s="25"/>
      <c r="G1406" s="25"/>
      <c r="H1406" s="68"/>
      <c r="I1406" s="89"/>
      <c r="J1406" s="31" t="str">
        <f aca="false">IF(B1406="","",IFERROR(INDEX(PE_Taux,MATCH(B1406,PE_Mat,0)),0))</f>
        <v/>
      </c>
      <c r="K1406" s="31" t="str">
        <f aca="false">IF(B1406="","",IF(H1406="A",0,IFERROR(N(I1406)/P_Heures*J1406,0)))</f>
        <v/>
      </c>
      <c r="L1406" s="25"/>
    </row>
    <row r="1407" customFormat="false" ht="15" hidden="false" customHeight="false" outlineLevel="0" collapsed="false">
      <c r="A1407" s="69"/>
      <c r="B1407" s="68"/>
      <c r="C1407" s="76" t="str">
        <f aca="false">IF(B1407="","",IFERROR(INDEX(PE_Nom,MATCH(B1407,PE_Mat,0)),"Matricule inconnu"))</f>
        <v/>
      </c>
      <c r="D1407" s="76" t="str">
        <f aca="false">IF(B1407="","",IFERROR(INDEX(PE_Fonction,MATCH(B1407,PE_Mat,0)),""))</f>
        <v/>
      </c>
      <c r="E1407" s="76" t="str">
        <f aca="false">IF(B1407="","",IFERROR(INDEX(PE_Equipe,MATCH(B1407,PE_Mat,0)),""))</f>
        <v/>
      </c>
      <c r="F1407" s="25"/>
      <c r="G1407" s="25"/>
      <c r="H1407" s="68"/>
      <c r="I1407" s="89"/>
      <c r="J1407" s="31" t="str">
        <f aca="false">IF(B1407="","",IFERROR(INDEX(PE_Taux,MATCH(B1407,PE_Mat,0)),0))</f>
        <v/>
      </c>
      <c r="K1407" s="31" t="str">
        <f aca="false">IF(B1407="","",IF(H1407="A",0,IFERROR(N(I1407)/P_Heures*J1407,0)))</f>
        <v/>
      </c>
      <c r="L1407" s="25"/>
    </row>
    <row r="1408" customFormat="false" ht="15" hidden="false" customHeight="false" outlineLevel="0" collapsed="false">
      <c r="A1408" s="69"/>
      <c r="B1408" s="68"/>
      <c r="C1408" s="76" t="str">
        <f aca="false">IF(B1408="","",IFERROR(INDEX(PE_Nom,MATCH(B1408,PE_Mat,0)),"Matricule inconnu"))</f>
        <v/>
      </c>
      <c r="D1408" s="76" t="str">
        <f aca="false">IF(B1408="","",IFERROR(INDEX(PE_Fonction,MATCH(B1408,PE_Mat,0)),""))</f>
        <v/>
      </c>
      <c r="E1408" s="76" t="str">
        <f aca="false">IF(B1408="","",IFERROR(INDEX(PE_Equipe,MATCH(B1408,PE_Mat,0)),""))</f>
        <v/>
      </c>
      <c r="F1408" s="25"/>
      <c r="G1408" s="25"/>
      <c r="H1408" s="68"/>
      <c r="I1408" s="89"/>
      <c r="J1408" s="31" t="str">
        <f aca="false">IF(B1408="","",IFERROR(INDEX(PE_Taux,MATCH(B1408,PE_Mat,0)),0))</f>
        <v/>
      </c>
      <c r="K1408" s="31" t="str">
        <f aca="false">IF(B1408="","",IF(H1408="A",0,IFERROR(N(I1408)/P_Heures*J1408,0)))</f>
        <v/>
      </c>
      <c r="L1408" s="25"/>
    </row>
    <row r="1409" customFormat="false" ht="15" hidden="false" customHeight="false" outlineLevel="0" collapsed="false">
      <c r="A1409" s="69"/>
      <c r="B1409" s="68"/>
      <c r="C1409" s="76" t="str">
        <f aca="false">IF(B1409="","",IFERROR(INDEX(PE_Nom,MATCH(B1409,PE_Mat,0)),"Matricule inconnu"))</f>
        <v/>
      </c>
      <c r="D1409" s="76" t="str">
        <f aca="false">IF(B1409="","",IFERROR(INDEX(PE_Fonction,MATCH(B1409,PE_Mat,0)),""))</f>
        <v/>
      </c>
      <c r="E1409" s="76" t="str">
        <f aca="false">IF(B1409="","",IFERROR(INDEX(PE_Equipe,MATCH(B1409,PE_Mat,0)),""))</f>
        <v/>
      </c>
      <c r="F1409" s="25"/>
      <c r="G1409" s="25"/>
      <c r="H1409" s="68"/>
      <c r="I1409" s="89"/>
      <c r="J1409" s="31" t="str">
        <f aca="false">IF(B1409="","",IFERROR(INDEX(PE_Taux,MATCH(B1409,PE_Mat,0)),0))</f>
        <v/>
      </c>
      <c r="K1409" s="31" t="str">
        <f aca="false">IF(B1409="","",IF(H1409="A",0,IFERROR(N(I1409)/P_Heures*J1409,0)))</f>
        <v/>
      </c>
      <c r="L1409" s="25"/>
    </row>
    <row r="1410" customFormat="false" ht="15" hidden="false" customHeight="false" outlineLevel="0" collapsed="false">
      <c r="A1410" s="69"/>
      <c r="B1410" s="68"/>
      <c r="C1410" s="76" t="str">
        <f aca="false">IF(B1410="","",IFERROR(INDEX(PE_Nom,MATCH(B1410,PE_Mat,0)),"Matricule inconnu"))</f>
        <v/>
      </c>
      <c r="D1410" s="76" t="str">
        <f aca="false">IF(B1410="","",IFERROR(INDEX(PE_Fonction,MATCH(B1410,PE_Mat,0)),""))</f>
        <v/>
      </c>
      <c r="E1410" s="76" t="str">
        <f aca="false">IF(B1410="","",IFERROR(INDEX(PE_Equipe,MATCH(B1410,PE_Mat,0)),""))</f>
        <v/>
      </c>
      <c r="F1410" s="25"/>
      <c r="G1410" s="25"/>
      <c r="H1410" s="68"/>
      <c r="I1410" s="89"/>
      <c r="J1410" s="31" t="str">
        <f aca="false">IF(B1410="","",IFERROR(INDEX(PE_Taux,MATCH(B1410,PE_Mat,0)),0))</f>
        <v/>
      </c>
      <c r="K1410" s="31" t="str">
        <f aca="false">IF(B1410="","",IF(H1410="A",0,IFERROR(N(I1410)/P_Heures*J1410,0)))</f>
        <v/>
      </c>
      <c r="L1410" s="25"/>
    </row>
    <row r="1411" customFormat="false" ht="15" hidden="false" customHeight="false" outlineLevel="0" collapsed="false">
      <c r="A1411" s="69"/>
      <c r="B1411" s="68"/>
      <c r="C1411" s="76" t="str">
        <f aca="false">IF(B1411="","",IFERROR(INDEX(PE_Nom,MATCH(B1411,PE_Mat,0)),"Matricule inconnu"))</f>
        <v/>
      </c>
      <c r="D1411" s="76" t="str">
        <f aca="false">IF(B1411="","",IFERROR(INDEX(PE_Fonction,MATCH(B1411,PE_Mat,0)),""))</f>
        <v/>
      </c>
      <c r="E1411" s="76" t="str">
        <f aca="false">IF(B1411="","",IFERROR(INDEX(PE_Equipe,MATCH(B1411,PE_Mat,0)),""))</f>
        <v/>
      </c>
      <c r="F1411" s="25"/>
      <c r="G1411" s="25"/>
      <c r="H1411" s="68"/>
      <c r="I1411" s="89"/>
      <c r="J1411" s="31" t="str">
        <f aca="false">IF(B1411="","",IFERROR(INDEX(PE_Taux,MATCH(B1411,PE_Mat,0)),0))</f>
        <v/>
      </c>
      <c r="K1411" s="31" t="str">
        <f aca="false">IF(B1411="","",IF(H1411="A",0,IFERROR(N(I1411)/P_Heures*J1411,0)))</f>
        <v/>
      </c>
      <c r="L1411" s="25"/>
    </row>
    <row r="1412" customFormat="false" ht="15" hidden="false" customHeight="false" outlineLevel="0" collapsed="false">
      <c r="A1412" s="69"/>
      <c r="B1412" s="68"/>
      <c r="C1412" s="76" t="str">
        <f aca="false">IF(B1412="","",IFERROR(INDEX(PE_Nom,MATCH(B1412,PE_Mat,0)),"Matricule inconnu"))</f>
        <v/>
      </c>
      <c r="D1412" s="76" t="str">
        <f aca="false">IF(B1412="","",IFERROR(INDEX(PE_Fonction,MATCH(B1412,PE_Mat,0)),""))</f>
        <v/>
      </c>
      <c r="E1412" s="76" t="str">
        <f aca="false">IF(B1412="","",IFERROR(INDEX(PE_Equipe,MATCH(B1412,PE_Mat,0)),""))</f>
        <v/>
      </c>
      <c r="F1412" s="25"/>
      <c r="G1412" s="25"/>
      <c r="H1412" s="68"/>
      <c r="I1412" s="89"/>
      <c r="J1412" s="31" t="str">
        <f aca="false">IF(B1412="","",IFERROR(INDEX(PE_Taux,MATCH(B1412,PE_Mat,0)),0))</f>
        <v/>
      </c>
      <c r="K1412" s="31" t="str">
        <f aca="false">IF(B1412="","",IF(H1412="A",0,IFERROR(N(I1412)/P_Heures*J1412,0)))</f>
        <v/>
      </c>
      <c r="L1412" s="25"/>
    </row>
    <row r="1413" customFormat="false" ht="15" hidden="false" customHeight="false" outlineLevel="0" collapsed="false">
      <c r="A1413" s="69"/>
      <c r="B1413" s="68"/>
      <c r="C1413" s="76" t="str">
        <f aca="false">IF(B1413="","",IFERROR(INDEX(PE_Nom,MATCH(B1413,PE_Mat,0)),"Matricule inconnu"))</f>
        <v/>
      </c>
      <c r="D1413" s="76" t="str">
        <f aca="false">IF(B1413="","",IFERROR(INDEX(PE_Fonction,MATCH(B1413,PE_Mat,0)),""))</f>
        <v/>
      </c>
      <c r="E1413" s="76" t="str">
        <f aca="false">IF(B1413="","",IFERROR(INDEX(PE_Equipe,MATCH(B1413,PE_Mat,0)),""))</f>
        <v/>
      </c>
      <c r="F1413" s="25"/>
      <c r="G1413" s="25"/>
      <c r="H1413" s="68"/>
      <c r="I1413" s="89"/>
      <c r="J1413" s="31" t="str">
        <f aca="false">IF(B1413="","",IFERROR(INDEX(PE_Taux,MATCH(B1413,PE_Mat,0)),0))</f>
        <v/>
      </c>
      <c r="K1413" s="31" t="str">
        <f aca="false">IF(B1413="","",IF(H1413="A",0,IFERROR(N(I1413)/P_Heures*J1413,0)))</f>
        <v/>
      </c>
      <c r="L1413" s="25"/>
    </row>
    <row r="1414" customFormat="false" ht="15" hidden="false" customHeight="false" outlineLevel="0" collapsed="false">
      <c r="A1414" s="69"/>
      <c r="B1414" s="68"/>
      <c r="C1414" s="76" t="str">
        <f aca="false">IF(B1414="","",IFERROR(INDEX(PE_Nom,MATCH(B1414,PE_Mat,0)),"Matricule inconnu"))</f>
        <v/>
      </c>
      <c r="D1414" s="76" t="str">
        <f aca="false">IF(B1414="","",IFERROR(INDEX(PE_Fonction,MATCH(B1414,PE_Mat,0)),""))</f>
        <v/>
      </c>
      <c r="E1414" s="76" t="str">
        <f aca="false">IF(B1414="","",IFERROR(INDEX(PE_Equipe,MATCH(B1414,PE_Mat,0)),""))</f>
        <v/>
      </c>
      <c r="F1414" s="25"/>
      <c r="G1414" s="25"/>
      <c r="H1414" s="68"/>
      <c r="I1414" s="89"/>
      <c r="J1414" s="31" t="str">
        <f aca="false">IF(B1414="","",IFERROR(INDEX(PE_Taux,MATCH(B1414,PE_Mat,0)),0))</f>
        <v/>
      </c>
      <c r="K1414" s="31" t="str">
        <f aca="false">IF(B1414="","",IF(H1414="A",0,IFERROR(N(I1414)/P_Heures*J1414,0)))</f>
        <v/>
      </c>
      <c r="L1414" s="25"/>
    </row>
    <row r="1415" customFormat="false" ht="15" hidden="false" customHeight="false" outlineLevel="0" collapsed="false">
      <c r="A1415" s="69"/>
      <c r="B1415" s="68"/>
      <c r="C1415" s="76" t="str">
        <f aca="false">IF(B1415="","",IFERROR(INDEX(PE_Nom,MATCH(B1415,PE_Mat,0)),"Matricule inconnu"))</f>
        <v/>
      </c>
      <c r="D1415" s="76" t="str">
        <f aca="false">IF(B1415="","",IFERROR(INDEX(PE_Fonction,MATCH(B1415,PE_Mat,0)),""))</f>
        <v/>
      </c>
      <c r="E1415" s="76" t="str">
        <f aca="false">IF(B1415="","",IFERROR(INDEX(PE_Equipe,MATCH(B1415,PE_Mat,0)),""))</f>
        <v/>
      </c>
      <c r="F1415" s="25"/>
      <c r="G1415" s="25"/>
      <c r="H1415" s="68"/>
      <c r="I1415" s="89"/>
      <c r="J1415" s="31" t="str">
        <f aca="false">IF(B1415="","",IFERROR(INDEX(PE_Taux,MATCH(B1415,PE_Mat,0)),0))</f>
        <v/>
      </c>
      <c r="K1415" s="31" t="str">
        <f aca="false">IF(B1415="","",IF(H1415="A",0,IFERROR(N(I1415)/P_Heures*J1415,0)))</f>
        <v/>
      </c>
      <c r="L1415" s="25"/>
    </row>
    <row r="1416" customFormat="false" ht="15" hidden="false" customHeight="false" outlineLevel="0" collapsed="false">
      <c r="A1416" s="69"/>
      <c r="B1416" s="68"/>
      <c r="C1416" s="76" t="str">
        <f aca="false">IF(B1416="","",IFERROR(INDEX(PE_Nom,MATCH(B1416,PE_Mat,0)),"Matricule inconnu"))</f>
        <v/>
      </c>
      <c r="D1416" s="76" t="str">
        <f aca="false">IF(B1416="","",IFERROR(INDEX(PE_Fonction,MATCH(B1416,PE_Mat,0)),""))</f>
        <v/>
      </c>
      <c r="E1416" s="76" t="str">
        <f aca="false">IF(B1416="","",IFERROR(INDEX(PE_Equipe,MATCH(B1416,PE_Mat,0)),""))</f>
        <v/>
      </c>
      <c r="F1416" s="25"/>
      <c r="G1416" s="25"/>
      <c r="H1416" s="68"/>
      <c r="I1416" s="89"/>
      <c r="J1416" s="31" t="str">
        <f aca="false">IF(B1416="","",IFERROR(INDEX(PE_Taux,MATCH(B1416,PE_Mat,0)),0))</f>
        <v/>
      </c>
      <c r="K1416" s="31" t="str">
        <f aca="false">IF(B1416="","",IF(H1416="A",0,IFERROR(N(I1416)/P_Heures*J1416,0)))</f>
        <v/>
      </c>
      <c r="L1416" s="25"/>
    </row>
    <row r="1417" customFormat="false" ht="15" hidden="false" customHeight="false" outlineLevel="0" collapsed="false">
      <c r="A1417" s="69"/>
      <c r="B1417" s="68"/>
      <c r="C1417" s="76" t="str">
        <f aca="false">IF(B1417="","",IFERROR(INDEX(PE_Nom,MATCH(B1417,PE_Mat,0)),"Matricule inconnu"))</f>
        <v/>
      </c>
      <c r="D1417" s="76" t="str">
        <f aca="false">IF(B1417="","",IFERROR(INDEX(PE_Fonction,MATCH(B1417,PE_Mat,0)),""))</f>
        <v/>
      </c>
      <c r="E1417" s="76" t="str">
        <f aca="false">IF(B1417="","",IFERROR(INDEX(PE_Equipe,MATCH(B1417,PE_Mat,0)),""))</f>
        <v/>
      </c>
      <c r="F1417" s="25"/>
      <c r="G1417" s="25"/>
      <c r="H1417" s="68"/>
      <c r="I1417" s="89"/>
      <c r="J1417" s="31" t="str">
        <f aca="false">IF(B1417="","",IFERROR(INDEX(PE_Taux,MATCH(B1417,PE_Mat,0)),0))</f>
        <v/>
      </c>
      <c r="K1417" s="31" t="str">
        <f aca="false">IF(B1417="","",IF(H1417="A",0,IFERROR(N(I1417)/P_Heures*J1417,0)))</f>
        <v/>
      </c>
      <c r="L1417" s="25"/>
    </row>
    <row r="1418" customFormat="false" ht="15" hidden="false" customHeight="false" outlineLevel="0" collapsed="false">
      <c r="A1418" s="69"/>
      <c r="B1418" s="68"/>
      <c r="C1418" s="76" t="str">
        <f aca="false">IF(B1418="","",IFERROR(INDEX(PE_Nom,MATCH(B1418,PE_Mat,0)),"Matricule inconnu"))</f>
        <v/>
      </c>
      <c r="D1418" s="76" t="str">
        <f aca="false">IF(B1418="","",IFERROR(INDEX(PE_Fonction,MATCH(B1418,PE_Mat,0)),""))</f>
        <v/>
      </c>
      <c r="E1418" s="76" t="str">
        <f aca="false">IF(B1418="","",IFERROR(INDEX(PE_Equipe,MATCH(B1418,PE_Mat,0)),""))</f>
        <v/>
      </c>
      <c r="F1418" s="25"/>
      <c r="G1418" s="25"/>
      <c r="H1418" s="68"/>
      <c r="I1418" s="89"/>
      <c r="J1418" s="31" t="str">
        <f aca="false">IF(B1418="","",IFERROR(INDEX(PE_Taux,MATCH(B1418,PE_Mat,0)),0))</f>
        <v/>
      </c>
      <c r="K1418" s="31" t="str">
        <f aca="false">IF(B1418="","",IF(H1418="A",0,IFERROR(N(I1418)/P_Heures*J1418,0)))</f>
        <v/>
      </c>
      <c r="L1418" s="25"/>
    </row>
    <row r="1419" customFormat="false" ht="15" hidden="false" customHeight="false" outlineLevel="0" collapsed="false">
      <c r="A1419" s="69"/>
      <c r="B1419" s="68"/>
      <c r="C1419" s="76" t="str">
        <f aca="false">IF(B1419="","",IFERROR(INDEX(PE_Nom,MATCH(B1419,PE_Mat,0)),"Matricule inconnu"))</f>
        <v/>
      </c>
      <c r="D1419" s="76" t="str">
        <f aca="false">IF(B1419="","",IFERROR(INDEX(PE_Fonction,MATCH(B1419,PE_Mat,0)),""))</f>
        <v/>
      </c>
      <c r="E1419" s="76" t="str">
        <f aca="false">IF(B1419="","",IFERROR(INDEX(PE_Equipe,MATCH(B1419,PE_Mat,0)),""))</f>
        <v/>
      </c>
      <c r="F1419" s="25"/>
      <c r="G1419" s="25"/>
      <c r="H1419" s="68"/>
      <c r="I1419" s="89"/>
      <c r="J1419" s="31" t="str">
        <f aca="false">IF(B1419="","",IFERROR(INDEX(PE_Taux,MATCH(B1419,PE_Mat,0)),0))</f>
        <v/>
      </c>
      <c r="K1419" s="31" t="str">
        <f aca="false">IF(B1419="","",IF(H1419="A",0,IFERROR(N(I1419)/P_Heures*J1419,0)))</f>
        <v/>
      </c>
      <c r="L1419" s="25"/>
    </row>
    <row r="1420" customFormat="false" ht="15" hidden="false" customHeight="false" outlineLevel="0" collapsed="false">
      <c r="A1420" s="69"/>
      <c r="B1420" s="68"/>
      <c r="C1420" s="76" t="str">
        <f aca="false">IF(B1420="","",IFERROR(INDEX(PE_Nom,MATCH(B1420,PE_Mat,0)),"Matricule inconnu"))</f>
        <v/>
      </c>
      <c r="D1420" s="76" t="str">
        <f aca="false">IF(B1420="","",IFERROR(INDEX(PE_Fonction,MATCH(B1420,PE_Mat,0)),""))</f>
        <v/>
      </c>
      <c r="E1420" s="76" t="str">
        <f aca="false">IF(B1420="","",IFERROR(INDEX(PE_Equipe,MATCH(B1420,PE_Mat,0)),""))</f>
        <v/>
      </c>
      <c r="F1420" s="25"/>
      <c r="G1420" s="25"/>
      <c r="H1420" s="68"/>
      <c r="I1420" s="89"/>
      <c r="J1420" s="31" t="str">
        <f aca="false">IF(B1420="","",IFERROR(INDEX(PE_Taux,MATCH(B1420,PE_Mat,0)),0))</f>
        <v/>
      </c>
      <c r="K1420" s="31" t="str">
        <f aca="false">IF(B1420="","",IF(H1420="A",0,IFERROR(N(I1420)/P_Heures*J1420,0)))</f>
        <v/>
      </c>
      <c r="L1420" s="25"/>
    </row>
    <row r="1421" customFormat="false" ht="15" hidden="false" customHeight="false" outlineLevel="0" collapsed="false">
      <c r="A1421" s="69"/>
      <c r="B1421" s="68"/>
      <c r="C1421" s="76" t="str">
        <f aca="false">IF(B1421="","",IFERROR(INDEX(PE_Nom,MATCH(B1421,PE_Mat,0)),"Matricule inconnu"))</f>
        <v/>
      </c>
      <c r="D1421" s="76" t="str">
        <f aca="false">IF(B1421="","",IFERROR(INDEX(PE_Fonction,MATCH(B1421,PE_Mat,0)),""))</f>
        <v/>
      </c>
      <c r="E1421" s="76" t="str">
        <f aca="false">IF(B1421="","",IFERROR(INDEX(PE_Equipe,MATCH(B1421,PE_Mat,0)),""))</f>
        <v/>
      </c>
      <c r="F1421" s="25"/>
      <c r="G1421" s="25"/>
      <c r="H1421" s="68"/>
      <c r="I1421" s="89"/>
      <c r="J1421" s="31" t="str">
        <f aca="false">IF(B1421="","",IFERROR(INDEX(PE_Taux,MATCH(B1421,PE_Mat,0)),0))</f>
        <v/>
      </c>
      <c r="K1421" s="31" t="str">
        <f aca="false">IF(B1421="","",IF(H1421="A",0,IFERROR(N(I1421)/P_Heures*J1421,0)))</f>
        <v/>
      </c>
      <c r="L1421" s="25"/>
    </row>
    <row r="1422" customFormat="false" ht="15" hidden="false" customHeight="false" outlineLevel="0" collapsed="false">
      <c r="A1422" s="69"/>
      <c r="B1422" s="68"/>
      <c r="C1422" s="76" t="str">
        <f aca="false">IF(B1422="","",IFERROR(INDEX(PE_Nom,MATCH(B1422,PE_Mat,0)),"Matricule inconnu"))</f>
        <v/>
      </c>
      <c r="D1422" s="76" t="str">
        <f aca="false">IF(B1422="","",IFERROR(INDEX(PE_Fonction,MATCH(B1422,PE_Mat,0)),""))</f>
        <v/>
      </c>
      <c r="E1422" s="76" t="str">
        <f aca="false">IF(B1422="","",IFERROR(INDEX(PE_Equipe,MATCH(B1422,PE_Mat,0)),""))</f>
        <v/>
      </c>
      <c r="F1422" s="25"/>
      <c r="G1422" s="25"/>
      <c r="H1422" s="68"/>
      <c r="I1422" s="89"/>
      <c r="J1422" s="31" t="str">
        <f aca="false">IF(B1422="","",IFERROR(INDEX(PE_Taux,MATCH(B1422,PE_Mat,0)),0))</f>
        <v/>
      </c>
      <c r="K1422" s="31" t="str">
        <f aca="false">IF(B1422="","",IF(H1422="A",0,IFERROR(N(I1422)/P_Heures*J1422,0)))</f>
        <v/>
      </c>
      <c r="L1422" s="25"/>
    </row>
    <row r="1423" customFormat="false" ht="15" hidden="false" customHeight="false" outlineLevel="0" collapsed="false">
      <c r="A1423" s="69"/>
      <c r="B1423" s="68"/>
      <c r="C1423" s="76" t="str">
        <f aca="false">IF(B1423="","",IFERROR(INDEX(PE_Nom,MATCH(B1423,PE_Mat,0)),"Matricule inconnu"))</f>
        <v/>
      </c>
      <c r="D1423" s="76" t="str">
        <f aca="false">IF(B1423="","",IFERROR(INDEX(PE_Fonction,MATCH(B1423,PE_Mat,0)),""))</f>
        <v/>
      </c>
      <c r="E1423" s="76" t="str">
        <f aca="false">IF(B1423="","",IFERROR(INDEX(PE_Equipe,MATCH(B1423,PE_Mat,0)),""))</f>
        <v/>
      </c>
      <c r="F1423" s="25"/>
      <c r="G1423" s="25"/>
      <c r="H1423" s="68"/>
      <c r="I1423" s="89"/>
      <c r="J1423" s="31" t="str">
        <f aca="false">IF(B1423="","",IFERROR(INDEX(PE_Taux,MATCH(B1423,PE_Mat,0)),0))</f>
        <v/>
      </c>
      <c r="K1423" s="31" t="str">
        <f aca="false">IF(B1423="","",IF(H1423="A",0,IFERROR(N(I1423)/P_Heures*J1423,0)))</f>
        <v/>
      </c>
      <c r="L1423" s="25"/>
    </row>
    <row r="1424" customFormat="false" ht="15" hidden="false" customHeight="false" outlineLevel="0" collapsed="false">
      <c r="A1424" s="69"/>
      <c r="B1424" s="68"/>
      <c r="C1424" s="76" t="str">
        <f aca="false">IF(B1424="","",IFERROR(INDEX(PE_Nom,MATCH(B1424,PE_Mat,0)),"Matricule inconnu"))</f>
        <v/>
      </c>
      <c r="D1424" s="76" t="str">
        <f aca="false">IF(B1424="","",IFERROR(INDEX(PE_Fonction,MATCH(B1424,PE_Mat,0)),""))</f>
        <v/>
      </c>
      <c r="E1424" s="76" t="str">
        <f aca="false">IF(B1424="","",IFERROR(INDEX(PE_Equipe,MATCH(B1424,PE_Mat,0)),""))</f>
        <v/>
      </c>
      <c r="F1424" s="25"/>
      <c r="G1424" s="25"/>
      <c r="H1424" s="68"/>
      <c r="I1424" s="89"/>
      <c r="J1424" s="31" t="str">
        <f aca="false">IF(B1424="","",IFERROR(INDEX(PE_Taux,MATCH(B1424,PE_Mat,0)),0))</f>
        <v/>
      </c>
      <c r="K1424" s="31" t="str">
        <f aca="false">IF(B1424="","",IF(H1424="A",0,IFERROR(N(I1424)/P_Heures*J1424,0)))</f>
        <v/>
      </c>
      <c r="L1424" s="25"/>
    </row>
    <row r="1425" customFormat="false" ht="15" hidden="false" customHeight="false" outlineLevel="0" collapsed="false">
      <c r="A1425" s="69"/>
      <c r="B1425" s="68"/>
      <c r="C1425" s="76" t="str">
        <f aca="false">IF(B1425="","",IFERROR(INDEX(PE_Nom,MATCH(B1425,PE_Mat,0)),"Matricule inconnu"))</f>
        <v/>
      </c>
      <c r="D1425" s="76" t="str">
        <f aca="false">IF(B1425="","",IFERROR(INDEX(PE_Fonction,MATCH(B1425,PE_Mat,0)),""))</f>
        <v/>
      </c>
      <c r="E1425" s="76" t="str">
        <f aca="false">IF(B1425="","",IFERROR(INDEX(PE_Equipe,MATCH(B1425,PE_Mat,0)),""))</f>
        <v/>
      </c>
      <c r="F1425" s="25"/>
      <c r="G1425" s="25"/>
      <c r="H1425" s="68"/>
      <c r="I1425" s="89"/>
      <c r="J1425" s="31" t="str">
        <f aca="false">IF(B1425="","",IFERROR(INDEX(PE_Taux,MATCH(B1425,PE_Mat,0)),0))</f>
        <v/>
      </c>
      <c r="K1425" s="31" t="str">
        <f aca="false">IF(B1425="","",IF(H1425="A",0,IFERROR(N(I1425)/P_Heures*J1425,0)))</f>
        <v/>
      </c>
      <c r="L1425" s="25"/>
    </row>
    <row r="1426" customFormat="false" ht="15" hidden="false" customHeight="false" outlineLevel="0" collapsed="false">
      <c r="A1426" s="69"/>
      <c r="B1426" s="68"/>
      <c r="C1426" s="76" t="str">
        <f aca="false">IF(B1426="","",IFERROR(INDEX(PE_Nom,MATCH(B1426,PE_Mat,0)),"Matricule inconnu"))</f>
        <v/>
      </c>
      <c r="D1426" s="76" t="str">
        <f aca="false">IF(B1426="","",IFERROR(INDEX(PE_Fonction,MATCH(B1426,PE_Mat,0)),""))</f>
        <v/>
      </c>
      <c r="E1426" s="76" t="str">
        <f aca="false">IF(B1426="","",IFERROR(INDEX(PE_Equipe,MATCH(B1426,PE_Mat,0)),""))</f>
        <v/>
      </c>
      <c r="F1426" s="25"/>
      <c r="G1426" s="25"/>
      <c r="H1426" s="68"/>
      <c r="I1426" s="89"/>
      <c r="J1426" s="31" t="str">
        <f aca="false">IF(B1426="","",IFERROR(INDEX(PE_Taux,MATCH(B1426,PE_Mat,0)),0))</f>
        <v/>
      </c>
      <c r="K1426" s="31" t="str">
        <f aca="false">IF(B1426="","",IF(H1426="A",0,IFERROR(N(I1426)/P_Heures*J1426,0)))</f>
        <v/>
      </c>
      <c r="L1426" s="25"/>
    </row>
    <row r="1427" customFormat="false" ht="15" hidden="false" customHeight="false" outlineLevel="0" collapsed="false">
      <c r="A1427" s="69"/>
      <c r="B1427" s="68"/>
      <c r="C1427" s="76" t="str">
        <f aca="false">IF(B1427="","",IFERROR(INDEX(PE_Nom,MATCH(B1427,PE_Mat,0)),"Matricule inconnu"))</f>
        <v/>
      </c>
      <c r="D1427" s="76" t="str">
        <f aca="false">IF(B1427="","",IFERROR(INDEX(PE_Fonction,MATCH(B1427,PE_Mat,0)),""))</f>
        <v/>
      </c>
      <c r="E1427" s="76" t="str">
        <f aca="false">IF(B1427="","",IFERROR(INDEX(PE_Equipe,MATCH(B1427,PE_Mat,0)),""))</f>
        <v/>
      </c>
      <c r="F1427" s="25"/>
      <c r="G1427" s="25"/>
      <c r="H1427" s="68"/>
      <c r="I1427" s="89"/>
      <c r="J1427" s="31" t="str">
        <f aca="false">IF(B1427="","",IFERROR(INDEX(PE_Taux,MATCH(B1427,PE_Mat,0)),0))</f>
        <v/>
      </c>
      <c r="K1427" s="31" t="str">
        <f aca="false">IF(B1427="","",IF(H1427="A",0,IFERROR(N(I1427)/P_Heures*J1427,0)))</f>
        <v/>
      </c>
      <c r="L1427" s="25"/>
    </row>
    <row r="1428" customFormat="false" ht="15" hidden="false" customHeight="false" outlineLevel="0" collapsed="false">
      <c r="A1428" s="69"/>
      <c r="B1428" s="68"/>
      <c r="C1428" s="76" t="str">
        <f aca="false">IF(B1428="","",IFERROR(INDEX(PE_Nom,MATCH(B1428,PE_Mat,0)),"Matricule inconnu"))</f>
        <v/>
      </c>
      <c r="D1428" s="76" t="str">
        <f aca="false">IF(B1428="","",IFERROR(INDEX(PE_Fonction,MATCH(B1428,PE_Mat,0)),""))</f>
        <v/>
      </c>
      <c r="E1428" s="76" t="str">
        <f aca="false">IF(B1428="","",IFERROR(INDEX(PE_Equipe,MATCH(B1428,PE_Mat,0)),""))</f>
        <v/>
      </c>
      <c r="F1428" s="25"/>
      <c r="G1428" s="25"/>
      <c r="H1428" s="68"/>
      <c r="I1428" s="89"/>
      <c r="J1428" s="31" t="str">
        <f aca="false">IF(B1428="","",IFERROR(INDEX(PE_Taux,MATCH(B1428,PE_Mat,0)),0))</f>
        <v/>
      </c>
      <c r="K1428" s="31" t="str">
        <f aca="false">IF(B1428="","",IF(H1428="A",0,IFERROR(N(I1428)/P_Heures*J1428,0)))</f>
        <v/>
      </c>
      <c r="L1428" s="25"/>
    </row>
    <row r="1429" customFormat="false" ht="15" hidden="false" customHeight="false" outlineLevel="0" collapsed="false">
      <c r="A1429" s="69"/>
      <c r="B1429" s="68"/>
      <c r="C1429" s="76" t="str">
        <f aca="false">IF(B1429="","",IFERROR(INDEX(PE_Nom,MATCH(B1429,PE_Mat,0)),"Matricule inconnu"))</f>
        <v/>
      </c>
      <c r="D1429" s="76" t="str">
        <f aca="false">IF(B1429="","",IFERROR(INDEX(PE_Fonction,MATCH(B1429,PE_Mat,0)),""))</f>
        <v/>
      </c>
      <c r="E1429" s="76" t="str">
        <f aca="false">IF(B1429="","",IFERROR(INDEX(PE_Equipe,MATCH(B1429,PE_Mat,0)),""))</f>
        <v/>
      </c>
      <c r="F1429" s="25"/>
      <c r="G1429" s="25"/>
      <c r="H1429" s="68"/>
      <c r="I1429" s="89"/>
      <c r="J1429" s="31" t="str">
        <f aca="false">IF(B1429="","",IFERROR(INDEX(PE_Taux,MATCH(B1429,PE_Mat,0)),0))</f>
        <v/>
      </c>
      <c r="K1429" s="31" t="str">
        <f aca="false">IF(B1429="","",IF(H1429="A",0,IFERROR(N(I1429)/P_Heures*J1429,0)))</f>
        <v/>
      </c>
      <c r="L1429" s="25"/>
    </row>
    <row r="1430" customFormat="false" ht="15" hidden="false" customHeight="false" outlineLevel="0" collapsed="false">
      <c r="A1430" s="69"/>
      <c r="B1430" s="68"/>
      <c r="C1430" s="76" t="str">
        <f aca="false">IF(B1430="","",IFERROR(INDEX(PE_Nom,MATCH(B1430,PE_Mat,0)),"Matricule inconnu"))</f>
        <v/>
      </c>
      <c r="D1430" s="76" t="str">
        <f aca="false">IF(B1430="","",IFERROR(INDEX(PE_Fonction,MATCH(B1430,PE_Mat,0)),""))</f>
        <v/>
      </c>
      <c r="E1430" s="76" t="str">
        <f aca="false">IF(B1430="","",IFERROR(INDEX(PE_Equipe,MATCH(B1430,PE_Mat,0)),""))</f>
        <v/>
      </c>
      <c r="F1430" s="25"/>
      <c r="G1430" s="25"/>
      <c r="H1430" s="68"/>
      <c r="I1430" s="89"/>
      <c r="J1430" s="31" t="str">
        <f aca="false">IF(B1430="","",IFERROR(INDEX(PE_Taux,MATCH(B1430,PE_Mat,0)),0))</f>
        <v/>
      </c>
      <c r="K1430" s="31" t="str">
        <f aca="false">IF(B1430="","",IF(H1430="A",0,IFERROR(N(I1430)/P_Heures*J1430,0)))</f>
        <v/>
      </c>
      <c r="L1430" s="25"/>
    </row>
    <row r="1431" customFormat="false" ht="15" hidden="false" customHeight="false" outlineLevel="0" collapsed="false">
      <c r="A1431" s="69"/>
      <c r="B1431" s="68"/>
      <c r="C1431" s="76" t="str">
        <f aca="false">IF(B1431="","",IFERROR(INDEX(PE_Nom,MATCH(B1431,PE_Mat,0)),"Matricule inconnu"))</f>
        <v/>
      </c>
      <c r="D1431" s="76" t="str">
        <f aca="false">IF(B1431="","",IFERROR(INDEX(PE_Fonction,MATCH(B1431,PE_Mat,0)),""))</f>
        <v/>
      </c>
      <c r="E1431" s="76" t="str">
        <f aca="false">IF(B1431="","",IFERROR(INDEX(PE_Equipe,MATCH(B1431,PE_Mat,0)),""))</f>
        <v/>
      </c>
      <c r="F1431" s="25"/>
      <c r="G1431" s="25"/>
      <c r="H1431" s="68"/>
      <c r="I1431" s="89"/>
      <c r="J1431" s="31" t="str">
        <f aca="false">IF(B1431="","",IFERROR(INDEX(PE_Taux,MATCH(B1431,PE_Mat,0)),0))</f>
        <v/>
      </c>
      <c r="K1431" s="31" t="str">
        <f aca="false">IF(B1431="","",IF(H1431="A",0,IFERROR(N(I1431)/P_Heures*J1431,0)))</f>
        <v/>
      </c>
      <c r="L1431" s="25"/>
    </row>
    <row r="1432" customFormat="false" ht="15" hidden="false" customHeight="false" outlineLevel="0" collapsed="false">
      <c r="A1432" s="69"/>
      <c r="B1432" s="68"/>
      <c r="C1432" s="76" t="str">
        <f aca="false">IF(B1432="","",IFERROR(INDEX(PE_Nom,MATCH(B1432,PE_Mat,0)),"Matricule inconnu"))</f>
        <v/>
      </c>
      <c r="D1432" s="76" t="str">
        <f aca="false">IF(B1432="","",IFERROR(INDEX(PE_Fonction,MATCH(B1432,PE_Mat,0)),""))</f>
        <v/>
      </c>
      <c r="E1432" s="76" t="str">
        <f aca="false">IF(B1432="","",IFERROR(INDEX(PE_Equipe,MATCH(B1432,PE_Mat,0)),""))</f>
        <v/>
      </c>
      <c r="F1432" s="25"/>
      <c r="G1432" s="25"/>
      <c r="H1432" s="68"/>
      <c r="I1432" s="89"/>
      <c r="J1432" s="31" t="str">
        <f aca="false">IF(B1432="","",IFERROR(INDEX(PE_Taux,MATCH(B1432,PE_Mat,0)),0))</f>
        <v/>
      </c>
      <c r="K1432" s="31" t="str">
        <f aca="false">IF(B1432="","",IF(H1432="A",0,IFERROR(N(I1432)/P_Heures*J1432,0)))</f>
        <v/>
      </c>
      <c r="L1432" s="25"/>
    </row>
    <row r="1433" customFormat="false" ht="15" hidden="false" customHeight="false" outlineLevel="0" collapsed="false">
      <c r="A1433" s="69"/>
      <c r="B1433" s="68"/>
      <c r="C1433" s="76" t="str">
        <f aca="false">IF(B1433="","",IFERROR(INDEX(PE_Nom,MATCH(B1433,PE_Mat,0)),"Matricule inconnu"))</f>
        <v/>
      </c>
      <c r="D1433" s="76" t="str">
        <f aca="false">IF(B1433="","",IFERROR(INDEX(PE_Fonction,MATCH(B1433,PE_Mat,0)),""))</f>
        <v/>
      </c>
      <c r="E1433" s="76" t="str">
        <f aca="false">IF(B1433="","",IFERROR(INDEX(PE_Equipe,MATCH(B1433,PE_Mat,0)),""))</f>
        <v/>
      </c>
      <c r="F1433" s="25"/>
      <c r="G1433" s="25"/>
      <c r="H1433" s="68"/>
      <c r="I1433" s="89"/>
      <c r="J1433" s="31" t="str">
        <f aca="false">IF(B1433="","",IFERROR(INDEX(PE_Taux,MATCH(B1433,PE_Mat,0)),0))</f>
        <v/>
      </c>
      <c r="K1433" s="31" t="str">
        <f aca="false">IF(B1433="","",IF(H1433="A",0,IFERROR(N(I1433)/P_Heures*J1433,0)))</f>
        <v/>
      </c>
      <c r="L1433" s="25"/>
    </row>
    <row r="1434" customFormat="false" ht="15" hidden="false" customHeight="false" outlineLevel="0" collapsed="false">
      <c r="A1434" s="69"/>
      <c r="B1434" s="68"/>
      <c r="C1434" s="76" t="str">
        <f aca="false">IF(B1434="","",IFERROR(INDEX(PE_Nom,MATCH(B1434,PE_Mat,0)),"Matricule inconnu"))</f>
        <v/>
      </c>
      <c r="D1434" s="76" t="str">
        <f aca="false">IF(B1434="","",IFERROR(INDEX(PE_Fonction,MATCH(B1434,PE_Mat,0)),""))</f>
        <v/>
      </c>
      <c r="E1434" s="76" t="str">
        <f aca="false">IF(B1434="","",IFERROR(INDEX(PE_Equipe,MATCH(B1434,PE_Mat,0)),""))</f>
        <v/>
      </c>
      <c r="F1434" s="25"/>
      <c r="G1434" s="25"/>
      <c r="H1434" s="68"/>
      <c r="I1434" s="89"/>
      <c r="J1434" s="31" t="str">
        <f aca="false">IF(B1434="","",IFERROR(INDEX(PE_Taux,MATCH(B1434,PE_Mat,0)),0))</f>
        <v/>
      </c>
      <c r="K1434" s="31" t="str">
        <f aca="false">IF(B1434="","",IF(H1434="A",0,IFERROR(N(I1434)/P_Heures*J1434,0)))</f>
        <v/>
      </c>
      <c r="L1434" s="25"/>
    </row>
    <row r="1435" customFormat="false" ht="15" hidden="false" customHeight="false" outlineLevel="0" collapsed="false">
      <c r="A1435" s="69"/>
      <c r="B1435" s="68"/>
      <c r="C1435" s="76" t="str">
        <f aca="false">IF(B1435="","",IFERROR(INDEX(PE_Nom,MATCH(B1435,PE_Mat,0)),"Matricule inconnu"))</f>
        <v/>
      </c>
      <c r="D1435" s="76" t="str">
        <f aca="false">IF(B1435="","",IFERROR(INDEX(PE_Fonction,MATCH(B1435,PE_Mat,0)),""))</f>
        <v/>
      </c>
      <c r="E1435" s="76" t="str">
        <f aca="false">IF(B1435="","",IFERROR(INDEX(PE_Equipe,MATCH(B1435,PE_Mat,0)),""))</f>
        <v/>
      </c>
      <c r="F1435" s="25"/>
      <c r="G1435" s="25"/>
      <c r="H1435" s="68"/>
      <c r="I1435" s="89"/>
      <c r="J1435" s="31" t="str">
        <f aca="false">IF(B1435="","",IFERROR(INDEX(PE_Taux,MATCH(B1435,PE_Mat,0)),0))</f>
        <v/>
      </c>
      <c r="K1435" s="31" t="str">
        <f aca="false">IF(B1435="","",IF(H1435="A",0,IFERROR(N(I1435)/P_Heures*J1435,0)))</f>
        <v/>
      </c>
      <c r="L1435" s="25"/>
    </row>
    <row r="1436" customFormat="false" ht="15" hidden="false" customHeight="false" outlineLevel="0" collapsed="false">
      <c r="A1436" s="69"/>
      <c r="B1436" s="68"/>
      <c r="C1436" s="76" t="str">
        <f aca="false">IF(B1436="","",IFERROR(INDEX(PE_Nom,MATCH(B1436,PE_Mat,0)),"Matricule inconnu"))</f>
        <v/>
      </c>
      <c r="D1436" s="76" t="str">
        <f aca="false">IF(B1436="","",IFERROR(INDEX(PE_Fonction,MATCH(B1436,PE_Mat,0)),""))</f>
        <v/>
      </c>
      <c r="E1436" s="76" t="str">
        <f aca="false">IF(B1436="","",IFERROR(INDEX(PE_Equipe,MATCH(B1436,PE_Mat,0)),""))</f>
        <v/>
      </c>
      <c r="F1436" s="25"/>
      <c r="G1436" s="25"/>
      <c r="H1436" s="68"/>
      <c r="I1436" s="89"/>
      <c r="J1436" s="31" t="str">
        <f aca="false">IF(B1436="","",IFERROR(INDEX(PE_Taux,MATCH(B1436,PE_Mat,0)),0))</f>
        <v/>
      </c>
      <c r="K1436" s="31" t="str">
        <f aca="false">IF(B1436="","",IF(H1436="A",0,IFERROR(N(I1436)/P_Heures*J1436,0)))</f>
        <v/>
      </c>
      <c r="L1436" s="25"/>
    </row>
    <row r="1437" customFormat="false" ht="15" hidden="false" customHeight="false" outlineLevel="0" collapsed="false">
      <c r="A1437" s="69"/>
      <c r="B1437" s="68"/>
      <c r="C1437" s="76" t="str">
        <f aca="false">IF(B1437="","",IFERROR(INDEX(PE_Nom,MATCH(B1437,PE_Mat,0)),"Matricule inconnu"))</f>
        <v/>
      </c>
      <c r="D1437" s="76" t="str">
        <f aca="false">IF(B1437="","",IFERROR(INDEX(PE_Fonction,MATCH(B1437,PE_Mat,0)),""))</f>
        <v/>
      </c>
      <c r="E1437" s="76" t="str">
        <f aca="false">IF(B1437="","",IFERROR(INDEX(PE_Equipe,MATCH(B1437,PE_Mat,0)),""))</f>
        <v/>
      </c>
      <c r="F1437" s="25"/>
      <c r="G1437" s="25"/>
      <c r="H1437" s="68"/>
      <c r="I1437" s="89"/>
      <c r="J1437" s="31" t="str">
        <f aca="false">IF(B1437="","",IFERROR(INDEX(PE_Taux,MATCH(B1437,PE_Mat,0)),0))</f>
        <v/>
      </c>
      <c r="K1437" s="31" t="str">
        <f aca="false">IF(B1437="","",IF(H1437="A",0,IFERROR(N(I1437)/P_Heures*J1437,0)))</f>
        <v/>
      </c>
      <c r="L1437" s="25"/>
    </row>
    <row r="1438" customFormat="false" ht="15" hidden="false" customHeight="false" outlineLevel="0" collapsed="false">
      <c r="A1438" s="69"/>
      <c r="B1438" s="68"/>
      <c r="C1438" s="76" t="str">
        <f aca="false">IF(B1438="","",IFERROR(INDEX(PE_Nom,MATCH(B1438,PE_Mat,0)),"Matricule inconnu"))</f>
        <v/>
      </c>
      <c r="D1438" s="76" t="str">
        <f aca="false">IF(B1438="","",IFERROR(INDEX(PE_Fonction,MATCH(B1438,PE_Mat,0)),""))</f>
        <v/>
      </c>
      <c r="E1438" s="76" t="str">
        <f aca="false">IF(B1438="","",IFERROR(INDEX(PE_Equipe,MATCH(B1438,PE_Mat,0)),""))</f>
        <v/>
      </c>
      <c r="F1438" s="25"/>
      <c r="G1438" s="25"/>
      <c r="H1438" s="68"/>
      <c r="I1438" s="89"/>
      <c r="J1438" s="31" t="str">
        <f aca="false">IF(B1438="","",IFERROR(INDEX(PE_Taux,MATCH(B1438,PE_Mat,0)),0))</f>
        <v/>
      </c>
      <c r="K1438" s="31" t="str">
        <f aca="false">IF(B1438="","",IF(H1438="A",0,IFERROR(N(I1438)/P_Heures*J1438,0)))</f>
        <v/>
      </c>
      <c r="L1438" s="25"/>
    </row>
    <row r="1439" customFormat="false" ht="15" hidden="false" customHeight="false" outlineLevel="0" collapsed="false">
      <c r="A1439" s="69"/>
      <c r="B1439" s="68"/>
      <c r="C1439" s="76" t="str">
        <f aca="false">IF(B1439="","",IFERROR(INDEX(PE_Nom,MATCH(B1439,PE_Mat,0)),"Matricule inconnu"))</f>
        <v/>
      </c>
      <c r="D1439" s="76" t="str">
        <f aca="false">IF(B1439="","",IFERROR(INDEX(PE_Fonction,MATCH(B1439,PE_Mat,0)),""))</f>
        <v/>
      </c>
      <c r="E1439" s="76" t="str">
        <f aca="false">IF(B1439="","",IFERROR(INDEX(PE_Equipe,MATCH(B1439,PE_Mat,0)),""))</f>
        <v/>
      </c>
      <c r="F1439" s="25"/>
      <c r="G1439" s="25"/>
      <c r="H1439" s="68"/>
      <c r="I1439" s="89"/>
      <c r="J1439" s="31" t="str">
        <f aca="false">IF(B1439="","",IFERROR(INDEX(PE_Taux,MATCH(B1439,PE_Mat,0)),0))</f>
        <v/>
      </c>
      <c r="K1439" s="31" t="str">
        <f aca="false">IF(B1439="","",IF(H1439="A",0,IFERROR(N(I1439)/P_Heures*J1439,0)))</f>
        <v/>
      </c>
      <c r="L1439" s="25"/>
    </row>
    <row r="1440" customFormat="false" ht="15" hidden="false" customHeight="false" outlineLevel="0" collapsed="false">
      <c r="A1440" s="69"/>
      <c r="B1440" s="68"/>
      <c r="C1440" s="76" t="str">
        <f aca="false">IF(B1440="","",IFERROR(INDEX(PE_Nom,MATCH(B1440,PE_Mat,0)),"Matricule inconnu"))</f>
        <v/>
      </c>
      <c r="D1440" s="76" t="str">
        <f aca="false">IF(B1440="","",IFERROR(INDEX(PE_Fonction,MATCH(B1440,PE_Mat,0)),""))</f>
        <v/>
      </c>
      <c r="E1440" s="76" t="str">
        <f aca="false">IF(B1440="","",IFERROR(INDEX(PE_Equipe,MATCH(B1440,PE_Mat,0)),""))</f>
        <v/>
      </c>
      <c r="F1440" s="25"/>
      <c r="G1440" s="25"/>
      <c r="H1440" s="68"/>
      <c r="I1440" s="89"/>
      <c r="J1440" s="31" t="str">
        <f aca="false">IF(B1440="","",IFERROR(INDEX(PE_Taux,MATCH(B1440,PE_Mat,0)),0))</f>
        <v/>
      </c>
      <c r="K1440" s="31" t="str">
        <f aca="false">IF(B1440="","",IF(H1440="A",0,IFERROR(N(I1440)/P_Heures*J1440,0)))</f>
        <v/>
      </c>
      <c r="L1440" s="25"/>
    </row>
    <row r="1441" customFormat="false" ht="15" hidden="false" customHeight="false" outlineLevel="0" collapsed="false">
      <c r="A1441" s="69"/>
      <c r="B1441" s="68"/>
      <c r="C1441" s="76" t="str">
        <f aca="false">IF(B1441="","",IFERROR(INDEX(PE_Nom,MATCH(B1441,PE_Mat,0)),"Matricule inconnu"))</f>
        <v/>
      </c>
      <c r="D1441" s="76" t="str">
        <f aca="false">IF(B1441="","",IFERROR(INDEX(PE_Fonction,MATCH(B1441,PE_Mat,0)),""))</f>
        <v/>
      </c>
      <c r="E1441" s="76" t="str">
        <f aca="false">IF(B1441="","",IFERROR(INDEX(PE_Equipe,MATCH(B1441,PE_Mat,0)),""))</f>
        <v/>
      </c>
      <c r="F1441" s="25"/>
      <c r="G1441" s="25"/>
      <c r="H1441" s="68"/>
      <c r="I1441" s="89"/>
      <c r="J1441" s="31" t="str">
        <f aca="false">IF(B1441="","",IFERROR(INDEX(PE_Taux,MATCH(B1441,PE_Mat,0)),0))</f>
        <v/>
      </c>
      <c r="K1441" s="31" t="str">
        <f aca="false">IF(B1441="","",IF(H1441="A",0,IFERROR(N(I1441)/P_Heures*J1441,0)))</f>
        <v/>
      </c>
      <c r="L1441" s="25"/>
    </row>
    <row r="1442" customFormat="false" ht="15" hidden="false" customHeight="false" outlineLevel="0" collapsed="false">
      <c r="A1442" s="69"/>
      <c r="B1442" s="68"/>
      <c r="C1442" s="76" t="str">
        <f aca="false">IF(B1442="","",IFERROR(INDEX(PE_Nom,MATCH(B1442,PE_Mat,0)),"Matricule inconnu"))</f>
        <v/>
      </c>
      <c r="D1442" s="76" t="str">
        <f aca="false">IF(B1442="","",IFERROR(INDEX(PE_Fonction,MATCH(B1442,PE_Mat,0)),""))</f>
        <v/>
      </c>
      <c r="E1442" s="76" t="str">
        <f aca="false">IF(B1442="","",IFERROR(INDEX(PE_Equipe,MATCH(B1442,PE_Mat,0)),""))</f>
        <v/>
      </c>
      <c r="F1442" s="25"/>
      <c r="G1442" s="25"/>
      <c r="H1442" s="68"/>
      <c r="I1442" s="89"/>
      <c r="J1442" s="31" t="str">
        <f aca="false">IF(B1442="","",IFERROR(INDEX(PE_Taux,MATCH(B1442,PE_Mat,0)),0))</f>
        <v/>
      </c>
      <c r="K1442" s="31" t="str">
        <f aca="false">IF(B1442="","",IF(H1442="A",0,IFERROR(N(I1442)/P_Heures*J1442,0)))</f>
        <v/>
      </c>
      <c r="L1442" s="25"/>
    </row>
    <row r="1443" customFormat="false" ht="15" hidden="false" customHeight="false" outlineLevel="0" collapsed="false">
      <c r="A1443" s="69"/>
      <c r="B1443" s="68"/>
      <c r="C1443" s="76" t="str">
        <f aca="false">IF(B1443="","",IFERROR(INDEX(PE_Nom,MATCH(B1443,PE_Mat,0)),"Matricule inconnu"))</f>
        <v/>
      </c>
      <c r="D1443" s="76" t="str">
        <f aca="false">IF(B1443="","",IFERROR(INDEX(PE_Fonction,MATCH(B1443,PE_Mat,0)),""))</f>
        <v/>
      </c>
      <c r="E1443" s="76" t="str">
        <f aca="false">IF(B1443="","",IFERROR(INDEX(PE_Equipe,MATCH(B1443,PE_Mat,0)),""))</f>
        <v/>
      </c>
      <c r="F1443" s="25"/>
      <c r="G1443" s="25"/>
      <c r="H1443" s="68"/>
      <c r="I1443" s="89"/>
      <c r="J1443" s="31" t="str">
        <f aca="false">IF(B1443="","",IFERROR(INDEX(PE_Taux,MATCH(B1443,PE_Mat,0)),0))</f>
        <v/>
      </c>
      <c r="K1443" s="31" t="str">
        <f aca="false">IF(B1443="","",IF(H1443="A",0,IFERROR(N(I1443)/P_Heures*J1443,0)))</f>
        <v/>
      </c>
      <c r="L1443" s="25"/>
    </row>
    <row r="1444" customFormat="false" ht="15" hidden="false" customHeight="false" outlineLevel="0" collapsed="false">
      <c r="A1444" s="69"/>
      <c r="B1444" s="68"/>
      <c r="C1444" s="76" t="str">
        <f aca="false">IF(B1444="","",IFERROR(INDEX(PE_Nom,MATCH(B1444,PE_Mat,0)),"Matricule inconnu"))</f>
        <v/>
      </c>
      <c r="D1444" s="76" t="str">
        <f aca="false">IF(B1444="","",IFERROR(INDEX(PE_Fonction,MATCH(B1444,PE_Mat,0)),""))</f>
        <v/>
      </c>
      <c r="E1444" s="76" t="str">
        <f aca="false">IF(B1444="","",IFERROR(INDEX(PE_Equipe,MATCH(B1444,PE_Mat,0)),""))</f>
        <v/>
      </c>
      <c r="F1444" s="25"/>
      <c r="G1444" s="25"/>
      <c r="H1444" s="68"/>
      <c r="I1444" s="89"/>
      <c r="J1444" s="31" t="str">
        <f aca="false">IF(B1444="","",IFERROR(INDEX(PE_Taux,MATCH(B1444,PE_Mat,0)),0))</f>
        <v/>
      </c>
      <c r="K1444" s="31" t="str">
        <f aca="false">IF(B1444="","",IF(H1444="A",0,IFERROR(N(I1444)/P_Heures*J1444,0)))</f>
        <v/>
      </c>
      <c r="L1444" s="25"/>
    </row>
    <row r="1445" customFormat="false" ht="15" hidden="false" customHeight="false" outlineLevel="0" collapsed="false">
      <c r="A1445" s="69"/>
      <c r="B1445" s="68"/>
      <c r="C1445" s="76" t="str">
        <f aca="false">IF(B1445="","",IFERROR(INDEX(PE_Nom,MATCH(B1445,PE_Mat,0)),"Matricule inconnu"))</f>
        <v/>
      </c>
      <c r="D1445" s="76" t="str">
        <f aca="false">IF(B1445="","",IFERROR(INDEX(PE_Fonction,MATCH(B1445,PE_Mat,0)),""))</f>
        <v/>
      </c>
      <c r="E1445" s="76" t="str">
        <f aca="false">IF(B1445="","",IFERROR(INDEX(PE_Equipe,MATCH(B1445,PE_Mat,0)),""))</f>
        <v/>
      </c>
      <c r="F1445" s="25"/>
      <c r="G1445" s="25"/>
      <c r="H1445" s="68"/>
      <c r="I1445" s="89"/>
      <c r="J1445" s="31" t="str">
        <f aca="false">IF(B1445="","",IFERROR(INDEX(PE_Taux,MATCH(B1445,PE_Mat,0)),0))</f>
        <v/>
      </c>
      <c r="K1445" s="31" t="str">
        <f aca="false">IF(B1445="","",IF(H1445="A",0,IFERROR(N(I1445)/P_Heures*J1445,0)))</f>
        <v/>
      </c>
      <c r="L1445" s="25"/>
    </row>
    <row r="1446" customFormat="false" ht="15" hidden="false" customHeight="false" outlineLevel="0" collapsed="false">
      <c r="A1446" s="69"/>
      <c r="B1446" s="68"/>
      <c r="C1446" s="76" t="str">
        <f aca="false">IF(B1446="","",IFERROR(INDEX(PE_Nom,MATCH(B1446,PE_Mat,0)),"Matricule inconnu"))</f>
        <v/>
      </c>
      <c r="D1446" s="76" t="str">
        <f aca="false">IF(B1446="","",IFERROR(INDEX(PE_Fonction,MATCH(B1446,PE_Mat,0)),""))</f>
        <v/>
      </c>
      <c r="E1446" s="76" t="str">
        <f aca="false">IF(B1446="","",IFERROR(INDEX(PE_Equipe,MATCH(B1446,PE_Mat,0)),""))</f>
        <v/>
      </c>
      <c r="F1446" s="25"/>
      <c r="G1446" s="25"/>
      <c r="H1446" s="68"/>
      <c r="I1446" s="89"/>
      <c r="J1446" s="31" t="str">
        <f aca="false">IF(B1446="","",IFERROR(INDEX(PE_Taux,MATCH(B1446,PE_Mat,0)),0))</f>
        <v/>
      </c>
      <c r="K1446" s="31" t="str">
        <f aca="false">IF(B1446="","",IF(H1446="A",0,IFERROR(N(I1446)/P_Heures*J1446,0)))</f>
        <v/>
      </c>
      <c r="L1446" s="25"/>
    </row>
    <row r="1447" customFormat="false" ht="15" hidden="false" customHeight="false" outlineLevel="0" collapsed="false">
      <c r="A1447" s="69"/>
      <c r="B1447" s="68"/>
      <c r="C1447" s="76" t="str">
        <f aca="false">IF(B1447="","",IFERROR(INDEX(PE_Nom,MATCH(B1447,PE_Mat,0)),"Matricule inconnu"))</f>
        <v/>
      </c>
      <c r="D1447" s="76" t="str">
        <f aca="false">IF(B1447="","",IFERROR(INDEX(PE_Fonction,MATCH(B1447,PE_Mat,0)),""))</f>
        <v/>
      </c>
      <c r="E1447" s="76" t="str">
        <f aca="false">IF(B1447="","",IFERROR(INDEX(PE_Equipe,MATCH(B1447,PE_Mat,0)),""))</f>
        <v/>
      </c>
      <c r="F1447" s="25"/>
      <c r="G1447" s="25"/>
      <c r="H1447" s="68"/>
      <c r="I1447" s="89"/>
      <c r="J1447" s="31" t="str">
        <f aca="false">IF(B1447="","",IFERROR(INDEX(PE_Taux,MATCH(B1447,PE_Mat,0)),0))</f>
        <v/>
      </c>
      <c r="K1447" s="31" t="str">
        <f aca="false">IF(B1447="","",IF(H1447="A",0,IFERROR(N(I1447)/P_Heures*J1447,0)))</f>
        <v/>
      </c>
      <c r="L1447" s="25"/>
    </row>
    <row r="1448" customFormat="false" ht="15" hidden="false" customHeight="false" outlineLevel="0" collapsed="false">
      <c r="A1448" s="69"/>
      <c r="B1448" s="68"/>
      <c r="C1448" s="76" t="str">
        <f aca="false">IF(B1448="","",IFERROR(INDEX(PE_Nom,MATCH(B1448,PE_Mat,0)),"Matricule inconnu"))</f>
        <v/>
      </c>
      <c r="D1448" s="76" t="str">
        <f aca="false">IF(B1448="","",IFERROR(INDEX(PE_Fonction,MATCH(B1448,PE_Mat,0)),""))</f>
        <v/>
      </c>
      <c r="E1448" s="76" t="str">
        <f aca="false">IF(B1448="","",IFERROR(INDEX(PE_Equipe,MATCH(B1448,PE_Mat,0)),""))</f>
        <v/>
      </c>
      <c r="F1448" s="25"/>
      <c r="G1448" s="25"/>
      <c r="H1448" s="68"/>
      <c r="I1448" s="89"/>
      <c r="J1448" s="31" t="str">
        <f aca="false">IF(B1448="","",IFERROR(INDEX(PE_Taux,MATCH(B1448,PE_Mat,0)),0))</f>
        <v/>
      </c>
      <c r="K1448" s="31" t="str">
        <f aca="false">IF(B1448="","",IF(H1448="A",0,IFERROR(N(I1448)/P_Heures*J1448,0)))</f>
        <v/>
      </c>
      <c r="L1448" s="25"/>
    </row>
    <row r="1449" customFormat="false" ht="15" hidden="false" customHeight="false" outlineLevel="0" collapsed="false">
      <c r="A1449" s="69"/>
      <c r="B1449" s="68"/>
      <c r="C1449" s="76" t="str">
        <f aca="false">IF(B1449="","",IFERROR(INDEX(PE_Nom,MATCH(B1449,PE_Mat,0)),"Matricule inconnu"))</f>
        <v/>
      </c>
      <c r="D1449" s="76" t="str">
        <f aca="false">IF(B1449="","",IFERROR(INDEX(PE_Fonction,MATCH(B1449,PE_Mat,0)),""))</f>
        <v/>
      </c>
      <c r="E1449" s="76" t="str">
        <f aca="false">IF(B1449="","",IFERROR(INDEX(PE_Equipe,MATCH(B1449,PE_Mat,0)),""))</f>
        <v/>
      </c>
      <c r="F1449" s="25"/>
      <c r="G1449" s="25"/>
      <c r="H1449" s="68"/>
      <c r="I1449" s="89"/>
      <c r="J1449" s="31" t="str">
        <f aca="false">IF(B1449="","",IFERROR(INDEX(PE_Taux,MATCH(B1449,PE_Mat,0)),0))</f>
        <v/>
      </c>
      <c r="K1449" s="31" t="str">
        <f aca="false">IF(B1449="","",IF(H1449="A",0,IFERROR(N(I1449)/P_Heures*J1449,0)))</f>
        <v/>
      </c>
      <c r="L1449" s="25"/>
    </row>
    <row r="1450" customFormat="false" ht="15" hidden="false" customHeight="false" outlineLevel="0" collapsed="false">
      <c r="A1450" s="69"/>
      <c r="B1450" s="68"/>
      <c r="C1450" s="76" t="str">
        <f aca="false">IF(B1450="","",IFERROR(INDEX(PE_Nom,MATCH(B1450,PE_Mat,0)),"Matricule inconnu"))</f>
        <v/>
      </c>
      <c r="D1450" s="76" t="str">
        <f aca="false">IF(B1450="","",IFERROR(INDEX(PE_Fonction,MATCH(B1450,PE_Mat,0)),""))</f>
        <v/>
      </c>
      <c r="E1450" s="76" t="str">
        <f aca="false">IF(B1450="","",IFERROR(INDEX(PE_Equipe,MATCH(B1450,PE_Mat,0)),""))</f>
        <v/>
      </c>
      <c r="F1450" s="25"/>
      <c r="G1450" s="25"/>
      <c r="H1450" s="68"/>
      <c r="I1450" s="89"/>
      <c r="J1450" s="31" t="str">
        <f aca="false">IF(B1450="","",IFERROR(INDEX(PE_Taux,MATCH(B1450,PE_Mat,0)),0))</f>
        <v/>
      </c>
      <c r="K1450" s="31" t="str">
        <f aca="false">IF(B1450="","",IF(H1450="A",0,IFERROR(N(I1450)/P_Heures*J1450,0)))</f>
        <v/>
      </c>
      <c r="L1450" s="25"/>
    </row>
    <row r="1451" customFormat="false" ht="15" hidden="false" customHeight="false" outlineLevel="0" collapsed="false">
      <c r="A1451" s="69"/>
      <c r="B1451" s="68"/>
      <c r="C1451" s="76" t="str">
        <f aca="false">IF(B1451="","",IFERROR(INDEX(PE_Nom,MATCH(B1451,PE_Mat,0)),"Matricule inconnu"))</f>
        <v/>
      </c>
      <c r="D1451" s="76" t="str">
        <f aca="false">IF(B1451="","",IFERROR(INDEX(PE_Fonction,MATCH(B1451,PE_Mat,0)),""))</f>
        <v/>
      </c>
      <c r="E1451" s="76" t="str">
        <f aca="false">IF(B1451="","",IFERROR(INDEX(PE_Equipe,MATCH(B1451,PE_Mat,0)),""))</f>
        <v/>
      </c>
      <c r="F1451" s="25"/>
      <c r="G1451" s="25"/>
      <c r="H1451" s="68"/>
      <c r="I1451" s="89"/>
      <c r="J1451" s="31" t="str">
        <f aca="false">IF(B1451="","",IFERROR(INDEX(PE_Taux,MATCH(B1451,PE_Mat,0)),0))</f>
        <v/>
      </c>
      <c r="K1451" s="31" t="str">
        <f aca="false">IF(B1451="","",IF(H1451="A",0,IFERROR(N(I1451)/P_Heures*J1451,0)))</f>
        <v/>
      </c>
      <c r="L1451" s="25"/>
    </row>
    <row r="1452" customFormat="false" ht="15" hidden="false" customHeight="false" outlineLevel="0" collapsed="false">
      <c r="A1452" s="69"/>
      <c r="B1452" s="68"/>
      <c r="C1452" s="76" t="str">
        <f aca="false">IF(B1452="","",IFERROR(INDEX(PE_Nom,MATCH(B1452,PE_Mat,0)),"Matricule inconnu"))</f>
        <v/>
      </c>
      <c r="D1452" s="76" t="str">
        <f aca="false">IF(B1452="","",IFERROR(INDEX(PE_Fonction,MATCH(B1452,PE_Mat,0)),""))</f>
        <v/>
      </c>
      <c r="E1452" s="76" t="str">
        <f aca="false">IF(B1452="","",IFERROR(INDEX(PE_Equipe,MATCH(B1452,PE_Mat,0)),""))</f>
        <v/>
      </c>
      <c r="F1452" s="25"/>
      <c r="G1452" s="25"/>
      <c r="H1452" s="68"/>
      <c r="I1452" s="89"/>
      <c r="J1452" s="31" t="str">
        <f aca="false">IF(B1452="","",IFERROR(INDEX(PE_Taux,MATCH(B1452,PE_Mat,0)),0))</f>
        <v/>
      </c>
      <c r="K1452" s="31" t="str">
        <f aca="false">IF(B1452="","",IF(H1452="A",0,IFERROR(N(I1452)/P_Heures*J1452,0)))</f>
        <v/>
      </c>
      <c r="L1452" s="25"/>
    </row>
    <row r="1453" customFormat="false" ht="15" hidden="false" customHeight="false" outlineLevel="0" collapsed="false">
      <c r="A1453" s="69"/>
      <c r="B1453" s="68"/>
      <c r="C1453" s="76" t="str">
        <f aca="false">IF(B1453="","",IFERROR(INDEX(PE_Nom,MATCH(B1453,PE_Mat,0)),"Matricule inconnu"))</f>
        <v/>
      </c>
      <c r="D1453" s="76" t="str">
        <f aca="false">IF(B1453="","",IFERROR(INDEX(PE_Fonction,MATCH(B1453,PE_Mat,0)),""))</f>
        <v/>
      </c>
      <c r="E1453" s="76" t="str">
        <f aca="false">IF(B1453="","",IFERROR(INDEX(PE_Equipe,MATCH(B1453,PE_Mat,0)),""))</f>
        <v/>
      </c>
      <c r="F1453" s="25"/>
      <c r="G1453" s="25"/>
      <c r="H1453" s="68"/>
      <c r="I1453" s="89"/>
      <c r="J1453" s="31" t="str">
        <f aca="false">IF(B1453="","",IFERROR(INDEX(PE_Taux,MATCH(B1453,PE_Mat,0)),0))</f>
        <v/>
      </c>
      <c r="K1453" s="31" t="str">
        <f aca="false">IF(B1453="","",IF(H1453="A",0,IFERROR(N(I1453)/P_Heures*J1453,0)))</f>
        <v/>
      </c>
      <c r="L1453" s="25"/>
    </row>
    <row r="1454" customFormat="false" ht="15" hidden="false" customHeight="false" outlineLevel="0" collapsed="false">
      <c r="A1454" s="69"/>
      <c r="B1454" s="68"/>
      <c r="C1454" s="76" t="str">
        <f aca="false">IF(B1454="","",IFERROR(INDEX(PE_Nom,MATCH(B1454,PE_Mat,0)),"Matricule inconnu"))</f>
        <v/>
      </c>
      <c r="D1454" s="76" t="str">
        <f aca="false">IF(B1454="","",IFERROR(INDEX(PE_Fonction,MATCH(B1454,PE_Mat,0)),""))</f>
        <v/>
      </c>
      <c r="E1454" s="76" t="str">
        <f aca="false">IF(B1454="","",IFERROR(INDEX(PE_Equipe,MATCH(B1454,PE_Mat,0)),""))</f>
        <v/>
      </c>
      <c r="F1454" s="25"/>
      <c r="G1454" s="25"/>
      <c r="H1454" s="68"/>
      <c r="I1454" s="89"/>
      <c r="J1454" s="31" t="str">
        <f aca="false">IF(B1454="","",IFERROR(INDEX(PE_Taux,MATCH(B1454,PE_Mat,0)),0))</f>
        <v/>
      </c>
      <c r="K1454" s="31" t="str">
        <f aca="false">IF(B1454="","",IF(H1454="A",0,IFERROR(N(I1454)/P_Heures*J1454,0)))</f>
        <v/>
      </c>
      <c r="L1454" s="25"/>
    </row>
    <row r="1455" customFormat="false" ht="15" hidden="false" customHeight="false" outlineLevel="0" collapsed="false">
      <c r="A1455" s="69"/>
      <c r="B1455" s="68"/>
      <c r="C1455" s="76" t="str">
        <f aca="false">IF(B1455="","",IFERROR(INDEX(PE_Nom,MATCH(B1455,PE_Mat,0)),"Matricule inconnu"))</f>
        <v/>
      </c>
      <c r="D1455" s="76" t="str">
        <f aca="false">IF(B1455="","",IFERROR(INDEX(PE_Fonction,MATCH(B1455,PE_Mat,0)),""))</f>
        <v/>
      </c>
      <c r="E1455" s="76" t="str">
        <f aca="false">IF(B1455="","",IFERROR(INDEX(PE_Equipe,MATCH(B1455,PE_Mat,0)),""))</f>
        <v/>
      </c>
      <c r="F1455" s="25"/>
      <c r="G1455" s="25"/>
      <c r="H1455" s="68"/>
      <c r="I1455" s="89"/>
      <c r="J1455" s="31" t="str">
        <f aca="false">IF(B1455="","",IFERROR(INDEX(PE_Taux,MATCH(B1455,PE_Mat,0)),0))</f>
        <v/>
      </c>
      <c r="K1455" s="31" t="str">
        <f aca="false">IF(B1455="","",IF(H1455="A",0,IFERROR(N(I1455)/P_Heures*J1455,0)))</f>
        <v/>
      </c>
      <c r="L1455" s="25"/>
    </row>
    <row r="1456" customFormat="false" ht="15" hidden="false" customHeight="false" outlineLevel="0" collapsed="false">
      <c r="A1456" s="69"/>
      <c r="B1456" s="68"/>
      <c r="C1456" s="76" t="str">
        <f aca="false">IF(B1456="","",IFERROR(INDEX(PE_Nom,MATCH(B1456,PE_Mat,0)),"Matricule inconnu"))</f>
        <v/>
      </c>
      <c r="D1456" s="76" t="str">
        <f aca="false">IF(B1456="","",IFERROR(INDEX(PE_Fonction,MATCH(B1456,PE_Mat,0)),""))</f>
        <v/>
      </c>
      <c r="E1456" s="76" t="str">
        <f aca="false">IF(B1456="","",IFERROR(INDEX(PE_Equipe,MATCH(B1456,PE_Mat,0)),""))</f>
        <v/>
      </c>
      <c r="F1456" s="25"/>
      <c r="G1456" s="25"/>
      <c r="H1456" s="68"/>
      <c r="I1456" s="89"/>
      <c r="J1456" s="31" t="str">
        <f aca="false">IF(B1456="","",IFERROR(INDEX(PE_Taux,MATCH(B1456,PE_Mat,0)),0))</f>
        <v/>
      </c>
      <c r="K1456" s="31" t="str">
        <f aca="false">IF(B1456="","",IF(H1456="A",0,IFERROR(N(I1456)/P_Heures*J1456,0)))</f>
        <v/>
      </c>
      <c r="L1456" s="25"/>
    </row>
    <row r="1457" customFormat="false" ht="15" hidden="false" customHeight="false" outlineLevel="0" collapsed="false">
      <c r="A1457" s="69"/>
      <c r="B1457" s="68"/>
      <c r="C1457" s="76" t="str">
        <f aca="false">IF(B1457="","",IFERROR(INDEX(PE_Nom,MATCH(B1457,PE_Mat,0)),"Matricule inconnu"))</f>
        <v/>
      </c>
      <c r="D1457" s="76" t="str">
        <f aca="false">IF(B1457="","",IFERROR(INDEX(PE_Fonction,MATCH(B1457,PE_Mat,0)),""))</f>
        <v/>
      </c>
      <c r="E1457" s="76" t="str">
        <f aca="false">IF(B1457="","",IFERROR(INDEX(PE_Equipe,MATCH(B1457,PE_Mat,0)),""))</f>
        <v/>
      </c>
      <c r="F1457" s="25"/>
      <c r="G1457" s="25"/>
      <c r="H1457" s="68"/>
      <c r="I1457" s="89"/>
      <c r="J1457" s="31" t="str">
        <f aca="false">IF(B1457="","",IFERROR(INDEX(PE_Taux,MATCH(B1457,PE_Mat,0)),0))</f>
        <v/>
      </c>
      <c r="K1457" s="31" t="str">
        <f aca="false">IF(B1457="","",IF(H1457="A",0,IFERROR(N(I1457)/P_Heures*J1457,0)))</f>
        <v/>
      </c>
      <c r="L1457" s="25"/>
    </row>
    <row r="1458" customFormat="false" ht="15" hidden="false" customHeight="false" outlineLevel="0" collapsed="false">
      <c r="A1458" s="69"/>
      <c r="B1458" s="68"/>
      <c r="C1458" s="76" t="str">
        <f aca="false">IF(B1458="","",IFERROR(INDEX(PE_Nom,MATCH(B1458,PE_Mat,0)),"Matricule inconnu"))</f>
        <v/>
      </c>
      <c r="D1458" s="76" t="str">
        <f aca="false">IF(B1458="","",IFERROR(INDEX(PE_Fonction,MATCH(B1458,PE_Mat,0)),""))</f>
        <v/>
      </c>
      <c r="E1458" s="76" t="str">
        <f aca="false">IF(B1458="","",IFERROR(INDEX(PE_Equipe,MATCH(B1458,PE_Mat,0)),""))</f>
        <v/>
      </c>
      <c r="F1458" s="25"/>
      <c r="G1458" s="25"/>
      <c r="H1458" s="68"/>
      <c r="I1458" s="89"/>
      <c r="J1458" s="31" t="str">
        <f aca="false">IF(B1458="","",IFERROR(INDEX(PE_Taux,MATCH(B1458,PE_Mat,0)),0))</f>
        <v/>
      </c>
      <c r="K1458" s="31" t="str">
        <f aca="false">IF(B1458="","",IF(H1458="A",0,IFERROR(N(I1458)/P_Heures*J1458,0)))</f>
        <v/>
      </c>
      <c r="L1458" s="25"/>
    </row>
    <row r="1459" customFormat="false" ht="15" hidden="false" customHeight="false" outlineLevel="0" collapsed="false">
      <c r="A1459" s="69"/>
      <c r="B1459" s="68"/>
      <c r="C1459" s="76" t="str">
        <f aca="false">IF(B1459="","",IFERROR(INDEX(PE_Nom,MATCH(B1459,PE_Mat,0)),"Matricule inconnu"))</f>
        <v/>
      </c>
      <c r="D1459" s="76" t="str">
        <f aca="false">IF(B1459="","",IFERROR(INDEX(PE_Fonction,MATCH(B1459,PE_Mat,0)),""))</f>
        <v/>
      </c>
      <c r="E1459" s="76" t="str">
        <f aca="false">IF(B1459="","",IFERROR(INDEX(PE_Equipe,MATCH(B1459,PE_Mat,0)),""))</f>
        <v/>
      </c>
      <c r="F1459" s="25"/>
      <c r="G1459" s="25"/>
      <c r="H1459" s="68"/>
      <c r="I1459" s="89"/>
      <c r="J1459" s="31" t="str">
        <f aca="false">IF(B1459="","",IFERROR(INDEX(PE_Taux,MATCH(B1459,PE_Mat,0)),0))</f>
        <v/>
      </c>
      <c r="K1459" s="31" t="str">
        <f aca="false">IF(B1459="","",IF(H1459="A",0,IFERROR(N(I1459)/P_Heures*J1459,0)))</f>
        <v/>
      </c>
      <c r="L1459" s="25"/>
    </row>
    <row r="1460" customFormat="false" ht="15" hidden="false" customHeight="false" outlineLevel="0" collapsed="false">
      <c r="A1460" s="69"/>
      <c r="B1460" s="68"/>
      <c r="C1460" s="76" t="str">
        <f aca="false">IF(B1460="","",IFERROR(INDEX(PE_Nom,MATCH(B1460,PE_Mat,0)),"Matricule inconnu"))</f>
        <v/>
      </c>
      <c r="D1460" s="76" t="str">
        <f aca="false">IF(B1460="","",IFERROR(INDEX(PE_Fonction,MATCH(B1460,PE_Mat,0)),""))</f>
        <v/>
      </c>
      <c r="E1460" s="76" t="str">
        <f aca="false">IF(B1460="","",IFERROR(INDEX(PE_Equipe,MATCH(B1460,PE_Mat,0)),""))</f>
        <v/>
      </c>
      <c r="F1460" s="25"/>
      <c r="G1460" s="25"/>
      <c r="H1460" s="68"/>
      <c r="I1460" s="89"/>
      <c r="J1460" s="31" t="str">
        <f aca="false">IF(B1460="","",IFERROR(INDEX(PE_Taux,MATCH(B1460,PE_Mat,0)),0))</f>
        <v/>
      </c>
      <c r="K1460" s="31" t="str">
        <f aca="false">IF(B1460="","",IF(H1460="A",0,IFERROR(N(I1460)/P_Heures*J1460,0)))</f>
        <v/>
      </c>
      <c r="L1460" s="25"/>
    </row>
    <row r="1461" customFormat="false" ht="15" hidden="false" customHeight="false" outlineLevel="0" collapsed="false">
      <c r="A1461" s="69"/>
      <c r="B1461" s="68"/>
      <c r="C1461" s="76" t="str">
        <f aca="false">IF(B1461="","",IFERROR(INDEX(PE_Nom,MATCH(B1461,PE_Mat,0)),"Matricule inconnu"))</f>
        <v/>
      </c>
      <c r="D1461" s="76" t="str">
        <f aca="false">IF(B1461="","",IFERROR(INDEX(PE_Fonction,MATCH(B1461,PE_Mat,0)),""))</f>
        <v/>
      </c>
      <c r="E1461" s="76" t="str">
        <f aca="false">IF(B1461="","",IFERROR(INDEX(PE_Equipe,MATCH(B1461,PE_Mat,0)),""))</f>
        <v/>
      </c>
      <c r="F1461" s="25"/>
      <c r="G1461" s="25"/>
      <c r="H1461" s="68"/>
      <c r="I1461" s="89"/>
      <c r="J1461" s="31" t="str">
        <f aca="false">IF(B1461="","",IFERROR(INDEX(PE_Taux,MATCH(B1461,PE_Mat,0)),0))</f>
        <v/>
      </c>
      <c r="K1461" s="31" t="str">
        <f aca="false">IF(B1461="","",IF(H1461="A",0,IFERROR(N(I1461)/P_Heures*J1461,0)))</f>
        <v/>
      </c>
      <c r="L1461" s="25"/>
    </row>
    <row r="1462" customFormat="false" ht="15" hidden="false" customHeight="false" outlineLevel="0" collapsed="false">
      <c r="A1462" s="69"/>
      <c r="B1462" s="68"/>
      <c r="C1462" s="76" t="str">
        <f aca="false">IF(B1462="","",IFERROR(INDEX(PE_Nom,MATCH(B1462,PE_Mat,0)),"Matricule inconnu"))</f>
        <v/>
      </c>
      <c r="D1462" s="76" t="str">
        <f aca="false">IF(B1462="","",IFERROR(INDEX(PE_Fonction,MATCH(B1462,PE_Mat,0)),""))</f>
        <v/>
      </c>
      <c r="E1462" s="76" t="str">
        <f aca="false">IF(B1462="","",IFERROR(INDEX(PE_Equipe,MATCH(B1462,PE_Mat,0)),""))</f>
        <v/>
      </c>
      <c r="F1462" s="25"/>
      <c r="G1462" s="25"/>
      <c r="H1462" s="68"/>
      <c r="I1462" s="89"/>
      <c r="J1462" s="31" t="str">
        <f aca="false">IF(B1462="","",IFERROR(INDEX(PE_Taux,MATCH(B1462,PE_Mat,0)),0))</f>
        <v/>
      </c>
      <c r="K1462" s="31" t="str">
        <f aca="false">IF(B1462="","",IF(H1462="A",0,IFERROR(N(I1462)/P_Heures*J1462,0)))</f>
        <v/>
      </c>
      <c r="L1462" s="25"/>
    </row>
    <row r="1463" customFormat="false" ht="15" hidden="false" customHeight="false" outlineLevel="0" collapsed="false">
      <c r="A1463" s="69"/>
      <c r="B1463" s="68"/>
      <c r="C1463" s="76" t="str">
        <f aca="false">IF(B1463="","",IFERROR(INDEX(PE_Nom,MATCH(B1463,PE_Mat,0)),"Matricule inconnu"))</f>
        <v/>
      </c>
      <c r="D1463" s="76" t="str">
        <f aca="false">IF(B1463="","",IFERROR(INDEX(PE_Fonction,MATCH(B1463,PE_Mat,0)),""))</f>
        <v/>
      </c>
      <c r="E1463" s="76" t="str">
        <f aca="false">IF(B1463="","",IFERROR(INDEX(PE_Equipe,MATCH(B1463,PE_Mat,0)),""))</f>
        <v/>
      </c>
      <c r="F1463" s="25"/>
      <c r="G1463" s="25"/>
      <c r="H1463" s="68"/>
      <c r="I1463" s="89"/>
      <c r="J1463" s="31" t="str">
        <f aca="false">IF(B1463="","",IFERROR(INDEX(PE_Taux,MATCH(B1463,PE_Mat,0)),0))</f>
        <v/>
      </c>
      <c r="K1463" s="31" t="str">
        <f aca="false">IF(B1463="","",IF(H1463="A",0,IFERROR(N(I1463)/P_Heures*J1463,0)))</f>
        <v/>
      </c>
      <c r="L1463" s="25"/>
    </row>
    <row r="1464" customFormat="false" ht="15" hidden="false" customHeight="false" outlineLevel="0" collapsed="false">
      <c r="A1464" s="69"/>
      <c r="B1464" s="68"/>
      <c r="C1464" s="76" t="str">
        <f aca="false">IF(B1464="","",IFERROR(INDEX(PE_Nom,MATCH(B1464,PE_Mat,0)),"Matricule inconnu"))</f>
        <v/>
      </c>
      <c r="D1464" s="76" t="str">
        <f aca="false">IF(B1464="","",IFERROR(INDEX(PE_Fonction,MATCH(B1464,PE_Mat,0)),""))</f>
        <v/>
      </c>
      <c r="E1464" s="76" t="str">
        <f aca="false">IF(B1464="","",IFERROR(INDEX(PE_Equipe,MATCH(B1464,PE_Mat,0)),""))</f>
        <v/>
      </c>
      <c r="F1464" s="25"/>
      <c r="G1464" s="25"/>
      <c r="H1464" s="68"/>
      <c r="I1464" s="89"/>
      <c r="J1464" s="31" t="str">
        <f aca="false">IF(B1464="","",IFERROR(INDEX(PE_Taux,MATCH(B1464,PE_Mat,0)),0))</f>
        <v/>
      </c>
      <c r="K1464" s="31" t="str">
        <f aca="false">IF(B1464="","",IF(H1464="A",0,IFERROR(N(I1464)/P_Heures*J1464,0)))</f>
        <v/>
      </c>
      <c r="L1464" s="25"/>
    </row>
    <row r="1465" customFormat="false" ht="15" hidden="false" customHeight="false" outlineLevel="0" collapsed="false">
      <c r="A1465" s="69"/>
      <c r="B1465" s="68"/>
      <c r="C1465" s="76" t="str">
        <f aca="false">IF(B1465="","",IFERROR(INDEX(PE_Nom,MATCH(B1465,PE_Mat,0)),"Matricule inconnu"))</f>
        <v/>
      </c>
      <c r="D1465" s="76" t="str">
        <f aca="false">IF(B1465="","",IFERROR(INDEX(PE_Fonction,MATCH(B1465,PE_Mat,0)),""))</f>
        <v/>
      </c>
      <c r="E1465" s="76" t="str">
        <f aca="false">IF(B1465="","",IFERROR(INDEX(PE_Equipe,MATCH(B1465,PE_Mat,0)),""))</f>
        <v/>
      </c>
      <c r="F1465" s="25"/>
      <c r="G1465" s="25"/>
      <c r="H1465" s="68"/>
      <c r="I1465" s="89"/>
      <c r="J1465" s="31" t="str">
        <f aca="false">IF(B1465="","",IFERROR(INDEX(PE_Taux,MATCH(B1465,PE_Mat,0)),0))</f>
        <v/>
      </c>
      <c r="K1465" s="31" t="str">
        <f aca="false">IF(B1465="","",IF(H1465="A",0,IFERROR(N(I1465)/P_Heures*J1465,0)))</f>
        <v/>
      </c>
      <c r="L1465" s="25"/>
    </row>
    <row r="1466" customFormat="false" ht="15" hidden="false" customHeight="false" outlineLevel="0" collapsed="false">
      <c r="A1466" s="69"/>
      <c r="B1466" s="68"/>
      <c r="C1466" s="76" t="str">
        <f aca="false">IF(B1466="","",IFERROR(INDEX(PE_Nom,MATCH(B1466,PE_Mat,0)),"Matricule inconnu"))</f>
        <v/>
      </c>
      <c r="D1466" s="76" t="str">
        <f aca="false">IF(B1466="","",IFERROR(INDEX(PE_Fonction,MATCH(B1466,PE_Mat,0)),""))</f>
        <v/>
      </c>
      <c r="E1466" s="76" t="str">
        <f aca="false">IF(B1466="","",IFERROR(INDEX(PE_Equipe,MATCH(B1466,PE_Mat,0)),""))</f>
        <v/>
      </c>
      <c r="F1466" s="25"/>
      <c r="G1466" s="25"/>
      <c r="H1466" s="68"/>
      <c r="I1466" s="89"/>
      <c r="J1466" s="31" t="str">
        <f aca="false">IF(B1466="","",IFERROR(INDEX(PE_Taux,MATCH(B1466,PE_Mat,0)),0))</f>
        <v/>
      </c>
      <c r="K1466" s="31" t="str">
        <f aca="false">IF(B1466="","",IF(H1466="A",0,IFERROR(N(I1466)/P_Heures*J1466,0)))</f>
        <v/>
      </c>
      <c r="L1466" s="25"/>
    </row>
    <row r="1467" customFormat="false" ht="15" hidden="false" customHeight="false" outlineLevel="0" collapsed="false">
      <c r="A1467" s="69"/>
      <c r="B1467" s="68"/>
      <c r="C1467" s="76" t="str">
        <f aca="false">IF(B1467="","",IFERROR(INDEX(PE_Nom,MATCH(B1467,PE_Mat,0)),"Matricule inconnu"))</f>
        <v/>
      </c>
      <c r="D1467" s="76" t="str">
        <f aca="false">IF(B1467="","",IFERROR(INDEX(PE_Fonction,MATCH(B1467,PE_Mat,0)),""))</f>
        <v/>
      </c>
      <c r="E1467" s="76" t="str">
        <f aca="false">IF(B1467="","",IFERROR(INDEX(PE_Equipe,MATCH(B1467,PE_Mat,0)),""))</f>
        <v/>
      </c>
      <c r="F1467" s="25"/>
      <c r="G1467" s="25"/>
      <c r="H1467" s="68"/>
      <c r="I1467" s="89"/>
      <c r="J1467" s="31" t="str">
        <f aca="false">IF(B1467="","",IFERROR(INDEX(PE_Taux,MATCH(B1467,PE_Mat,0)),0))</f>
        <v/>
      </c>
      <c r="K1467" s="31" t="str">
        <f aca="false">IF(B1467="","",IF(H1467="A",0,IFERROR(N(I1467)/P_Heures*J1467,0)))</f>
        <v/>
      </c>
      <c r="L1467" s="25"/>
    </row>
    <row r="1468" customFormat="false" ht="15" hidden="false" customHeight="false" outlineLevel="0" collapsed="false">
      <c r="A1468" s="69"/>
      <c r="B1468" s="68"/>
      <c r="C1468" s="76" t="str">
        <f aca="false">IF(B1468="","",IFERROR(INDEX(PE_Nom,MATCH(B1468,PE_Mat,0)),"Matricule inconnu"))</f>
        <v/>
      </c>
      <c r="D1468" s="76" t="str">
        <f aca="false">IF(B1468="","",IFERROR(INDEX(PE_Fonction,MATCH(B1468,PE_Mat,0)),""))</f>
        <v/>
      </c>
      <c r="E1468" s="76" t="str">
        <f aca="false">IF(B1468="","",IFERROR(INDEX(PE_Equipe,MATCH(B1468,PE_Mat,0)),""))</f>
        <v/>
      </c>
      <c r="F1468" s="25"/>
      <c r="G1468" s="25"/>
      <c r="H1468" s="68"/>
      <c r="I1468" s="89"/>
      <c r="J1468" s="31" t="str">
        <f aca="false">IF(B1468="","",IFERROR(INDEX(PE_Taux,MATCH(B1468,PE_Mat,0)),0))</f>
        <v/>
      </c>
      <c r="K1468" s="31" t="str">
        <f aca="false">IF(B1468="","",IF(H1468="A",0,IFERROR(N(I1468)/P_Heures*J1468,0)))</f>
        <v/>
      </c>
      <c r="L1468" s="25"/>
    </row>
    <row r="1469" customFormat="false" ht="15" hidden="false" customHeight="false" outlineLevel="0" collapsed="false">
      <c r="A1469" s="69"/>
      <c r="B1469" s="68"/>
      <c r="C1469" s="76" t="str">
        <f aca="false">IF(B1469="","",IFERROR(INDEX(PE_Nom,MATCH(B1469,PE_Mat,0)),"Matricule inconnu"))</f>
        <v/>
      </c>
      <c r="D1469" s="76" t="str">
        <f aca="false">IF(B1469="","",IFERROR(INDEX(PE_Fonction,MATCH(B1469,PE_Mat,0)),""))</f>
        <v/>
      </c>
      <c r="E1469" s="76" t="str">
        <f aca="false">IF(B1469="","",IFERROR(INDEX(PE_Equipe,MATCH(B1469,PE_Mat,0)),""))</f>
        <v/>
      </c>
      <c r="F1469" s="25"/>
      <c r="G1469" s="25"/>
      <c r="H1469" s="68"/>
      <c r="I1469" s="89"/>
      <c r="J1469" s="31" t="str">
        <f aca="false">IF(B1469="","",IFERROR(INDEX(PE_Taux,MATCH(B1469,PE_Mat,0)),0))</f>
        <v/>
      </c>
      <c r="K1469" s="31" t="str">
        <f aca="false">IF(B1469="","",IF(H1469="A",0,IFERROR(N(I1469)/P_Heures*J1469,0)))</f>
        <v/>
      </c>
      <c r="L1469" s="25"/>
    </row>
    <row r="1470" customFormat="false" ht="15" hidden="false" customHeight="false" outlineLevel="0" collapsed="false">
      <c r="A1470" s="69"/>
      <c r="B1470" s="68"/>
      <c r="C1470" s="76" t="str">
        <f aca="false">IF(B1470="","",IFERROR(INDEX(PE_Nom,MATCH(B1470,PE_Mat,0)),"Matricule inconnu"))</f>
        <v/>
      </c>
      <c r="D1470" s="76" t="str">
        <f aca="false">IF(B1470="","",IFERROR(INDEX(PE_Fonction,MATCH(B1470,PE_Mat,0)),""))</f>
        <v/>
      </c>
      <c r="E1470" s="76" t="str">
        <f aca="false">IF(B1470="","",IFERROR(INDEX(PE_Equipe,MATCH(B1470,PE_Mat,0)),""))</f>
        <v/>
      </c>
      <c r="F1470" s="25"/>
      <c r="G1470" s="25"/>
      <c r="H1470" s="68"/>
      <c r="I1470" s="89"/>
      <c r="J1470" s="31" t="str">
        <f aca="false">IF(B1470="","",IFERROR(INDEX(PE_Taux,MATCH(B1470,PE_Mat,0)),0))</f>
        <v/>
      </c>
      <c r="K1470" s="31" t="str">
        <f aca="false">IF(B1470="","",IF(H1470="A",0,IFERROR(N(I1470)/P_Heures*J1470,0)))</f>
        <v/>
      </c>
      <c r="L1470" s="25"/>
    </row>
    <row r="1471" customFormat="false" ht="15" hidden="false" customHeight="false" outlineLevel="0" collapsed="false">
      <c r="A1471" s="69"/>
      <c r="B1471" s="68"/>
      <c r="C1471" s="76" t="str">
        <f aca="false">IF(B1471="","",IFERROR(INDEX(PE_Nom,MATCH(B1471,PE_Mat,0)),"Matricule inconnu"))</f>
        <v/>
      </c>
      <c r="D1471" s="76" t="str">
        <f aca="false">IF(B1471="","",IFERROR(INDEX(PE_Fonction,MATCH(B1471,PE_Mat,0)),""))</f>
        <v/>
      </c>
      <c r="E1471" s="76" t="str">
        <f aca="false">IF(B1471="","",IFERROR(INDEX(PE_Equipe,MATCH(B1471,PE_Mat,0)),""))</f>
        <v/>
      </c>
      <c r="F1471" s="25"/>
      <c r="G1471" s="25"/>
      <c r="H1471" s="68"/>
      <c r="I1471" s="89"/>
      <c r="J1471" s="31" t="str">
        <f aca="false">IF(B1471="","",IFERROR(INDEX(PE_Taux,MATCH(B1471,PE_Mat,0)),0))</f>
        <v/>
      </c>
      <c r="K1471" s="31" t="str">
        <f aca="false">IF(B1471="","",IF(H1471="A",0,IFERROR(N(I1471)/P_Heures*J1471,0)))</f>
        <v/>
      </c>
      <c r="L1471" s="25"/>
    </row>
    <row r="1472" customFormat="false" ht="15" hidden="false" customHeight="false" outlineLevel="0" collapsed="false">
      <c r="A1472" s="69"/>
      <c r="B1472" s="68"/>
      <c r="C1472" s="76" t="str">
        <f aca="false">IF(B1472="","",IFERROR(INDEX(PE_Nom,MATCH(B1472,PE_Mat,0)),"Matricule inconnu"))</f>
        <v/>
      </c>
      <c r="D1472" s="76" t="str">
        <f aca="false">IF(B1472="","",IFERROR(INDEX(PE_Fonction,MATCH(B1472,PE_Mat,0)),""))</f>
        <v/>
      </c>
      <c r="E1472" s="76" t="str">
        <f aca="false">IF(B1472="","",IFERROR(INDEX(PE_Equipe,MATCH(B1472,PE_Mat,0)),""))</f>
        <v/>
      </c>
      <c r="F1472" s="25"/>
      <c r="G1472" s="25"/>
      <c r="H1472" s="68"/>
      <c r="I1472" s="89"/>
      <c r="J1472" s="31" t="str">
        <f aca="false">IF(B1472="","",IFERROR(INDEX(PE_Taux,MATCH(B1472,PE_Mat,0)),0))</f>
        <v/>
      </c>
      <c r="K1472" s="31" t="str">
        <f aca="false">IF(B1472="","",IF(H1472="A",0,IFERROR(N(I1472)/P_Heures*J1472,0)))</f>
        <v/>
      </c>
      <c r="L1472" s="25"/>
    </row>
    <row r="1473" customFormat="false" ht="15" hidden="false" customHeight="false" outlineLevel="0" collapsed="false">
      <c r="A1473" s="69"/>
      <c r="B1473" s="68"/>
      <c r="C1473" s="76" t="str">
        <f aca="false">IF(B1473="","",IFERROR(INDEX(PE_Nom,MATCH(B1473,PE_Mat,0)),"Matricule inconnu"))</f>
        <v/>
      </c>
      <c r="D1473" s="76" t="str">
        <f aca="false">IF(B1473="","",IFERROR(INDEX(PE_Fonction,MATCH(B1473,PE_Mat,0)),""))</f>
        <v/>
      </c>
      <c r="E1473" s="76" t="str">
        <f aca="false">IF(B1473="","",IFERROR(INDEX(PE_Equipe,MATCH(B1473,PE_Mat,0)),""))</f>
        <v/>
      </c>
      <c r="F1473" s="25"/>
      <c r="G1473" s="25"/>
      <c r="H1473" s="68"/>
      <c r="I1473" s="89"/>
      <c r="J1473" s="31" t="str">
        <f aca="false">IF(B1473="","",IFERROR(INDEX(PE_Taux,MATCH(B1473,PE_Mat,0)),0))</f>
        <v/>
      </c>
      <c r="K1473" s="31" t="str">
        <f aca="false">IF(B1473="","",IF(H1473="A",0,IFERROR(N(I1473)/P_Heures*J1473,0)))</f>
        <v/>
      </c>
      <c r="L1473" s="25"/>
    </row>
    <row r="1474" customFormat="false" ht="15" hidden="false" customHeight="false" outlineLevel="0" collapsed="false">
      <c r="A1474" s="69"/>
      <c r="B1474" s="68"/>
      <c r="C1474" s="76" t="str">
        <f aca="false">IF(B1474="","",IFERROR(INDEX(PE_Nom,MATCH(B1474,PE_Mat,0)),"Matricule inconnu"))</f>
        <v/>
      </c>
      <c r="D1474" s="76" t="str">
        <f aca="false">IF(B1474="","",IFERROR(INDEX(PE_Fonction,MATCH(B1474,PE_Mat,0)),""))</f>
        <v/>
      </c>
      <c r="E1474" s="76" t="str">
        <f aca="false">IF(B1474="","",IFERROR(INDEX(PE_Equipe,MATCH(B1474,PE_Mat,0)),""))</f>
        <v/>
      </c>
      <c r="F1474" s="25"/>
      <c r="G1474" s="25"/>
      <c r="H1474" s="68"/>
      <c r="I1474" s="89"/>
      <c r="J1474" s="31" t="str">
        <f aca="false">IF(B1474="","",IFERROR(INDEX(PE_Taux,MATCH(B1474,PE_Mat,0)),0))</f>
        <v/>
      </c>
      <c r="K1474" s="31" t="str">
        <f aca="false">IF(B1474="","",IF(H1474="A",0,IFERROR(N(I1474)/P_Heures*J1474,0)))</f>
        <v/>
      </c>
      <c r="L1474" s="25"/>
    </row>
    <row r="1475" customFormat="false" ht="15" hidden="false" customHeight="false" outlineLevel="0" collapsed="false">
      <c r="A1475" s="69"/>
      <c r="B1475" s="68"/>
      <c r="C1475" s="76" t="str">
        <f aca="false">IF(B1475="","",IFERROR(INDEX(PE_Nom,MATCH(B1475,PE_Mat,0)),"Matricule inconnu"))</f>
        <v/>
      </c>
      <c r="D1475" s="76" t="str">
        <f aca="false">IF(B1475="","",IFERROR(INDEX(PE_Fonction,MATCH(B1475,PE_Mat,0)),""))</f>
        <v/>
      </c>
      <c r="E1475" s="76" t="str">
        <f aca="false">IF(B1475="","",IFERROR(INDEX(PE_Equipe,MATCH(B1475,PE_Mat,0)),""))</f>
        <v/>
      </c>
      <c r="F1475" s="25"/>
      <c r="G1475" s="25"/>
      <c r="H1475" s="68"/>
      <c r="I1475" s="89"/>
      <c r="J1475" s="31" t="str">
        <f aca="false">IF(B1475="","",IFERROR(INDEX(PE_Taux,MATCH(B1475,PE_Mat,0)),0))</f>
        <v/>
      </c>
      <c r="K1475" s="31" t="str">
        <f aca="false">IF(B1475="","",IF(H1475="A",0,IFERROR(N(I1475)/P_Heures*J1475,0)))</f>
        <v/>
      </c>
      <c r="L1475" s="25"/>
    </row>
    <row r="1476" customFormat="false" ht="15" hidden="false" customHeight="false" outlineLevel="0" collapsed="false">
      <c r="A1476" s="69"/>
      <c r="B1476" s="68"/>
      <c r="C1476" s="76" t="str">
        <f aca="false">IF(B1476="","",IFERROR(INDEX(PE_Nom,MATCH(B1476,PE_Mat,0)),"Matricule inconnu"))</f>
        <v/>
      </c>
      <c r="D1476" s="76" t="str">
        <f aca="false">IF(B1476="","",IFERROR(INDEX(PE_Fonction,MATCH(B1476,PE_Mat,0)),""))</f>
        <v/>
      </c>
      <c r="E1476" s="76" t="str">
        <f aca="false">IF(B1476="","",IFERROR(INDEX(PE_Equipe,MATCH(B1476,PE_Mat,0)),""))</f>
        <v/>
      </c>
      <c r="F1476" s="25"/>
      <c r="G1476" s="25"/>
      <c r="H1476" s="68"/>
      <c r="I1476" s="89"/>
      <c r="J1476" s="31" t="str">
        <f aca="false">IF(B1476="","",IFERROR(INDEX(PE_Taux,MATCH(B1476,PE_Mat,0)),0))</f>
        <v/>
      </c>
      <c r="K1476" s="31" t="str">
        <f aca="false">IF(B1476="","",IF(H1476="A",0,IFERROR(N(I1476)/P_Heures*J1476,0)))</f>
        <v/>
      </c>
      <c r="L1476" s="25"/>
    </row>
    <row r="1477" customFormat="false" ht="15" hidden="false" customHeight="false" outlineLevel="0" collapsed="false">
      <c r="A1477" s="69"/>
      <c r="B1477" s="68"/>
      <c r="C1477" s="76" t="str">
        <f aca="false">IF(B1477="","",IFERROR(INDEX(PE_Nom,MATCH(B1477,PE_Mat,0)),"Matricule inconnu"))</f>
        <v/>
      </c>
      <c r="D1477" s="76" t="str">
        <f aca="false">IF(B1477="","",IFERROR(INDEX(PE_Fonction,MATCH(B1477,PE_Mat,0)),""))</f>
        <v/>
      </c>
      <c r="E1477" s="76" t="str">
        <f aca="false">IF(B1477="","",IFERROR(INDEX(PE_Equipe,MATCH(B1477,PE_Mat,0)),""))</f>
        <v/>
      </c>
      <c r="F1477" s="25"/>
      <c r="G1477" s="25"/>
      <c r="H1477" s="68"/>
      <c r="I1477" s="89"/>
      <c r="J1477" s="31" t="str">
        <f aca="false">IF(B1477="","",IFERROR(INDEX(PE_Taux,MATCH(B1477,PE_Mat,0)),0))</f>
        <v/>
      </c>
      <c r="K1477" s="31" t="str">
        <f aca="false">IF(B1477="","",IF(H1477="A",0,IFERROR(N(I1477)/P_Heures*J1477,0)))</f>
        <v/>
      </c>
      <c r="L1477" s="25"/>
    </row>
    <row r="1478" customFormat="false" ht="15" hidden="false" customHeight="false" outlineLevel="0" collapsed="false">
      <c r="A1478" s="69"/>
      <c r="B1478" s="68"/>
      <c r="C1478" s="76" t="str">
        <f aca="false">IF(B1478="","",IFERROR(INDEX(PE_Nom,MATCH(B1478,PE_Mat,0)),"Matricule inconnu"))</f>
        <v/>
      </c>
      <c r="D1478" s="76" t="str">
        <f aca="false">IF(B1478="","",IFERROR(INDEX(PE_Fonction,MATCH(B1478,PE_Mat,0)),""))</f>
        <v/>
      </c>
      <c r="E1478" s="76" t="str">
        <f aca="false">IF(B1478="","",IFERROR(INDEX(PE_Equipe,MATCH(B1478,PE_Mat,0)),""))</f>
        <v/>
      </c>
      <c r="F1478" s="25"/>
      <c r="G1478" s="25"/>
      <c r="H1478" s="68"/>
      <c r="I1478" s="89"/>
      <c r="J1478" s="31" t="str">
        <f aca="false">IF(B1478="","",IFERROR(INDEX(PE_Taux,MATCH(B1478,PE_Mat,0)),0))</f>
        <v/>
      </c>
      <c r="K1478" s="31" t="str">
        <f aca="false">IF(B1478="","",IF(H1478="A",0,IFERROR(N(I1478)/P_Heures*J1478,0)))</f>
        <v/>
      </c>
      <c r="L1478" s="25"/>
    </row>
    <row r="1479" customFormat="false" ht="15" hidden="false" customHeight="false" outlineLevel="0" collapsed="false">
      <c r="A1479" s="69"/>
      <c r="B1479" s="68"/>
      <c r="C1479" s="76" t="str">
        <f aca="false">IF(B1479="","",IFERROR(INDEX(PE_Nom,MATCH(B1479,PE_Mat,0)),"Matricule inconnu"))</f>
        <v/>
      </c>
      <c r="D1479" s="76" t="str">
        <f aca="false">IF(B1479="","",IFERROR(INDEX(PE_Fonction,MATCH(B1479,PE_Mat,0)),""))</f>
        <v/>
      </c>
      <c r="E1479" s="76" t="str">
        <f aca="false">IF(B1479="","",IFERROR(INDEX(PE_Equipe,MATCH(B1479,PE_Mat,0)),""))</f>
        <v/>
      </c>
      <c r="F1479" s="25"/>
      <c r="G1479" s="25"/>
      <c r="H1479" s="68"/>
      <c r="I1479" s="89"/>
      <c r="J1479" s="31" t="str">
        <f aca="false">IF(B1479="","",IFERROR(INDEX(PE_Taux,MATCH(B1479,PE_Mat,0)),0))</f>
        <v/>
      </c>
      <c r="K1479" s="31" t="str">
        <f aca="false">IF(B1479="","",IF(H1479="A",0,IFERROR(N(I1479)/P_Heures*J1479,0)))</f>
        <v/>
      </c>
      <c r="L1479" s="25"/>
    </row>
    <row r="1480" customFormat="false" ht="15" hidden="false" customHeight="false" outlineLevel="0" collapsed="false">
      <c r="A1480" s="69"/>
      <c r="B1480" s="68"/>
      <c r="C1480" s="76" t="str">
        <f aca="false">IF(B1480="","",IFERROR(INDEX(PE_Nom,MATCH(B1480,PE_Mat,0)),"Matricule inconnu"))</f>
        <v/>
      </c>
      <c r="D1480" s="76" t="str">
        <f aca="false">IF(B1480="","",IFERROR(INDEX(PE_Fonction,MATCH(B1480,PE_Mat,0)),""))</f>
        <v/>
      </c>
      <c r="E1480" s="76" t="str">
        <f aca="false">IF(B1480="","",IFERROR(INDEX(PE_Equipe,MATCH(B1480,PE_Mat,0)),""))</f>
        <v/>
      </c>
      <c r="F1480" s="25"/>
      <c r="G1480" s="25"/>
      <c r="H1480" s="68"/>
      <c r="I1480" s="89"/>
      <c r="J1480" s="31" t="str">
        <f aca="false">IF(B1480="","",IFERROR(INDEX(PE_Taux,MATCH(B1480,PE_Mat,0)),0))</f>
        <v/>
      </c>
      <c r="K1480" s="31" t="str">
        <f aca="false">IF(B1480="","",IF(H1480="A",0,IFERROR(N(I1480)/P_Heures*J1480,0)))</f>
        <v/>
      </c>
      <c r="L1480" s="25"/>
    </row>
    <row r="1481" customFormat="false" ht="15" hidden="false" customHeight="false" outlineLevel="0" collapsed="false">
      <c r="A1481" s="69"/>
      <c r="B1481" s="68"/>
      <c r="C1481" s="76" t="str">
        <f aca="false">IF(B1481="","",IFERROR(INDEX(PE_Nom,MATCH(B1481,PE_Mat,0)),"Matricule inconnu"))</f>
        <v/>
      </c>
      <c r="D1481" s="76" t="str">
        <f aca="false">IF(B1481="","",IFERROR(INDEX(PE_Fonction,MATCH(B1481,PE_Mat,0)),""))</f>
        <v/>
      </c>
      <c r="E1481" s="76" t="str">
        <f aca="false">IF(B1481="","",IFERROR(INDEX(PE_Equipe,MATCH(B1481,PE_Mat,0)),""))</f>
        <v/>
      </c>
      <c r="F1481" s="25"/>
      <c r="G1481" s="25"/>
      <c r="H1481" s="68"/>
      <c r="I1481" s="89"/>
      <c r="J1481" s="31" t="str">
        <f aca="false">IF(B1481="","",IFERROR(INDEX(PE_Taux,MATCH(B1481,PE_Mat,0)),0))</f>
        <v/>
      </c>
      <c r="K1481" s="31" t="str">
        <f aca="false">IF(B1481="","",IF(H1481="A",0,IFERROR(N(I1481)/P_Heures*J1481,0)))</f>
        <v/>
      </c>
      <c r="L1481" s="25"/>
    </row>
    <row r="1482" customFormat="false" ht="15" hidden="false" customHeight="false" outlineLevel="0" collapsed="false">
      <c r="A1482" s="69"/>
      <c r="B1482" s="68"/>
      <c r="C1482" s="76" t="str">
        <f aca="false">IF(B1482="","",IFERROR(INDEX(PE_Nom,MATCH(B1482,PE_Mat,0)),"Matricule inconnu"))</f>
        <v/>
      </c>
      <c r="D1482" s="76" t="str">
        <f aca="false">IF(B1482="","",IFERROR(INDEX(PE_Fonction,MATCH(B1482,PE_Mat,0)),""))</f>
        <v/>
      </c>
      <c r="E1482" s="76" t="str">
        <f aca="false">IF(B1482="","",IFERROR(INDEX(PE_Equipe,MATCH(B1482,PE_Mat,0)),""))</f>
        <v/>
      </c>
      <c r="F1482" s="25"/>
      <c r="G1482" s="25"/>
      <c r="H1482" s="68"/>
      <c r="I1482" s="89"/>
      <c r="J1482" s="31" t="str">
        <f aca="false">IF(B1482="","",IFERROR(INDEX(PE_Taux,MATCH(B1482,PE_Mat,0)),0))</f>
        <v/>
      </c>
      <c r="K1482" s="31" t="str">
        <f aca="false">IF(B1482="","",IF(H1482="A",0,IFERROR(N(I1482)/P_Heures*J1482,0)))</f>
        <v/>
      </c>
      <c r="L1482" s="25"/>
    </row>
    <row r="1483" customFormat="false" ht="15" hidden="false" customHeight="false" outlineLevel="0" collapsed="false">
      <c r="A1483" s="69"/>
      <c r="B1483" s="68"/>
      <c r="C1483" s="76" t="str">
        <f aca="false">IF(B1483="","",IFERROR(INDEX(PE_Nom,MATCH(B1483,PE_Mat,0)),"Matricule inconnu"))</f>
        <v/>
      </c>
      <c r="D1483" s="76" t="str">
        <f aca="false">IF(B1483="","",IFERROR(INDEX(PE_Fonction,MATCH(B1483,PE_Mat,0)),""))</f>
        <v/>
      </c>
      <c r="E1483" s="76" t="str">
        <f aca="false">IF(B1483="","",IFERROR(INDEX(PE_Equipe,MATCH(B1483,PE_Mat,0)),""))</f>
        <v/>
      </c>
      <c r="F1483" s="25"/>
      <c r="G1483" s="25"/>
      <c r="H1483" s="68"/>
      <c r="I1483" s="89"/>
      <c r="J1483" s="31" t="str">
        <f aca="false">IF(B1483="","",IFERROR(INDEX(PE_Taux,MATCH(B1483,PE_Mat,0)),0))</f>
        <v/>
      </c>
      <c r="K1483" s="31" t="str">
        <f aca="false">IF(B1483="","",IF(H1483="A",0,IFERROR(N(I1483)/P_Heures*J1483,0)))</f>
        <v/>
      </c>
      <c r="L1483" s="25"/>
    </row>
    <row r="1484" customFormat="false" ht="15" hidden="false" customHeight="false" outlineLevel="0" collapsed="false">
      <c r="A1484" s="69"/>
      <c r="B1484" s="68"/>
      <c r="C1484" s="76" t="str">
        <f aca="false">IF(B1484="","",IFERROR(INDEX(PE_Nom,MATCH(B1484,PE_Mat,0)),"Matricule inconnu"))</f>
        <v/>
      </c>
      <c r="D1484" s="76" t="str">
        <f aca="false">IF(B1484="","",IFERROR(INDEX(PE_Fonction,MATCH(B1484,PE_Mat,0)),""))</f>
        <v/>
      </c>
      <c r="E1484" s="76" t="str">
        <f aca="false">IF(B1484="","",IFERROR(INDEX(PE_Equipe,MATCH(B1484,PE_Mat,0)),""))</f>
        <v/>
      </c>
      <c r="F1484" s="25"/>
      <c r="G1484" s="25"/>
      <c r="H1484" s="68"/>
      <c r="I1484" s="89"/>
      <c r="J1484" s="31" t="str">
        <f aca="false">IF(B1484="","",IFERROR(INDEX(PE_Taux,MATCH(B1484,PE_Mat,0)),0))</f>
        <v/>
      </c>
      <c r="K1484" s="31" t="str">
        <f aca="false">IF(B1484="","",IF(H1484="A",0,IFERROR(N(I1484)/P_Heures*J1484,0)))</f>
        <v/>
      </c>
      <c r="L1484" s="25"/>
    </row>
    <row r="1485" customFormat="false" ht="15" hidden="false" customHeight="false" outlineLevel="0" collapsed="false">
      <c r="A1485" s="69"/>
      <c r="B1485" s="68"/>
      <c r="C1485" s="76" t="str">
        <f aca="false">IF(B1485="","",IFERROR(INDEX(PE_Nom,MATCH(B1485,PE_Mat,0)),"Matricule inconnu"))</f>
        <v/>
      </c>
      <c r="D1485" s="76" t="str">
        <f aca="false">IF(B1485="","",IFERROR(INDEX(PE_Fonction,MATCH(B1485,PE_Mat,0)),""))</f>
        <v/>
      </c>
      <c r="E1485" s="76" t="str">
        <f aca="false">IF(B1485="","",IFERROR(INDEX(PE_Equipe,MATCH(B1485,PE_Mat,0)),""))</f>
        <v/>
      </c>
      <c r="F1485" s="25"/>
      <c r="G1485" s="25"/>
      <c r="H1485" s="68"/>
      <c r="I1485" s="89"/>
      <c r="J1485" s="31" t="str">
        <f aca="false">IF(B1485="","",IFERROR(INDEX(PE_Taux,MATCH(B1485,PE_Mat,0)),0))</f>
        <v/>
      </c>
      <c r="K1485" s="31" t="str">
        <f aca="false">IF(B1485="","",IF(H1485="A",0,IFERROR(N(I1485)/P_Heures*J1485,0)))</f>
        <v/>
      </c>
      <c r="L1485" s="25"/>
    </row>
    <row r="1486" customFormat="false" ht="15" hidden="false" customHeight="false" outlineLevel="0" collapsed="false">
      <c r="A1486" s="69"/>
      <c r="B1486" s="68"/>
      <c r="C1486" s="76" t="str">
        <f aca="false">IF(B1486="","",IFERROR(INDEX(PE_Nom,MATCH(B1486,PE_Mat,0)),"Matricule inconnu"))</f>
        <v/>
      </c>
      <c r="D1486" s="76" t="str">
        <f aca="false">IF(B1486="","",IFERROR(INDEX(PE_Fonction,MATCH(B1486,PE_Mat,0)),""))</f>
        <v/>
      </c>
      <c r="E1486" s="76" t="str">
        <f aca="false">IF(B1486="","",IFERROR(INDEX(PE_Equipe,MATCH(B1486,PE_Mat,0)),""))</f>
        <v/>
      </c>
      <c r="F1486" s="25"/>
      <c r="G1486" s="25"/>
      <c r="H1486" s="68"/>
      <c r="I1486" s="89"/>
      <c r="J1486" s="31" t="str">
        <f aca="false">IF(B1486="","",IFERROR(INDEX(PE_Taux,MATCH(B1486,PE_Mat,0)),0))</f>
        <v/>
      </c>
      <c r="K1486" s="31" t="str">
        <f aca="false">IF(B1486="","",IF(H1486="A",0,IFERROR(N(I1486)/P_Heures*J1486,0)))</f>
        <v/>
      </c>
      <c r="L1486" s="25"/>
    </row>
    <row r="1487" customFormat="false" ht="15" hidden="false" customHeight="false" outlineLevel="0" collapsed="false">
      <c r="A1487" s="69"/>
      <c r="B1487" s="68"/>
      <c r="C1487" s="76" t="str">
        <f aca="false">IF(B1487="","",IFERROR(INDEX(PE_Nom,MATCH(B1487,PE_Mat,0)),"Matricule inconnu"))</f>
        <v/>
      </c>
      <c r="D1487" s="76" t="str">
        <f aca="false">IF(B1487="","",IFERROR(INDEX(PE_Fonction,MATCH(B1487,PE_Mat,0)),""))</f>
        <v/>
      </c>
      <c r="E1487" s="76" t="str">
        <f aca="false">IF(B1487="","",IFERROR(INDEX(PE_Equipe,MATCH(B1487,PE_Mat,0)),""))</f>
        <v/>
      </c>
      <c r="F1487" s="25"/>
      <c r="G1487" s="25"/>
      <c r="H1487" s="68"/>
      <c r="I1487" s="89"/>
      <c r="J1487" s="31" t="str">
        <f aca="false">IF(B1487="","",IFERROR(INDEX(PE_Taux,MATCH(B1487,PE_Mat,0)),0))</f>
        <v/>
      </c>
      <c r="K1487" s="31" t="str">
        <f aca="false">IF(B1487="","",IF(H1487="A",0,IFERROR(N(I1487)/P_Heures*J1487,0)))</f>
        <v/>
      </c>
      <c r="L1487" s="25"/>
    </row>
    <row r="1488" customFormat="false" ht="15" hidden="false" customHeight="false" outlineLevel="0" collapsed="false">
      <c r="A1488" s="69"/>
      <c r="B1488" s="68"/>
      <c r="C1488" s="76" t="str">
        <f aca="false">IF(B1488="","",IFERROR(INDEX(PE_Nom,MATCH(B1488,PE_Mat,0)),"Matricule inconnu"))</f>
        <v/>
      </c>
      <c r="D1488" s="76" t="str">
        <f aca="false">IF(B1488="","",IFERROR(INDEX(PE_Fonction,MATCH(B1488,PE_Mat,0)),""))</f>
        <v/>
      </c>
      <c r="E1488" s="76" t="str">
        <f aca="false">IF(B1488="","",IFERROR(INDEX(PE_Equipe,MATCH(B1488,PE_Mat,0)),""))</f>
        <v/>
      </c>
      <c r="F1488" s="25"/>
      <c r="G1488" s="25"/>
      <c r="H1488" s="68"/>
      <c r="I1488" s="89"/>
      <c r="J1488" s="31" t="str">
        <f aca="false">IF(B1488="","",IFERROR(INDEX(PE_Taux,MATCH(B1488,PE_Mat,0)),0))</f>
        <v/>
      </c>
      <c r="K1488" s="31" t="str">
        <f aca="false">IF(B1488="","",IF(H1488="A",0,IFERROR(N(I1488)/P_Heures*J1488,0)))</f>
        <v/>
      </c>
      <c r="L1488" s="25"/>
    </row>
    <row r="1489" customFormat="false" ht="15" hidden="false" customHeight="false" outlineLevel="0" collapsed="false">
      <c r="A1489" s="69"/>
      <c r="B1489" s="68"/>
      <c r="C1489" s="76" t="str">
        <f aca="false">IF(B1489="","",IFERROR(INDEX(PE_Nom,MATCH(B1489,PE_Mat,0)),"Matricule inconnu"))</f>
        <v/>
      </c>
      <c r="D1489" s="76" t="str">
        <f aca="false">IF(B1489="","",IFERROR(INDEX(PE_Fonction,MATCH(B1489,PE_Mat,0)),""))</f>
        <v/>
      </c>
      <c r="E1489" s="76" t="str">
        <f aca="false">IF(B1489="","",IFERROR(INDEX(PE_Equipe,MATCH(B1489,PE_Mat,0)),""))</f>
        <v/>
      </c>
      <c r="F1489" s="25"/>
      <c r="G1489" s="25"/>
      <c r="H1489" s="68"/>
      <c r="I1489" s="89"/>
      <c r="J1489" s="31" t="str">
        <f aca="false">IF(B1489="","",IFERROR(INDEX(PE_Taux,MATCH(B1489,PE_Mat,0)),0))</f>
        <v/>
      </c>
      <c r="K1489" s="31" t="str">
        <f aca="false">IF(B1489="","",IF(H1489="A",0,IFERROR(N(I1489)/P_Heures*J1489,0)))</f>
        <v/>
      </c>
      <c r="L1489" s="25"/>
    </row>
    <row r="1490" customFormat="false" ht="15" hidden="false" customHeight="false" outlineLevel="0" collapsed="false">
      <c r="A1490" s="69"/>
      <c r="B1490" s="68"/>
      <c r="C1490" s="76" t="str">
        <f aca="false">IF(B1490="","",IFERROR(INDEX(PE_Nom,MATCH(B1490,PE_Mat,0)),"Matricule inconnu"))</f>
        <v/>
      </c>
      <c r="D1490" s="76" t="str">
        <f aca="false">IF(B1490="","",IFERROR(INDEX(PE_Fonction,MATCH(B1490,PE_Mat,0)),""))</f>
        <v/>
      </c>
      <c r="E1490" s="76" t="str">
        <f aca="false">IF(B1490="","",IFERROR(INDEX(PE_Equipe,MATCH(B1490,PE_Mat,0)),""))</f>
        <v/>
      </c>
      <c r="F1490" s="25"/>
      <c r="G1490" s="25"/>
      <c r="H1490" s="68"/>
      <c r="I1490" s="89"/>
      <c r="J1490" s="31" t="str">
        <f aca="false">IF(B1490="","",IFERROR(INDEX(PE_Taux,MATCH(B1490,PE_Mat,0)),0))</f>
        <v/>
      </c>
      <c r="K1490" s="31" t="str">
        <f aca="false">IF(B1490="","",IF(H1490="A",0,IFERROR(N(I1490)/P_Heures*J1490,0)))</f>
        <v/>
      </c>
      <c r="L1490" s="25"/>
    </row>
    <row r="1491" customFormat="false" ht="15" hidden="false" customHeight="false" outlineLevel="0" collapsed="false">
      <c r="A1491" s="69"/>
      <c r="B1491" s="68"/>
      <c r="C1491" s="76" t="str">
        <f aca="false">IF(B1491="","",IFERROR(INDEX(PE_Nom,MATCH(B1491,PE_Mat,0)),"Matricule inconnu"))</f>
        <v/>
      </c>
      <c r="D1491" s="76" t="str">
        <f aca="false">IF(B1491="","",IFERROR(INDEX(PE_Fonction,MATCH(B1491,PE_Mat,0)),""))</f>
        <v/>
      </c>
      <c r="E1491" s="76" t="str">
        <f aca="false">IF(B1491="","",IFERROR(INDEX(PE_Equipe,MATCH(B1491,PE_Mat,0)),""))</f>
        <v/>
      </c>
      <c r="F1491" s="25"/>
      <c r="G1491" s="25"/>
      <c r="H1491" s="68"/>
      <c r="I1491" s="89"/>
      <c r="J1491" s="31" t="str">
        <f aca="false">IF(B1491="","",IFERROR(INDEX(PE_Taux,MATCH(B1491,PE_Mat,0)),0))</f>
        <v/>
      </c>
      <c r="K1491" s="31" t="str">
        <f aca="false">IF(B1491="","",IF(H1491="A",0,IFERROR(N(I1491)/P_Heures*J1491,0)))</f>
        <v/>
      </c>
      <c r="L1491" s="25"/>
    </row>
    <row r="1492" customFormat="false" ht="15" hidden="false" customHeight="false" outlineLevel="0" collapsed="false">
      <c r="A1492" s="69"/>
      <c r="B1492" s="68"/>
      <c r="C1492" s="76" t="str">
        <f aca="false">IF(B1492="","",IFERROR(INDEX(PE_Nom,MATCH(B1492,PE_Mat,0)),"Matricule inconnu"))</f>
        <v/>
      </c>
      <c r="D1492" s="76" t="str">
        <f aca="false">IF(B1492="","",IFERROR(INDEX(PE_Fonction,MATCH(B1492,PE_Mat,0)),""))</f>
        <v/>
      </c>
      <c r="E1492" s="76" t="str">
        <f aca="false">IF(B1492="","",IFERROR(INDEX(PE_Equipe,MATCH(B1492,PE_Mat,0)),""))</f>
        <v/>
      </c>
      <c r="F1492" s="25"/>
      <c r="G1492" s="25"/>
      <c r="H1492" s="68"/>
      <c r="I1492" s="89"/>
      <c r="J1492" s="31" t="str">
        <f aca="false">IF(B1492="","",IFERROR(INDEX(PE_Taux,MATCH(B1492,PE_Mat,0)),0))</f>
        <v/>
      </c>
      <c r="K1492" s="31" t="str">
        <f aca="false">IF(B1492="","",IF(H1492="A",0,IFERROR(N(I1492)/P_Heures*J1492,0)))</f>
        <v/>
      </c>
      <c r="L1492" s="25"/>
    </row>
    <row r="1493" customFormat="false" ht="15" hidden="false" customHeight="false" outlineLevel="0" collapsed="false">
      <c r="A1493" s="69"/>
      <c r="B1493" s="68"/>
      <c r="C1493" s="76" t="str">
        <f aca="false">IF(B1493="","",IFERROR(INDEX(PE_Nom,MATCH(B1493,PE_Mat,0)),"Matricule inconnu"))</f>
        <v/>
      </c>
      <c r="D1493" s="76" t="str">
        <f aca="false">IF(B1493="","",IFERROR(INDEX(PE_Fonction,MATCH(B1493,PE_Mat,0)),""))</f>
        <v/>
      </c>
      <c r="E1493" s="76" t="str">
        <f aca="false">IF(B1493="","",IFERROR(INDEX(PE_Equipe,MATCH(B1493,PE_Mat,0)),""))</f>
        <v/>
      </c>
      <c r="F1493" s="25"/>
      <c r="G1493" s="25"/>
      <c r="H1493" s="68"/>
      <c r="I1493" s="89"/>
      <c r="J1493" s="31" t="str">
        <f aca="false">IF(B1493="","",IFERROR(INDEX(PE_Taux,MATCH(B1493,PE_Mat,0)),0))</f>
        <v/>
      </c>
      <c r="K1493" s="31" t="str">
        <f aca="false">IF(B1493="","",IF(H1493="A",0,IFERROR(N(I1493)/P_Heures*J1493,0)))</f>
        <v/>
      </c>
      <c r="L1493" s="25"/>
    </row>
    <row r="1494" customFormat="false" ht="15" hidden="false" customHeight="false" outlineLevel="0" collapsed="false">
      <c r="A1494" s="69"/>
      <c r="B1494" s="68"/>
      <c r="C1494" s="76" t="str">
        <f aca="false">IF(B1494="","",IFERROR(INDEX(PE_Nom,MATCH(B1494,PE_Mat,0)),"Matricule inconnu"))</f>
        <v/>
      </c>
      <c r="D1494" s="76" t="str">
        <f aca="false">IF(B1494="","",IFERROR(INDEX(PE_Fonction,MATCH(B1494,PE_Mat,0)),""))</f>
        <v/>
      </c>
      <c r="E1494" s="76" t="str">
        <f aca="false">IF(B1494="","",IFERROR(INDEX(PE_Equipe,MATCH(B1494,PE_Mat,0)),""))</f>
        <v/>
      </c>
      <c r="F1494" s="25"/>
      <c r="G1494" s="25"/>
      <c r="H1494" s="68"/>
      <c r="I1494" s="89"/>
      <c r="J1494" s="31" t="str">
        <f aca="false">IF(B1494="","",IFERROR(INDEX(PE_Taux,MATCH(B1494,PE_Mat,0)),0))</f>
        <v/>
      </c>
      <c r="K1494" s="31" t="str">
        <f aca="false">IF(B1494="","",IF(H1494="A",0,IFERROR(N(I1494)/P_Heures*J1494,0)))</f>
        <v/>
      </c>
      <c r="L1494" s="25"/>
    </row>
    <row r="1495" customFormat="false" ht="15" hidden="false" customHeight="false" outlineLevel="0" collapsed="false">
      <c r="A1495" s="69"/>
      <c r="B1495" s="68"/>
      <c r="C1495" s="76" t="str">
        <f aca="false">IF(B1495="","",IFERROR(INDEX(PE_Nom,MATCH(B1495,PE_Mat,0)),"Matricule inconnu"))</f>
        <v/>
      </c>
      <c r="D1495" s="76" t="str">
        <f aca="false">IF(B1495="","",IFERROR(INDEX(PE_Fonction,MATCH(B1495,PE_Mat,0)),""))</f>
        <v/>
      </c>
      <c r="E1495" s="76" t="str">
        <f aca="false">IF(B1495="","",IFERROR(INDEX(PE_Equipe,MATCH(B1495,PE_Mat,0)),""))</f>
        <v/>
      </c>
      <c r="F1495" s="25"/>
      <c r="G1495" s="25"/>
      <c r="H1495" s="68"/>
      <c r="I1495" s="89"/>
      <c r="J1495" s="31" t="str">
        <f aca="false">IF(B1495="","",IFERROR(INDEX(PE_Taux,MATCH(B1495,PE_Mat,0)),0))</f>
        <v/>
      </c>
      <c r="K1495" s="31" t="str">
        <f aca="false">IF(B1495="","",IF(H1495="A",0,IFERROR(N(I1495)/P_Heures*J1495,0)))</f>
        <v/>
      </c>
      <c r="L1495" s="25"/>
    </row>
    <row r="1496" customFormat="false" ht="15" hidden="false" customHeight="false" outlineLevel="0" collapsed="false">
      <c r="A1496" s="69"/>
      <c r="B1496" s="68"/>
      <c r="C1496" s="76" t="str">
        <f aca="false">IF(B1496="","",IFERROR(INDEX(PE_Nom,MATCH(B1496,PE_Mat,0)),"Matricule inconnu"))</f>
        <v/>
      </c>
      <c r="D1496" s="76" t="str">
        <f aca="false">IF(B1496="","",IFERROR(INDEX(PE_Fonction,MATCH(B1496,PE_Mat,0)),""))</f>
        <v/>
      </c>
      <c r="E1496" s="76" t="str">
        <f aca="false">IF(B1496="","",IFERROR(INDEX(PE_Equipe,MATCH(B1496,PE_Mat,0)),""))</f>
        <v/>
      </c>
      <c r="F1496" s="25"/>
      <c r="G1496" s="25"/>
      <c r="H1496" s="68"/>
      <c r="I1496" s="89"/>
      <c r="J1496" s="31" t="str">
        <f aca="false">IF(B1496="","",IFERROR(INDEX(PE_Taux,MATCH(B1496,PE_Mat,0)),0))</f>
        <v/>
      </c>
      <c r="K1496" s="31" t="str">
        <f aca="false">IF(B1496="","",IF(H1496="A",0,IFERROR(N(I1496)/P_Heures*J1496,0)))</f>
        <v/>
      </c>
      <c r="L1496" s="25"/>
    </row>
    <row r="1497" customFormat="false" ht="15" hidden="false" customHeight="false" outlineLevel="0" collapsed="false">
      <c r="A1497" s="69"/>
      <c r="B1497" s="68"/>
      <c r="C1497" s="76" t="str">
        <f aca="false">IF(B1497="","",IFERROR(INDEX(PE_Nom,MATCH(B1497,PE_Mat,0)),"Matricule inconnu"))</f>
        <v/>
      </c>
      <c r="D1497" s="76" t="str">
        <f aca="false">IF(B1497="","",IFERROR(INDEX(PE_Fonction,MATCH(B1497,PE_Mat,0)),""))</f>
        <v/>
      </c>
      <c r="E1497" s="76" t="str">
        <f aca="false">IF(B1497="","",IFERROR(INDEX(PE_Equipe,MATCH(B1497,PE_Mat,0)),""))</f>
        <v/>
      </c>
      <c r="F1497" s="25"/>
      <c r="G1497" s="25"/>
      <c r="H1497" s="68"/>
      <c r="I1497" s="89"/>
      <c r="J1497" s="31" t="str">
        <f aca="false">IF(B1497="","",IFERROR(INDEX(PE_Taux,MATCH(B1497,PE_Mat,0)),0))</f>
        <v/>
      </c>
      <c r="K1497" s="31" t="str">
        <f aca="false">IF(B1497="","",IF(H1497="A",0,IFERROR(N(I1497)/P_Heures*J1497,0)))</f>
        <v/>
      </c>
      <c r="L1497" s="25"/>
    </row>
    <row r="1498" customFormat="false" ht="15" hidden="false" customHeight="false" outlineLevel="0" collapsed="false">
      <c r="A1498" s="69"/>
      <c r="B1498" s="68"/>
      <c r="C1498" s="76" t="str">
        <f aca="false">IF(B1498="","",IFERROR(INDEX(PE_Nom,MATCH(B1498,PE_Mat,0)),"Matricule inconnu"))</f>
        <v/>
      </c>
      <c r="D1498" s="76" t="str">
        <f aca="false">IF(B1498="","",IFERROR(INDEX(PE_Fonction,MATCH(B1498,PE_Mat,0)),""))</f>
        <v/>
      </c>
      <c r="E1498" s="76" t="str">
        <f aca="false">IF(B1498="","",IFERROR(INDEX(PE_Equipe,MATCH(B1498,PE_Mat,0)),""))</f>
        <v/>
      </c>
      <c r="F1498" s="25"/>
      <c r="G1498" s="25"/>
      <c r="H1498" s="68"/>
      <c r="I1498" s="89"/>
      <c r="J1498" s="31" t="str">
        <f aca="false">IF(B1498="","",IFERROR(INDEX(PE_Taux,MATCH(B1498,PE_Mat,0)),0))</f>
        <v/>
      </c>
      <c r="K1498" s="31" t="str">
        <f aca="false">IF(B1498="","",IF(H1498="A",0,IFERROR(N(I1498)/P_Heures*J1498,0)))</f>
        <v/>
      </c>
      <c r="L1498" s="25"/>
    </row>
    <row r="1499" customFormat="false" ht="15" hidden="false" customHeight="false" outlineLevel="0" collapsed="false">
      <c r="A1499" s="69"/>
      <c r="B1499" s="68"/>
      <c r="C1499" s="76" t="str">
        <f aca="false">IF(B1499="","",IFERROR(INDEX(PE_Nom,MATCH(B1499,PE_Mat,0)),"Matricule inconnu"))</f>
        <v/>
      </c>
      <c r="D1499" s="76" t="str">
        <f aca="false">IF(B1499="","",IFERROR(INDEX(PE_Fonction,MATCH(B1499,PE_Mat,0)),""))</f>
        <v/>
      </c>
      <c r="E1499" s="76" t="str">
        <f aca="false">IF(B1499="","",IFERROR(INDEX(PE_Equipe,MATCH(B1499,PE_Mat,0)),""))</f>
        <v/>
      </c>
      <c r="F1499" s="25"/>
      <c r="G1499" s="25"/>
      <c r="H1499" s="68"/>
      <c r="I1499" s="89"/>
      <c r="J1499" s="31" t="str">
        <f aca="false">IF(B1499="","",IFERROR(INDEX(PE_Taux,MATCH(B1499,PE_Mat,0)),0))</f>
        <v/>
      </c>
      <c r="K1499" s="31" t="str">
        <f aca="false">IF(B1499="","",IF(H1499="A",0,IFERROR(N(I1499)/P_Heures*J1499,0)))</f>
        <v/>
      </c>
      <c r="L1499" s="25"/>
    </row>
    <row r="1500" customFormat="false" ht="15" hidden="false" customHeight="false" outlineLevel="0" collapsed="false">
      <c r="A1500" s="69"/>
      <c r="B1500" s="68"/>
      <c r="C1500" s="76" t="str">
        <f aca="false">IF(B1500="","",IFERROR(INDEX(PE_Nom,MATCH(B1500,PE_Mat,0)),"Matricule inconnu"))</f>
        <v/>
      </c>
      <c r="D1500" s="76" t="str">
        <f aca="false">IF(B1500="","",IFERROR(INDEX(PE_Fonction,MATCH(B1500,PE_Mat,0)),""))</f>
        <v/>
      </c>
      <c r="E1500" s="76" t="str">
        <f aca="false">IF(B1500="","",IFERROR(INDEX(PE_Equipe,MATCH(B1500,PE_Mat,0)),""))</f>
        <v/>
      </c>
      <c r="F1500" s="25"/>
      <c r="G1500" s="25"/>
      <c r="H1500" s="68"/>
      <c r="I1500" s="89"/>
      <c r="J1500" s="31" t="str">
        <f aca="false">IF(B1500="","",IFERROR(INDEX(PE_Taux,MATCH(B1500,PE_Mat,0)),0))</f>
        <v/>
      </c>
      <c r="K1500" s="31" t="str">
        <f aca="false">IF(B1500="","",IF(H1500="A",0,IFERROR(N(I1500)/P_Heures*J1500,0)))</f>
        <v/>
      </c>
      <c r="L1500" s="25"/>
    </row>
    <row r="1501" customFormat="false" ht="15" hidden="false" customHeight="false" outlineLevel="0" collapsed="false">
      <c r="A1501" s="69"/>
      <c r="B1501" s="68"/>
      <c r="C1501" s="76" t="str">
        <f aca="false">IF(B1501="","",IFERROR(INDEX(PE_Nom,MATCH(B1501,PE_Mat,0)),"Matricule inconnu"))</f>
        <v/>
      </c>
      <c r="D1501" s="76" t="str">
        <f aca="false">IF(B1501="","",IFERROR(INDEX(PE_Fonction,MATCH(B1501,PE_Mat,0)),""))</f>
        <v/>
      </c>
      <c r="E1501" s="76" t="str">
        <f aca="false">IF(B1501="","",IFERROR(INDEX(PE_Equipe,MATCH(B1501,PE_Mat,0)),""))</f>
        <v/>
      </c>
      <c r="F1501" s="25"/>
      <c r="G1501" s="25"/>
      <c r="H1501" s="68"/>
      <c r="I1501" s="89"/>
      <c r="J1501" s="31" t="str">
        <f aca="false">IF(B1501="","",IFERROR(INDEX(PE_Taux,MATCH(B1501,PE_Mat,0)),0))</f>
        <v/>
      </c>
      <c r="K1501" s="31" t="str">
        <f aca="false">IF(B1501="","",IF(H1501="A",0,IFERROR(N(I1501)/P_Heures*J1501,0)))</f>
        <v/>
      </c>
      <c r="L1501" s="25"/>
    </row>
    <row r="1502" customFormat="false" ht="15" hidden="false" customHeight="false" outlineLevel="0" collapsed="false">
      <c r="A1502" s="69"/>
      <c r="B1502" s="68"/>
      <c r="C1502" s="76" t="str">
        <f aca="false">IF(B1502="","",IFERROR(INDEX(PE_Nom,MATCH(B1502,PE_Mat,0)),"Matricule inconnu"))</f>
        <v/>
      </c>
      <c r="D1502" s="76" t="str">
        <f aca="false">IF(B1502="","",IFERROR(INDEX(PE_Fonction,MATCH(B1502,PE_Mat,0)),""))</f>
        <v/>
      </c>
      <c r="E1502" s="76" t="str">
        <f aca="false">IF(B1502="","",IFERROR(INDEX(PE_Equipe,MATCH(B1502,PE_Mat,0)),""))</f>
        <v/>
      </c>
      <c r="F1502" s="25"/>
      <c r="G1502" s="25"/>
      <c r="H1502" s="68"/>
      <c r="I1502" s="89"/>
      <c r="J1502" s="31" t="str">
        <f aca="false">IF(B1502="","",IFERROR(INDEX(PE_Taux,MATCH(B1502,PE_Mat,0)),0))</f>
        <v/>
      </c>
      <c r="K1502" s="31" t="str">
        <f aca="false">IF(B1502="","",IF(H1502="A",0,IFERROR(N(I1502)/P_Heures*J1502,0)))</f>
        <v/>
      </c>
      <c r="L1502" s="25"/>
    </row>
    <row r="1503" customFormat="false" ht="15" hidden="false" customHeight="false" outlineLevel="0" collapsed="false">
      <c r="A1503" s="69"/>
      <c r="B1503" s="68"/>
      <c r="C1503" s="76" t="str">
        <f aca="false">IF(B1503="","",IFERROR(INDEX(PE_Nom,MATCH(B1503,PE_Mat,0)),"Matricule inconnu"))</f>
        <v/>
      </c>
      <c r="D1503" s="76" t="str">
        <f aca="false">IF(B1503="","",IFERROR(INDEX(PE_Fonction,MATCH(B1503,PE_Mat,0)),""))</f>
        <v/>
      </c>
      <c r="E1503" s="76" t="str">
        <f aca="false">IF(B1503="","",IFERROR(INDEX(PE_Equipe,MATCH(B1503,PE_Mat,0)),""))</f>
        <v/>
      </c>
      <c r="F1503" s="25"/>
      <c r="G1503" s="25"/>
      <c r="H1503" s="68"/>
      <c r="I1503" s="89"/>
      <c r="J1503" s="31" t="str">
        <f aca="false">IF(B1503="","",IFERROR(INDEX(PE_Taux,MATCH(B1503,PE_Mat,0)),0))</f>
        <v/>
      </c>
      <c r="K1503" s="31" t="str">
        <f aca="false">IF(B1503="","",IF(H1503="A",0,IFERROR(N(I1503)/P_Heures*J1503,0)))</f>
        <v/>
      </c>
      <c r="L1503" s="25"/>
    </row>
    <row r="1504" customFormat="false" ht="15" hidden="false" customHeight="false" outlineLevel="0" collapsed="false">
      <c r="A1504" s="69"/>
      <c r="B1504" s="68"/>
      <c r="C1504" s="76" t="str">
        <f aca="false">IF(B1504="","",IFERROR(INDEX(PE_Nom,MATCH(B1504,PE_Mat,0)),"Matricule inconnu"))</f>
        <v/>
      </c>
      <c r="D1504" s="76" t="str">
        <f aca="false">IF(B1504="","",IFERROR(INDEX(PE_Fonction,MATCH(B1504,PE_Mat,0)),""))</f>
        <v/>
      </c>
      <c r="E1504" s="76" t="str">
        <f aca="false">IF(B1504="","",IFERROR(INDEX(PE_Equipe,MATCH(B1504,PE_Mat,0)),""))</f>
        <v/>
      </c>
      <c r="F1504" s="25"/>
      <c r="G1504" s="25"/>
      <c r="H1504" s="68"/>
      <c r="I1504" s="89"/>
      <c r="J1504" s="31" t="str">
        <f aca="false">IF(B1504="","",IFERROR(INDEX(PE_Taux,MATCH(B1504,PE_Mat,0)),0))</f>
        <v/>
      </c>
      <c r="K1504" s="31" t="str">
        <f aca="false">IF(B1504="","",IF(H1504="A",0,IFERROR(N(I1504)/P_Heures*J1504,0)))</f>
        <v/>
      </c>
      <c r="L1504" s="25"/>
    </row>
    <row r="1505" customFormat="false" ht="15" hidden="false" customHeight="false" outlineLevel="0" collapsed="false">
      <c r="A1505" s="69"/>
      <c r="B1505" s="68"/>
      <c r="C1505" s="76" t="str">
        <f aca="false">IF(B1505="","",IFERROR(INDEX(PE_Nom,MATCH(B1505,PE_Mat,0)),"Matricule inconnu"))</f>
        <v/>
      </c>
      <c r="D1505" s="76" t="str">
        <f aca="false">IF(B1505="","",IFERROR(INDEX(PE_Fonction,MATCH(B1505,PE_Mat,0)),""))</f>
        <v/>
      </c>
      <c r="E1505" s="76" t="str">
        <f aca="false">IF(B1505="","",IFERROR(INDEX(PE_Equipe,MATCH(B1505,PE_Mat,0)),""))</f>
        <v/>
      </c>
      <c r="F1505" s="25"/>
      <c r="G1505" s="25"/>
      <c r="H1505" s="68"/>
      <c r="I1505" s="89"/>
      <c r="J1505" s="31" t="str">
        <f aca="false">IF(B1505="","",IFERROR(INDEX(PE_Taux,MATCH(B1505,PE_Mat,0)),0))</f>
        <v/>
      </c>
      <c r="K1505" s="31" t="str">
        <f aca="false">IF(B1505="","",IF(H1505="A",0,IFERROR(N(I1505)/P_Heures*J1505,0)))</f>
        <v/>
      </c>
      <c r="L1505" s="25"/>
    </row>
    <row r="1506" customFormat="false" ht="15" hidden="false" customHeight="false" outlineLevel="0" collapsed="false">
      <c r="A1506" s="69"/>
      <c r="B1506" s="68"/>
      <c r="C1506" s="76" t="str">
        <f aca="false">IF(B1506="","",IFERROR(INDEX(PE_Nom,MATCH(B1506,PE_Mat,0)),"Matricule inconnu"))</f>
        <v/>
      </c>
      <c r="D1506" s="76" t="str">
        <f aca="false">IF(B1506="","",IFERROR(INDEX(PE_Fonction,MATCH(B1506,PE_Mat,0)),""))</f>
        <v/>
      </c>
      <c r="E1506" s="76" t="str">
        <f aca="false">IF(B1506="","",IFERROR(INDEX(PE_Equipe,MATCH(B1506,PE_Mat,0)),""))</f>
        <v/>
      </c>
      <c r="F1506" s="25"/>
      <c r="G1506" s="25"/>
      <c r="H1506" s="68"/>
      <c r="I1506" s="89"/>
      <c r="J1506" s="31" t="str">
        <f aca="false">IF(B1506="","",IFERROR(INDEX(PE_Taux,MATCH(B1506,PE_Mat,0)),0))</f>
        <v/>
      </c>
      <c r="K1506" s="31" t="str">
        <f aca="false">IF(B1506="","",IF(H1506="A",0,IFERROR(N(I1506)/P_Heures*J1506,0)))</f>
        <v/>
      </c>
      <c r="L1506" s="25"/>
    </row>
    <row r="1507" customFormat="false" ht="15" hidden="false" customHeight="false" outlineLevel="0" collapsed="false">
      <c r="A1507" s="69"/>
      <c r="B1507" s="68"/>
      <c r="C1507" s="76" t="str">
        <f aca="false">IF(B1507="","",IFERROR(INDEX(PE_Nom,MATCH(B1507,PE_Mat,0)),"Matricule inconnu"))</f>
        <v/>
      </c>
      <c r="D1507" s="76" t="str">
        <f aca="false">IF(B1507="","",IFERROR(INDEX(PE_Fonction,MATCH(B1507,PE_Mat,0)),""))</f>
        <v/>
      </c>
      <c r="E1507" s="76" t="str">
        <f aca="false">IF(B1507="","",IFERROR(INDEX(PE_Equipe,MATCH(B1507,PE_Mat,0)),""))</f>
        <v/>
      </c>
      <c r="F1507" s="25"/>
      <c r="G1507" s="25"/>
      <c r="H1507" s="68"/>
      <c r="I1507" s="89"/>
      <c r="J1507" s="31" t="str">
        <f aca="false">IF(B1507="","",IFERROR(INDEX(PE_Taux,MATCH(B1507,PE_Mat,0)),0))</f>
        <v/>
      </c>
      <c r="K1507" s="31" t="str">
        <f aca="false">IF(B1507="","",IF(H1507="A",0,IFERROR(N(I1507)/P_Heures*J1507,0)))</f>
        <v/>
      </c>
      <c r="L1507" s="25"/>
    </row>
    <row r="1508" customFormat="false" ht="15" hidden="false" customHeight="false" outlineLevel="0" collapsed="false">
      <c r="A1508" s="69"/>
      <c r="B1508" s="68"/>
      <c r="C1508" s="76" t="str">
        <f aca="false">IF(B1508="","",IFERROR(INDEX(PE_Nom,MATCH(B1508,PE_Mat,0)),"Matricule inconnu"))</f>
        <v/>
      </c>
      <c r="D1508" s="76" t="str">
        <f aca="false">IF(B1508="","",IFERROR(INDEX(PE_Fonction,MATCH(B1508,PE_Mat,0)),""))</f>
        <v/>
      </c>
      <c r="E1508" s="76" t="str">
        <f aca="false">IF(B1508="","",IFERROR(INDEX(PE_Equipe,MATCH(B1508,PE_Mat,0)),""))</f>
        <v/>
      </c>
      <c r="F1508" s="25"/>
      <c r="G1508" s="25"/>
      <c r="H1508" s="68"/>
      <c r="I1508" s="89"/>
      <c r="J1508" s="31" t="str">
        <f aca="false">IF(B1508="","",IFERROR(INDEX(PE_Taux,MATCH(B1508,PE_Mat,0)),0))</f>
        <v/>
      </c>
      <c r="K1508" s="31" t="str">
        <f aca="false">IF(B1508="","",IF(H1508="A",0,IFERROR(N(I1508)/P_Heures*J1508,0)))</f>
        <v/>
      </c>
      <c r="L1508" s="25"/>
    </row>
    <row r="1509" customFormat="false" ht="15" hidden="false" customHeight="false" outlineLevel="0" collapsed="false">
      <c r="A1509" s="69"/>
      <c r="B1509" s="68"/>
      <c r="C1509" s="76" t="str">
        <f aca="false">IF(B1509="","",IFERROR(INDEX(PE_Nom,MATCH(B1509,PE_Mat,0)),"Matricule inconnu"))</f>
        <v/>
      </c>
      <c r="D1509" s="76" t="str">
        <f aca="false">IF(B1509="","",IFERROR(INDEX(PE_Fonction,MATCH(B1509,PE_Mat,0)),""))</f>
        <v/>
      </c>
      <c r="E1509" s="76" t="str">
        <f aca="false">IF(B1509="","",IFERROR(INDEX(PE_Equipe,MATCH(B1509,PE_Mat,0)),""))</f>
        <v/>
      </c>
      <c r="F1509" s="25"/>
      <c r="G1509" s="25"/>
      <c r="H1509" s="68"/>
      <c r="I1509" s="89"/>
      <c r="J1509" s="31" t="str">
        <f aca="false">IF(B1509="","",IFERROR(INDEX(PE_Taux,MATCH(B1509,PE_Mat,0)),0))</f>
        <v/>
      </c>
      <c r="K1509" s="31" t="str">
        <f aca="false">IF(B1509="","",IF(H1509="A",0,IFERROR(N(I1509)/P_Heures*J1509,0)))</f>
        <v/>
      </c>
      <c r="L1509" s="25"/>
    </row>
    <row r="1510" customFormat="false" ht="15" hidden="false" customHeight="false" outlineLevel="0" collapsed="false">
      <c r="A1510" s="69"/>
      <c r="B1510" s="68"/>
      <c r="C1510" s="76" t="str">
        <f aca="false">IF(B1510="","",IFERROR(INDEX(PE_Nom,MATCH(B1510,PE_Mat,0)),"Matricule inconnu"))</f>
        <v/>
      </c>
      <c r="D1510" s="76" t="str">
        <f aca="false">IF(B1510="","",IFERROR(INDEX(PE_Fonction,MATCH(B1510,PE_Mat,0)),""))</f>
        <v/>
      </c>
      <c r="E1510" s="76" t="str">
        <f aca="false">IF(B1510="","",IFERROR(INDEX(PE_Equipe,MATCH(B1510,PE_Mat,0)),""))</f>
        <v/>
      </c>
      <c r="F1510" s="25"/>
      <c r="G1510" s="25"/>
      <c r="H1510" s="68"/>
      <c r="I1510" s="89"/>
      <c r="J1510" s="31" t="str">
        <f aca="false">IF(B1510="","",IFERROR(INDEX(PE_Taux,MATCH(B1510,PE_Mat,0)),0))</f>
        <v/>
      </c>
      <c r="K1510" s="31" t="str">
        <f aca="false">IF(B1510="","",IF(H1510="A",0,IFERROR(N(I1510)/P_Heures*J1510,0)))</f>
        <v/>
      </c>
      <c r="L1510" s="25"/>
    </row>
    <row r="1511" customFormat="false" ht="15" hidden="false" customHeight="false" outlineLevel="0" collapsed="false">
      <c r="A1511" s="69"/>
      <c r="B1511" s="68"/>
      <c r="C1511" s="76" t="str">
        <f aca="false">IF(B1511="","",IFERROR(INDEX(PE_Nom,MATCH(B1511,PE_Mat,0)),"Matricule inconnu"))</f>
        <v/>
      </c>
      <c r="D1511" s="76" t="str">
        <f aca="false">IF(B1511="","",IFERROR(INDEX(PE_Fonction,MATCH(B1511,PE_Mat,0)),""))</f>
        <v/>
      </c>
      <c r="E1511" s="76" t="str">
        <f aca="false">IF(B1511="","",IFERROR(INDEX(PE_Equipe,MATCH(B1511,PE_Mat,0)),""))</f>
        <v/>
      </c>
      <c r="F1511" s="25"/>
      <c r="G1511" s="25"/>
      <c r="H1511" s="68"/>
      <c r="I1511" s="89"/>
      <c r="J1511" s="31" t="str">
        <f aca="false">IF(B1511="","",IFERROR(INDEX(PE_Taux,MATCH(B1511,PE_Mat,0)),0))</f>
        <v/>
      </c>
      <c r="K1511" s="31" t="str">
        <f aca="false">IF(B1511="","",IF(H1511="A",0,IFERROR(N(I1511)/P_Heures*J1511,0)))</f>
        <v/>
      </c>
      <c r="L1511" s="25"/>
    </row>
    <row r="1512" customFormat="false" ht="15" hidden="false" customHeight="false" outlineLevel="0" collapsed="false">
      <c r="A1512" s="69"/>
      <c r="B1512" s="68"/>
      <c r="C1512" s="76" t="str">
        <f aca="false">IF(B1512="","",IFERROR(INDEX(PE_Nom,MATCH(B1512,PE_Mat,0)),"Matricule inconnu"))</f>
        <v/>
      </c>
      <c r="D1512" s="76" t="str">
        <f aca="false">IF(B1512="","",IFERROR(INDEX(PE_Fonction,MATCH(B1512,PE_Mat,0)),""))</f>
        <v/>
      </c>
      <c r="E1512" s="76" t="str">
        <f aca="false">IF(B1512="","",IFERROR(INDEX(PE_Equipe,MATCH(B1512,PE_Mat,0)),""))</f>
        <v/>
      </c>
      <c r="F1512" s="25"/>
      <c r="G1512" s="25"/>
      <c r="H1512" s="68"/>
      <c r="I1512" s="89"/>
      <c r="J1512" s="31" t="str">
        <f aca="false">IF(B1512="","",IFERROR(INDEX(PE_Taux,MATCH(B1512,PE_Mat,0)),0))</f>
        <v/>
      </c>
      <c r="K1512" s="31" t="str">
        <f aca="false">IF(B1512="","",IF(H1512="A",0,IFERROR(N(I1512)/P_Heures*J1512,0)))</f>
        <v/>
      </c>
      <c r="L1512" s="25"/>
    </row>
    <row r="1513" customFormat="false" ht="15" hidden="false" customHeight="false" outlineLevel="0" collapsed="false">
      <c r="A1513" s="69"/>
      <c r="B1513" s="68"/>
      <c r="C1513" s="76" t="str">
        <f aca="false">IF(B1513="","",IFERROR(INDEX(PE_Nom,MATCH(B1513,PE_Mat,0)),"Matricule inconnu"))</f>
        <v/>
      </c>
      <c r="D1513" s="76" t="str">
        <f aca="false">IF(B1513="","",IFERROR(INDEX(PE_Fonction,MATCH(B1513,PE_Mat,0)),""))</f>
        <v/>
      </c>
      <c r="E1513" s="76" t="str">
        <f aca="false">IF(B1513="","",IFERROR(INDEX(PE_Equipe,MATCH(B1513,PE_Mat,0)),""))</f>
        <v/>
      </c>
      <c r="F1513" s="25"/>
      <c r="G1513" s="25"/>
      <c r="H1513" s="68"/>
      <c r="I1513" s="89"/>
      <c r="J1513" s="31" t="str">
        <f aca="false">IF(B1513="","",IFERROR(INDEX(PE_Taux,MATCH(B1513,PE_Mat,0)),0))</f>
        <v/>
      </c>
      <c r="K1513" s="31" t="str">
        <f aca="false">IF(B1513="","",IF(H1513="A",0,IFERROR(N(I1513)/P_Heures*J1513,0)))</f>
        <v/>
      </c>
      <c r="L1513" s="25"/>
    </row>
    <row r="1514" customFormat="false" ht="15" hidden="false" customHeight="false" outlineLevel="0" collapsed="false">
      <c r="A1514" s="69"/>
      <c r="B1514" s="68"/>
      <c r="C1514" s="76" t="str">
        <f aca="false">IF(B1514="","",IFERROR(INDEX(PE_Nom,MATCH(B1514,PE_Mat,0)),"Matricule inconnu"))</f>
        <v/>
      </c>
      <c r="D1514" s="76" t="str">
        <f aca="false">IF(B1514="","",IFERROR(INDEX(PE_Fonction,MATCH(B1514,PE_Mat,0)),""))</f>
        <v/>
      </c>
      <c r="E1514" s="76" t="str">
        <f aca="false">IF(B1514="","",IFERROR(INDEX(PE_Equipe,MATCH(B1514,PE_Mat,0)),""))</f>
        <v/>
      </c>
      <c r="F1514" s="25"/>
      <c r="G1514" s="25"/>
      <c r="H1514" s="68"/>
      <c r="I1514" s="89"/>
      <c r="J1514" s="31" t="str">
        <f aca="false">IF(B1514="","",IFERROR(INDEX(PE_Taux,MATCH(B1514,PE_Mat,0)),0))</f>
        <v/>
      </c>
      <c r="K1514" s="31" t="str">
        <f aca="false">IF(B1514="","",IF(H1514="A",0,IFERROR(N(I1514)/P_Heures*J1514,0)))</f>
        <v/>
      </c>
      <c r="L1514" s="25"/>
    </row>
    <row r="1515" customFormat="false" ht="15" hidden="false" customHeight="false" outlineLevel="0" collapsed="false">
      <c r="A1515" s="69"/>
      <c r="B1515" s="68"/>
      <c r="C1515" s="76" t="str">
        <f aca="false">IF(B1515="","",IFERROR(INDEX(PE_Nom,MATCH(B1515,PE_Mat,0)),"Matricule inconnu"))</f>
        <v/>
      </c>
      <c r="D1515" s="76" t="str">
        <f aca="false">IF(B1515="","",IFERROR(INDEX(PE_Fonction,MATCH(B1515,PE_Mat,0)),""))</f>
        <v/>
      </c>
      <c r="E1515" s="76" t="str">
        <f aca="false">IF(B1515="","",IFERROR(INDEX(PE_Equipe,MATCH(B1515,PE_Mat,0)),""))</f>
        <v/>
      </c>
      <c r="F1515" s="25"/>
      <c r="G1515" s="25"/>
      <c r="H1515" s="68"/>
      <c r="I1515" s="89"/>
      <c r="J1515" s="31" t="str">
        <f aca="false">IF(B1515="","",IFERROR(INDEX(PE_Taux,MATCH(B1515,PE_Mat,0)),0))</f>
        <v/>
      </c>
      <c r="K1515" s="31" t="str">
        <f aca="false">IF(B1515="","",IF(H1515="A",0,IFERROR(N(I1515)/P_Heures*J1515,0)))</f>
        <v/>
      </c>
      <c r="L1515" s="25"/>
    </row>
    <row r="1516" customFormat="false" ht="15" hidden="false" customHeight="false" outlineLevel="0" collapsed="false">
      <c r="A1516" s="69"/>
      <c r="B1516" s="68"/>
      <c r="C1516" s="76" t="str">
        <f aca="false">IF(B1516="","",IFERROR(INDEX(PE_Nom,MATCH(B1516,PE_Mat,0)),"Matricule inconnu"))</f>
        <v/>
      </c>
      <c r="D1516" s="76" t="str">
        <f aca="false">IF(B1516="","",IFERROR(INDEX(PE_Fonction,MATCH(B1516,PE_Mat,0)),""))</f>
        <v/>
      </c>
      <c r="E1516" s="76" t="str">
        <f aca="false">IF(B1516="","",IFERROR(INDEX(PE_Equipe,MATCH(B1516,PE_Mat,0)),""))</f>
        <v/>
      </c>
      <c r="F1516" s="25"/>
      <c r="G1516" s="25"/>
      <c r="H1516" s="68"/>
      <c r="I1516" s="89"/>
      <c r="J1516" s="31" t="str">
        <f aca="false">IF(B1516="","",IFERROR(INDEX(PE_Taux,MATCH(B1516,PE_Mat,0)),0))</f>
        <v/>
      </c>
      <c r="K1516" s="31" t="str">
        <f aca="false">IF(B1516="","",IF(H1516="A",0,IFERROR(N(I1516)/P_Heures*J1516,0)))</f>
        <v/>
      </c>
      <c r="L1516" s="25"/>
    </row>
    <row r="1517" customFormat="false" ht="15" hidden="false" customHeight="false" outlineLevel="0" collapsed="false">
      <c r="A1517" s="69"/>
      <c r="B1517" s="68"/>
      <c r="C1517" s="76" t="str">
        <f aca="false">IF(B1517="","",IFERROR(INDEX(PE_Nom,MATCH(B1517,PE_Mat,0)),"Matricule inconnu"))</f>
        <v/>
      </c>
      <c r="D1517" s="76" t="str">
        <f aca="false">IF(B1517="","",IFERROR(INDEX(PE_Fonction,MATCH(B1517,PE_Mat,0)),""))</f>
        <v/>
      </c>
      <c r="E1517" s="76" t="str">
        <f aca="false">IF(B1517="","",IFERROR(INDEX(PE_Equipe,MATCH(B1517,PE_Mat,0)),""))</f>
        <v/>
      </c>
      <c r="F1517" s="25"/>
      <c r="G1517" s="25"/>
      <c r="H1517" s="68"/>
      <c r="I1517" s="89"/>
      <c r="J1517" s="31" t="str">
        <f aca="false">IF(B1517="","",IFERROR(INDEX(PE_Taux,MATCH(B1517,PE_Mat,0)),0))</f>
        <v/>
      </c>
      <c r="K1517" s="31" t="str">
        <f aca="false">IF(B1517="","",IF(H1517="A",0,IFERROR(N(I1517)/P_Heures*J1517,0)))</f>
        <v/>
      </c>
      <c r="L1517" s="25"/>
    </row>
    <row r="1518" customFormat="false" ht="15" hidden="false" customHeight="false" outlineLevel="0" collapsed="false">
      <c r="A1518" s="69"/>
      <c r="B1518" s="68"/>
      <c r="C1518" s="76" t="str">
        <f aca="false">IF(B1518="","",IFERROR(INDEX(PE_Nom,MATCH(B1518,PE_Mat,0)),"Matricule inconnu"))</f>
        <v/>
      </c>
      <c r="D1518" s="76" t="str">
        <f aca="false">IF(B1518="","",IFERROR(INDEX(PE_Fonction,MATCH(B1518,PE_Mat,0)),""))</f>
        <v/>
      </c>
      <c r="E1518" s="76" t="str">
        <f aca="false">IF(B1518="","",IFERROR(INDEX(PE_Equipe,MATCH(B1518,PE_Mat,0)),""))</f>
        <v/>
      </c>
      <c r="F1518" s="25"/>
      <c r="G1518" s="25"/>
      <c r="H1518" s="68"/>
      <c r="I1518" s="89"/>
      <c r="J1518" s="31" t="str">
        <f aca="false">IF(B1518="","",IFERROR(INDEX(PE_Taux,MATCH(B1518,PE_Mat,0)),0))</f>
        <v/>
      </c>
      <c r="K1518" s="31" t="str">
        <f aca="false">IF(B1518="","",IF(H1518="A",0,IFERROR(N(I1518)/P_Heures*J1518,0)))</f>
        <v/>
      </c>
      <c r="L1518" s="25"/>
    </row>
    <row r="1519" customFormat="false" ht="15" hidden="false" customHeight="false" outlineLevel="0" collapsed="false">
      <c r="A1519" s="69"/>
      <c r="B1519" s="68"/>
      <c r="C1519" s="76" t="str">
        <f aca="false">IF(B1519="","",IFERROR(INDEX(PE_Nom,MATCH(B1519,PE_Mat,0)),"Matricule inconnu"))</f>
        <v/>
      </c>
      <c r="D1519" s="76" t="str">
        <f aca="false">IF(B1519="","",IFERROR(INDEX(PE_Fonction,MATCH(B1519,PE_Mat,0)),""))</f>
        <v/>
      </c>
      <c r="E1519" s="76" t="str">
        <f aca="false">IF(B1519="","",IFERROR(INDEX(PE_Equipe,MATCH(B1519,PE_Mat,0)),""))</f>
        <v/>
      </c>
      <c r="F1519" s="25"/>
      <c r="G1519" s="25"/>
      <c r="H1519" s="68"/>
      <c r="I1519" s="89"/>
      <c r="J1519" s="31" t="str">
        <f aca="false">IF(B1519="","",IFERROR(INDEX(PE_Taux,MATCH(B1519,PE_Mat,0)),0))</f>
        <v/>
      </c>
      <c r="K1519" s="31" t="str">
        <f aca="false">IF(B1519="","",IF(H1519="A",0,IFERROR(N(I1519)/P_Heures*J1519,0)))</f>
        <v/>
      </c>
      <c r="L1519" s="25"/>
    </row>
    <row r="1520" customFormat="false" ht="15" hidden="false" customHeight="false" outlineLevel="0" collapsed="false">
      <c r="A1520" s="69"/>
      <c r="B1520" s="68"/>
      <c r="C1520" s="76" t="str">
        <f aca="false">IF(B1520="","",IFERROR(INDEX(PE_Nom,MATCH(B1520,PE_Mat,0)),"Matricule inconnu"))</f>
        <v/>
      </c>
      <c r="D1520" s="76" t="str">
        <f aca="false">IF(B1520="","",IFERROR(INDEX(PE_Fonction,MATCH(B1520,PE_Mat,0)),""))</f>
        <v/>
      </c>
      <c r="E1520" s="76" t="str">
        <f aca="false">IF(B1520="","",IFERROR(INDEX(PE_Equipe,MATCH(B1520,PE_Mat,0)),""))</f>
        <v/>
      </c>
      <c r="F1520" s="25"/>
      <c r="G1520" s="25"/>
      <c r="H1520" s="68"/>
      <c r="I1520" s="89"/>
      <c r="J1520" s="31" t="str">
        <f aca="false">IF(B1520="","",IFERROR(INDEX(PE_Taux,MATCH(B1520,PE_Mat,0)),0))</f>
        <v/>
      </c>
      <c r="K1520" s="31" t="str">
        <f aca="false">IF(B1520="","",IF(H1520="A",0,IFERROR(N(I1520)/P_Heures*J1520,0)))</f>
        <v/>
      </c>
      <c r="L1520" s="25"/>
    </row>
    <row r="1521" customFormat="false" ht="15" hidden="false" customHeight="false" outlineLevel="0" collapsed="false">
      <c r="A1521" s="69"/>
      <c r="B1521" s="68"/>
      <c r="C1521" s="76" t="str">
        <f aca="false">IF(B1521="","",IFERROR(INDEX(PE_Nom,MATCH(B1521,PE_Mat,0)),"Matricule inconnu"))</f>
        <v/>
      </c>
      <c r="D1521" s="76" t="str">
        <f aca="false">IF(B1521="","",IFERROR(INDEX(PE_Fonction,MATCH(B1521,PE_Mat,0)),""))</f>
        <v/>
      </c>
      <c r="E1521" s="76" t="str">
        <f aca="false">IF(B1521="","",IFERROR(INDEX(PE_Equipe,MATCH(B1521,PE_Mat,0)),""))</f>
        <v/>
      </c>
      <c r="F1521" s="25"/>
      <c r="G1521" s="25"/>
      <c r="H1521" s="68"/>
      <c r="I1521" s="89"/>
      <c r="J1521" s="31" t="str">
        <f aca="false">IF(B1521="","",IFERROR(INDEX(PE_Taux,MATCH(B1521,PE_Mat,0)),0))</f>
        <v/>
      </c>
      <c r="K1521" s="31" t="str">
        <f aca="false">IF(B1521="","",IF(H1521="A",0,IFERROR(N(I1521)/P_Heures*J1521,0)))</f>
        <v/>
      </c>
      <c r="L1521" s="25"/>
    </row>
    <row r="1522" customFormat="false" ht="15" hidden="false" customHeight="false" outlineLevel="0" collapsed="false">
      <c r="A1522" s="69"/>
      <c r="B1522" s="68"/>
      <c r="C1522" s="76" t="str">
        <f aca="false">IF(B1522="","",IFERROR(INDEX(PE_Nom,MATCH(B1522,PE_Mat,0)),"Matricule inconnu"))</f>
        <v/>
      </c>
      <c r="D1522" s="76" t="str">
        <f aca="false">IF(B1522="","",IFERROR(INDEX(PE_Fonction,MATCH(B1522,PE_Mat,0)),""))</f>
        <v/>
      </c>
      <c r="E1522" s="76" t="str">
        <f aca="false">IF(B1522="","",IFERROR(INDEX(PE_Equipe,MATCH(B1522,PE_Mat,0)),""))</f>
        <v/>
      </c>
      <c r="F1522" s="25"/>
      <c r="G1522" s="25"/>
      <c r="H1522" s="68"/>
      <c r="I1522" s="89"/>
      <c r="J1522" s="31" t="str">
        <f aca="false">IF(B1522="","",IFERROR(INDEX(PE_Taux,MATCH(B1522,PE_Mat,0)),0))</f>
        <v/>
      </c>
      <c r="K1522" s="31" t="str">
        <f aca="false">IF(B1522="","",IF(H1522="A",0,IFERROR(N(I1522)/P_Heures*J1522,0)))</f>
        <v/>
      </c>
      <c r="L1522" s="25"/>
    </row>
    <row r="1523" customFormat="false" ht="15" hidden="false" customHeight="false" outlineLevel="0" collapsed="false">
      <c r="A1523" s="69"/>
      <c r="B1523" s="68"/>
      <c r="C1523" s="76" t="str">
        <f aca="false">IF(B1523="","",IFERROR(INDEX(PE_Nom,MATCH(B1523,PE_Mat,0)),"Matricule inconnu"))</f>
        <v/>
      </c>
      <c r="D1523" s="76" t="str">
        <f aca="false">IF(B1523="","",IFERROR(INDEX(PE_Fonction,MATCH(B1523,PE_Mat,0)),""))</f>
        <v/>
      </c>
      <c r="E1523" s="76" t="str">
        <f aca="false">IF(B1523="","",IFERROR(INDEX(PE_Equipe,MATCH(B1523,PE_Mat,0)),""))</f>
        <v/>
      </c>
      <c r="F1523" s="25"/>
      <c r="G1523" s="25"/>
      <c r="H1523" s="68"/>
      <c r="I1523" s="89"/>
      <c r="J1523" s="31" t="str">
        <f aca="false">IF(B1523="","",IFERROR(INDEX(PE_Taux,MATCH(B1523,PE_Mat,0)),0))</f>
        <v/>
      </c>
      <c r="K1523" s="31" t="str">
        <f aca="false">IF(B1523="","",IF(H1523="A",0,IFERROR(N(I1523)/P_Heures*J1523,0)))</f>
        <v/>
      </c>
      <c r="L1523" s="25"/>
    </row>
    <row r="1524" customFormat="false" ht="15" hidden="false" customHeight="false" outlineLevel="0" collapsed="false">
      <c r="A1524" s="69"/>
      <c r="B1524" s="68"/>
      <c r="C1524" s="76" t="str">
        <f aca="false">IF(B1524="","",IFERROR(INDEX(PE_Nom,MATCH(B1524,PE_Mat,0)),"Matricule inconnu"))</f>
        <v/>
      </c>
      <c r="D1524" s="76" t="str">
        <f aca="false">IF(B1524="","",IFERROR(INDEX(PE_Fonction,MATCH(B1524,PE_Mat,0)),""))</f>
        <v/>
      </c>
      <c r="E1524" s="76" t="str">
        <f aca="false">IF(B1524="","",IFERROR(INDEX(PE_Equipe,MATCH(B1524,PE_Mat,0)),""))</f>
        <v/>
      </c>
      <c r="F1524" s="25"/>
      <c r="G1524" s="25"/>
      <c r="H1524" s="68"/>
      <c r="I1524" s="89"/>
      <c r="J1524" s="31" t="str">
        <f aca="false">IF(B1524="","",IFERROR(INDEX(PE_Taux,MATCH(B1524,PE_Mat,0)),0))</f>
        <v/>
      </c>
      <c r="K1524" s="31" t="str">
        <f aca="false">IF(B1524="","",IF(H1524="A",0,IFERROR(N(I1524)/P_Heures*J1524,0)))</f>
        <v/>
      </c>
      <c r="L1524" s="25"/>
    </row>
    <row r="1525" customFormat="false" ht="15" hidden="false" customHeight="false" outlineLevel="0" collapsed="false">
      <c r="A1525" s="69"/>
      <c r="B1525" s="68"/>
      <c r="C1525" s="76" t="str">
        <f aca="false">IF(B1525="","",IFERROR(INDEX(PE_Nom,MATCH(B1525,PE_Mat,0)),"Matricule inconnu"))</f>
        <v/>
      </c>
      <c r="D1525" s="76" t="str">
        <f aca="false">IF(B1525="","",IFERROR(INDEX(PE_Fonction,MATCH(B1525,PE_Mat,0)),""))</f>
        <v/>
      </c>
      <c r="E1525" s="76" t="str">
        <f aca="false">IF(B1525="","",IFERROR(INDEX(PE_Equipe,MATCH(B1525,PE_Mat,0)),""))</f>
        <v/>
      </c>
      <c r="F1525" s="25"/>
      <c r="G1525" s="25"/>
      <c r="H1525" s="68"/>
      <c r="I1525" s="89"/>
      <c r="J1525" s="31" t="str">
        <f aca="false">IF(B1525="","",IFERROR(INDEX(PE_Taux,MATCH(B1525,PE_Mat,0)),0))</f>
        <v/>
      </c>
      <c r="K1525" s="31" t="str">
        <f aca="false">IF(B1525="","",IF(H1525="A",0,IFERROR(N(I1525)/P_Heures*J1525,0)))</f>
        <v/>
      </c>
      <c r="L1525" s="25"/>
    </row>
    <row r="1526" customFormat="false" ht="15" hidden="false" customHeight="false" outlineLevel="0" collapsed="false">
      <c r="A1526" s="69"/>
      <c r="B1526" s="68"/>
      <c r="C1526" s="76" t="str">
        <f aca="false">IF(B1526="","",IFERROR(INDEX(PE_Nom,MATCH(B1526,PE_Mat,0)),"Matricule inconnu"))</f>
        <v/>
      </c>
      <c r="D1526" s="76" t="str">
        <f aca="false">IF(B1526="","",IFERROR(INDEX(PE_Fonction,MATCH(B1526,PE_Mat,0)),""))</f>
        <v/>
      </c>
      <c r="E1526" s="76" t="str">
        <f aca="false">IF(B1526="","",IFERROR(INDEX(PE_Equipe,MATCH(B1526,PE_Mat,0)),""))</f>
        <v/>
      </c>
      <c r="F1526" s="25"/>
      <c r="G1526" s="25"/>
      <c r="H1526" s="68"/>
      <c r="I1526" s="89"/>
      <c r="J1526" s="31" t="str">
        <f aca="false">IF(B1526="","",IFERROR(INDEX(PE_Taux,MATCH(B1526,PE_Mat,0)),0))</f>
        <v/>
      </c>
      <c r="K1526" s="31" t="str">
        <f aca="false">IF(B1526="","",IF(H1526="A",0,IFERROR(N(I1526)/P_Heures*J1526,0)))</f>
        <v/>
      </c>
      <c r="L1526" s="25"/>
    </row>
    <row r="1527" customFormat="false" ht="15" hidden="false" customHeight="false" outlineLevel="0" collapsed="false">
      <c r="A1527" s="69"/>
      <c r="B1527" s="68"/>
      <c r="C1527" s="76" t="str">
        <f aca="false">IF(B1527="","",IFERROR(INDEX(PE_Nom,MATCH(B1527,PE_Mat,0)),"Matricule inconnu"))</f>
        <v/>
      </c>
      <c r="D1527" s="76" t="str">
        <f aca="false">IF(B1527="","",IFERROR(INDEX(PE_Fonction,MATCH(B1527,PE_Mat,0)),""))</f>
        <v/>
      </c>
      <c r="E1527" s="76" t="str">
        <f aca="false">IF(B1527="","",IFERROR(INDEX(PE_Equipe,MATCH(B1527,PE_Mat,0)),""))</f>
        <v/>
      </c>
      <c r="F1527" s="25"/>
      <c r="G1527" s="25"/>
      <c r="H1527" s="68"/>
      <c r="I1527" s="89"/>
      <c r="J1527" s="31" t="str">
        <f aca="false">IF(B1527="","",IFERROR(INDEX(PE_Taux,MATCH(B1527,PE_Mat,0)),0))</f>
        <v/>
      </c>
      <c r="K1527" s="31" t="str">
        <f aca="false">IF(B1527="","",IF(H1527="A",0,IFERROR(N(I1527)/P_Heures*J1527,0)))</f>
        <v/>
      </c>
      <c r="L1527" s="25"/>
    </row>
    <row r="1528" customFormat="false" ht="15" hidden="false" customHeight="false" outlineLevel="0" collapsed="false">
      <c r="A1528" s="69"/>
      <c r="B1528" s="68"/>
      <c r="C1528" s="76" t="str">
        <f aca="false">IF(B1528="","",IFERROR(INDEX(PE_Nom,MATCH(B1528,PE_Mat,0)),"Matricule inconnu"))</f>
        <v/>
      </c>
      <c r="D1528" s="76" t="str">
        <f aca="false">IF(B1528="","",IFERROR(INDEX(PE_Fonction,MATCH(B1528,PE_Mat,0)),""))</f>
        <v/>
      </c>
      <c r="E1528" s="76" t="str">
        <f aca="false">IF(B1528="","",IFERROR(INDEX(PE_Equipe,MATCH(B1528,PE_Mat,0)),""))</f>
        <v/>
      </c>
      <c r="F1528" s="25"/>
      <c r="G1528" s="25"/>
      <c r="H1528" s="68"/>
      <c r="I1528" s="89"/>
      <c r="J1528" s="31" t="str">
        <f aca="false">IF(B1528="","",IFERROR(INDEX(PE_Taux,MATCH(B1528,PE_Mat,0)),0))</f>
        <v/>
      </c>
      <c r="K1528" s="31" t="str">
        <f aca="false">IF(B1528="","",IF(H1528="A",0,IFERROR(N(I1528)/P_Heures*J1528,0)))</f>
        <v/>
      </c>
      <c r="L1528" s="25"/>
    </row>
    <row r="1529" customFormat="false" ht="15" hidden="false" customHeight="false" outlineLevel="0" collapsed="false">
      <c r="A1529" s="69"/>
      <c r="B1529" s="68"/>
      <c r="C1529" s="76" t="str">
        <f aca="false">IF(B1529="","",IFERROR(INDEX(PE_Nom,MATCH(B1529,PE_Mat,0)),"Matricule inconnu"))</f>
        <v/>
      </c>
      <c r="D1529" s="76" t="str">
        <f aca="false">IF(B1529="","",IFERROR(INDEX(PE_Fonction,MATCH(B1529,PE_Mat,0)),""))</f>
        <v/>
      </c>
      <c r="E1529" s="76" t="str">
        <f aca="false">IF(B1529="","",IFERROR(INDEX(PE_Equipe,MATCH(B1529,PE_Mat,0)),""))</f>
        <v/>
      </c>
      <c r="F1529" s="25"/>
      <c r="G1529" s="25"/>
      <c r="H1529" s="68"/>
      <c r="I1529" s="89"/>
      <c r="J1529" s="31" t="str">
        <f aca="false">IF(B1529="","",IFERROR(INDEX(PE_Taux,MATCH(B1529,PE_Mat,0)),0))</f>
        <v/>
      </c>
      <c r="K1529" s="31" t="str">
        <f aca="false">IF(B1529="","",IF(H1529="A",0,IFERROR(N(I1529)/P_Heures*J1529,0)))</f>
        <v/>
      </c>
      <c r="L1529" s="25"/>
    </row>
    <row r="1530" customFormat="false" ht="15" hidden="false" customHeight="false" outlineLevel="0" collapsed="false">
      <c r="A1530" s="69"/>
      <c r="B1530" s="68"/>
      <c r="C1530" s="76" t="str">
        <f aca="false">IF(B1530="","",IFERROR(INDEX(PE_Nom,MATCH(B1530,PE_Mat,0)),"Matricule inconnu"))</f>
        <v/>
      </c>
      <c r="D1530" s="76" t="str">
        <f aca="false">IF(B1530="","",IFERROR(INDEX(PE_Fonction,MATCH(B1530,PE_Mat,0)),""))</f>
        <v/>
      </c>
      <c r="E1530" s="76" t="str">
        <f aca="false">IF(B1530="","",IFERROR(INDEX(PE_Equipe,MATCH(B1530,PE_Mat,0)),""))</f>
        <v/>
      </c>
      <c r="F1530" s="25"/>
      <c r="G1530" s="25"/>
      <c r="H1530" s="68"/>
      <c r="I1530" s="89"/>
      <c r="J1530" s="31" t="str">
        <f aca="false">IF(B1530="","",IFERROR(INDEX(PE_Taux,MATCH(B1530,PE_Mat,0)),0))</f>
        <v/>
      </c>
      <c r="K1530" s="31" t="str">
        <f aca="false">IF(B1530="","",IF(H1530="A",0,IFERROR(N(I1530)/P_Heures*J1530,0)))</f>
        <v/>
      </c>
      <c r="L1530" s="25"/>
    </row>
    <row r="1531" customFormat="false" ht="15" hidden="false" customHeight="false" outlineLevel="0" collapsed="false">
      <c r="A1531" s="69"/>
      <c r="B1531" s="68"/>
      <c r="C1531" s="76" t="str">
        <f aca="false">IF(B1531="","",IFERROR(INDEX(PE_Nom,MATCH(B1531,PE_Mat,0)),"Matricule inconnu"))</f>
        <v/>
      </c>
      <c r="D1531" s="76" t="str">
        <f aca="false">IF(B1531="","",IFERROR(INDEX(PE_Fonction,MATCH(B1531,PE_Mat,0)),""))</f>
        <v/>
      </c>
      <c r="E1531" s="76" t="str">
        <f aca="false">IF(B1531="","",IFERROR(INDEX(PE_Equipe,MATCH(B1531,PE_Mat,0)),""))</f>
        <v/>
      </c>
      <c r="F1531" s="25"/>
      <c r="G1531" s="25"/>
      <c r="H1531" s="68"/>
      <c r="I1531" s="89"/>
      <c r="J1531" s="31" t="str">
        <f aca="false">IF(B1531="","",IFERROR(INDEX(PE_Taux,MATCH(B1531,PE_Mat,0)),0))</f>
        <v/>
      </c>
      <c r="K1531" s="31" t="str">
        <f aca="false">IF(B1531="","",IF(H1531="A",0,IFERROR(N(I1531)/P_Heures*J1531,0)))</f>
        <v/>
      </c>
      <c r="L1531" s="25"/>
    </row>
    <row r="1532" customFormat="false" ht="15" hidden="false" customHeight="false" outlineLevel="0" collapsed="false">
      <c r="A1532" s="69"/>
      <c r="B1532" s="68"/>
      <c r="C1532" s="76" t="str">
        <f aca="false">IF(B1532="","",IFERROR(INDEX(PE_Nom,MATCH(B1532,PE_Mat,0)),"Matricule inconnu"))</f>
        <v/>
      </c>
      <c r="D1532" s="76" t="str">
        <f aca="false">IF(B1532="","",IFERROR(INDEX(PE_Fonction,MATCH(B1532,PE_Mat,0)),""))</f>
        <v/>
      </c>
      <c r="E1532" s="76" t="str">
        <f aca="false">IF(B1532="","",IFERROR(INDEX(PE_Equipe,MATCH(B1532,PE_Mat,0)),""))</f>
        <v/>
      </c>
      <c r="F1532" s="25"/>
      <c r="G1532" s="25"/>
      <c r="H1532" s="68"/>
      <c r="I1532" s="89"/>
      <c r="J1532" s="31" t="str">
        <f aca="false">IF(B1532="","",IFERROR(INDEX(PE_Taux,MATCH(B1532,PE_Mat,0)),0))</f>
        <v/>
      </c>
      <c r="K1532" s="31" t="str">
        <f aca="false">IF(B1532="","",IF(H1532="A",0,IFERROR(N(I1532)/P_Heures*J1532,0)))</f>
        <v/>
      </c>
      <c r="L1532" s="25"/>
    </row>
    <row r="1533" customFormat="false" ht="15" hidden="false" customHeight="false" outlineLevel="0" collapsed="false">
      <c r="A1533" s="69"/>
      <c r="B1533" s="68"/>
      <c r="C1533" s="76" t="str">
        <f aca="false">IF(B1533="","",IFERROR(INDEX(PE_Nom,MATCH(B1533,PE_Mat,0)),"Matricule inconnu"))</f>
        <v/>
      </c>
      <c r="D1533" s="76" t="str">
        <f aca="false">IF(B1533="","",IFERROR(INDEX(PE_Fonction,MATCH(B1533,PE_Mat,0)),""))</f>
        <v/>
      </c>
      <c r="E1533" s="76" t="str">
        <f aca="false">IF(B1533="","",IFERROR(INDEX(PE_Equipe,MATCH(B1533,PE_Mat,0)),""))</f>
        <v/>
      </c>
      <c r="F1533" s="25"/>
      <c r="G1533" s="25"/>
      <c r="H1533" s="68"/>
      <c r="I1533" s="89"/>
      <c r="J1533" s="31" t="str">
        <f aca="false">IF(B1533="","",IFERROR(INDEX(PE_Taux,MATCH(B1533,PE_Mat,0)),0))</f>
        <v/>
      </c>
      <c r="K1533" s="31" t="str">
        <f aca="false">IF(B1533="","",IF(H1533="A",0,IFERROR(N(I1533)/P_Heures*J1533,0)))</f>
        <v/>
      </c>
      <c r="L1533" s="25"/>
    </row>
    <row r="1534" customFormat="false" ht="15" hidden="false" customHeight="false" outlineLevel="0" collapsed="false">
      <c r="A1534" s="69"/>
      <c r="B1534" s="68"/>
      <c r="C1534" s="76" t="str">
        <f aca="false">IF(B1534="","",IFERROR(INDEX(PE_Nom,MATCH(B1534,PE_Mat,0)),"Matricule inconnu"))</f>
        <v/>
      </c>
      <c r="D1534" s="76" t="str">
        <f aca="false">IF(B1534="","",IFERROR(INDEX(PE_Fonction,MATCH(B1534,PE_Mat,0)),""))</f>
        <v/>
      </c>
      <c r="E1534" s="76" t="str">
        <f aca="false">IF(B1534="","",IFERROR(INDEX(PE_Equipe,MATCH(B1534,PE_Mat,0)),""))</f>
        <v/>
      </c>
      <c r="F1534" s="25"/>
      <c r="G1534" s="25"/>
      <c r="H1534" s="68"/>
      <c r="I1534" s="89"/>
      <c r="J1534" s="31" t="str">
        <f aca="false">IF(B1534="","",IFERROR(INDEX(PE_Taux,MATCH(B1534,PE_Mat,0)),0))</f>
        <v/>
      </c>
      <c r="K1534" s="31" t="str">
        <f aca="false">IF(B1534="","",IF(H1534="A",0,IFERROR(N(I1534)/P_Heures*J1534,0)))</f>
        <v/>
      </c>
      <c r="L1534" s="25"/>
    </row>
    <row r="1535" customFormat="false" ht="15" hidden="false" customHeight="false" outlineLevel="0" collapsed="false">
      <c r="A1535" s="69"/>
      <c r="B1535" s="68"/>
      <c r="C1535" s="76" t="str">
        <f aca="false">IF(B1535="","",IFERROR(INDEX(PE_Nom,MATCH(B1535,PE_Mat,0)),"Matricule inconnu"))</f>
        <v/>
      </c>
      <c r="D1535" s="76" t="str">
        <f aca="false">IF(B1535="","",IFERROR(INDEX(PE_Fonction,MATCH(B1535,PE_Mat,0)),""))</f>
        <v/>
      </c>
      <c r="E1535" s="76" t="str">
        <f aca="false">IF(B1535="","",IFERROR(INDEX(PE_Equipe,MATCH(B1535,PE_Mat,0)),""))</f>
        <v/>
      </c>
      <c r="F1535" s="25"/>
      <c r="G1535" s="25"/>
      <c r="H1535" s="68"/>
      <c r="I1535" s="89"/>
      <c r="J1535" s="31" t="str">
        <f aca="false">IF(B1535="","",IFERROR(INDEX(PE_Taux,MATCH(B1535,PE_Mat,0)),0))</f>
        <v/>
      </c>
      <c r="K1535" s="31" t="str">
        <f aca="false">IF(B1535="","",IF(H1535="A",0,IFERROR(N(I1535)/P_Heures*J1535,0)))</f>
        <v/>
      </c>
      <c r="L1535" s="25"/>
    </row>
    <row r="1536" customFormat="false" ht="15" hidden="false" customHeight="false" outlineLevel="0" collapsed="false">
      <c r="A1536" s="69"/>
      <c r="B1536" s="68"/>
      <c r="C1536" s="76" t="str">
        <f aca="false">IF(B1536="","",IFERROR(INDEX(PE_Nom,MATCH(B1536,PE_Mat,0)),"Matricule inconnu"))</f>
        <v/>
      </c>
      <c r="D1536" s="76" t="str">
        <f aca="false">IF(B1536="","",IFERROR(INDEX(PE_Fonction,MATCH(B1536,PE_Mat,0)),""))</f>
        <v/>
      </c>
      <c r="E1536" s="76" t="str">
        <f aca="false">IF(B1536="","",IFERROR(INDEX(PE_Equipe,MATCH(B1536,PE_Mat,0)),""))</f>
        <v/>
      </c>
      <c r="F1536" s="25"/>
      <c r="G1536" s="25"/>
      <c r="H1536" s="68"/>
      <c r="I1536" s="89"/>
      <c r="J1536" s="31" t="str">
        <f aca="false">IF(B1536="","",IFERROR(INDEX(PE_Taux,MATCH(B1536,PE_Mat,0)),0))</f>
        <v/>
      </c>
      <c r="K1536" s="31" t="str">
        <f aca="false">IF(B1536="","",IF(H1536="A",0,IFERROR(N(I1536)/P_Heures*J1536,0)))</f>
        <v/>
      </c>
      <c r="L1536" s="25"/>
    </row>
    <row r="1537" customFormat="false" ht="15" hidden="false" customHeight="false" outlineLevel="0" collapsed="false">
      <c r="A1537" s="69"/>
      <c r="B1537" s="68"/>
      <c r="C1537" s="76" t="str">
        <f aca="false">IF(B1537="","",IFERROR(INDEX(PE_Nom,MATCH(B1537,PE_Mat,0)),"Matricule inconnu"))</f>
        <v/>
      </c>
      <c r="D1537" s="76" t="str">
        <f aca="false">IF(B1537="","",IFERROR(INDEX(PE_Fonction,MATCH(B1537,PE_Mat,0)),""))</f>
        <v/>
      </c>
      <c r="E1537" s="76" t="str">
        <f aca="false">IF(B1537="","",IFERROR(INDEX(PE_Equipe,MATCH(B1537,PE_Mat,0)),""))</f>
        <v/>
      </c>
      <c r="F1537" s="25"/>
      <c r="G1537" s="25"/>
      <c r="H1537" s="68"/>
      <c r="I1537" s="89"/>
      <c r="J1537" s="31" t="str">
        <f aca="false">IF(B1537="","",IFERROR(INDEX(PE_Taux,MATCH(B1537,PE_Mat,0)),0))</f>
        <v/>
      </c>
      <c r="K1537" s="31" t="str">
        <f aca="false">IF(B1537="","",IF(H1537="A",0,IFERROR(N(I1537)/P_Heures*J1537,0)))</f>
        <v/>
      </c>
      <c r="L1537" s="25"/>
    </row>
    <row r="1538" customFormat="false" ht="15" hidden="false" customHeight="false" outlineLevel="0" collapsed="false">
      <c r="A1538" s="69"/>
      <c r="B1538" s="68"/>
      <c r="C1538" s="76" t="str">
        <f aca="false">IF(B1538="","",IFERROR(INDEX(PE_Nom,MATCH(B1538,PE_Mat,0)),"Matricule inconnu"))</f>
        <v/>
      </c>
      <c r="D1538" s="76" t="str">
        <f aca="false">IF(B1538="","",IFERROR(INDEX(PE_Fonction,MATCH(B1538,PE_Mat,0)),""))</f>
        <v/>
      </c>
      <c r="E1538" s="76" t="str">
        <f aca="false">IF(B1538="","",IFERROR(INDEX(PE_Equipe,MATCH(B1538,PE_Mat,0)),""))</f>
        <v/>
      </c>
      <c r="F1538" s="25"/>
      <c r="G1538" s="25"/>
      <c r="H1538" s="68"/>
      <c r="I1538" s="89"/>
      <c r="J1538" s="31" t="str">
        <f aca="false">IF(B1538="","",IFERROR(INDEX(PE_Taux,MATCH(B1538,PE_Mat,0)),0))</f>
        <v/>
      </c>
      <c r="K1538" s="31" t="str">
        <f aca="false">IF(B1538="","",IF(H1538="A",0,IFERROR(N(I1538)/P_Heures*J1538,0)))</f>
        <v/>
      </c>
      <c r="L1538" s="25"/>
    </row>
    <row r="1539" customFormat="false" ht="15" hidden="false" customHeight="false" outlineLevel="0" collapsed="false">
      <c r="A1539" s="69"/>
      <c r="B1539" s="68"/>
      <c r="C1539" s="76" t="str">
        <f aca="false">IF(B1539="","",IFERROR(INDEX(PE_Nom,MATCH(B1539,PE_Mat,0)),"Matricule inconnu"))</f>
        <v/>
      </c>
      <c r="D1539" s="76" t="str">
        <f aca="false">IF(B1539="","",IFERROR(INDEX(PE_Fonction,MATCH(B1539,PE_Mat,0)),""))</f>
        <v/>
      </c>
      <c r="E1539" s="76" t="str">
        <f aca="false">IF(B1539="","",IFERROR(INDEX(PE_Equipe,MATCH(B1539,PE_Mat,0)),""))</f>
        <v/>
      </c>
      <c r="F1539" s="25"/>
      <c r="G1539" s="25"/>
      <c r="H1539" s="68"/>
      <c r="I1539" s="89"/>
      <c r="J1539" s="31" t="str">
        <f aca="false">IF(B1539="","",IFERROR(INDEX(PE_Taux,MATCH(B1539,PE_Mat,0)),0))</f>
        <v/>
      </c>
      <c r="K1539" s="31" t="str">
        <f aca="false">IF(B1539="","",IF(H1539="A",0,IFERROR(N(I1539)/P_Heures*J1539,0)))</f>
        <v/>
      </c>
      <c r="L1539" s="25"/>
    </row>
    <row r="1540" customFormat="false" ht="15" hidden="false" customHeight="false" outlineLevel="0" collapsed="false">
      <c r="A1540" s="69"/>
      <c r="B1540" s="68"/>
      <c r="C1540" s="76" t="str">
        <f aca="false">IF(B1540="","",IFERROR(INDEX(PE_Nom,MATCH(B1540,PE_Mat,0)),"Matricule inconnu"))</f>
        <v/>
      </c>
      <c r="D1540" s="76" t="str">
        <f aca="false">IF(B1540="","",IFERROR(INDEX(PE_Fonction,MATCH(B1540,PE_Mat,0)),""))</f>
        <v/>
      </c>
      <c r="E1540" s="76" t="str">
        <f aca="false">IF(B1540="","",IFERROR(INDEX(PE_Equipe,MATCH(B1540,PE_Mat,0)),""))</f>
        <v/>
      </c>
      <c r="F1540" s="25"/>
      <c r="G1540" s="25"/>
      <c r="H1540" s="68"/>
      <c r="I1540" s="89"/>
      <c r="J1540" s="31" t="str">
        <f aca="false">IF(B1540="","",IFERROR(INDEX(PE_Taux,MATCH(B1540,PE_Mat,0)),0))</f>
        <v/>
      </c>
      <c r="K1540" s="31" t="str">
        <f aca="false">IF(B1540="","",IF(H1540="A",0,IFERROR(N(I1540)/P_Heures*J1540,0)))</f>
        <v/>
      </c>
      <c r="L1540" s="25"/>
    </row>
    <row r="1541" customFormat="false" ht="15" hidden="false" customHeight="false" outlineLevel="0" collapsed="false">
      <c r="A1541" s="69"/>
      <c r="B1541" s="68"/>
      <c r="C1541" s="76" t="str">
        <f aca="false">IF(B1541="","",IFERROR(INDEX(PE_Nom,MATCH(B1541,PE_Mat,0)),"Matricule inconnu"))</f>
        <v/>
      </c>
      <c r="D1541" s="76" t="str">
        <f aca="false">IF(B1541="","",IFERROR(INDEX(PE_Fonction,MATCH(B1541,PE_Mat,0)),""))</f>
        <v/>
      </c>
      <c r="E1541" s="76" t="str">
        <f aca="false">IF(B1541="","",IFERROR(INDEX(PE_Equipe,MATCH(B1541,PE_Mat,0)),""))</f>
        <v/>
      </c>
      <c r="F1541" s="25"/>
      <c r="G1541" s="25"/>
      <c r="H1541" s="68"/>
      <c r="I1541" s="89"/>
      <c r="J1541" s="31" t="str">
        <f aca="false">IF(B1541="","",IFERROR(INDEX(PE_Taux,MATCH(B1541,PE_Mat,0)),0))</f>
        <v/>
      </c>
      <c r="K1541" s="31" t="str">
        <f aca="false">IF(B1541="","",IF(H1541="A",0,IFERROR(N(I1541)/P_Heures*J1541,0)))</f>
        <v/>
      </c>
      <c r="L1541" s="25"/>
    </row>
    <row r="1542" customFormat="false" ht="15" hidden="false" customHeight="false" outlineLevel="0" collapsed="false">
      <c r="A1542" s="69"/>
      <c r="B1542" s="68"/>
      <c r="C1542" s="76" t="str">
        <f aca="false">IF(B1542="","",IFERROR(INDEX(PE_Nom,MATCH(B1542,PE_Mat,0)),"Matricule inconnu"))</f>
        <v/>
      </c>
      <c r="D1542" s="76" t="str">
        <f aca="false">IF(B1542="","",IFERROR(INDEX(PE_Fonction,MATCH(B1542,PE_Mat,0)),""))</f>
        <v/>
      </c>
      <c r="E1542" s="76" t="str">
        <f aca="false">IF(B1542="","",IFERROR(INDEX(PE_Equipe,MATCH(B1542,PE_Mat,0)),""))</f>
        <v/>
      </c>
      <c r="F1542" s="25"/>
      <c r="G1542" s="25"/>
      <c r="H1542" s="68"/>
      <c r="I1542" s="89"/>
      <c r="J1542" s="31" t="str">
        <f aca="false">IF(B1542="","",IFERROR(INDEX(PE_Taux,MATCH(B1542,PE_Mat,0)),0))</f>
        <v/>
      </c>
      <c r="K1542" s="31" t="str">
        <f aca="false">IF(B1542="","",IF(H1542="A",0,IFERROR(N(I1542)/P_Heures*J1542,0)))</f>
        <v/>
      </c>
      <c r="L1542" s="25"/>
    </row>
    <row r="1543" customFormat="false" ht="15" hidden="false" customHeight="false" outlineLevel="0" collapsed="false">
      <c r="A1543" s="69"/>
      <c r="B1543" s="68"/>
      <c r="C1543" s="76" t="str">
        <f aca="false">IF(B1543="","",IFERROR(INDEX(PE_Nom,MATCH(B1543,PE_Mat,0)),"Matricule inconnu"))</f>
        <v/>
      </c>
      <c r="D1543" s="76" t="str">
        <f aca="false">IF(B1543="","",IFERROR(INDEX(PE_Fonction,MATCH(B1543,PE_Mat,0)),""))</f>
        <v/>
      </c>
      <c r="E1543" s="76" t="str">
        <f aca="false">IF(B1543="","",IFERROR(INDEX(PE_Equipe,MATCH(B1543,PE_Mat,0)),""))</f>
        <v/>
      </c>
      <c r="F1543" s="25"/>
      <c r="G1543" s="25"/>
      <c r="H1543" s="68"/>
      <c r="I1543" s="89"/>
      <c r="J1543" s="31" t="str">
        <f aca="false">IF(B1543="","",IFERROR(INDEX(PE_Taux,MATCH(B1543,PE_Mat,0)),0))</f>
        <v/>
      </c>
      <c r="K1543" s="31" t="str">
        <f aca="false">IF(B1543="","",IF(H1543="A",0,IFERROR(N(I1543)/P_Heures*J1543,0)))</f>
        <v/>
      </c>
      <c r="L1543" s="25"/>
    </row>
    <row r="1544" customFormat="false" ht="15" hidden="false" customHeight="false" outlineLevel="0" collapsed="false">
      <c r="A1544" s="69"/>
      <c r="B1544" s="68"/>
      <c r="C1544" s="76" t="str">
        <f aca="false">IF(B1544="","",IFERROR(INDEX(PE_Nom,MATCH(B1544,PE_Mat,0)),"Matricule inconnu"))</f>
        <v/>
      </c>
      <c r="D1544" s="76" t="str">
        <f aca="false">IF(B1544="","",IFERROR(INDEX(PE_Fonction,MATCH(B1544,PE_Mat,0)),""))</f>
        <v/>
      </c>
      <c r="E1544" s="76" t="str">
        <f aca="false">IF(B1544="","",IFERROR(INDEX(PE_Equipe,MATCH(B1544,PE_Mat,0)),""))</f>
        <v/>
      </c>
      <c r="F1544" s="25"/>
      <c r="G1544" s="25"/>
      <c r="H1544" s="68"/>
      <c r="I1544" s="89"/>
      <c r="J1544" s="31" t="str">
        <f aca="false">IF(B1544="","",IFERROR(INDEX(PE_Taux,MATCH(B1544,PE_Mat,0)),0))</f>
        <v/>
      </c>
      <c r="K1544" s="31" t="str">
        <f aca="false">IF(B1544="","",IF(H1544="A",0,IFERROR(N(I1544)/P_Heures*J1544,0)))</f>
        <v/>
      </c>
      <c r="L1544" s="25"/>
    </row>
    <row r="1545" customFormat="false" ht="15" hidden="false" customHeight="false" outlineLevel="0" collapsed="false">
      <c r="A1545" s="69"/>
      <c r="B1545" s="68"/>
      <c r="C1545" s="76" t="str">
        <f aca="false">IF(B1545="","",IFERROR(INDEX(PE_Nom,MATCH(B1545,PE_Mat,0)),"Matricule inconnu"))</f>
        <v/>
      </c>
      <c r="D1545" s="76" t="str">
        <f aca="false">IF(B1545="","",IFERROR(INDEX(PE_Fonction,MATCH(B1545,PE_Mat,0)),""))</f>
        <v/>
      </c>
      <c r="E1545" s="76" t="str">
        <f aca="false">IF(B1545="","",IFERROR(INDEX(PE_Equipe,MATCH(B1545,PE_Mat,0)),""))</f>
        <v/>
      </c>
      <c r="F1545" s="25"/>
      <c r="G1545" s="25"/>
      <c r="H1545" s="68"/>
      <c r="I1545" s="89"/>
      <c r="J1545" s="31" t="str">
        <f aca="false">IF(B1545="","",IFERROR(INDEX(PE_Taux,MATCH(B1545,PE_Mat,0)),0))</f>
        <v/>
      </c>
      <c r="K1545" s="31" t="str">
        <f aca="false">IF(B1545="","",IF(H1545="A",0,IFERROR(N(I1545)/P_Heures*J1545,0)))</f>
        <v/>
      </c>
      <c r="L1545" s="25"/>
    </row>
    <row r="1546" customFormat="false" ht="15" hidden="false" customHeight="false" outlineLevel="0" collapsed="false">
      <c r="A1546" s="69"/>
      <c r="B1546" s="68"/>
      <c r="C1546" s="76" t="str">
        <f aca="false">IF(B1546="","",IFERROR(INDEX(PE_Nom,MATCH(B1546,PE_Mat,0)),"Matricule inconnu"))</f>
        <v/>
      </c>
      <c r="D1546" s="76" t="str">
        <f aca="false">IF(B1546="","",IFERROR(INDEX(PE_Fonction,MATCH(B1546,PE_Mat,0)),""))</f>
        <v/>
      </c>
      <c r="E1546" s="76" t="str">
        <f aca="false">IF(B1546="","",IFERROR(INDEX(PE_Equipe,MATCH(B1546,PE_Mat,0)),""))</f>
        <v/>
      </c>
      <c r="F1546" s="25"/>
      <c r="G1546" s="25"/>
      <c r="H1546" s="68"/>
      <c r="I1546" s="89"/>
      <c r="J1546" s="31" t="str">
        <f aca="false">IF(B1546="","",IFERROR(INDEX(PE_Taux,MATCH(B1546,PE_Mat,0)),0))</f>
        <v/>
      </c>
      <c r="K1546" s="31" t="str">
        <f aca="false">IF(B1546="","",IF(H1546="A",0,IFERROR(N(I1546)/P_Heures*J1546,0)))</f>
        <v/>
      </c>
      <c r="L1546" s="25"/>
    </row>
    <row r="1547" customFormat="false" ht="15" hidden="false" customHeight="false" outlineLevel="0" collapsed="false">
      <c r="A1547" s="69"/>
      <c r="B1547" s="68"/>
      <c r="C1547" s="76" t="str">
        <f aca="false">IF(B1547="","",IFERROR(INDEX(PE_Nom,MATCH(B1547,PE_Mat,0)),"Matricule inconnu"))</f>
        <v/>
      </c>
      <c r="D1547" s="76" t="str">
        <f aca="false">IF(B1547="","",IFERROR(INDEX(PE_Fonction,MATCH(B1547,PE_Mat,0)),""))</f>
        <v/>
      </c>
      <c r="E1547" s="76" t="str">
        <f aca="false">IF(B1547="","",IFERROR(INDEX(PE_Equipe,MATCH(B1547,PE_Mat,0)),""))</f>
        <v/>
      </c>
      <c r="F1547" s="25"/>
      <c r="G1547" s="25"/>
      <c r="H1547" s="68"/>
      <c r="I1547" s="89"/>
      <c r="J1547" s="31" t="str">
        <f aca="false">IF(B1547="","",IFERROR(INDEX(PE_Taux,MATCH(B1547,PE_Mat,0)),0))</f>
        <v/>
      </c>
      <c r="K1547" s="31" t="str">
        <f aca="false">IF(B1547="","",IF(H1547="A",0,IFERROR(N(I1547)/P_Heures*J1547,0)))</f>
        <v/>
      </c>
      <c r="L1547" s="25"/>
    </row>
    <row r="1548" customFormat="false" ht="15" hidden="false" customHeight="false" outlineLevel="0" collapsed="false">
      <c r="A1548" s="69"/>
      <c r="B1548" s="68"/>
      <c r="C1548" s="76" t="str">
        <f aca="false">IF(B1548="","",IFERROR(INDEX(PE_Nom,MATCH(B1548,PE_Mat,0)),"Matricule inconnu"))</f>
        <v/>
      </c>
      <c r="D1548" s="76" t="str">
        <f aca="false">IF(B1548="","",IFERROR(INDEX(PE_Fonction,MATCH(B1548,PE_Mat,0)),""))</f>
        <v/>
      </c>
      <c r="E1548" s="76" t="str">
        <f aca="false">IF(B1548="","",IFERROR(INDEX(PE_Equipe,MATCH(B1548,PE_Mat,0)),""))</f>
        <v/>
      </c>
      <c r="F1548" s="25"/>
      <c r="G1548" s="25"/>
      <c r="H1548" s="68"/>
      <c r="I1548" s="89"/>
      <c r="J1548" s="31" t="str">
        <f aca="false">IF(B1548="","",IFERROR(INDEX(PE_Taux,MATCH(B1548,PE_Mat,0)),0))</f>
        <v/>
      </c>
      <c r="K1548" s="31" t="str">
        <f aca="false">IF(B1548="","",IF(H1548="A",0,IFERROR(N(I1548)/P_Heures*J1548,0)))</f>
        <v/>
      </c>
      <c r="L1548" s="25"/>
    </row>
    <row r="1549" customFormat="false" ht="15" hidden="false" customHeight="false" outlineLevel="0" collapsed="false">
      <c r="A1549" s="69"/>
      <c r="B1549" s="68"/>
      <c r="C1549" s="76" t="str">
        <f aca="false">IF(B1549="","",IFERROR(INDEX(PE_Nom,MATCH(B1549,PE_Mat,0)),"Matricule inconnu"))</f>
        <v/>
      </c>
      <c r="D1549" s="76" t="str">
        <f aca="false">IF(B1549="","",IFERROR(INDEX(PE_Fonction,MATCH(B1549,PE_Mat,0)),""))</f>
        <v/>
      </c>
      <c r="E1549" s="76" t="str">
        <f aca="false">IF(B1549="","",IFERROR(INDEX(PE_Equipe,MATCH(B1549,PE_Mat,0)),""))</f>
        <v/>
      </c>
      <c r="F1549" s="25"/>
      <c r="G1549" s="25"/>
      <c r="H1549" s="68"/>
      <c r="I1549" s="89"/>
      <c r="J1549" s="31" t="str">
        <f aca="false">IF(B1549="","",IFERROR(INDEX(PE_Taux,MATCH(B1549,PE_Mat,0)),0))</f>
        <v/>
      </c>
      <c r="K1549" s="31" t="str">
        <f aca="false">IF(B1549="","",IF(H1549="A",0,IFERROR(N(I1549)/P_Heures*J1549,0)))</f>
        <v/>
      </c>
      <c r="L1549" s="25"/>
    </row>
    <row r="1550" customFormat="false" ht="15" hidden="false" customHeight="false" outlineLevel="0" collapsed="false">
      <c r="A1550" s="69"/>
      <c r="B1550" s="68"/>
      <c r="C1550" s="76" t="str">
        <f aca="false">IF(B1550="","",IFERROR(INDEX(PE_Nom,MATCH(B1550,PE_Mat,0)),"Matricule inconnu"))</f>
        <v/>
      </c>
      <c r="D1550" s="76" t="str">
        <f aca="false">IF(B1550="","",IFERROR(INDEX(PE_Fonction,MATCH(B1550,PE_Mat,0)),""))</f>
        <v/>
      </c>
      <c r="E1550" s="76" t="str">
        <f aca="false">IF(B1550="","",IFERROR(INDEX(PE_Equipe,MATCH(B1550,PE_Mat,0)),""))</f>
        <v/>
      </c>
      <c r="F1550" s="25"/>
      <c r="G1550" s="25"/>
      <c r="H1550" s="68"/>
      <c r="I1550" s="89"/>
      <c r="J1550" s="31" t="str">
        <f aca="false">IF(B1550="","",IFERROR(INDEX(PE_Taux,MATCH(B1550,PE_Mat,0)),0))</f>
        <v/>
      </c>
      <c r="K1550" s="31" t="str">
        <f aca="false">IF(B1550="","",IF(H1550="A",0,IFERROR(N(I1550)/P_Heures*J1550,0)))</f>
        <v/>
      </c>
      <c r="L1550" s="25"/>
    </row>
    <row r="1551" customFormat="false" ht="15" hidden="false" customHeight="false" outlineLevel="0" collapsed="false">
      <c r="A1551" s="69"/>
      <c r="B1551" s="68"/>
      <c r="C1551" s="76" t="str">
        <f aca="false">IF(B1551="","",IFERROR(INDEX(PE_Nom,MATCH(B1551,PE_Mat,0)),"Matricule inconnu"))</f>
        <v/>
      </c>
      <c r="D1551" s="76" t="str">
        <f aca="false">IF(B1551="","",IFERROR(INDEX(PE_Fonction,MATCH(B1551,PE_Mat,0)),""))</f>
        <v/>
      </c>
      <c r="E1551" s="76" t="str">
        <f aca="false">IF(B1551="","",IFERROR(INDEX(PE_Equipe,MATCH(B1551,PE_Mat,0)),""))</f>
        <v/>
      </c>
      <c r="F1551" s="25"/>
      <c r="G1551" s="25"/>
      <c r="H1551" s="68"/>
      <c r="I1551" s="89"/>
      <c r="J1551" s="31" t="str">
        <f aca="false">IF(B1551="","",IFERROR(INDEX(PE_Taux,MATCH(B1551,PE_Mat,0)),0))</f>
        <v/>
      </c>
      <c r="K1551" s="31" t="str">
        <f aca="false">IF(B1551="","",IF(H1551="A",0,IFERROR(N(I1551)/P_Heures*J1551,0)))</f>
        <v/>
      </c>
      <c r="L1551" s="25"/>
    </row>
    <row r="1552" customFormat="false" ht="15" hidden="false" customHeight="false" outlineLevel="0" collapsed="false">
      <c r="A1552" s="69"/>
      <c r="B1552" s="68"/>
      <c r="C1552" s="76" t="str">
        <f aca="false">IF(B1552="","",IFERROR(INDEX(PE_Nom,MATCH(B1552,PE_Mat,0)),"Matricule inconnu"))</f>
        <v/>
      </c>
      <c r="D1552" s="76" t="str">
        <f aca="false">IF(B1552="","",IFERROR(INDEX(PE_Fonction,MATCH(B1552,PE_Mat,0)),""))</f>
        <v/>
      </c>
      <c r="E1552" s="76" t="str">
        <f aca="false">IF(B1552="","",IFERROR(INDEX(PE_Equipe,MATCH(B1552,PE_Mat,0)),""))</f>
        <v/>
      </c>
      <c r="F1552" s="25"/>
      <c r="G1552" s="25"/>
      <c r="H1552" s="68"/>
      <c r="I1552" s="89"/>
      <c r="J1552" s="31" t="str">
        <f aca="false">IF(B1552="","",IFERROR(INDEX(PE_Taux,MATCH(B1552,PE_Mat,0)),0))</f>
        <v/>
      </c>
      <c r="K1552" s="31" t="str">
        <f aca="false">IF(B1552="","",IF(H1552="A",0,IFERROR(N(I1552)/P_Heures*J1552,0)))</f>
        <v/>
      </c>
      <c r="L1552" s="25"/>
    </row>
    <row r="1553" customFormat="false" ht="15" hidden="false" customHeight="false" outlineLevel="0" collapsed="false">
      <c r="A1553" s="69"/>
      <c r="B1553" s="68"/>
      <c r="C1553" s="76" t="str">
        <f aca="false">IF(B1553="","",IFERROR(INDEX(PE_Nom,MATCH(B1553,PE_Mat,0)),"Matricule inconnu"))</f>
        <v/>
      </c>
      <c r="D1553" s="76" t="str">
        <f aca="false">IF(B1553="","",IFERROR(INDEX(PE_Fonction,MATCH(B1553,PE_Mat,0)),""))</f>
        <v/>
      </c>
      <c r="E1553" s="76" t="str">
        <f aca="false">IF(B1553="","",IFERROR(INDEX(PE_Equipe,MATCH(B1553,PE_Mat,0)),""))</f>
        <v/>
      </c>
      <c r="F1553" s="25"/>
      <c r="G1553" s="25"/>
      <c r="H1553" s="68"/>
      <c r="I1553" s="89"/>
      <c r="J1553" s="31" t="str">
        <f aca="false">IF(B1553="","",IFERROR(INDEX(PE_Taux,MATCH(B1553,PE_Mat,0)),0))</f>
        <v/>
      </c>
      <c r="K1553" s="31" t="str">
        <f aca="false">IF(B1553="","",IF(H1553="A",0,IFERROR(N(I1553)/P_Heures*J1553,0)))</f>
        <v/>
      </c>
      <c r="L1553" s="25"/>
    </row>
    <row r="1554" customFormat="false" ht="15" hidden="false" customHeight="false" outlineLevel="0" collapsed="false">
      <c r="A1554" s="69"/>
      <c r="B1554" s="68"/>
      <c r="C1554" s="76" t="str">
        <f aca="false">IF(B1554="","",IFERROR(INDEX(PE_Nom,MATCH(B1554,PE_Mat,0)),"Matricule inconnu"))</f>
        <v/>
      </c>
      <c r="D1554" s="76" t="str">
        <f aca="false">IF(B1554="","",IFERROR(INDEX(PE_Fonction,MATCH(B1554,PE_Mat,0)),""))</f>
        <v/>
      </c>
      <c r="E1554" s="76" t="str">
        <f aca="false">IF(B1554="","",IFERROR(INDEX(PE_Equipe,MATCH(B1554,PE_Mat,0)),""))</f>
        <v/>
      </c>
      <c r="F1554" s="25"/>
      <c r="G1554" s="25"/>
      <c r="H1554" s="68"/>
      <c r="I1554" s="89"/>
      <c r="J1554" s="31" t="str">
        <f aca="false">IF(B1554="","",IFERROR(INDEX(PE_Taux,MATCH(B1554,PE_Mat,0)),0))</f>
        <v/>
      </c>
      <c r="K1554" s="31" t="str">
        <f aca="false">IF(B1554="","",IF(H1554="A",0,IFERROR(N(I1554)/P_Heures*J1554,0)))</f>
        <v/>
      </c>
      <c r="L1554" s="25"/>
    </row>
    <row r="1555" customFormat="false" ht="15" hidden="false" customHeight="false" outlineLevel="0" collapsed="false">
      <c r="A1555" s="69"/>
      <c r="B1555" s="68"/>
      <c r="C1555" s="76" t="str">
        <f aca="false">IF(B1555="","",IFERROR(INDEX(PE_Nom,MATCH(B1555,PE_Mat,0)),"Matricule inconnu"))</f>
        <v/>
      </c>
      <c r="D1555" s="76" t="str">
        <f aca="false">IF(B1555="","",IFERROR(INDEX(PE_Fonction,MATCH(B1555,PE_Mat,0)),""))</f>
        <v/>
      </c>
      <c r="E1555" s="76" t="str">
        <f aca="false">IF(B1555="","",IFERROR(INDEX(PE_Equipe,MATCH(B1555,PE_Mat,0)),""))</f>
        <v/>
      </c>
      <c r="F1555" s="25"/>
      <c r="G1555" s="25"/>
      <c r="H1555" s="68"/>
      <c r="I1555" s="89"/>
      <c r="J1555" s="31" t="str">
        <f aca="false">IF(B1555="","",IFERROR(INDEX(PE_Taux,MATCH(B1555,PE_Mat,0)),0))</f>
        <v/>
      </c>
      <c r="K1555" s="31" t="str">
        <f aca="false">IF(B1555="","",IF(H1555="A",0,IFERROR(N(I1555)/P_Heures*J1555,0)))</f>
        <v/>
      </c>
      <c r="L1555" s="25"/>
    </row>
    <row r="1556" customFormat="false" ht="15" hidden="false" customHeight="false" outlineLevel="0" collapsed="false">
      <c r="A1556" s="69"/>
      <c r="B1556" s="68"/>
      <c r="C1556" s="76" t="str">
        <f aca="false">IF(B1556="","",IFERROR(INDEX(PE_Nom,MATCH(B1556,PE_Mat,0)),"Matricule inconnu"))</f>
        <v/>
      </c>
      <c r="D1556" s="76" t="str">
        <f aca="false">IF(B1556="","",IFERROR(INDEX(PE_Fonction,MATCH(B1556,PE_Mat,0)),""))</f>
        <v/>
      </c>
      <c r="E1556" s="76" t="str">
        <f aca="false">IF(B1556="","",IFERROR(INDEX(PE_Equipe,MATCH(B1556,PE_Mat,0)),""))</f>
        <v/>
      </c>
      <c r="F1556" s="25"/>
      <c r="G1556" s="25"/>
      <c r="H1556" s="68"/>
      <c r="I1556" s="89"/>
      <c r="J1556" s="31" t="str">
        <f aca="false">IF(B1556="","",IFERROR(INDEX(PE_Taux,MATCH(B1556,PE_Mat,0)),0))</f>
        <v/>
      </c>
      <c r="K1556" s="31" t="str">
        <f aca="false">IF(B1556="","",IF(H1556="A",0,IFERROR(N(I1556)/P_Heures*J1556,0)))</f>
        <v/>
      </c>
      <c r="L1556" s="25"/>
    </row>
    <row r="1557" customFormat="false" ht="15" hidden="false" customHeight="false" outlineLevel="0" collapsed="false">
      <c r="A1557" s="69"/>
      <c r="B1557" s="68"/>
      <c r="C1557" s="76" t="str">
        <f aca="false">IF(B1557="","",IFERROR(INDEX(PE_Nom,MATCH(B1557,PE_Mat,0)),"Matricule inconnu"))</f>
        <v/>
      </c>
      <c r="D1557" s="76" t="str">
        <f aca="false">IF(B1557="","",IFERROR(INDEX(PE_Fonction,MATCH(B1557,PE_Mat,0)),""))</f>
        <v/>
      </c>
      <c r="E1557" s="76" t="str">
        <f aca="false">IF(B1557="","",IFERROR(INDEX(PE_Equipe,MATCH(B1557,PE_Mat,0)),""))</f>
        <v/>
      </c>
      <c r="F1557" s="25"/>
      <c r="G1557" s="25"/>
      <c r="H1557" s="68"/>
      <c r="I1557" s="89"/>
      <c r="J1557" s="31" t="str">
        <f aca="false">IF(B1557="","",IFERROR(INDEX(PE_Taux,MATCH(B1557,PE_Mat,0)),0))</f>
        <v/>
      </c>
      <c r="K1557" s="31" t="str">
        <f aca="false">IF(B1557="","",IF(H1557="A",0,IFERROR(N(I1557)/P_Heures*J1557,0)))</f>
        <v/>
      </c>
      <c r="L1557" s="25"/>
    </row>
    <row r="1558" customFormat="false" ht="15" hidden="false" customHeight="false" outlineLevel="0" collapsed="false">
      <c r="A1558" s="69"/>
      <c r="B1558" s="68"/>
      <c r="C1558" s="76" t="str">
        <f aca="false">IF(B1558="","",IFERROR(INDEX(PE_Nom,MATCH(B1558,PE_Mat,0)),"Matricule inconnu"))</f>
        <v/>
      </c>
      <c r="D1558" s="76" t="str">
        <f aca="false">IF(B1558="","",IFERROR(INDEX(PE_Fonction,MATCH(B1558,PE_Mat,0)),""))</f>
        <v/>
      </c>
      <c r="E1558" s="76" t="str">
        <f aca="false">IF(B1558="","",IFERROR(INDEX(PE_Equipe,MATCH(B1558,PE_Mat,0)),""))</f>
        <v/>
      </c>
      <c r="F1558" s="25"/>
      <c r="G1558" s="25"/>
      <c r="H1558" s="68"/>
      <c r="I1558" s="89"/>
      <c r="J1558" s="31" t="str">
        <f aca="false">IF(B1558="","",IFERROR(INDEX(PE_Taux,MATCH(B1558,PE_Mat,0)),0))</f>
        <v/>
      </c>
      <c r="K1558" s="31" t="str">
        <f aca="false">IF(B1558="","",IF(H1558="A",0,IFERROR(N(I1558)/P_Heures*J1558,0)))</f>
        <v/>
      </c>
      <c r="L1558" s="25"/>
    </row>
    <row r="1559" customFormat="false" ht="15" hidden="false" customHeight="false" outlineLevel="0" collapsed="false">
      <c r="A1559" s="69"/>
      <c r="B1559" s="68"/>
      <c r="C1559" s="76" t="str">
        <f aca="false">IF(B1559="","",IFERROR(INDEX(PE_Nom,MATCH(B1559,PE_Mat,0)),"Matricule inconnu"))</f>
        <v/>
      </c>
      <c r="D1559" s="76" t="str">
        <f aca="false">IF(B1559="","",IFERROR(INDEX(PE_Fonction,MATCH(B1559,PE_Mat,0)),""))</f>
        <v/>
      </c>
      <c r="E1559" s="76" t="str">
        <f aca="false">IF(B1559="","",IFERROR(INDEX(PE_Equipe,MATCH(B1559,PE_Mat,0)),""))</f>
        <v/>
      </c>
      <c r="F1559" s="25"/>
      <c r="G1559" s="25"/>
      <c r="H1559" s="68"/>
      <c r="I1559" s="89"/>
      <c r="J1559" s="31" t="str">
        <f aca="false">IF(B1559="","",IFERROR(INDEX(PE_Taux,MATCH(B1559,PE_Mat,0)),0))</f>
        <v/>
      </c>
      <c r="K1559" s="31" t="str">
        <f aca="false">IF(B1559="","",IF(H1559="A",0,IFERROR(N(I1559)/P_Heures*J1559,0)))</f>
        <v/>
      </c>
      <c r="L1559" s="25"/>
    </row>
    <row r="1560" customFormat="false" ht="15" hidden="false" customHeight="false" outlineLevel="0" collapsed="false">
      <c r="A1560" s="69"/>
      <c r="B1560" s="68"/>
      <c r="C1560" s="76" t="str">
        <f aca="false">IF(B1560="","",IFERROR(INDEX(PE_Nom,MATCH(B1560,PE_Mat,0)),"Matricule inconnu"))</f>
        <v/>
      </c>
      <c r="D1560" s="76" t="str">
        <f aca="false">IF(B1560="","",IFERROR(INDEX(PE_Fonction,MATCH(B1560,PE_Mat,0)),""))</f>
        <v/>
      </c>
      <c r="E1560" s="76" t="str">
        <f aca="false">IF(B1560="","",IFERROR(INDEX(PE_Equipe,MATCH(B1560,PE_Mat,0)),""))</f>
        <v/>
      </c>
      <c r="F1560" s="25"/>
      <c r="G1560" s="25"/>
      <c r="H1560" s="68"/>
      <c r="I1560" s="89"/>
      <c r="J1560" s="31" t="str">
        <f aca="false">IF(B1560="","",IFERROR(INDEX(PE_Taux,MATCH(B1560,PE_Mat,0)),0))</f>
        <v/>
      </c>
      <c r="K1560" s="31" t="str">
        <f aca="false">IF(B1560="","",IF(H1560="A",0,IFERROR(N(I1560)/P_Heures*J1560,0)))</f>
        <v/>
      </c>
      <c r="L1560" s="25"/>
    </row>
    <row r="1561" customFormat="false" ht="15" hidden="false" customHeight="false" outlineLevel="0" collapsed="false">
      <c r="A1561" s="69"/>
      <c r="B1561" s="68"/>
      <c r="C1561" s="76" t="str">
        <f aca="false">IF(B1561="","",IFERROR(INDEX(PE_Nom,MATCH(B1561,PE_Mat,0)),"Matricule inconnu"))</f>
        <v/>
      </c>
      <c r="D1561" s="76" t="str">
        <f aca="false">IF(B1561="","",IFERROR(INDEX(PE_Fonction,MATCH(B1561,PE_Mat,0)),""))</f>
        <v/>
      </c>
      <c r="E1561" s="76" t="str">
        <f aca="false">IF(B1561="","",IFERROR(INDEX(PE_Equipe,MATCH(B1561,PE_Mat,0)),""))</f>
        <v/>
      </c>
      <c r="F1561" s="25"/>
      <c r="G1561" s="25"/>
      <c r="H1561" s="68"/>
      <c r="I1561" s="89"/>
      <c r="J1561" s="31" t="str">
        <f aca="false">IF(B1561="","",IFERROR(INDEX(PE_Taux,MATCH(B1561,PE_Mat,0)),0))</f>
        <v/>
      </c>
      <c r="K1561" s="31" t="str">
        <f aca="false">IF(B1561="","",IF(H1561="A",0,IFERROR(N(I1561)/P_Heures*J1561,0)))</f>
        <v/>
      </c>
      <c r="L1561" s="25"/>
    </row>
    <row r="1562" customFormat="false" ht="15" hidden="false" customHeight="false" outlineLevel="0" collapsed="false">
      <c r="A1562" s="69"/>
      <c r="B1562" s="68"/>
      <c r="C1562" s="76" t="str">
        <f aca="false">IF(B1562="","",IFERROR(INDEX(PE_Nom,MATCH(B1562,PE_Mat,0)),"Matricule inconnu"))</f>
        <v/>
      </c>
      <c r="D1562" s="76" t="str">
        <f aca="false">IF(B1562="","",IFERROR(INDEX(PE_Fonction,MATCH(B1562,PE_Mat,0)),""))</f>
        <v/>
      </c>
      <c r="E1562" s="76" t="str">
        <f aca="false">IF(B1562="","",IFERROR(INDEX(PE_Equipe,MATCH(B1562,PE_Mat,0)),""))</f>
        <v/>
      </c>
      <c r="F1562" s="25"/>
      <c r="G1562" s="25"/>
      <c r="H1562" s="68"/>
      <c r="I1562" s="89"/>
      <c r="J1562" s="31" t="str">
        <f aca="false">IF(B1562="","",IFERROR(INDEX(PE_Taux,MATCH(B1562,PE_Mat,0)),0))</f>
        <v/>
      </c>
      <c r="K1562" s="31" t="str">
        <f aca="false">IF(B1562="","",IF(H1562="A",0,IFERROR(N(I1562)/P_Heures*J1562,0)))</f>
        <v/>
      </c>
      <c r="L1562" s="25"/>
    </row>
    <row r="1563" customFormat="false" ht="15" hidden="false" customHeight="false" outlineLevel="0" collapsed="false">
      <c r="A1563" s="69"/>
      <c r="B1563" s="68"/>
      <c r="C1563" s="76" t="str">
        <f aca="false">IF(B1563="","",IFERROR(INDEX(PE_Nom,MATCH(B1563,PE_Mat,0)),"Matricule inconnu"))</f>
        <v/>
      </c>
      <c r="D1563" s="76" t="str">
        <f aca="false">IF(B1563="","",IFERROR(INDEX(PE_Fonction,MATCH(B1563,PE_Mat,0)),""))</f>
        <v/>
      </c>
      <c r="E1563" s="76" t="str">
        <f aca="false">IF(B1563="","",IFERROR(INDEX(PE_Equipe,MATCH(B1563,PE_Mat,0)),""))</f>
        <v/>
      </c>
      <c r="F1563" s="25"/>
      <c r="G1563" s="25"/>
      <c r="H1563" s="68"/>
      <c r="I1563" s="89"/>
      <c r="J1563" s="31" t="str">
        <f aca="false">IF(B1563="","",IFERROR(INDEX(PE_Taux,MATCH(B1563,PE_Mat,0)),0))</f>
        <v/>
      </c>
      <c r="K1563" s="31" t="str">
        <f aca="false">IF(B1563="","",IF(H1563="A",0,IFERROR(N(I1563)/P_Heures*J1563,0)))</f>
        <v/>
      </c>
      <c r="L1563" s="25"/>
    </row>
    <row r="1564" customFormat="false" ht="15" hidden="false" customHeight="false" outlineLevel="0" collapsed="false">
      <c r="A1564" s="69"/>
      <c r="B1564" s="68"/>
      <c r="C1564" s="76" t="str">
        <f aca="false">IF(B1564="","",IFERROR(INDEX(PE_Nom,MATCH(B1564,PE_Mat,0)),"Matricule inconnu"))</f>
        <v/>
      </c>
      <c r="D1564" s="76" t="str">
        <f aca="false">IF(B1564="","",IFERROR(INDEX(PE_Fonction,MATCH(B1564,PE_Mat,0)),""))</f>
        <v/>
      </c>
      <c r="E1564" s="76" t="str">
        <f aca="false">IF(B1564="","",IFERROR(INDEX(PE_Equipe,MATCH(B1564,PE_Mat,0)),""))</f>
        <v/>
      </c>
      <c r="F1564" s="25"/>
      <c r="G1564" s="25"/>
      <c r="H1564" s="68"/>
      <c r="I1564" s="89"/>
      <c r="J1564" s="31" t="str">
        <f aca="false">IF(B1564="","",IFERROR(INDEX(PE_Taux,MATCH(B1564,PE_Mat,0)),0))</f>
        <v/>
      </c>
      <c r="K1564" s="31" t="str">
        <f aca="false">IF(B1564="","",IF(H1564="A",0,IFERROR(N(I1564)/P_Heures*J1564,0)))</f>
        <v/>
      </c>
      <c r="L1564" s="25"/>
    </row>
    <row r="1565" customFormat="false" ht="15" hidden="false" customHeight="false" outlineLevel="0" collapsed="false">
      <c r="A1565" s="69"/>
      <c r="B1565" s="68"/>
      <c r="C1565" s="76" t="str">
        <f aca="false">IF(B1565="","",IFERROR(INDEX(PE_Nom,MATCH(B1565,PE_Mat,0)),"Matricule inconnu"))</f>
        <v/>
      </c>
      <c r="D1565" s="76" t="str">
        <f aca="false">IF(B1565="","",IFERROR(INDEX(PE_Fonction,MATCH(B1565,PE_Mat,0)),""))</f>
        <v/>
      </c>
      <c r="E1565" s="76" t="str">
        <f aca="false">IF(B1565="","",IFERROR(INDEX(PE_Equipe,MATCH(B1565,PE_Mat,0)),""))</f>
        <v/>
      </c>
      <c r="F1565" s="25"/>
      <c r="G1565" s="25"/>
      <c r="H1565" s="68"/>
      <c r="I1565" s="89"/>
      <c r="J1565" s="31" t="str">
        <f aca="false">IF(B1565="","",IFERROR(INDEX(PE_Taux,MATCH(B1565,PE_Mat,0)),0))</f>
        <v/>
      </c>
      <c r="K1565" s="31" t="str">
        <f aca="false">IF(B1565="","",IF(H1565="A",0,IFERROR(N(I1565)/P_Heures*J1565,0)))</f>
        <v/>
      </c>
      <c r="L1565" s="25"/>
    </row>
    <row r="1566" customFormat="false" ht="15" hidden="false" customHeight="false" outlineLevel="0" collapsed="false">
      <c r="A1566" s="69"/>
      <c r="B1566" s="68"/>
      <c r="C1566" s="76" t="str">
        <f aca="false">IF(B1566="","",IFERROR(INDEX(PE_Nom,MATCH(B1566,PE_Mat,0)),"Matricule inconnu"))</f>
        <v/>
      </c>
      <c r="D1566" s="76" t="str">
        <f aca="false">IF(B1566="","",IFERROR(INDEX(PE_Fonction,MATCH(B1566,PE_Mat,0)),""))</f>
        <v/>
      </c>
      <c r="E1566" s="76" t="str">
        <f aca="false">IF(B1566="","",IFERROR(INDEX(PE_Equipe,MATCH(B1566,PE_Mat,0)),""))</f>
        <v/>
      </c>
      <c r="F1566" s="25"/>
      <c r="G1566" s="25"/>
      <c r="H1566" s="68"/>
      <c r="I1566" s="89"/>
      <c r="J1566" s="31" t="str">
        <f aca="false">IF(B1566="","",IFERROR(INDEX(PE_Taux,MATCH(B1566,PE_Mat,0)),0))</f>
        <v/>
      </c>
      <c r="K1566" s="31" t="str">
        <f aca="false">IF(B1566="","",IF(H1566="A",0,IFERROR(N(I1566)/P_Heures*J1566,0)))</f>
        <v/>
      </c>
      <c r="L1566" s="25"/>
    </row>
    <row r="1567" customFormat="false" ht="15" hidden="false" customHeight="false" outlineLevel="0" collapsed="false">
      <c r="A1567" s="69"/>
      <c r="B1567" s="68"/>
      <c r="C1567" s="76" t="str">
        <f aca="false">IF(B1567="","",IFERROR(INDEX(PE_Nom,MATCH(B1567,PE_Mat,0)),"Matricule inconnu"))</f>
        <v/>
      </c>
      <c r="D1567" s="76" t="str">
        <f aca="false">IF(B1567="","",IFERROR(INDEX(PE_Fonction,MATCH(B1567,PE_Mat,0)),""))</f>
        <v/>
      </c>
      <c r="E1567" s="76" t="str">
        <f aca="false">IF(B1567="","",IFERROR(INDEX(PE_Equipe,MATCH(B1567,PE_Mat,0)),""))</f>
        <v/>
      </c>
      <c r="F1567" s="25"/>
      <c r="G1567" s="25"/>
      <c r="H1567" s="68"/>
      <c r="I1567" s="89"/>
      <c r="J1567" s="31" t="str">
        <f aca="false">IF(B1567="","",IFERROR(INDEX(PE_Taux,MATCH(B1567,PE_Mat,0)),0))</f>
        <v/>
      </c>
      <c r="K1567" s="31" t="str">
        <f aca="false">IF(B1567="","",IF(H1567="A",0,IFERROR(N(I1567)/P_Heures*J1567,0)))</f>
        <v/>
      </c>
      <c r="L1567" s="25"/>
    </row>
    <row r="1568" customFormat="false" ht="15" hidden="false" customHeight="false" outlineLevel="0" collapsed="false">
      <c r="A1568" s="69"/>
      <c r="B1568" s="68"/>
      <c r="C1568" s="76" t="str">
        <f aca="false">IF(B1568="","",IFERROR(INDEX(PE_Nom,MATCH(B1568,PE_Mat,0)),"Matricule inconnu"))</f>
        <v/>
      </c>
      <c r="D1568" s="76" t="str">
        <f aca="false">IF(B1568="","",IFERROR(INDEX(PE_Fonction,MATCH(B1568,PE_Mat,0)),""))</f>
        <v/>
      </c>
      <c r="E1568" s="76" t="str">
        <f aca="false">IF(B1568="","",IFERROR(INDEX(PE_Equipe,MATCH(B1568,PE_Mat,0)),""))</f>
        <v/>
      </c>
      <c r="F1568" s="25"/>
      <c r="G1568" s="25"/>
      <c r="H1568" s="68"/>
      <c r="I1568" s="89"/>
      <c r="J1568" s="31" t="str">
        <f aca="false">IF(B1568="","",IFERROR(INDEX(PE_Taux,MATCH(B1568,PE_Mat,0)),0))</f>
        <v/>
      </c>
      <c r="K1568" s="31" t="str">
        <f aca="false">IF(B1568="","",IF(H1568="A",0,IFERROR(N(I1568)/P_Heures*J1568,0)))</f>
        <v/>
      </c>
      <c r="L1568" s="25"/>
    </row>
    <row r="1569" customFormat="false" ht="15" hidden="false" customHeight="false" outlineLevel="0" collapsed="false">
      <c r="A1569" s="69"/>
      <c r="B1569" s="68"/>
      <c r="C1569" s="76" t="str">
        <f aca="false">IF(B1569="","",IFERROR(INDEX(PE_Nom,MATCH(B1569,PE_Mat,0)),"Matricule inconnu"))</f>
        <v/>
      </c>
      <c r="D1569" s="76" t="str">
        <f aca="false">IF(B1569="","",IFERROR(INDEX(PE_Fonction,MATCH(B1569,PE_Mat,0)),""))</f>
        <v/>
      </c>
      <c r="E1569" s="76" t="str">
        <f aca="false">IF(B1569="","",IFERROR(INDEX(PE_Equipe,MATCH(B1569,PE_Mat,0)),""))</f>
        <v/>
      </c>
      <c r="F1569" s="25"/>
      <c r="G1569" s="25"/>
      <c r="H1569" s="68"/>
      <c r="I1569" s="89"/>
      <c r="J1569" s="31" t="str">
        <f aca="false">IF(B1569="","",IFERROR(INDEX(PE_Taux,MATCH(B1569,PE_Mat,0)),0))</f>
        <v/>
      </c>
      <c r="K1569" s="31" t="str">
        <f aca="false">IF(B1569="","",IF(H1569="A",0,IFERROR(N(I1569)/P_Heures*J1569,0)))</f>
        <v/>
      </c>
      <c r="L1569" s="25"/>
    </row>
    <row r="1570" customFormat="false" ht="15" hidden="false" customHeight="false" outlineLevel="0" collapsed="false">
      <c r="A1570" s="69"/>
      <c r="B1570" s="68"/>
      <c r="C1570" s="76" t="str">
        <f aca="false">IF(B1570="","",IFERROR(INDEX(PE_Nom,MATCH(B1570,PE_Mat,0)),"Matricule inconnu"))</f>
        <v/>
      </c>
      <c r="D1570" s="76" t="str">
        <f aca="false">IF(B1570="","",IFERROR(INDEX(PE_Fonction,MATCH(B1570,PE_Mat,0)),""))</f>
        <v/>
      </c>
      <c r="E1570" s="76" t="str">
        <f aca="false">IF(B1570="","",IFERROR(INDEX(PE_Equipe,MATCH(B1570,PE_Mat,0)),""))</f>
        <v/>
      </c>
      <c r="F1570" s="25"/>
      <c r="G1570" s="25"/>
      <c r="H1570" s="68"/>
      <c r="I1570" s="89"/>
      <c r="J1570" s="31" t="str">
        <f aca="false">IF(B1570="","",IFERROR(INDEX(PE_Taux,MATCH(B1570,PE_Mat,0)),0))</f>
        <v/>
      </c>
      <c r="K1570" s="31" t="str">
        <f aca="false">IF(B1570="","",IF(H1570="A",0,IFERROR(N(I1570)/P_Heures*J1570,0)))</f>
        <v/>
      </c>
      <c r="L1570" s="25"/>
    </row>
    <row r="1571" customFormat="false" ht="15" hidden="false" customHeight="false" outlineLevel="0" collapsed="false">
      <c r="A1571" s="69"/>
      <c r="B1571" s="68"/>
      <c r="C1571" s="76" t="str">
        <f aca="false">IF(B1571="","",IFERROR(INDEX(PE_Nom,MATCH(B1571,PE_Mat,0)),"Matricule inconnu"))</f>
        <v/>
      </c>
      <c r="D1571" s="76" t="str">
        <f aca="false">IF(B1571="","",IFERROR(INDEX(PE_Fonction,MATCH(B1571,PE_Mat,0)),""))</f>
        <v/>
      </c>
      <c r="E1571" s="76" t="str">
        <f aca="false">IF(B1571="","",IFERROR(INDEX(PE_Equipe,MATCH(B1571,PE_Mat,0)),""))</f>
        <v/>
      </c>
      <c r="F1571" s="25"/>
      <c r="G1571" s="25"/>
      <c r="H1571" s="68"/>
      <c r="I1571" s="89"/>
      <c r="J1571" s="31" t="str">
        <f aca="false">IF(B1571="","",IFERROR(INDEX(PE_Taux,MATCH(B1571,PE_Mat,0)),0))</f>
        <v/>
      </c>
      <c r="K1571" s="31" t="str">
        <f aca="false">IF(B1571="","",IF(H1571="A",0,IFERROR(N(I1571)/P_Heures*J1571,0)))</f>
        <v/>
      </c>
      <c r="L1571" s="25"/>
    </row>
    <row r="1572" customFormat="false" ht="15" hidden="false" customHeight="false" outlineLevel="0" collapsed="false">
      <c r="A1572" s="69"/>
      <c r="B1572" s="68"/>
      <c r="C1572" s="76" t="str">
        <f aca="false">IF(B1572="","",IFERROR(INDEX(PE_Nom,MATCH(B1572,PE_Mat,0)),"Matricule inconnu"))</f>
        <v/>
      </c>
      <c r="D1572" s="76" t="str">
        <f aca="false">IF(B1572="","",IFERROR(INDEX(PE_Fonction,MATCH(B1572,PE_Mat,0)),""))</f>
        <v/>
      </c>
      <c r="E1572" s="76" t="str">
        <f aca="false">IF(B1572="","",IFERROR(INDEX(PE_Equipe,MATCH(B1572,PE_Mat,0)),""))</f>
        <v/>
      </c>
      <c r="F1572" s="25"/>
      <c r="G1572" s="25"/>
      <c r="H1572" s="68"/>
      <c r="I1572" s="89"/>
      <c r="J1572" s="31" t="str">
        <f aca="false">IF(B1572="","",IFERROR(INDEX(PE_Taux,MATCH(B1572,PE_Mat,0)),0))</f>
        <v/>
      </c>
      <c r="K1572" s="31" t="str">
        <f aca="false">IF(B1572="","",IF(H1572="A",0,IFERROR(N(I1572)/P_Heures*J1572,0)))</f>
        <v/>
      </c>
      <c r="L1572" s="25"/>
    </row>
    <row r="1573" customFormat="false" ht="15" hidden="false" customHeight="false" outlineLevel="0" collapsed="false">
      <c r="A1573" s="69"/>
      <c r="B1573" s="68"/>
      <c r="C1573" s="76" t="str">
        <f aca="false">IF(B1573="","",IFERROR(INDEX(PE_Nom,MATCH(B1573,PE_Mat,0)),"Matricule inconnu"))</f>
        <v/>
      </c>
      <c r="D1573" s="76" t="str">
        <f aca="false">IF(B1573="","",IFERROR(INDEX(PE_Fonction,MATCH(B1573,PE_Mat,0)),""))</f>
        <v/>
      </c>
      <c r="E1573" s="76" t="str">
        <f aca="false">IF(B1573="","",IFERROR(INDEX(PE_Equipe,MATCH(B1573,PE_Mat,0)),""))</f>
        <v/>
      </c>
      <c r="F1573" s="25"/>
      <c r="G1573" s="25"/>
      <c r="H1573" s="68"/>
      <c r="I1573" s="89"/>
      <c r="J1573" s="31" t="str">
        <f aca="false">IF(B1573="","",IFERROR(INDEX(PE_Taux,MATCH(B1573,PE_Mat,0)),0))</f>
        <v/>
      </c>
      <c r="K1573" s="31" t="str">
        <f aca="false">IF(B1573="","",IF(H1573="A",0,IFERROR(N(I1573)/P_Heures*J1573,0)))</f>
        <v/>
      </c>
      <c r="L1573" s="25"/>
    </row>
    <row r="1574" customFormat="false" ht="15" hidden="false" customHeight="false" outlineLevel="0" collapsed="false">
      <c r="A1574" s="69"/>
      <c r="B1574" s="68"/>
      <c r="C1574" s="76" t="str">
        <f aca="false">IF(B1574="","",IFERROR(INDEX(PE_Nom,MATCH(B1574,PE_Mat,0)),"Matricule inconnu"))</f>
        <v/>
      </c>
      <c r="D1574" s="76" t="str">
        <f aca="false">IF(B1574="","",IFERROR(INDEX(PE_Fonction,MATCH(B1574,PE_Mat,0)),""))</f>
        <v/>
      </c>
      <c r="E1574" s="76" t="str">
        <f aca="false">IF(B1574="","",IFERROR(INDEX(PE_Equipe,MATCH(B1574,PE_Mat,0)),""))</f>
        <v/>
      </c>
      <c r="F1574" s="25"/>
      <c r="G1574" s="25"/>
      <c r="H1574" s="68"/>
      <c r="I1574" s="89"/>
      <c r="J1574" s="31" t="str">
        <f aca="false">IF(B1574="","",IFERROR(INDEX(PE_Taux,MATCH(B1574,PE_Mat,0)),0))</f>
        <v/>
      </c>
      <c r="K1574" s="31" t="str">
        <f aca="false">IF(B1574="","",IF(H1574="A",0,IFERROR(N(I1574)/P_Heures*J1574,0)))</f>
        <v/>
      </c>
      <c r="L1574" s="25"/>
    </row>
    <row r="1575" customFormat="false" ht="15" hidden="false" customHeight="false" outlineLevel="0" collapsed="false">
      <c r="A1575" s="69"/>
      <c r="B1575" s="68"/>
      <c r="C1575" s="76" t="str">
        <f aca="false">IF(B1575="","",IFERROR(INDEX(PE_Nom,MATCH(B1575,PE_Mat,0)),"Matricule inconnu"))</f>
        <v/>
      </c>
      <c r="D1575" s="76" t="str">
        <f aca="false">IF(B1575="","",IFERROR(INDEX(PE_Fonction,MATCH(B1575,PE_Mat,0)),""))</f>
        <v/>
      </c>
      <c r="E1575" s="76" t="str">
        <f aca="false">IF(B1575="","",IFERROR(INDEX(PE_Equipe,MATCH(B1575,PE_Mat,0)),""))</f>
        <v/>
      </c>
      <c r="F1575" s="25"/>
      <c r="G1575" s="25"/>
      <c r="H1575" s="68"/>
      <c r="I1575" s="89"/>
      <c r="J1575" s="31" t="str">
        <f aca="false">IF(B1575="","",IFERROR(INDEX(PE_Taux,MATCH(B1575,PE_Mat,0)),0))</f>
        <v/>
      </c>
      <c r="K1575" s="31" t="str">
        <f aca="false">IF(B1575="","",IF(H1575="A",0,IFERROR(N(I1575)/P_Heures*J1575,0)))</f>
        <v/>
      </c>
      <c r="L1575" s="25"/>
    </row>
    <row r="1576" customFormat="false" ht="15" hidden="false" customHeight="false" outlineLevel="0" collapsed="false">
      <c r="A1576" s="69"/>
      <c r="B1576" s="68"/>
      <c r="C1576" s="76" t="str">
        <f aca="false">IF(B1576="","",IFERROR(INDEX(PE_Nom,MATCH(B1576,PE_Mat,0)),"Matricule inconnu"))</f>
        <v/>
      </c>
      <c r="D1576" s="76" t="str">
        <f aca="false">IF(B1576="","",IFERROR(INDEX(PE_Fonction,MATCH(B1576,PE_Mat,0)),""))</f>
        <v/>
      </c>
      <c r="E1576" s="76" t="str">
        <f aca="false">IF(B1576="","",IFERROR(INDEX(PE_Equipe,MATCH(B1576,PE_Mat,0)),""))</f>
        <v/>
      </c>
      <c r="F1576" s="25"/>
      <c r="G1576" s="25"/>
      <c r="H1576" s="68"/>
      <c r="I1576" s="89"/>
      <c r="J1576" s="31" t="str">
        <f aca="false">IF(B1576="","",IFERROR(INDEX(PE_Taux,MATCH(B1576,PE_Mat,0)),0))</f>
        <v/>
      </c>
      <c r="K1576" s="31" t="str">
        <f aca="false">IF(B1576="","",IF(H1576="A",0,IFERROR(N(I1576)/P_Heures*J1576,0)))</f>
        <v/>
      </c>
      <c r="L1576" s="25"/>
    </row>
    <row r="1577" customFormat="false" ht="15" hidden="false" customHeight="false" outlineLevel="0" collapsed="false">
      <c r="A1577" s="69"/>
      <c r="B1577" s="68"/>
      <c r="C1577" s="76" t="str">
        <f aca="false">IF(B1577="","",IFERROR(INDEX(PE_Nom,MATCH(B1577,PE_Mat,0)),"Matricule inconnu"))</f>
        <v/>
      </c>
      <c r="D1577" s="76" t="str">
        <f aca="false">IF(B1577="","",IFERROR(INDEX(PE_Fonction,MATCH(B1577,PE_Mat,0)),""))</f>
        <v/>
      </c>
      <c r="E1577" s="76" t="str">
        <f aca="false">IF(B1577="","",IFERROR(INDEX(PE_Equipe,MATCH(B1577,PE_Mat,0)),""))</f>
        <v/>
      </c>
      <c r="F1577" s="25"/>
      <c r="G1577" s="25"/>
      <c r="H1577" s="68"/>
      <c r="I1577" s="89"/>
      <c r="J1577" s="31" t="str">
        <f aca="false">IF(B1577="","",IFERROR(INDEX(PE_Taux,MATCH(B1577,PE_Mat,0)),0))</f>
        <v/>
      </c>
      <c r="K1577" s="31" t="str">
        <f aca="false">IF(B1577="","",IF(H1577="A",0,IFERROR(N(I1577)/P_Heures*J1577,0)))</f>
        <v/>
      </c>
      <c r="L1577" s="25"/>
    </row>
    <row r="1578" customFormat="false" ht="15" hidden="false" customHeight="false" outlineLevel="0" collapsed="false">
      <c r="A1578" s="69"/>
      <c r="B1578" s="68"/>
      <c r="C1578" s="76" t="str">
        <f aca="false">IF(B1578="","",IFERROR(INDEX(PE_Nom,MATCH(B1578,PE_Mat,0)),"Matricule inconnu"))</f>
        <v/>
      </c>
      <c r="D1578" s="76" t="str">
        <f aca="false">IF(B1578="","",IFERROR(INDEX(PE_Fonction,MATCH(B1578,PE_Mat,0)),""))</f>
        <v/>
      </c>
      <c r="E1578" s="76" t="str">
        <f aca="false">IF(B1578="","",IFERROR(INDEX(PE_Equipe,MATCH(B1578,PE_Mat,0)),""))</f>
        <v/>
      </c>
      <c r="F1578" s="25"/>
      <c r="G1578" s="25"/>
      <c r="H1578" s="68"/>
      <c r="I1578" s="89"/>
      <c r="J1578" s="31" t="str">
        <f aca="false">IF(B1578="","",IFERROR(INDEX(PE_Taux,MATCH(B1578,PE_Mat,0)),0))</f>
        <v/>
      </c>
      <c r="K1578" s="31" t="str">
        <f aca="false">IF(B1578="","",IF(H1578="A",0,IFERROR(N(I1578)/P_Heures*J1578,0)))</f>
        <v/>
      </c>
      <c r="L1578" s="25"/>
    </row>
    <row r="1579" customFormat="false" ht="15" hidden="false" customHeight="false" outlineLevel="0" collapsed="false">
      <c r="A1579" s="69"/>
      <c r="B1579" s="68"/>
      <c r="C1579" s="76" t="str">
        <f aca="false">IF(B1579="","",IFERROR(INDEX(PE_Nom,MATCH(B1579,PE_Mat,0)),"Matricule inconnu"))</f>
        <v/>
      </c>
      <c r="D1579" s="76" t="str">
        <f aca="false">IF(B1579="","",IFERROR(INDEX(PE_Fonction,MATCH(B1579,PE_Mat,0)),""))</f>
        <v/>
      </c>
      <c r="E1579" s="76" t="str">
        <f aca="false">IF(B1579="","",IFERROR(INDEX(PE_Equipe,MATCH(B1579,PE_Mat,0)),""))</f>
        <v/>
      </c>
      <c r="F1579" s="25"/>
      <c r="G1579" s="25"/>
      <c r="H1579" s="68"/>
      <c r="I1579" s="89"/>
      <c r="J1579" s="31" t="str">
        <f aca="false">IF(B1579="","",IFERROR(INDEX(PE_Taux,MATCH(B1579,PE_Mat,0)),0))</f>
        <v/>
      </c>
      <c r="K1579" s="31" t="str">
        <f aca="false">IF(B1579="","",IF(H1579="A",0,IFERROR(N(I1579)/P_Heures*J1579,0)))</f>
        <v/>
      </c>
      <c r="L1579" s="25"/>
    </row>
    <row r="1580" customFormat="false" ht="15" hidden="false" customHeight="false" outlineLevel="0" collapsed="false">
      <c r="A1580" s="69"/>
      <c r="B1580" s="68"/>
      <c r="C1580" s="76" t="str">
        <f aca="false">IF(B1580="","",IFERROR(INDEX(PE_Nom,MATCH(B1580,PE_Mat,0)),"Matricule inconnu"))</f>
        <v/>
      </c>
      <c r="D1580" s="76" t="str">
        <f aca="false">IF(B1580="","",IFERROR(INDEX(PE_Fonction,MATCH(B1580,PE_Mat,0)),""))</f>
        <v/>
      </c>
      <c r="E1580" s="76" t="str">
        <f aca="false">IF(B1580="","",IFERROR(INDEX(PE_Equipe,MATCH(B1580,PE_Mat,0)),""))</f>
        <v/>
      </c>
      <c r="F1580" s="25"/>
      <c r="G1580" s="25"/>
      <c r="H1580" s="68"/>
      <c r="I1580" s="89"/>
      <c r="J1580" s="31" t="str">
        <f aca="false">IF(B1580="","",IFERROR(INDEX(PE_Taux,MATCH(B1580,PE_Mat,0)),0))</f>
        <v/>
      </c>
      <c r="K1580" s="31" t="str">
        <f aca="false">IF(B1580="","",IF(H1580="A",0,IFERROR(N(I1580)/P_Heures*J1580,0)))</f>
        <v/>
      </c>
      <c r="L1580" s="25"/>
    </row>
    <row r="1581" customFormat="false" ht="15" hidden="false" customHeight="false" outlineLevel="0" collapsed="false">
      <c r="A1581" s="69"/>
      <c r="B1581" s="68"/>
      <c r="C1581" s="76" t="str">
        <f aca="false">IF(B1581="","",IFERROR(INDEX(PE_Nom,MATCH(B1581,PE_Mat,0)),"Matricule inconnu"))</f>
        <v/>
      </c>
      <c r="D1581" s="76" t="str">
        <f aca="false">IF(B1581="","",IFERROR(INDEX(PE_Fonction,MATCH(B1581,PE_Mat,0)),""))</f>
        <v/>
      </c>
      <c r="E1581" s="76" t="str">
        <f aca="false">IF(B1581="","",IFERROR(INDEX(PE_Equipe,MATCH(B1581,PE_Mat,0)),""))</f>
        <v/>
      </c>
      <c r="F1581" s="25"/>
      <c r="G1581" s="25"/>
      <c r="H1581" s="68"/>
      <c r="I1581" s="89"/>
      <c r="J1581" s="31" t="str">
        <f aca="false">IF(B1581="","",IFERROR(INDEX(PE_Taux,MATCH(B1581,PE_Mat,0)),0))</f>
        <v/>
      </c>
      <c r="K1581" s="31" t="str">
        <f aca="false">IF(B1581="","",IF(H1581="A",0,IFERROR(N(I1581)/P_Heures*J1581,0)))</f>
        <v/>
      </c>
      <c r="L1581" s="25"/>
    </row>
    <row r="1582" customFormat="false" ht="15" hidden="false" customHeight="false" outlineLevel="0" collapsed="false">
      <c r="A1582" s="69"/>
      <c r="B1582" s="68"/>
      <c r="C1582" s="76" t="str">
        <f aca="false">IF(B1582="","",IFERROR(INDEX(PE_Nom,MATCH(B1582,PE_Mat,0)),"Matricule inconnu"))</f>
        <v/>
      </c>
      <c r="D1582" s="76" t="str">
        <f aca="false">IF(B1582="","",IFERROR(INDEX(PE_Fonction,MATCH(B1582,PE_Mat,0)),""))</f>
        <v/>
      </c>
      <c r="E1582" s="76" t="str">
        <f aca="false">IF(B1582="","",IFERROR(INDEX(PE_Equipe,MATCH(B1582,PE_Mat,0)),""))</f>
        <v/>
      </c>
      <c r="F1582" s="25"/>
      <c r="G1582" s="25"/>
      <c r="H1582" s="68"/>
      <c r="I1582" s="89"/>
      <c r="J1582" s="31" t="str">
        <f aca="false">IF(B1582="","",IFERROR(INDEX(PE_Taux,MATCH(B1582,PE_Mat,0)),0))</f>
        <v/>
      </c>
      <c r="K1582" s="31" t="str">
        <f aca="false">IF(B1582="","",IF(H1582="A",0,IFERROR(N(I1582)/P_Heures*J1582,0)))</f>
        <v/>
      </c>
      <c r="L1582" s="25"/>
    </row>
    <row r="1583" customFormat="false" ht="15" hidden="false" customHeight="false" outlineLevel="0" collapsed="false">
      <c r="A1583" s="69"/>
      <c r="B1583" s="68"/>
      <c r="C1583" s="76" t="str">
        <f aca="false">IF(B1583="","",IFERROR(INDEX(PE_Nom,MATCH(B1583,PE_Mat,0)),"Matricule inconnu"))</f>
        <v/>
      </c>
      <c r="D1583" s="76" t="str">
        <f aca="false">IF(B1583="","",IFERROR(INDEX(PE_Fonction,MATCH(B1583,PE_Mat,0)),""))</f>
        <v/>
      </c>
      <c r="E1583" s="76" t="str">
        <f aca="false">IF(B1583="","",IFERROR(INDEX(PE_Equipe,MATCH(B1583,PE_Mat,0)),""))</f>
        <v/>
      </c>
      <c r="F1583" s="25"/>
      <c r="G1583" s="25"/>
      <c r="H1583" s="68"/>
      <c r="I1583" s="89"/>
      <c r="J1583" s="31" t="str">
        <f aca="false">IF(B1583="","",IFERROR(INDEX(PE_Taux,MATCH(B1583,PE_Mat,0)),0))</f>
        <v/>
      </c>
      <c r="K1583" s="31" t="str">
        <f aca="false">IF(B1583="","",IF(H1583="A",0,IFERROR(N(I1583)/P_Heures*J1583,0)))</f>
        <v/>
      </c>
      <c r="L1583" s="25"/>
    </row>
    <row r="1584" customFormat="false" ht="15" hidden="false" customHeight="false" outlineLevel="0" collapsed="false">
      <c r="A1584" s="69"/>
      <c r="B1584" s="68"/>
      <c r="C1584" s="76" t="str">
        <f aca="false">IF(B1584="","",IFERROR(INDEX(PE_Nom,MATCH(B1584,PE_Mat,0)),"Matricule inconnu"))</f>
        <v/>
      </c>
      <c r="D1584" s="76" t="str">
        <f aca="false">IF(B1584="","",IFERROR(INDEX(PE_Fonction,MATCH(B1584,PE_Mat,0)),""))</f>
        <v/>
      </c>
      <c r="E1584" s="76" t="str">
        <f aca="false">IF(B1584="","",IFERROR(INDEX(PE_Equipe,MATCH(B1584,PE_Mat,0)),""))</f>
        <v/>
      </c>
      <c r="F1584" s="25"/>
      <c r="G1584" s="25"/>
      <c r="H1584" s="68"/>
      <c r="I1584" s="89"/>
      <c r="J1584" s="31" t="str">
        <f aca="false">IF(B1584="","",IFERROR(INDEX(PE_Taux,MATCH(B1584,PE_Mat,0)),0))</f>
        <v/>
      </c>
      <c r="K1584" s="31" t="str">
        <f aca="false">IF(B1584="","",IF(H1584="A",0,IFERROR(N(I1584)/P_Heures*J1584,0)))</f>
        <v/>
      </c>
      <c r="L1584" s="25"/>
    </row>
    <row r="1585" customFormat="false" ht="15" hidden="false" customHeight="false" outlineLevel="0" collapsed="false">
      <c r="A1585" s="69"/>
      <c r="B1585" s="68"/>
      <c r="C1585" s="76" t="str">
        <f aca="false">IF(B1585="","",IFERROR(INDEX(PE_Nom,MATCH(B1585,PE_Mat,0)),"Matricule inconnu"))</f>
        <v/>
      </c>
      <c r="D1585" s="76" t="str">
        <f aca="false">IF(B1585="","",IFERROR(INDEX(PE_Fonction,MATCH(B1585,PE_Mat,0)),""))</f>
        <v/>
      </c>
      <c r="E1585" s="76" t="str">
        <f aca="false">IF(B1585="","",IFERROR(INDEX(PE_Equipe,MATCH(B1585,PE_Mat,0)),""))</f>
        <v/>
      </c>
      <c r="F1585" s="25"/>
      <c r="G1585" s="25"/>
      <c r="H1585" s="68"/>
      <c r="I1585" s="89"/>
      <c r="J1585" s="31" t="str">
        <f aca="false">IF(B1585="","",IFERROR(INDEX(PE_Taux,MATCH(B1585,PE_Mat,0)),0))</f>
        <v/>
      </c>
      <c r="K1585" s="31" t="str">
        <f aca="false">IF(B1585="","",IF(H1585="A",0,IFERROR(N(I1585)/P_Heures*J1585,0)))</f>
        <v/>
      </c>
      <c r="L1585" s="25"/>
    </row>
    <row r="1586" customFormat="false" ht="15" hidden="false" customHeight="false" outlineLevel="0" collapsed="false">
      <c r="A1586" s="69"/>
      <c r="B1586" s="68"/>
      <c r="C1586" s="76" t="str">
        <f aca="false">IF(B1586="","",IFERROR(INDEX(PE_Nom,MATCH(B1586,PE_Mat,0)),"Matricule inconnu"))</f>
        <v/>
      </c>
      <c r="D1586" s="76" t="str">
        <f aca="false">IF(B1586="","",IFERROR(INDEX(PE_Fonction,MATCH(B1586,PE_Mat,0)),""))</f>
        <v/>
      </c>
      <c r="E1586" s="76" t="str">
        <f aca="false">IF(B1586="","",IFERROR(INDEX(PE_Equipe,MATCH(B1586,PE_Mat,0)),""))</f>
        <v/>
      </c>
      <c r="F1586" s="25"/>
      <c r="G1586" s="25"/>
      <c r="H1586" s="68"/>
      <c r="I1586" s="89"/>
      <c r="J1586" s="31" t="str">
        <f aca="false">IF(B1586="","",IFERROR(INDEX(PE_Taux,MATCH(B1586,PE_Mat,0)),0))</f>
        <v/>
      </c>
      <c r="K1586" s="31" t="str">
        <f aca="false">IF(B1586="","",IF(H1586="A",0,IFERROR(N(I1586)/P_Heures*J1586,0)))</f>
        <v/>
      </c>
      <c r="L1586" s="25"/>
    </row>
    <row r="1587" customFormat="false" ht="15" hidden="false" customHeight="false" outlineLevel="0" collapsed="false">
      <c r="A1587" s="69"/>
      <c r="B1587" s="68"/>
      <c r="C1587" s="76" t="str">
        <f aca="false">IF(B1587="","",IFERROR(INDEX(PE_Nom,MATCH(B1587,PE_Mat,0)),"Matricule inconnu"))</f>
        <v/>
      </c>
      <c r="D1587" s="76" t="str">
        <f aca="false">IF(B1587="","",IFERROR(INDEX(PE_Fonction,MATCH(B1587,PE_Mat,0)),""))</f>
        <v/>
      </c>
      <c r="E1587" s="76" t="str">
        <f aca="false">IF(B1587="","",IFERROR(INDEX(PE_Equipe,MATCH(B1587,PE_Mat,0)),""))</f>
        <v/>
      </c>
      <c r="F1587" s="25"/>
      <c r="G1587" s="25"/>
      <c r="H1587" s="68"/>
      <c r="I1587" s="89"/>
      <c r="J1587" s="31" t="str">
        <f aca="false">IF(B1587="","",IFERROR(INDEX(PE_Taux,MATCH(B1587,PE_Mat,0)),0))</f>
        <v/>
      </c>
      <c r="K1587" s="31" t="str">
        <f aca="false">IF(B1587="","",IF(H1587="A",0,IFERROR(N(I1587)/P_Heures*J1587,0)))</f>
        <v/>
      </c>
      <c r="L1587" s="25"/>
    </row>
    <row r="1588" customFormat="false" ht="15" hidden="false" customHeight="false" outlineLevel="0" collapsed="false">
      <c r="A1588" s="69"/>
      <c r="B1588" s="68"/>
      <c r="C1588" s="76" t="str">
        <f aca="false">IF(B1588="","",IFERROR(INDEX(PE_Nom,MATCH(B1588,PE_Mat,0)),"Matricule inconnu"))</f>
        <v/>
      </c>
      <c r="D1588" s="76" t="str">
        <f aca="false">IF(B1588="","",IFERROR(INDEX(PE_Fonction,MATCH(B1588,PE_Mat,0)),""))</f>
        <v/>
      </c>
      <c r="E1588" s="76" t="str">
        <f aca="false">IF(B1588="","",IFERROR(INDEX(PE_Equipe,MATCH(B1588,PE_Mat,0)),""))</f>
        <v/>
      </c>
      <c r="F1588" s="25"/>
      <c r="G1588" s="25"/>
      <c r="H1588" s="68"/>
      <c r="I1588" s="89"/>
      <c r="J1588" s="31" t="str">
        <f aca="false">IF(B1588="","",IFERROR(INDEX(PE_Taux,MATCH(B1588,PE_Mat,0)),0))</f>
        <v/>
      </c>
      <c r="K1588" s="31" t="str">
        <f aca="false">IF(B1588="","",IF(H1588="A",0,IFERROR(N(I1588)/P_Heures*J1588,0)))</f>
        <v/>
      </c>
      <c r="L1588" s="25"/>
    </row>
    <row r="1589" customFormat="false" ht="15" hidden="false" customHeight="false" outlineLevel="0" collapsed="false">
      <c r="A1589" s="69"/>
      <c r="B1589" s="68"/>
      <c r="C1589" s="76" t="str">
        <f aca="false">IF(B1589="","",IFERROR(INDEX(PE_Nom,MATCH(B1589,PE_Mat,0)),"Matricule inconnu"))</f>
        <v/>
      </c>
      <c r="D1589" s="76" t="str">
        <f aca="false">IF(B1589="","",IFERROR(INDEX(PE_Fonction,MATCH(B1589,PE_Mat,0)),""))</f>
        <v/>
      </c>
      <c r="E1589" s="76" t="str">
        <f aca="false">IF(B1589="","",IFERROR(INDEX(PE_Equipe,MATCH(B1589,PE_Mat,0)),""))</f>
        <v/>
      </c>
      <c r="F1589" s="25"/>
      <c r="G1589" s="25"/>
      <c r="H1589" s="68"/>
      <c r="I1589" s="89"/>
      <c r="J1589" s="31" t="str">
        <f aca="false">IF(B1589="","",IFERROR(INDEX(PE_Taux,MATCH(B1589,PE_Mat,0)),0))</f>
        <v/>
      </c>
      <c r="K1589" s="31" t="str">
        <f aca="false">IF(B1589="","",IF(H1589="A",0,IFERROR(N(I1589)/P_Heures*J1589,0)))</f>
        <v/>
      </c>
      <c r="L1589" s="25"/>
    </row>
    <row r="1590" customFormat="false" ht="15" hidden="false" customHeight="false" outlineLevel="0" collapsed="false">
      <c r="A1590" s="69"/>
      <c r="B1590" s="68"/>
      <c r="C1590" s="76" t="str">
        <f aca="false">IF(B1590="","",IFERROR(INDEX(PE_Nom,MATCH(B1590,PE_Mat,0)),"Matricule inconnu"))</f>
        <v/>
      </c>
      <c r="D1590" s="76" t="str">
        <f aca="false">IF(B1590="","",IFERROR(INDEX(PE_Fonction,MATCH(B1590,PE_Mat,0)),""))</f>
        <v/>
      </c>
      <c r="E1590" s="76" t="str">
        <f aca="false">IF(B1590="","",IFERROR(INDEX(PE_Equipe,MATCH(B1590,PE_Mat,0)),""))</f>
        <v/>
      </c>
      <c r="F1590" s="25"/>
      <c r="G1590" s="25"/>
      <c r="H1590" s="68"/>
      <c r="I1590" s="89"/>
      <c r="J1590" s="31" t="str">
        <f aca="false">IF(B1590="","",IFERROR(INDEX(PE_Taux,MATCH(B1590,PE_Mat,0)),0))</f>
        <v/>
      </c>
      <c r="K1590" s="31" t="str">
        <f aca="false">IF(B1590="","",IF(H1590="A",0,IFERROR(N(I1590)/P_Heures*J1590,0)))</f>
        <v/>
      </c>
      <c r="L1590" s="25"/>
    </row>
    <row r="1591" customFormat="false" ht="15" hidden="false" customHeight="false" outlineLevel="0" collapsed="false">
      <c r="A1591" s="69"/>
      <c r="B1591" s="68"/>
      <c r="C1591" s="76" t="str">
        <f aca="false">IF(B1591="","",IFERROR(INDEX(PE_Nom,MATCH(B1591,PE_Mat,0)),"Matricule inconnu"))</f>
        <v/>
      </c>
      <c r="D1591" s="76" t="str">
        <f aca="false">IF(B1591="","",IFERROR(INDEX(PE_Fonction,MATCH(B1591,PE_Mat,0)),""))</f>
        <v/>
      </c>
      <c r="E1591" s="76" t="str">
        <f aca="false">IF(B1591="","",IFERROR(INDEX(PE_Equipe,MATCH(B1591,PE_Mat,0)),""))</f>
        <v/>
      </c>
      <c r="F1591" s="25"/>
      <c r="G1591" s="25"/>
      <c r="H1591" s="68"/>
      <c r="I1591" s="89"/>
      <c r="J1591" s="31" t="str">
        <f aca="false">IF(B1591="","",IFERROR(INDEX(PE_Taux,MATCH(B1591,PE_Mat,0)),0))</f>
        <v/>
      </c>
      <c r="K1591" s="31" t="str">
        <f aca="false">IF(B1591="","",IF(H1591="A",0,IFERROR(N(I1591)/P_Heures*J1591,0)))</f>
        <v/>
      </c>
      <c r="L1591" s="25"/>
    </row>
    <row r="1592" customFormat="false" ht="15" hidden="false" customHeight="false" outlineLevel="0" collapsed="false">
      <c r="A1592" s="69"/>
      <c r="B1592" s="68"/>
      <c r="C1592" s="76" t="str">
        <f aca="false">IF(B1592="","",IFERROR(INDEX(PE_Nom,MATCH(B1592,PE_Mat,0)),"Matricule inconnu"))</f>
        <v/>
      </c>
      <c r="D1592" s="76" t="str">
        <f aca="false">IF(B1592="","",IFERROR(INDEX(PE_Fonction,MATCH(B1592,PE_Mat,0)),""))</f>
        <v/>
      </c>
      <c r="E1592" s="76" t="str">
        <f aca="false">IF(B1592="","",IFERROR(INDEX(PE_Equipe,MATCH(B1592,PE_Mat,0)),""))</f>
        <v/>
      </c>
      <c r="F1592" s="25"/>
      <c r="G1592" s="25"/>
      <c r="H1592" s="68"/>
      <c r="I1592" s="89"/>
      <c r="J1592" s="31" t="str">
        <f aca="false">IF(B1592="","",IFERROR(INDEX(PE_Taux,MATCH(B1592,PE_Mat,0)),0))</f>
        <v/>
      </c>
      <c r="K1592" s="31" t="str">
        <f aca="false">IF(B1592="","",IF(H1592="A",0,IFERROR(N(I1592)/P_Heures*J1592,0)))</f>
        <v/>
      </c>
      <c r="L1592" s="25"/>
    </row>
    <row r="1593" customFormat="false" ht="15" hidden="false" customHeight="false" outlineLevel="0" collapsed="false">
      <c r="A1593" s="69"/>
      <c r="B1593" s="68"/>
      <c r="C1593" s="76" t="str">
        <f aca="false">IF(B1593="","",IFERROR(INDEX(PE_Nom,MATCH(B1593,PE_Mat,0)),"Matricule inconnu"))</f>
        <v/>
      </c>
      <c r="D1593" s="76" t="str">
        <f aca="false">IF(B1593="","",IFERROR(INDEX(PE_Fonction,MATCH(B1593,PE_Mat,0)),""))</f>
        <v/>
      </c>
      <c r="E1593" s="76" t="str">
        <f aca="false">IF(B1593="","",IFERROR(INDEX(PE_Equipe,MATCH(B1593,PE_Mat,0)),""))</f>
        <v/>
      </c>
      <c r="F1593" s="25"/>
      <c r="G1593" s="25"/>
      <c r="H1593" s="68"/>
      <c r="I1593" s="89"/>
      <c r="J1593" s="31" t="str">
        <f aca="false">IF(B1593="","",IFERROR(INDEX(PE_Taux,MATCH(B1593,PE_Mat,0)),0))</f>
        <v/>
      </c>
      <c r="K1593" s="31" t="str">
        <f aca="false">IF(B1593="","",IF(H1593="A",0,IFERROR(N(I1593)/P_Heures*J1593,0)))</f>
        <v/>
      </c>
      <c r="L1593" s="25"/>
    </row>
    <row r="1594" customFormat="false" ht="15" hidden="false" customHeight="false" outlineLevel="0" collapsed="false">
      <c r="A1594" s="69"/>
      <c r="B1594" s="68"/>
      <c r="C1594" s="76" t="str">
        <f aca="false">IF(B1594="","",IFERROR(INDEX(PE_Nom,MATCH(B1594,PE_Mat,0)),"Matricule inconnu"))</f>
        <v/>
      </c>
      <c r="D1594" s="76" t="str">
        <f aca="false">IF(B1594="","",IFERROR(INDEX(PE_Fonction,MATCH(B1594,PE_Mat,0)),""))</f>
        <v/>
      </c>
      <c r="E1594" s="76" t="str">
        <f aca="false">IF(B1594="","",IFERROR(INDEX(PE_Equipe,MATCH(B1594,PE_Mat,0)),""))</f>
        <v/>
      </c>
      <c r="F1594" s="25"/>
      <c r="G1594" s="25"/>
      <c r="H1594" s="68"/>
      <c r="I1594" s="89"/>
      <c r="J1594" s="31" t="str">
        <f aca="false">IF(B1594="","",IFERROR(INDEX(PE_Taux,MATCH(B1594,PE_Mat,0)),0))</f>
        <v/>
      </c>
      <c r="K1594" s="31" t="str">
        <f aca="false">IF(B1594="","",IF(H1594="A",0,IFERROR(N(I1594)/P_Heures*J1594,0)))</f>
        <v/>
      </c>
      <c r="L1594" s="25"/>
    </row>
    <row r="1595" customFormat="false" ht="15" hidden="false" customHeight="false" outlineLevel="0" collapsed="false">
      <c r="A1595" s="69"/>
      <c r="B1595" s="68"/>
      <c r="C1595" s="76" t="str">
        <f aca="false">IF(B1595="","",IFERROR(INDEX(PE_Nom,MATCH(B1595,PE_Mat,0)),"Matricule inconnu"))</f>
        <v/>
      </c>
      <c r="D1595" s="76" t="str">
        <f aca="false">IF(B1595="","",IFERROR(INDEX(PE_Fonction,MATCH(B1595,PE_Mat,0)),""))</f>
        <v/>
      </c>
      <c r="E1595" s="76" t="str">
        <f aca="false">IF(B1595="","",IFERROR(INDEX(PE_Equipe,MATCH(B1595,PE_Mat,0)),""))</f>
        <v/>
      </c>
      <c r="F1595" s="25"/>
      <c r="G1595" s="25"/>
      <c r="H1595" s="68"/>
      <c r="I1595" s="89"/>
      <c r="J1595" s="31" t="str">
        <f aca="false">IF(B1595="","",IFERROR(INDEX(PE_Taux,MATCH(B1595,PE_Mat,0)),0))</f>
        <v/>
      </c>
      <c r="K1595" s="31" t="str">
        <f aca="false">IF(B1595="","",IF(H1595="A",0,IFERROR(N(I1595)/P_Heures*J1595,0)))</f>
        <v/>
      </c>
      <c r="L1595" s="25"/>
    </row>
    <row r="1596" customFormat="false" ht="15" hidden="false" customHeight="false" outlineLevel="0" collapsed="false">
      <c r="A1596" s="69"/>
      <c r="B1596" s="68"/>
      <c r="C1596" s="76" t="str">
        <f aca="false">IF(B1596="","",IFERROR(INDEX(PE_Nom,MATCH(B1596,PE_Mat,0)),"Matricule inconnu"))</f>
        <v/>
      </c>
      <c r="D1596" s="76" t="str">
        <f aca="false">IF(B1596="","",IFERROR(INDEX(PE_Fonction,MATCH(B1596,PE_Mat,0)),""))</f>
        <v/>
      </c>
      <c r="E1596" s="76" t="str">
        <f aca="false">IF(B1596="","",IFERROR(INDEX(PE_Equipe,MATCH(B1596,PE_Mat,0)),""))</f>
        <v/>
      </c>
      <c r="F1596" s="25"/>
      <c r="G1596" s="25"/>
      <c r="H1596" s="68"/>
      <c r="I1596" s="89"/>
      <c r="J1596" s="31" t="str">
        <f aca="false">IF(B1596="","",IFERROR(INDEX(PE_Taux,MATCH(B1596,PE_Mat,0)),0))</f>
        <v/>
      </c>
      <c r="K1596" s="31" t="str">
        <f aca="false">IF(B1596="","",IF(H1596="A",0,IFERROR(N(I1596)/P_Heures*J1596,0)))</f>
        <v/>
      </c>
      <c r="L1596" s="25"/>
    </row>
    <row r="1597" customFormat="false" ht="15" hidden="false" customHeight="false" outlineLevel="0" collapsed="false">
      <c r="A1597" s="69"/>
      <c r="B1597" s="68"/>
      <c r="C1597" s="76" t="str">
        <f aca="false">IF(B1597="","",IFERROR(INDEX(PE_Nom,MATCH(B1597,PE_Mat,0)),"Matricule inconnu"))</f>
        <v/>
      </c>
      <c r="D1597" s="76" t="str">
        <f aca="false">IF(B1597="","",IFERROR(INDEX(PE_Fonction,MATCH(B1597,PE_Mat,0)),""))</f>
        <v/>
      </c>
      <c r="E1597" s="76" t="str">
        <f aca="false">IF(B1597="","",IFERROR(INDEX(PE_Equipe,MATCH(B1597,PE_Mat,0)),""))</f>
        <v/>
      </c>
      <c r="F1597" s="25"/>
      <c r="G1597" s="25"/>
      <c r="H1597" s="68"/>
      <c r="I1597" s="89"/>
      <c r="J1597" s="31" t="str">
        <f aca="false">IF(B1597="","",IFERROR(INDEX(PE_Taux,MATCH(B1597,PE_Mat,0)),0))</f>
        <v/>
      </c>
      <c r="K1597" s="31" t="str">
        <f aca="false">IF(B1597="","",IF(H1597="A",0,IFERROR(N(I1597)/P_Heures*J1597,0)))</f>
        <v/>
      </c>
      <c r="L1597" s="25"/>
    </row>
    <row r="1598" customFormat="false" ht="15" hidden="false" customHeight="false" outlineLevel="0" collapsed="false">
      <c r="A1598" s="69"/>
      <c r="B1598" s="68"/>
      <c r="C1598" s="76" t="str">
        <f aca="false">IF(B1598="","",IFERROR(INDEX(PE_Nom,MATCH(B1598,PE_Mat,0)),"Matricule inconnu"))</f>
        <v/>
      </c>
      <c r="D1598" s="76" t="str">
        <f aca="false">IF(B1598="","",IFERROR(INDEX(PE_Fonction,MATCH(B1598,PE_Mat,0)),""))</f>
        <v/>
      </c>
      <c r="E1598" s="76" t="str">
        <f aca="false">IF(B1598="","",IFERROR(INDEX(PE_Equipe,MATCH(B1598,PE_Mat,0)),""))</f>
        <v/>
      </c>
      <c r="F1598" s="25"/>
      <c r="G1598" s="25"/>
      <c r="H1598" s="68"/>
      <c r="I1598" s="89"/>
      <c r="J1598" s="31" t="str">
        <f aca="false">IF(B1598="","",IFERROR(INDEX(PE_Taux,MATCH(B1598,PE_Mat,0)),0))</f>
        <v/>
      </c>
      <c r="K1598" s="31" t="str">
        <f aca="false">IF(B1598="","",IF(H1598="A",0,IFERROR(N(I1598)/P_Heures*J1598,0)))</f>
        <v/>
      </c>
      <c r="L1598" s="25"/>
    </row>
    <row r="1599" customFormat="false" ht="15" hidden="false" customHeight="false" outlineLevel="0" collapsed="false">
      <c r="A1599" s="69"/>
      <c r="B1599" s="68"/>
      <c r="C1599" s="76" t="str">
        <f aca="false">IF(B1599="","",IFERROR(INDEX(PE_Nom,MATCH(B1599,PE_Mat,0)),"Matricule inconnu"))</f>
        <v/>
      </c>
      <c r="D1599" s="76" t="str">
        <f aca="false">IF(B1599="","",IFERROR(INDEX(PE_Fonction,MATCH(B1599,PE_Mat,0)),""))</f>
        <v/>
      </c>
      <c r="E1599" s="76" t="str">
        <f aca="false">IF(B1599="","",IFERROR(INDEX(PE_Equipe,MATCH(B1599,PE_Mat,0)),""))</f>
        <v/>
      </c>
      <c r="F1599" s="25"/>
      <c r="G1599" s="25"/>
      <c r="H1599" s="68"/>
      <c r="I1599" s="89"/>
      <c r="J1599" s="31" t="str">
        <f aca="false">IF(B1599="","",IFERROR(INDEX(PE_Taux,MATCH(B1599,PE_Mat,0)),0))</f>
        <v/>
      </c>
      <c r="K1599" s="31" t="str">
        <f aca="false">IF(B1599="","",IF(H1599="A",0,IFERROR(N(I1599)/P_Heures*J1599,0)))</f>
        <v/>
      </c>
      <c r="L1599" s="25"/>
    </row>
    <row r="1600" customFormat="false" ht="15" hidden="false" customHeight="false" outlineLevel="0" collapsed="false">
      <c r="A1600" s="69"/>
      <c r="B1600" s="68"/>
      <c r="C1600" s="76" t="str">
        <f aca="false">IF(B1600="","",IFERROR(INDEX(PE_Nom,MATCH(B1600,PE_Mat,0)),"Matricule inconnu"))</f>
        <v/>
      </c>
      <c r="D1600" s="76" t="str">
        <f aca="false">IF(B1600="","",IFERROR(INDEX(PE_Fonction,MATCH(B1600,PE_Mat,0)),""))</f>
        <v/>
      </c>
      <c r="E1600" s="76" t="str">
        <f aca="false">IF(B1600="","",IFERROR(INDEX(PE_Equipe,MATCH(B1600,PE_Mat,0)),""))</f>
        <v/>
      </c>
      <c r="F1600" s="25"/>
      <c r="G1600" s="25"/>
      <c r="H1600" s="68"/>
      <c r="I1600" s="89"/>
      <c r="J1600" s="31" t="str">
        <f aca="false">IF(B1600="","",IFERROR(INDEX(PE_Taux,MATCH(B1600,PE_Mat,0)),0))</f>
        <v/>
      </c>
      <c r="K1600" s="31" t="str">
        <f aca="false">IF(B1600="","",IF(H1600="A",0,IFERROR(N(I1600)/P_Heures*J1600,0)))</f>
        <v/>
      </c>
      <c r="L1600" s="25"/>
    </row>
    <row r="1601" customFormat="false" ht="15" hidden="false" customHeight="false" outlineLevel="0" collapsed="false">
      <c r="A1601" s="69"/>
      <c r="B1601" s="68"/>
      <c r="C1601" s="76" t="str">
        <f aca="false">IF(B1601="","",IFERROR(INDEX(PE_Nom,MATCH(B1601,PE_Mat,0)),"Matricule inconnu"))</f>
        <v/>
      </c>
      <c r="D1601" s="76" t="str">
        <f aca="false">IF(B1601="","",IFERROR(INDEX(PE_Fonction,MATCH(B1601,PE_Mat,0)),""))</f>
        <v/>
      </c>
      <c r="E1601" s="76" t="str">
        <f aca="false">IF(B1601="","",IFERROR(INDEX(PE_Equipe,MATCH(B1601,PE_Mat,0)),""))</f>
        <v/>
      </c>
      <c r="F1601" s="25"/>
      <c r="G1601" s="25"/>
      <c r="H1601" s="68"/>
      <c r="I1601" s="89"/>
      <c r="J1601" s="31" t="str">
        <f aca="false">IF(B1601="","",IFERROR(INDEX(PE_Taux,MATCH(B1601,PE_Mat,0)),0))</f>
        <v/>
      </c>
      <c r="K1601" s="31" t="str">
        <f aca="false">IF(B1601="","",IF(H1601="A",0,IFERROR(N(I1601)/P_Heures*J1601,0)))</f>
        <v/>
      </c>
      <c r="L1601" s="25"/>
    </row>
    <row r="1602" customFormat="false" ht="15" hidden="false" customHeight="false" outlineLevel="0" collapsed="false">
      <c r="A1602" s="69"/>
      <c r="B1602" s="68"/>
      <c r="C1602" s="76" t="str">
        <f aca="false">IF(B1602="","",IFERROR(INDEX(PE_Nom,MATCH(B1602,PE_Mat,0)),"Matricule inconnu"))</f>
        <v/>
      </c>
      <c r="D1602" s="76" t="str">
        <f aca="false">IF(B1602="","",IFERROR(INDEX(PE_Fonction,MATCH(B1602,PE_Mat,0)),""))</f>
        <v/>
      </c>
      <c r="E1602" s="76" t="str">
        <f aca="false">IF(B1602="","",IFERROR(INDEX(PE_Equipe,MATCH(B1602,PE_Mat,0)),""))</f>
        <v/>
      </c>
      <c r="F1602" s="25"/>
      <c r="G1602" s="25"/>
      <c r="H1602" s="68"/>
      <c r="I1602" s="89"/>
      <c r="J1602" s="31" t="str">
        <f aca="false">IF(B1602="","",IFERROR(INDEX(PE_Taux,MATCH(B1602,PE_Mat,0)),0))</f>
        <v/>
      </c>
      <c r="K1602" s="31" t="str">
        <f aca="false">IF(B1602="","",IF(H1602="A",0,IFERROR(N(I1602)/P_Heures*J1602,0)))</f>
        <v/>
      </c>
      <c r="L1602" s="25"/>
    </row>
    <row r="1603" customFormat="false" ht="15" hidden="false" customHeight="false" outlineLevel="0" collapsed="false">
      <c r="A1603" s="69"/>
      <c r="B1603" s="68"/>
      <c r="C1603" s="76" t="str">
        <f aca="false">IF(B1603="","",IFERROR(INDEX(PE_Nom,MATCH(B1603,PE_Mat,0)),"Matricule inconnu"))</f>
        <v/>
      </c>
      <c r="D1603" s="76" t="str">
        <f aca="false">IF(B1603="","",IFERROR(INDEX(PE_Fonction,MATCH(B1603,PE_Mat,0)),""))</f>
        <v/>
      </c>
      <c r="E1603" s="76" t="str">
        <f aca="false">IF(B1603="","",IFERROR(INDEX(PE_Equipe,MATCH(B1603,PE_Mat,0)),""))</f>
        <v/>
      </c>
      <c r="F1603" s="25"/>
      <c r="G1603" s="25"/>
      <c r="H1603" s="68"/>
      <c r="I1603" s="89"/>
      <c r="J1603" s="31" t="str">
        <f aca="false">IF(B1603="","",IFERROR(INDEX(PE_Taux,MATCH(B1603,PE_Mat,0)),0))</f>
        <v/>
      </c>
      <c r="K1603" s="31" t="str">
        <f aca="false">IF(B1603="","",IF(H1603="A",0,IFERROR(N(I1603)/P_Heures*J1603,0)))</f>
        <v/>
      </c>
      <c r="L1603" s="25"/>
    </row>
    <row r="1604" customFormat="false" ht="15" hidden="false" customHeight="false" outlineLevel="0" collapsed="false">
      <c r="A1604" s="69"/>
      <c r="B1604" s="68"/>
      <c r="C1604" s="76" t="str">
        <f aca="false">IF(B1604="","",IFERROR(INDEX(PE_Nom,MATCH(B1604,PE_Mat,0)),"Matricule inconnu"))</f>
        <v/>
      </c>
      <c r="D1604" s="76" t="str">
        <f aca="false">IF(B1604="","",IFERROR(INDEX(PE_Fonction,MATCH(B1604,PE_Mat,0)),""))</f>
        <v/>
      </c>
      <c r="E1604" s="76" t="str">
        <f aca="false">IF(B1604="","",IFERROR(INDEX(PE_Equipe,MATCH(B1604,PE_Mat,0)),""))</f>
        <v/>
      </c>
      <c r="F1604" s="25"/>
      <c r="G1604" s="25"/>
      <c r="H1604" s="68"/>
      <c r="I1604" s="89"/>
      <c r="J1604" s="31" t="str">
        <f aca="false">IF(B1604="","",IFERROR(INDEX(PE_Taux,MATCH(B1604,PE_Mat,0)),0))</f>
        <v/>
      </c>
      <c r="K1604" s="31" t="str">
        <f aca="false">IF(B1604="","",IF(H1604="A",0,IFERROR(N(I1604)/P_Heures*J1604,0)))</f>
        <v/>
      </c>
      <c r="L1604" s="25"/>
    </row>
    <row r="1605" customFormat="false" ht="15" hidden="false" customHeight="false" outlineLevel="0" collapsed="false">
      <c r="A1605" s="69"/>
      <c r="B1605" s="68"/>
      <c r="C1605" s="76" t="str">
        <f aca="false">IF(B1605="","",IFERROR(INDEX(PE_Nom,MATCH(B1605,PE_Mat,0)),"Matricule inconnu"))</f>
        <v/>
      </c>
      <c r="D1605" s="76" t="str">
        <f aca="false">IF(B1605="","",IFERROR(INDEX(PE_Fonction,MATCH(B1605,PE_Mat,0)),""))</f>
        <v/>
      </c>
      <c r="E1605" s="76" t="str">
        <f aca="false">IF(B1605="","",IFERROR(INDEX(PE_Equipe,MATCH(B1605,PE_Mat,0)),""))</f>
        <v/>
      </c>
      <c r="F1605" s="25"/>
      <c r="G1605" s="25"/>
      <c r="H1605" s="68"/>
      <c r="I1605" s="89"/>
      <c r="J1605" s="31" t="str">
        <f aca="false">IF(B1605="","",IFERROR(INDEX(PE_Taux,MATCH(B1605,PE_Mat,0)),0))</f>
        <v/>
      </c>
      <c r="K1605" s="31" t="str">
        <f aca="false">IF(B1605="","",IF(H1605="A",0,IFERROR(N(I1605)/P_Heures*J1605,0)))</f>
        <v/>
      </c>
      <c r="L1605" s="25"/>
    </row>
    <row r="1606" customFormat="false" ht="15" hidden="false" customHeight="false" outlineLevel="0" collapsed="false">
      <c r="A1606" s="69"/>
      <c r="B1606" s="68"/>
      <c r="C1606" s="76" t="str">
        <f aca="false">IF(B1606="","",IFERROR(INDEX(PE_Nom,MATCH(B1606,PE_Mat,0)),"Matricule inconnu"))</f>
        <v/>
      </c>
      <c r="D1606" s="76" t="str">
        <f aca="false">IF(B1606="","",IFERROR(INDEX(PE_Fonction,MATCH(B1606,PE_Mat,0)),""))</f>
        <v/>
      </c>
      <c r="E1606" s="76" t="str">
        <f aca="false">IF(B1606="","",IFERROR(INDEX(PE_Equipe,MATCH(B1606,PE_Mat,0)),""))</f>
        <v/>
      </c>
      <c r="F1606" s="25"/>
      <c r="G1606" s="25"/>
      <c r="H1606" s="68"/>
      <c r="I1606" s="89"/>
      <c r="J1606" s="31" t="str">
        <f aca="false">IF(B1606="","",IFERROR(INDEX(PE_Taux,MATCH(B1606,PE_Mat,0)),0))</f>
        <v/>
      </c>
      <c r="K1606" s="31" t="str">
        <f aca="false">IF(B1606="","",IF(H1606="A",0,IFERROR(N(I1606)/P_Heures*J1606,0)))</f>
        <v/>
      </c>
      <c r="L1606" s="25"/>
    </row>
    <row r="1607" customFormat="false" ht="15" hidden="false" customHeight="false" outlineLevel="0" collapsed="false">
      <c r="A1607" s="69"/>
      <c r="B1607" s="68"/>
      <c r="C1607" s="76" t="str">
        <f aca="false">IF(B1607="","",IFERROR(INDEX(PE_Nom,MATCH(B1607,PE_Mat,0)),"Matricule inconnu"))</f>
        <v/>
      </c>
      <c r="D1607" s="76" t="str">
        <f aca="false">IF(B1607="","",IFERROR(INDEX(PE_Fonction,MATCH(B1607,PE_Mat,0)),""))</f>
        <v/>
      </c>
      <c r="E1607" s="76" t="str">
        <f aca="false">IF(B1607="","",IFERROR(INDEX(PE_Equipe,MATCH(B1607,PE_Mat,0)),""))</f>
        <v/>
      </c>
      <c r="F1607" s="25"/>
      <c r="G1607" s="25"/>
      <c r="H1607" s="68"/>
      <c r="I1607" s="89"/>
      <c r="J1607" s="31" t="str">
        <f aca="false">IF(B1607="","",IFERROR(INDEX(PE_Taux,MATCH(B1607,PE_Mat,0)),0))</f>
        <v/>
      </c>
      <c r="K1607" s="31" t="str">
        <f aca="false">IF(B1607="","",IF(H1607="A",0,IFERROR(N(I1607)/P_Heures*J1607,0)))</f>
        <v/>
      </c>
      <c r="L1607" s="25"/>
    </row>
    <row r="1608" customFormat="false" ht="15" hidden="false" customHeight="false" outlineLevel="0" collapsed="false">
      <c r="A1608" s="69"/>
      <c r="B1608" s="68"/>
      <c r="C1608" s="76" t="str">
        <f aca="false">IF(B1608="","",IFERROR(INDEX(PE_Nom,MATCH(B1608,PE_Mat,0)),"Matricule inconnu"))</f>
        <v/>
      </c>
      <c r="D1608" s="76" t="str">
        <f aca="false">IF(B1608="","",IFERROR(INDEX(PE_Fonction,MATCH(B1608,PE_Mat,0)),""))</f>
        <v/>
      </c>
      <c r="E1608" s="76" t="str">
        <f aca="false">IF(B1608="","",IFERROR(INDEX(PE_Equipe,MATCH(B1608,PE_Mat,0)),""))</f>
        <v/>
      </c>
      <c r="F1608" s="25"/>
      <c r="G1608" s="25"/>
      <c r="H1608" s="68"/>
      <c r="I1608" s="89"/>
      <c r="J1608" s="31" t="str">
        <f aca="false">IF(B1608="","",IFERROR(INDEX(PE_Taux,MATCH(B1608,PE_Mat,0)),0))</f>
        <v/>
      </c>
      <c r="K1608" s="31" t="str">
        <f aca="false">IF(B1608="","",IF(H1608="A",0,IFERROR(N(I1608)/P_Heures*J1608,0)))</f>
        <v/>
      </c>
      <c r="L1608" s="25"/>
    </row>
    <row r="1609" customFormat="false" ht="15" hidden="false" customHeight="false" outlineLevel="0" collapsed="false">
      <c r="A1609" s="69"/>
      <c r="B1609" s="68"/>
      <c r="C1609" s="76" t="str">
        <f aca="false">IF(B1609="","",IFERROR(INDEX(PE_Nom,MATCH(B1609,PE_Mat,0)),"Matricule inconnu"))</f>
        <v/>
      </c>
      <c r="D1609" s="76" t="str">
        <f aca="false">IF(B1609="","",IFERROR(INDEX(PE_Fonction,MATCH(B1609,PE_Mat,0)),""))</f>
        <v/>
      </c>
      <c r="E1609" s="76" t="str">
        <f aca="false">IF(B1609="","",IFERROR(INDEX(PE_Equipe,MATCH(B1609,PE_Mat,0)),""))</f>
        <v/>
      </c>
      <c r="F1609" s="25"/>
      <c r="G1609" s="25"/>
      <c r="H1609" s="68"/>
      <c r="I1609" s="89"/>
      <c r="J1609" s="31" t="str">
        <f aca="false">IF(B1609="","",IFERROR(INDEX(PE_Taux,MATCH(B1609,PE_Mat,0)),0))</f>
        <v/>
      </c>
      <c r="K1609" s="31" t="str">
        <f aca="false">IF(B1609="","",IF(H1609="A",0,IFERROR(N(I1609)/P_Heures*J1609,0)))</f>
        <v/>
      </c>
      <c r="L1609" s="25"/>
    </row>
    <row r="1610" customFormat="false" ht="15" hidden="false" customHeight="false" outlineLevel="0" collapsed="false">
      <c r="A1610" s="69"/>
      <c r="B1610" s="68"/>
      <c r="C1610" s="76" t="str">
        <f aca="false">IF(B1610="","",IFERROR(INDEX(PE_Nom,MATCH(B1610,PE_Mat,0)),"Matricule inconnu"))</f>
        <v/>
      </c>
      <c r="D1610" s="76" t="str">
        <f aca="false">IF(B1610="","",IFERROR(INDEX(PE_Fonction,MATCH(B1610,PE_Mat,0)),""))</f>
        <v/>
      </c>
      <c r="E1610" s="76" t="str">
        <f aca="false">IF(B1610="","",IFERROR(INDEX(PE_Equipe,MATCH(B1610,PE_Mat,0)),""))</f>
        <v/>
      </c>
      <c r="F1610" s="25"/>
      <c r="G1610" s="25"/>
      <c r="H1610" s="68"/>
      <c r="I1610" s="89"/>
      <c r="J1610" s="31" t="str">
        <f aca="false">IF(B1610="","",IFERROR(INDEX(PE_Taux,MATCH(B1610,PE_Mat,0)),0))</f>
        <v/>
      </c>
      <c r="K1610" s="31" t="str">
        <f aca="false">IF(B1610="","",IF(H1610="A",0,IFERROR(N(I1610)/P_Heures*J1610,0)))</f>
        <v/>
      </c>
      <c r="L1610" s="25"/>
    </row>
    <row r="1611" customFormat="false" ht="15" hidden="false" customHeight="false" outlineLevel="0" collapsed="false">
      <c r="A1611" s="69"/>
      <c r="B1611" s="68"/>
      <c r="C1611" s="76" t="str">
        <f aca="false">IF(B1611="","",IFERROR(INDEX(PE_Nom,MATCH(B1611,PE_Mat,0)),"Matricule inconnu"))</f>
        <v/>
      </c>
      <c r="D1611" s="76" t="str">
        <f aca="false">IF(B1611="","",IFERROR(INDEX(PE_Fonction,MATCH(B1611,PE_Mat,0)),""))</f>
        <v/>
      </c>
      <c r="E1611" s="76" t="str">
        <f aca="false">IF(B1611="","",IFERROR(INDEX(PE_Equipe,MATCH(B1611,PE_Mat,0)),""))</f>
        <v/>
      </c>
      <c r="F1611" s="25"/>
      <c r="G1611" s="25"/>
      <c r="H1611" s="68"/>
      <c r="I1611" s="89"/>
      <c r="J1611" s="31" t="str">
        <f aca="false">IF(B1611="","",IFERROR(INDEX(PE_Taux,MATCH(B1611,PE_Mat,0)),0))</f>
        <v/>
      </c>
      <c r="K1611" s="31" t="str">
        <f aca="false">IF(B1611="","",IF(H1611="A",0,IFERROR(N(I1611)/P_Heures*J1611,0)))</f>
        <v/>
      </c>
      <c r="L1611" s="25"/>
    </row>
    <row r="1612" customFormat="false" ht="15" hidden="false" customHeight="false" outlineLevel="0" collapsed="false">
      <c r="A1612" s="69"/>
      <c r="B1612" s="68"/>
      <c r="C1612" s="76" t="str">
        <f aca="false">IF(B1612="","",IFERROR(INDEX(PE_Nom,MATCH(B1612,PE_Mat,0)),"Matricule inconnu"))</f>
        <v/>
      </c>
      <c r="D1612" s="76" t="str">
        <f aca="false">IF(B1612="","",IFERROR(INDEX(PE_Fonction,MATCH(B1612,PE_Mat,0)),""))</f>
        <v/>
      </c>
      <c r="E1612" s="76" t="str">
        <f aca="false">IF(B1612="","",IFERROR(INDEX(PE_Equipe,MATCH(B1612,PE_Mat,0)),""))</f>
        <v/>
      </c>
      <c r="F1612" s="25"/>
      <c r="G1612" s="25"/>
      <c r="H1612" s="68"/>
      <c r="I1612" s="89"/>
      <c r="J1612" s="31" t="str">
        <f aca="false">IF(B1612="","",IFERROR(INDEX(PE_Taux,MATCH(B1612,PE_Mat,0)),0))</f>
        <v/>
      </c>
      <c r="K1612" s="31" t="str">
        <f aca="false">IF(B1612="","",IF(H1612="A",0,IFERROR(N(I1612)/P_Heures*J1612,0)))</f>
        <v/>
      </c>
      <c r="L1612" s="25"/>
    </row>
    <row r="1613" customFormat="false" ht="15" hidden="false" customHeight="false" outlineLevel="0" collapsed="false">
      <c r="A1613" s="69"/>
      <c r="B1613" s="68"/>
      <c r="C1613" s="76" t="str">
        <f aca="false">IF(B1613="","",IFERROR(INDEX(PE_Nom,MATCH(B1613,PE_Mat,0)),"Matricule inconnu"))</f>
        <v/>
      </c>
      <c r="D1613" s="76" t="str">
        <f aca="false">IF(B1613="","",IFERROR(INDEX(PE_Fonction,MATCH(B1613,PE_Mat,0)),""))</f>
        <v/>
      </c>
      <c r="E1613" s="76" t="str">
        <f aca="false">IF(B1613="","",IFERROR(INDEX(PE_Equipe,MATCH(B1613,PE_Mat,0)),""))</f>
        <v/>
      </c>
      <c r="F1613" s="25"/>
      <c r="G1613" s="25"/>
      <c r="H1613" s="68"/>
      <c r="I1613" s="89"/>
      <c r="J1613" s="31" t="str">
        <f aca="false">IF(B1613="","",IFERROR(INDEX(PE_Taux,MATCH(B1613,PE_Mat,0)),0))</f>
        <v/>
      </c>
      <c r="K1613" s="31" t="str">
        <f aca="false">IF(B1613="","",IF(H1613="A",0,IFERROR(N(I1613)/P_Heures*J1613,0)))</f>
        <v/>
      </c>
      <c r="L1613" s="25"/>
    </row>
    <row r="1614" customFormat="false" ht="15" hidden="false" customHeight="false" outlineLevel="0" collapsed="false">
      <c r="A1614" s="69"/>
      <c r="B1614" s="68"/>
      <c r="C1614" s="76" t="str">
        <f aca="false">IF(B1614="","",IFERROR(INDEX(PE_Nom,MATCH(B1614,PE_Mat,0)),"Matricule inconnu"))</f>
        <v/>
      </c>
      <c r="D1614" s="76" t="str">
        <f aca="false">IF(B1614="","",IFERROR(INDEX(PE_Fonction,MATCH(B1614,PE_Mat,0)),""))</f>
        <v/>
      </c>
      <c r="E1614" s="76" t="str">
        <f aca="false">IF(B1614="","",IFERROR(INDEX(PE_Equipe,MATCH(B1614,PE_Mat,0)),""))</f>
        <v/>
      </c>
      <c r="F1614" s="25"/>
      <c r="G1614" s="25"/>
      <c r="H1614" s="68"/>
      <c r="I1614" s="89"/>
      <c r="J1614" s="31" t="str">
        <f aca="false">IF(B1614="","",IFERROR(INDEX(PE_Taux,MATCH(B1614,PE_Mat,0)),0))</f>
        <v/>
      </c>
      <c r="K1614" s="31" t="str">
        <f aca="false">IF(B1614="","",IF(H1614="A",0,IFERROR(N(I1614)/P_Heures*J1614,0)))</f>
        <v/>
      </c>
      <c r="L1614" s="25"/>
    </row>
    <row r="1615" customFormat="false" ht="15" hidden="false" customHeight="false" outlineLevel="0" collapsed="false">
      <c r="A1615" s="69"/>
      <c r="B1615" s="68"/>
      <c r="C1615" s="76" t="str">
        <f aca="false">IF(B1615="","",IFERROR(INDEX(PE_Nom,MATCH(B1615,PE_Mat,0)),"Matricule inconnu"))</f>
        <v/>
      </c>
      <c r="D1615" s="76" t="str">
        <f aca="false">IF(B1615="","",IFERROR(INDEX(PE_Fonction,MATCH(B1615,PE_Mat,0)),""))</f>
        <v/>
      </c>
      <c r="E1615" s="76" t="str">
        <f aca="false">IF(B1615="","",IFERROR(INDEX(PE_Equipe,MATCH(B1615,PE_Mat,0)),""))</f>
        <v/>
      </c>
      <c r="F1615" s="25"/>
      <c r="G1615" s="25"/>
      <c r="H1615" s="68"/>
      <c r="I1615" s="89"/>
      <c r="J1615" s="31" t="str">
        <f aca="false">IF(B1615="","",IFERROR(INDEX(PE_Taux,MATCH(B1615,PE_Mat,0)),0))</f>
        <v/>
      </c>
      <c r="K1615" s="31" t="str">
        <f aca="false">IF(B1615="","",IF(H1615="A",0,IFERROR(N(I1615)/P_Heures*J1615,0)))</f>
        <v/>
      </c>
      <c r="L1615" s="25"/>
    </row>
    <row r="1616" customFormat="false" ht="15" hidden="false" customHeight="false" outlineLevel="0" collapsed="false">
      <c r="A1616" s="69"/>
      <c r="B1616" s="68"/>
      <c r="C1616" s="76" t="str">
        <f aca="false">IF(B1616="","",IFERROR(INDEX(PE_Nom,MATCH(B1616,PE_Mat,0)),"Matricule inconnu"))</f>
        <v/>
      </c>
      <c r="D1616" s="76" t="str">
        <f aca="false">IF(B1616="","",IFERROR(INDEX(PE_Fonction,MATCH(B1616,PE_Mat,0)),""))</f>
        <v/>
      </c>
      <c r="E1616" s="76" t="str">
        <f aca="false">IF(B1616="","",IFERROR(INDEX(PE_Equipe,MATCH(B1616,PE_Mat,0)),""))</f>
        <v/>
      </c>
      <c r="F1616" s="25"/>
      <c r="G1616" s="25"/>
      <c r="H1616" s="68"/>
      <c r="I1616" s="89"/>
      <c r="J1616" s="31" t="str">
        <f aca="false">IF(B1616="","",IFERROR(INDEX(PE_Taux,MATCH(B1616,PE_Mat,0)),0))</f>
        <v/>
      </c>
      <c r="K1616" s="31" t="str">
        <f aca="false">IF(B1616="","",IF(H1616="A",0,IFERROR(N(I1616)/P_Heures*J1616,0)))</f>
        <v/>
      </c>
      <c r="L1616" s="25"/>
    </row>
    <row r="1617" customFormat="false" ht="15" hidden="false" customHeight="false" outlineLevel="0" collapsed="false">
      <c r="A1617" s="69"/>
      <c r="B1617" s="68"/>
      <c r="C1617" s="76" t="str">
        <f aca="false">IF(B1617="","",IFERROR(INDEX(PE_Nom,MATCH(B1617,PE_Mat,0)),"Matricule inconnu"))</f>
        <v/>
      </c>
      <c r="D1617" s="76" t="str">
        <f aca="false">IF(B1617="","",IFERROR(INDEX(PE_Fonction,MATCH(B1617,PE_Mat,0)),""))</f>
        <v/>
      </c>
      <c r="E1617" s="76" t="str">
        <f aca="false">IF(B1617="","",IFERROR(INDEX(PE_Equipe,MATCH(B1617,PE_Mat,0)),""))</f>
        <v/>
      </c>
      <c r="F1617" s="25"/>
      <c r="G1617" s="25"/>
      <c r="H1617" s="68"/>
      <c r="I1617" s="89"/>
      <c r="J1617" s="31" t="str">
        <f aca="false">IF(B1617="","",IFERROR(INDEX(PE_Taux,MATCH(B1617,PE_Mat,0)),0))</f>
        <v/>
      </c>
      <c r="K1617" s="31" t="str">
        <f aca="false">IF(B1617="","",IF(H1617="A",0,IFERROR(N(I1617)/P_Heures*J1617,0)))</f>
        <v/>
      </c>
      <c r="L1617" s="25"/>
    </row>
    <row r="1618" customFormat="false" ht="15" hidden="false" customHeight="false" outlineLevel="0" collapsed="false">
      <c r="A1618" s="69"/>
      <c r="B1618" s="68"/>
      <c r="C1618" s="76" t="str">
        <f aca="false">IF(B1618="","",IFERROR(INDEX(PE_Nom,MATCH(B1618,PE_Mat,0)),"Matricule inconnu"))</f>
        <v/>
      </c>
      <c r="D1618" s="76" t="str">
        <f aca="false">IF(B1618="","",IFERROR(INDEX(PE_Fonction,MATCH(B1618,PE_Mat,0)),""))</f>
        <v/>
      </c>
      <c r="E1618" s="76" t="str">
        <f aca="false">IF(B1618="","",IFERROR(INDEX(PE_Equipe,MATCH(B1618,PE_Mat,0)),""))</f>
        <v/>
      </c>
      <c r="F1618" s="25"/>
      <c r="G1618" s="25"/>
      <c r="H1618" s="68"/>
      <c r="I1618" s="89"/>
      <c r="J1618" s="31" t="str">
        <f aca="false">IF(B1618="","",IFERROR(INDEX(PE_Taux,MATCH(B1618,PE_Mat,0)),0))</f>
        <v/>
      </c>
      <c r="K1618" s="31" t="str">
        <f aca="false">IF(B1618="","",IF(H1618="A",0,IFERROR(N(I1618)/P_Heures*J1618,0)))</f>
        <v/>
      </c>
      <c r="L1618" s="25"/>
    </row>
    <row r="1619" customFormat="false" ht="15" hidden="false" customHeight="false" outlineLevel="0" collapsed="false">
      <c r="A1619" s="69"/>
      <c r="B1619" s="68"/>
      <c r="C1619" s="76" t="str">
        <f aca="false">IF(B1619="","",IFERROR(INDEX(PE_Nom,MATCH(B1619,PE_Mat,0)),"Matricule inconnu"))</f>
        <v/>
      </c>
      <c r="D1619" s="76" t="str">
        <f aca="false">IF(B1619="","",IFERROR(INDEX(PE_Fonction,MATCH(B1619,PE_Mat,0)),""))</f>
        <v/>
      </c>
      <c r="E1619" s="76" t="str">
        <f aca="false">IF(B1619="","",IFERROR(INDEX(PE_Equipe,MATCH(B1619,PE_Mat,0)),""))</f>
        <v/>
      </c>
      <c r="F1619" s="25"/>
      <c r="G1619" s="25"/>
      <c r="H1619" s="68"/>
      <c r="I1619" s="89"/>
      <c r="J1619" s="31" t="str">
        <f aca="false">IF(B1619="","",IFERROR(INDEX(PE_Taux,MATCH(B1619,PE_Mat,0)),0))</f>
        <v/>
      </c>
      <c r="K1619" s="31" t="str">
        <f aca="false">IF(B1619="","",IF(H1619="A",0,IFERROR(N(I1619)/P_Heures*J1619,0)))</f>
        <v/>
      </c>
      <c r="L1619" s="25"/>
    </row>
    <row r="1620" customFormat="false" ht="15" hidden="false" customHeight="false" outlineLevel="0" collapsed="false">
      <c r="A1620" s="69"/>
      <c r="B1620" s="68"/>
      <c r="C1620" s="76" t="str">
        <f aca="false">IF(B1620="","",IFERROR(INDEX(PE_Nom,MATCH(B1620,PE_Mat,0)),"Matricule inconnu"))</f>
        <v/>
      </c>
      <c r="D1620" s="76" t="str">
        <f aca="false">IF(B1620="","",IFERROR(INDEX(PE_Fonction,MATCH(B1620,PE_Mat,0)),""))</f>
        <v/>
      </c>
      <c r="E1620" s="76" t="str">
        <f aca="false">IF(B1620="","",IFERROR(INDEX(PE_Equipe,MATCH(B1620,PE_Mat,0)),""))</f>
        <v/>
      </c>
      <c r="F1620" s="25"/>
      <c r="G1620" s="25"/>
      <c r="H1620" s="68"/>
      <c r="I1620" s="89"/>
      <c r="J1620" s="31" t="str">
        <f aca="false">IF(B1620="","",IFERROR(INDEX(PE_Taux,MATCH(B1620,PE_Mat,0)),0))</f>
        <v/>
      </c>
      <c r="K1620" s="31" t="str">
        <f aca="false">IF(B1620="","",IF(H1620="A",0,IFERROR(N(I1620)/P_Heures*J1620,0)))</f>
        <v/>
      </c>
      <c r="L1620" s="25"/>
    </row>
    <row r="1621" customFormat="false" ht="15" hidden="false" customHeight="false" outlineLevel="0" collapsed="false">
      <c r="A1621" s="69"/>
      <c r="B1621" s="68"/>
      <c r="C1621" s="76" t="str">
        <f aca="false">IF(B1621="","",IFERROR(INDEX(PE_Nom,MATCH(B1621,PE_Mat,0)),"Matricule inconnu"))</f>
        <v/>
      </c>
      <c r="D1621" s="76" t="str">
        <f aca="false">IF(B1621="","",IFERROR(INDEX(PE_Fonction,MATCH(B1621,PE_Mat,0)),""))</f>
        <v/>
      </c>
      <c r="E1621" s="76" t="str">
        <f aca="false">IF(B1621="","",IFERROR(INDEX(PE_Equipe,MATCH(B1621,PE_Mat,0)),""))</f>
        <v/>
      </c>
      <c r="F1621" s="25"/>
      <c r="G1621" s="25"/>
      <c r="H1621" s="68"/>
      <c r="I1621" s="89"/>
      <c r="J1621" s="31" t="str">
        <f aca="false">IF(B1621="","",IFERROR(INDEX(PE_Taux,MATCH(B1621,PE_Mat,0)),0))</f>
        <v/>
      </c>
      <c r="K1621" s="31" t="str">
        <f aca="false">IF(B1621="","",IF(H1621="A",0,IFERROR(N(I1621)/P_Heures*J1621,0)))</f>
        <v/>
      </c>
      <c r="L1621" s="25"/>
    </row>
    <row r="1622" customFormat="false" ht="15" hidden="false" customHeight="false" outlineLevel="0" collapsed="false">
      <c r="A1622" s="69"/>
      <c r="B1622" s="68"/>
      <c r="C1622" s="76" t="str">
        <f aca="false">IF(B1622="","",IFERROR(INDEX(PE_Nom,MATCH(B1622,PE_Mat,0)),"Matricule inconnu"))</f>
        <v/>
      </c>
      <c r="D1622" s="76" t="str">
        <f aca="false">IF(B1622="","",IFERROR(INDEX(PE_Fonction,MATCH(B1622,PE_Mat,0)),""))</f>
        <v/>
      </c>
      <c r="E1622" s="76" t="str">
        <f aca="false">IF(B1622="","",IFERROR(INDEX(PE_Equipe,MATCH(B1622,PE_Mat,0)),""))</f>
        <v/>
      </c>
      <c r="F1622" s="25"/>
      <c r="G1622" s="25"/>
      <c r="H1622" s="68"/>
      <c r="I1622" s="89"/>
      <c r="J1622" s="31" t="str">
        <f aca="false">IF(B1622="","",IFERROR(INDEX(PE_Taux,MATCH(B1622,PE_Mat,0)),0))</f>
        <v/>
      </c>
      <c r="K1622" s="31" t="str">
        <f aca="false">IF(B1622="","",IF(H1622="A",0,IFERROR(N(I1622)/P_Heures*J1622,0)))</f>
        <v/>
      </c>
      <c r="L1622" s="25"/>
    </row>
    <row r="1623" customFormat="false" ht="15" hidden="false" customHeight="false" outlineLevel="0" collapsed="false">
      <c r="A1623" s="69"/>
      <c r="B1623" s="68"/>
      <c r="C1623" s="76" t="str">
        <f aca="false">IF(B1623="","",IFERROR(INDEX(PE_Nom,MATCH(B1623,PE_Mat,0)),"Matricule inconnu"))</f>
        <v/>
      </c>
      <c r="D1623" s="76" t="str">
        <f aca="false">IF(B1623="","",IFERROR(INDEX(PE_Fonction,MATCH(B1623,PE_Mat,0)),""))</f>
        <v/>
      </c>
      <c r="E1623" s="76" t="str">
        <f aca="false">IF(B1623="","",IFERROR(INDEX(PE_Equipe,MATCH(B1623,PE_Mat,0)),""))</f>
        <v/>
      </c>
      <c r="F1623" s="25"/>
      <c r="G1623" s="25"/>
      <c r="H1623" s="68"/>
      <c r="I1623" s="89"/>
      <c r="J1623" s="31" t="str">
        <f aca="false">IF(B1623="","",IFERROR(INDEX(PE_Taux,MATCH(B1623,PE_Mat,0)),0))</f>
        <v/>
      </c>
      <c r="K1623" s="31" t="str">
        <f aca="false">IF(B1623="","",IF(H1623="A",0,IFERROR(N(I1623)/P_Heures*J1623,0)))</f>
        <v/>
      </c>
      <c r="L1623" s="25"/>
    </row>
    <row r="1624" customFormat="false" ht="15" hidden="false" customHeight="false" outlineLevel="0" collapsed="false">
      <c r="A1624" s="69"/>
      <c r="B1624" s="68"/>
      <c r="C1624" s="76" t="str">
        <f aca="false">IF(B1624="","",IFERROR(INDEX(PE_Nom,MATCH(B1624,PE_Mat,0)),"Matricule inconnu"))</f>
        <v/>
      </c>
      <c r="D1624" s="76" t="str">
        <f aca="false">IF(B1624="","",IFERROR(INDEX(PE_Fonction,MATCH(B1624,PE_Mat,0)),""))</f>
        <v/>
      </c>
      <c r="E1624" s="76" t="str">
        <f aca="false">IF(B1624="","",IFERROR(INDEX(PE_Equipe,MATCH(B1624,PE_Mat,0)),""))</f>
        <v/>
      </c>
      <c r="F1624" s="25"/>
      <c r="G1624" s="25"/>
      <c r="H1624" s="68"/>
      <c r="I1624" s="89"/>
      <c r="J1624" s="31" t="str">
        <f aca="false">IF(B1624="","",IFERROR(INDEX(PE_Taux,MATCH(B1624,PE_Mat,0)),0))</f>
        <v/>
      </c>
      <c r="K1624" s="31" t="str">
        <f aca="false">IF(B1624="","",IF(H1624="A",0,IFERROR(N(I1624)/P_Heures*J1624,0)))</f>
        <v/>
      </c>
      <c r="L1624" s="25"/>
    </row>
    <row r="1625" customFormat="false" ht="15" hidden="false" customHeight="false" outlineLevel="0" collapsed="false">
      <c r="A1625" s="69"/>
      <c r="B1625" s="68"/>
      <c r="C1625" s="76" t="str">
        <f aca="false">IF(B1625="","",IFERROR(INDEX(PE_Nom,MATCH(B1625,PE_Mat,0)),"Matricule inconnu"))</f>
        <v/>
      </c>
      <c r="D1625" s="76" t="str">
        <f aca="false">IF(B1625="","",IFERROR(INDEX(PE_Fonction,MATCH(B1625,PE_Mat,0)),""))</f>
        <v/>
      </c>
      <c r="E1625" s="76" t="str">
        <f aca="false">IF(B1625="","",IFERROR(INDEX(PE_Equipe,MATCH(B1625,PE_Mat,0)),""))</f>
        <v/>
      </c>
      <c r="F1625" s="25"/>
      <c r="G1625" s="25"/>
      <c r="H1625" s="68"/>
      <c r="I1625" s="89"/>
      <c r="J1625" s="31" t="str">
        <f aca="false">IF(B1625="","",IFERROR(INDEX(PE_Taux,MATCH(B1625,PE_Mat,0)),0))</f>
        <v/>
      </c>
      <c r="K1625" s="31" t="str">
        <f aca="false">IF(B1625="","",IF(H1625="A",0,IFERROR(N(I1625)/P_Heures*J1625,0)))</f>
        <v/>
      </c>
      <c r="L1625" s="25"/>
    </row>
    <row r="1626" customFormat="false" ht="15" hidden="false" customHeight="false" outlineLevel="0" collapsed="false">
      <c r="A1626" s="69"/>
      <c r="B1626" s="68"/>
      <c r="C1626" s="76" t="str">
        <f aca="false">IF(B1626="","",IFERROR(INDEX(PE_Nom,MATCH(B1626,PE_Mat,0)),"Matricule inconnu"))</f>
        <v/>
      </c>
      <c r="D1626" s="76" t="str">
        <f aca="false">IF(B1626="","",IFERROR(INDEX(PE_Fonction,MATCH(B1626,PE_Mat,0)),""))</f>
        <v/>
      </c>
      <c r="E1626" s="76" t="str">
        <f aca="false">IF(B1626="","",IFERROR(INDEX(PE_Equipe,MATCH(B1626,PE_Mat,0)),""))</f>
        <v/>
      </c>
      <c r="F1626" s="25"/>
      <c r="G1626" s="25"/>
      <c r="H1626" s="68"/>
      <c r="I1626" s="89"/>
      <c r="J1626" s="31" t="str">
        <f aca="false">IF(B1626="","",IFERROR(INDEX(PE_Taux,MATCH(B1626,PE_Mat,0)),0))</f>
        <v/>
      </c>
      <c r="K1626" s="31" t="str">
        <f aca="false">IF(B1626="","",IF(H1626="A",0,IFERROR(N(I1626)/P_Heures*J1626,0)))</f>
        <v/>
      </c>
      <c r="L1626" s="25"/>
    </row>
    <row r="1627" customFormat="false" ht="15" hidden="false" customHeight="false" outlineLevel="0" collapsed="false">
      <c r="A1627" s="69"/>
      <c r="B1627" s="68"/>
      <c r="C1627" s="76" t="str">
        <f aca="false">IF(B1627="","",IFERROR(INDEX(PE_Nom,MATCH(B1627,PE_Mat,0)),"Matricule inconnu"))</f>
        <v/>
      </c>
      <c r="D1627" s="76" t="str">
        <f aca="false">IF(B1627="","",IFERROR(INDEX(PE_Fonction,MATCH(B1627,PE_Mat,0)),""))</f>
        <v/>
      </c>
      <c r="E1627" s="76" t="str">
        <f aca="false">IF(B1627="","",IFERROR(INDEX(PE_Equipe,MATCH(B1627,PE_Mat,0)),""))</f>
        <v/>
      </c>
      <c r="F1627" s="25"/>
      <c r="G1627" s="25"/>
      <c r="H1627" s="68"/>
      <c r="I1627" s="89"/>
      <c r="J1627" s="31" t="str">
        <f aca="false">IF(B1627="","",IFERROR(INDEX(PE_Taux,MATCH(B1627,PE_Mat,0)),0))</f>
        <v/>
      </c>
      <c r="K1627" s="31" t="str">
        <f aca="false">IF(B1627="","",IF(H1627="A",0,IFERROR(N(I1627)/P_Heures*J1627,0)))</f>
        <v/>
      </c>
      <c r="L1627" s="25"/>
    </row>
    <row r="1628" customFormat="false" ht="15" hidden="false" customHeight="false" outlineLevel="0" collapsed="false">
      <c r="A1628" s="69"/>
      <c r="B1628" s="68"/>
      <c r="C1628" s="76" t="str">
        <f aca="false">IF(B1628="","",IFERROR(INDEX(PE_Nom,MATCH(B1628,PE_Mat,0)),"Matricule inconnu"))</f>
        <v/>
      </c>
      <c r="D1628" s="76" t="str">
        <f aca="false">IF(B1628="","",IFERROR(INDEX(PE_Fonction,MATCH(B1628,PE_Mat,0)),""))</f>
        <v/>
      </c>
      <c r="E1628" s="76" t="str">
        <f aca="false">IF(B1628="","",IFERROR(INDEX(PE_Equipe,MATCH(B1628,PE_Mat,0)),""))</f>
        <v/>
      </c>
      <c r="F1628" s="25"/>
      <c r="G1628" s="25"/>
      <c r="H1628" s="68"/>
      <c r="I1628" s="89"/>
      <c r="J1628" s="31" t="str">
        <f aca="false">IF(B1628="","",IFERROR(INDEX(PE_Taux,MATCH(B1628,PE_Mat,0)),0))</f>
        <v/>
      </c>
      <c r="K1628" s="31" t="str">
        <f aca="false">IF(B1628="","",IF(H1628="A",0,IFERROR(N(I1628)/P_Heures*J1628,0)))</f>
        <v/>
      </c>
      <c r="L1628" s="25"/>
    </row>
    <row r="1629" customFormat="false" ht="15" hidden="false" customHeight="false" outlineLevel="0" collapsed="false">
      <c r="A1629" s="69"/>
      <c r="B1629" s="68"/>
      <c r="C1629" s="76" t="str">
        <f aca="false">IF(B1629="","",IFERROR(INDEX(PE_Nom,MATCH(B1629,PE_Mat,0)),"Matricule inconnu"))</f>
        <v/>
      </c>
      <c r="D1629" s="76" t="str">
        <f aca="false">IF(B1629="","",IFERROR(INDEX(PE_Fonction,MATCH(B1629,PE_Mat,0)),""))</f>
        <v/>
      </c>
      <c r="E1629" s="76" t="str">
        <f aca="false">IF(B1629="","",IFERROR(INDEX(PE_Equipe,MATCH(B1629,PE_Mat,0)),""))</f>
        <v/>
      </c>
      <c r="F1629" s="25"/>
      <c r="G1629" s="25"/>
      <c r="H1629" s="68"/>
      <c r="I1629" s="89"/>
      <c r="J1629" s="31" t="str">
        <f aca="false">IF(B1629="","",IFERROR(INDEX(PE_Taux,MATCH(B1629,PE_Mat,0)),0))</f>
        <v/>
      </c>
      <c r="K1629" s="31" t="str">
        <f aca="false">IF(B1629="","",IF(H1629="A",0,IFERROR(N(I1629)/P_Heures*J1629,0)))</f>
        <v/>
      </c>
      <c r="L1629" s="25"/>
    </row>
    <row r="1630" customFormat="false" ht="15" hidden="false" customHeight="false" outlineLevel="0" collapsed="false">
      <c r="A1630" s="69"/>
      <c r="B1630" s="68"/>
      <c r="C1630" s="76" t="str">
        <f aca="false">IF(B1630="","",IFERROR(INDEX(PE_Nom,MATCH(B1630,PE_Mat,0)),"Matricule inconnu"))</f>
        <v/>
      </c>
      <c r="D1630" s="76" t="str">
        <f aca="false">IF(B1630="","",IFERROR(INDEX(PE_Fonction,MATCH(B1630,PE_Mat,0)),""))</f>
        <v/>
      </c>
      <c r="E1630" s="76" t="str">
        <f aca="false">IF(B1630="","",IFERROR(INDEX(PE_Equipe,MATCH(B1630,PE_Mat,0)),""))</f>
        <v/>
      </c>
      <c r="F1630" s="25"/>
      <c r="G1630" s="25"/>
      <c r="H1630" s="68"/>
      <c r="I1630" s="89"/>
      <c r="J1630" s="31" t="str">
        <f aca="false">IF(B1630="","",IFERROR(INDEX(PE_Taux,MATCH(B1630,PE_Mat,0)),0))</f>
        <v/>
      </c>
      <c r="K1630" s="31" t="str">
        <f aca="false">IF(B1630="","",IF(H1630="A",0,IFERROR(N(I1630)/P_Heures*J1630,0)))</f>
        <v/>
      </c>
      <c r="L1630" s="25"/>
    </row>
    <row r="1631" customFormat="false" ht="15" hidden="false" customHeight="false" outlineLevel="0" collapsed="false">
      <c r="A1631" s="69"/>
      <c r="B1631" s="68"/>
      <c r="C1631" s="76" t="str">
        <f aca="false">IF(B1631="","",IFERROR(INDEX(PE_Nom,MATCH(B1631,PE_Mat,0)),"Matricule inconnu"))</f>
        <v/>
      </c>
      <c r="D1631" s="76" t="str">
        <f aca="false">IF(B1631="","",IFERROR(INDEX(PE_Fonction,MATCH(B1631,PE_Mat,0)),""))</f>
        <v/>
      </c>
      <c r="E1631" s="76" t="str">
        <f aca="false">IF(B1631="","",IFERROR(INDEX(PE_Equipe,MATCH(B1631,PE_Mat,0)),""))</f>
        <v/>
      </c>
      <c r="F1631" s="25"/>
      <c r="G1631" s="25"/>
      <c r="H1631" s="68"/>
      <c r="I1631" s="89"/>
      <c r="J1631" s="31" t="str">
        <f aca="false">IF(B1631="","",IFERROR(INDEX(PE_Taux,MATCH(B1631,PE_Mat,0)),0))</f>
        <v/>
      </c>
      <c r="K1631" s="31" t="str">
        <f aca="false">IF(B1631="","",IF(H1631="A",0,IFERROR(N(I1631)/P_Heures*J1631,0)))</f>
        <v/>
      </c>
      <c r="L1631" s="25"/>
    </row>
    <row r="1632" customFormat="false" ht="15" hidden="false" customHeight="false" outlineLevel="0" collapsed="false">
      <c r="A1632" s="69"/>
      <c r="B1632" s="68"/>
      <c r="C1632" s="76" t="str">
        <f aca="false">IF(B1632="","",IFERROR(INDEX(PE_Nom,MATCH(B1632,PE_Mat,0)),"Matricule inconnu"))</f>
        <v/>
      </c>
      <c r="D1632" s="76" t="str">
        <f aca="false">IF(B1632="","",IFERROR(INDEX(PE_Fonction,MATCH(B1632,PE_Mat,0)),""))</f>
        <v/>
      </c>
      <c r="E1632" s="76" t="str">
        <f aca="false">IF(B1632="","",IFERROR(INDEX(PE_Equipe,MATCH(B1632,PE_Mat,0)),""))</f>
        <v/>
      </c>
      <c r="F1632" s="25"/>
      <c r="G1632" s="25"/>
      <c r="H1632" s="68"/>
      <c r="I1632" s="89"/>
      <c r="J1632" s="31" t="str">
        <f aca="false">IF(B1632="","",IFERROR(INDEX(PE_Taux,MATCH(B1632,PE_Mat,0)),0))</f>
        <v/>
      </c>
      <c r="K1632" s="31" t="str">
        <f aca="false">IF(B1632="","",IF(H1632="A",0,IFERROR(N(I1632)/P_Heures*J1632,0)))</f>
        <v/>
      </c>
      <c r="L1632" s="25"/>
    </row>
    <row r="1633" customFormat="false" ht="15" hidden="false" customHeight="false" outlineLevel="0" collapsed="false">
      <c r="A1633" s="69"/>
      <c r="B1633" s="68"/>
      <c r="C1633" s="76" t="str">
        <f aca="false">IF(B1633="","",IFERROR(INDEX(PE_Nom,MATCH(B1633,PE_Mat,0)),"Matricule inconnu"))</f>
        <v/>
      </c>
      <c r="D1633" s="76" t="str">
        <f aca="false">IF(B1633="","",IFERROR(INDEX(PE_Fonction,MATCH(B1633,PE_Mat,0)),""))</f>
        <v/>
      </c>
      <c r="E1633" s="76" t="str">
        <f aca="false">IF(B1633="","",IFERROR(INDEX(PE_Equipe,MATCH(B1633,PE_Mat,0)),""))</f>
        <v/>
      </c>
      <c r="F1633" s="25"/>
      <c r="G1633" s="25"/>
      <c r="H1633" s="68"/>
      <c r="I1633" s="89"/>
      <c r="J1633" s="31" t="str">
        <f aca="false">IF(B1633="","",IFERROR(INDEX(PE_Taux,MATCH(B1633,PE_Mat,0)),0))</f>
        <v/>
      </c>
      <c r="K1633" s="31" t="str">
        <f aca="false">IF(B1633="","",IF(H1633="A",0,IFERROR(N(I1633)/P_Heures*J1633,0)))</f>
        <v/>
      </c>
      <c r="L1633" s="25"/>
    </row>
    <row r="1634" customFormat="false" ht="15" hidden="false" customHeight="false" outlineLevel="0" collapsed="false">
      <c r="A1634" s="69"/>
      <c r="B1634" s="68"/>
      <c r="C1634" s="76" t="str">
        <f aca="false">IF(B1634="","",IFERROR(INDEX(PE_Nom,MATCH(B1634,PE_Mat,0)),"Matricule inconnu"))</f>
        <v/>
      </c>
      <c r="D1634" s="76" t="str">
        <f aca="false">IF(B1634="","",IFERROR(INDEX(PE_Fonction,MATCH(B1634,PE_Mat,0)),""))</f>
        <v/>
      </c>
      <c r="E1634" s="76" t="str">
        <f aca="false">IF(B1634="","",IFERROR(INDEX(PE_Equipe,MATCH(B1634,PE_Mat,0)),""))</f>
        <v/>
      </c>
      <c r="F1634" s="25"/>
      <c r="G1634" s="25"/>
      <c r="H1634" s="68"/>
      <c r="I1634" s="89"/>
      <c r="J1634" s="31" t="str">
        <f aca="false">IF(B1634="","",IFERROR(INDEX(PE_Taux,MATCH(B1634,PE_Mat,0)),0))</f>
        <v/>
      </c>
      <c r="K1634" s="31" t="str">
        <f aca="false">IF(B1634="","",IF(H1634="A",0,IFERROR(N(I1634)/P_Heures*J1634,0)))</f>
        <v/>
      </c>
      <c r="L1634" s="25"/>
    </row>
    <row r="1635" customFormat="false" ht="15" hidden="false" customHeight="false" outlineLevel="0" collapsed="false">
      <c r="A1635" s="69"/>
      <c r="B1635" s="68"/>
      <c r="C1635" s="76" t="str">
        <f aca="false">IF(B1635="","",IFERROR(INDEX(PE_Nom,MATCH(B1635,PE_Mat,0)),"Matricule inconnu"))</f>
        <v/>
      </c>
      <c r="D1635" s="76" t="str">
        <f aca="false">IF(B1635="","",IFERROR(INDEX(PE_Fonction,MATCH(B1635,PE_Mat,0)),""))</f>
        <v/>
      </c>
      <c r="E1635" s="76" t="str">
        <f aca="false">IF(B1635="","",IFERROR(INDEX(PE_Equipe,MATCH(B1635,PE_Mat,0)),""))</f>
        <v/>
      </c>
      <c r="F1635" s="25"/>
      <c r="G1635" s="25"/>
      <c r="H1635" s="68"/>
      <c r="I1635" s="89"/>
      <c r="J1635" s="31" t="str">
        <f aca="false">IF(B1635="","",IFERROR(INDEX(PE_Taux,MATCH(B1635,PE_Mat,0)),0))</f>
        <v/>
      </c>
      <c r="K1635" s="31" t="str">
        <f aca="false">IF(B1635="","",IF(H1635="A",0,IFERROR(N(I1635)/P_Heures*J1635,0)))</f>
        <v/>
      </c>
      <c r="L1635" s="25"/>
    </row>
    <row r="1636" customFormat="false" ht="15" hidden="false" customHeight="false" outlineLevel="0" collapsed="false">
      <c r="A1636" s="69"/>
      <c r="B1636" s="68"/>
      <c r="C1636" s="76" t="str">
        <f aca="false">IF(B1636="","",IFERROR(INDEX(PE_Nom,MATCH(B1636,PE_Mat,0)),"Matricule inconnu"))</f>
        <v/>
      </c>
      <c r="D1636" s="76" t="str">
        <f aca="false">IF(B1636="","",IFERROR(INDEX(PE_Fonction,MATCH(B1636,PE_Mat,0)),""))</f>
        <v/>
      </c>
      <c r="E1636" s="76" t="str">
        <f aca="false">IF(B1636="","",IFERROR(INDEX(PE_Equipe,MATCH(B1636,PE_Mat,0)),""))</f>
        <v/>
      </c>
      <c r="F1636" s="25"/>
      <c r="G1636" s="25"/>
      <c r="H1636" s="68"/>
      <c r="I1636" s="89"/>
      <c r="J1636" s="31" t="str">
        <f aca="false">IF(B1636="","",IFERROR(INDEX(PE_Taux,MATCH(B1636,PE_Mat,0)),0))</f>
        <v/>
      </c>
      <c r="K1636" s="31" t="str">
        <f aca="false">IF(B1636="","",IF(H1636="A",0,IFERROR(N(I1636)/P_Heures*J1636,0)))</f>
        <v/>
      </c>
      <c r="L1636" s="25"/>
    </row>
    <row r="1637" customFormat="false" ht="15" hidden="false" customHeight="false" outlineLevel="0" collapsed="false">
      <c r="A1637" s="69"/>
      <c r="B1637" s="68"/>
      <c r="C1637" s="76" t="str">
        <f aca="false">IF(B1637="","",IFERROR(INDEX(PE_Nom,MATCH(B1637,PE_Mat,0)),"Matricule inconnu"))</f>
        <v/>
      </c>
      <c r="D1637" s="76" t="str">
        <f aca="false">IF(B1637="","",IFERROR(INDEX(PE_Fonction,MATCH(B1637,PE_Mat,0)),""))</f>
        <v/>
      </c>
      <c r="E1637" s="76" t="str">
        <f aca="false">IF(B1637="","",IFERROR(INDEX(PE_Equipe,MATCH(B1637,PE_Mat,0)),""))</f>
        <v/>
      </c>
      <c r="F1637" s="25"/>
      <c r="G1637" s="25"/>
      <c r="H1637" s="68"/>
      <c r="I1637" s="89"/>
      <c r="J1637" s="31" t="str">
        <f aca="false">IF(B1637="","",IFERROR(INDEX(PE_Taux,MATCH(B1637,PE_Mat,0)),0))</f>
        <v/>
      </c>
      <c r="K1637" s="31" t="str">
        <f aca="false">IF(B1637="","",IF(H1637="A",0,IFERROR(N(I1637)/P_Heures*J1637,0)))</f>
        <v/>
      </c>
      <c r="L1637" s="25"/>
    </row>
    <row r="1638" customFormat="false" ht="15" hidden="false" customHeight="false" outlineLevel="0" collapsed="false">
      <c r="A1638" s="69"/>
      <c r="B1638" s="68"/>
      <c r="C1638" s="76" t="str">
        <f aca="false">IF(B1638="","",IFERROR(INDEX(PE_Nom,MATCH(B1638,PE_Mat,0)),"Matricule inconnu"))</f>
        <v/>
      </c>
      <c r="D1638" s="76" t="str">
        <f aca="false">IF(B1638="","",IFERROR(INDEX(PE_Fonction,MATCH(B1638,PE_Mat,0)),""))</f>
        <v/>
      </c>
      <c r="E1638" s="76" t="str">
        <f aca="false">IF(B1638="","",IFERROR(INDEX(PE_Equipe,MATCH(B1638,PE_Mat,0)),""))</f>
        <v/>
      </c>
      <c r="F1638" s="25"/>
      <c r="G1638" s="25"/>
      <c r="H1638" s="68"/>
      <c r="I1638" s="89"/>
      <c r="J1638" s="31" t="str">
        <f aca="false">IF(B1638="","",IFERROR(INDEX(PE_Taux,MATCH(B1638,PE_Mat,0)),0))</f>
        <v/>
      </c>
      <c r="K1638" s="31" t="str">
        <f aca="false">IF(B1638="","",IF(H1638="A",0,IFERROR(N(I1638)/P_Heures*J1638,0)))</f>
        <v/>
      </c>
      <c r="L1638" s="25"/>
    </row>
    <row r="1639" customFormat="false" ht="15" hidden="false" customHeight="false" outlineLevel="0" collapsed="false">
      <c r="A1639" s="69"/>
      <c r="B1639" s="68"/>
      <c r="C1639" s="76" t="str">
        <f aca="false">IF(B1639="","",IFERROR(INDEX(PE_Nom,MATCH(B1639,PE_Mat,0)),"Matricule inconnu"))</f>
        <v/>
      </c>
      <c r="D1639" s="76" t="str">
        <f aca="false">IF(B1639="","",IFERROR(INDEX(PE_Fonction,MATCH(B1639,PE_Mat,0)),""))</f>
        <v/>
      </c>
      <c r="E1639" s="76" t="str">
        <f aca="false">IF(B1639="","",IFERROR(INDEX(PE_Equipe,MATCH(B1639,PE_Mat,0)),""))</f>
        <v/>
      </c>
      <c r="F1639" s="25"/>
      <c r="G1639" s="25"/>
      <c r="H1639" s="68"/>
      <c r="I1639" s="89"/>
      <c r="J1639" s="31" t="str">
        <f aca="false">IF(B1639="","",IFERROR(INDEX(PE_Taux,MATCH(B1639,PE_Mat,0)),0))</f>
        <v/>
      </c>
      <c r="K1639" s="31" t="str">
        <f aca="false">IF(B1639="","",IF(H1639="A",0,IFERROR(N(I1639)/P_Heures*J1639,0)))</f>
        <v/>
      </c>
      <c r="L1639" s="25"/>
    </row>
    <row r="1640" customFormat="false" ht="15" hidden="false" customHeight="false" outlineLevel="0" collapsed="false">
      <c r="A1640" s="69"/>
      <c r="B1640" s="68"/>
      <c r="C1640" s="76" t="str">
        <f aca="false">IF(B1640="","",IFERROR(INDEX(PE_Nom,MATCH(B1640,PE_Mat,0)),"Matricule inconnu"))</f>
        <v/>
      </c>
      <c r="D1640" s="76" t="str">
        <f aca="false">IF(B1640="","",IFERROR(INDEX(PE_Fonction,MATCH(B1640,PE_Mat,0)),""))</f>
        <v/>
      </c>
      <c r="E1640" s="76" t="str">
        <f aca="false">IF(B1640="","",IFERROR(INDEX(PE_Equipe,MATCH(B1640,PE_Mat,0)),""))</f>
        <v/>
      </c>
      <c r="F1640" s="25"/>
      <c r="G1640" s="25"/>
      <c r="H1640" s="68"/>
      <c r="I1640" s="89"/>
      <c r="J1640" s="31" t="str">
        <f aca="false">IF(B1640="","",IFERROR(INDEX(PE_Taux,MATCH(B1640,PE_Mat,0)),0))</f>
        <v/>
      </c>
      <c r="K1640" s="31" t="str">
        <f aca="false">IF(B1640="","",IF(H1640="A",0,IFERROR(N(I1640)/P_Heures*J1640,0)))</f>
        <v/>
      </c>
      <c r="L1640" s="25"/>
    </row>
    <row r="1641" customFormat="false" ht="15" hidden="false" customHeight="false" outlineLevel="0" collapsed="false">
      <c r="A1641" s="69"/>
      <c r="B1641" s="68"/>
      <c r="C1641" s="76" t="str">
        <f aca="false">IF(B1641="","",IFERROR(INDEX(PE_Nom,MATCH(B1641,PE_Mat,0)),"Matricule inconnu"))</f>
        <v/>
      </c>
      <c r="D1641" s="76" t="str">
        <f aca="false">IF(B1641="","",IFERROR(INDEX(PE_Fonction,MATCH(B1641,PE_Mat,0)),""))</f>
        <v/>
      </c>
      <c r="E1641" s="76" t="str">
        <f aca="false">IF(B1641="","",IFERROR(INDEX(PE_Equipe,MATCH(B1641,PE_Mat,0)),""))</f>
        <v/>
      </c>
      <c r="F1641" s="25"/>
      <c r="G1641" s="25"/>
      <c r="H1641" s="68"/>
      <c r="I1641" s="89"/>
      <c r="J1641" s="31" t="str">
        <f aca="false">IF(B1641="","",IFERROR(INDEX(PE_Taux,MATCH(B1641,PE_Mat,0)),0))</f>
        <v/>
      </c>
      <c r="K1641" s="31" t="str">
        <f aca="false">IF(B1641="","",IF(H1641="A",0,IFERROR(N(I1641)/P_Heures*J1641,0)))</f>
        <v/>
      </c>
      <c r="L1641" s="25"/>
    </row>
    <row r="1642" customFormat="false" ht="15" hidden="false" customHeight="false" outlineLevel="0" collapsed="false">
      <c r="A1642" s="69"/>
      <c r="B1642" s="68"/>
      <c r="C1642" s="76" t="str">
        <f aca="false">IF(B1642="","",IFERROR(INDEX(PE_Nom,MATCH(B1642,PE_Mat,0)),"Matricule inconnu"))</f>
        <v/>
      </c>
      <c r="D1642" s="76" t="str">
        <f aca="false">IF(B1642="","",IFERROR(INDEX(PE_Fonction,MATCH(B1642,PE_Mat,0)),""))</f>
        <v/>
      </c>
      <c r="E1642" s="76" t="str">
        <f aca="false">IF(B1642="","",IFERROR(INDEX(PE_Equipe,MATCH(B1642,PE_Mat,0)),""))</f>
        <v/>
      </c>
      <c r="F1642" s="25"/>
      <c r="G1642" s="25"/>
      <c r="H1642" s="68"/>
      <c r="I1642" s="89"/>
      <c r="J1642" s="31" t="str">
        <f aca="false">IF(B1642="","",IFERROR(INDEX(PE_Taux,MATCH(B1642,PE_Mat,0)),0))</f>
        <v/>
      </c>
      <c r="K1642" s="31" t="str">
        <f aca="false">IF(B1642="","",IF(H1642="A",0,IFERROR(N(I1642)/P_Heures*J1642,0)))</f>
        <v/>
      </c>
      <c r="L1642" s="25"/>
    </row>
    <row r="1643" customFormat="false" ht="15" hidden="false" customHeight="false" outlineLevel="0" collapsed="false">
      <c r="A1643" s="69"/>
      <c r="B1643" s="68"/>
      <c r="C1643" s="76" t="str">
        <f aca="false">IF(B1643="","",IFERROR(INDEX(PE_Nom,MATCH(B1643,PE_Mat,0)),"Matricule inconnu"))</f>
        <v/>
      </c>
      <c r="D1643" s="76" t="str">
        <f aca="false">IF(B1643="","",IFERROR(INDEX(PE_Fonction,MATCH(B1643,PE_Mat,0)),""))</f>
        <v/>
      </c>
      <c r="E1643" s="76" t="str">
        <f aca="false">IF(B1643="","",IFERROR(INDEX(PE_Equipe,MATCH(B1643,PE_Mat,0)),""))</f>
        <v/>
      </c>
      <c r="F1643" s="25"/>
      <c r="G1643" s="25"/>
      <c r="H1643" s="68"/>
      <c r="I1643" s="89"/>
      <c r="J1643" s="31" t="str">
        <f aca="false">IF(B1643="","",IFERROR(INDEX(PE_Taux,MATCH(B1643,PE_Mat,0)),0))</f>
        <v/>
      </c>
      <c r="K1643" s="31" t="str">
        <f aca="false">IF(B1643="","",IF(H1643="A",0,IFERROR(N(I1643)/P_Heures*J1643,0)))</f>
        <v/>
      </c>
      <c r="L1643" s="25"/>
    </row>
    <row r="1644" customFormat="false" ht="15" hidden="false" customHeight="false" outlineLevel="0" collapsed="false">
      <c r="A1644" s="69"/>
      <c r="B1644" s="68"/>
      <c r="C1644" s="76" t="str">
        <f aca="false">IF(B1644="","",IFERROR(INDEX(PE_Nom,MATCH(B1644,PE_Mat,0)),"Matricule inconnu"))</f>
        <v/>
      </c>
      <c r="D1644" s="76" t="str">
        <f aca="false">IF(B1644="","",IFERROR(INDEX(PE_Fonction,MATCH(B1644,PE_Mat,0)),""))</f>
        <v/>
      </c>
      <c r="E1644" s="76" t="str">
        <f aca="false">IF(B1644="","",IFERROR(INDEX(PE_Equipe,MATCH(B1644,PE_Mat,0)),""))</f>
        <v/>
      </c>
      <c r="F1644" s="25"/>
      <c r="G1644" s="25"/>
      <c r="H1644" s="68"/>
      <c r="I1644" s="89"/>
      <c r="J1644" s="31" t="str">
        <f aca="false">IF(B1644="","",IFERROR(INDEX(PE_Taux,MATCH(B1644,PE_Mat,0)),0))</f>
        <v/>
      </c>
      <c r="K1644" s="31" t="str">
        <f aca="false">IF(B1644="","",IF(H1644="A",0,IFERROR(N(I1644)/P_Heures*J1644,0)))</f>
        <v/>
      </c>
      <c r="L1644" s="25"/>
    </row>
    <row r="1645" customFormat="false" ht="15" hidden="false" customHeight="false" outlineLevel="0" collapsed="false">
      <c r="A1645" s="69"/>
      <c r="B1645" s="68"/>
      <c r="C1645" s="76" t="str">
        <f aca="false">IF(B1645="","",IFERROR(INDEX(PE_Nom,MATCH(B1645,PE_Mat,0)),"Matricule inconnu"))</f>
        <v/>
      </c>
      <c r="D1645" s="76" t="str">
        <f aca="false">IF(B1645="","",IFERROR(INDEX(PE_Fonction,MATCH(B1645,PE_Mat,0)),""))</f>
        <v/>
      </c>
      <c r="E1645" s="76" t="str">
        <f aca="false">IF(B1645="","",IFERROR(INDEX(PE_Equipe,MATCH(B1645,PE_Mat,0)),""))</f>
        <v/>
      </c>
      <c r="F1645" s="25"/>
      <c r="G1645" s="25"/>
      <c r="H1645" s="68"/>
      <c r="I1645" s="89"/>
      <c r="J1645" s="31" t="str">
        <f aca="false">IF(B1645="","",IFERROR(INDEX(PE_Taux,MATCH(B1645,PE_Mat,0)),0))</f>
        <v/>
      </c>
      <c r="K1645" s="31" t="str">
        <f aca="false">IF(B1645="","",IF(H1645="A",0,IFERROR(N(I1645)/P_Heures*J1645,0)))</f>
        <v/>
      </c>
      <c r="L1645" s="25"/>
    </row>
    <row r="1646" customFormat="false" ht="15" hidden="false" customHeight="false" outlineLevel="0" collapsed="false">
      <c r="A1646" s="69"/>
      <c r="B1646" s="68"/>
      <c r="C1646" s="76" t="str">
        <f aca="false">IF(B1646="","",IFERROR(INDEX(PE_Nom,MATCH(B1646,PE_Mat,0)),"Matricule inconnu"))</f>
        <v/>
      </c>
      <c r="D1646" s="76" t="str">
        <f aca="false">IF(B1646="","",IFERROR(INDEX(PE_Fonction,MATCH(B1646,PE_Mat,0)),""))</f>
        <v/>
      </c>
      <c r="E1646" s="76" t="str">
        <f aca="false">IF(B1646="","",IFERROR(INDEX(PE_Equipe,MATCH(B1646,PE_Mat,0)),""))</f>
        <v/>
      </c>
      <c r="F1646" s="25"/>
      <c r="G1646" s="25"/>
      <c r="H1646" s="68"/>
      <c r="I1646" s="89"/>
      <c r="J1646" s="31" t="str">
        <f aca="false">IF(B1646="","",IFERROR(INDEX(PE_Taux,MATCH(B1646,PE_Mat,0)),0))</f>
        <v/>
      </c>
      <c r="K1646" s="31" t="str">
        <f aca="false">IF(B1646="","",IF(H1646="A",0,IFERROR(N(I1646)/P_Heures*J1646,0)))</f>
        <v/>
      </c>
      <c r="L1646" s="25"/>
    </row>
    <row r="1647" customFormat="false" ht="15" hidden="false" customHeight="false" outlineLevel="0" collapsed="false">
      <c r="A1647" s="69"/>
      <c r="B1647" s="68"/>
      <c r="C1647" s="76" t="str">
        <f aca="false">IF(B1647="","",IFERROR(INDEX(PE_Nom,MATCH(B1647,PE_Mat,0)),"Matricule inconnu"))</f>
        <v/>
      </c>
      <c r="D1647" s="76" t="str">
        <f aca="false">IF(B1647="","",IFERROR(INDEX(PE_Fonction,MATCH(B1647,PE_Mat,0)),""))</f>
        <v/>
      </c>
      <c r="E1647" s="76" t="str">
        <f aca="false">IF(B1647="","",IFERROR(INDEX(PE_Equipe,MATCH(B1647,PE_Mat,0)),""))</f>
        <v/>
      </c>
      <c r="F1647" s="25"/>
      <c r="G1647" s="25"/>
      <c r="H1647" s="68"/>
      <c r="I1647" s="89"/>
      <c r="J1647" s="31" t="str">
        <f aca="false">IF(B1647="","",IFERROR(INDEX(PE_Taux,MATCH(B1647,PE_Mat,0)),0))</f>
        <v/>
      </c>
      <c r="K1647" s="31" t="str">
        <f aca="false">IF(B1647="","",IF(H1647="A",0,IFERROR(N(I1647)/P_Heures*J1647,0)))</f>
        <v/>
      </c>
      <c r="L1647" s="25"/>
    </row>
    <row r="1648" customFormat="false" ht="15" hidden="false" customHeight="false" outlineLevel="0" collapsed="false">
      <c r="A1648" s="69"/>
      <c r="B1648" s="68"/>
      <c r="C1648" s="76" t="str">
        <f aca="false">IF(B1648="","",IFERROR(INDEX(PE_Nom,MATCH(B1648,PE_Mat,0)),"Matricule inconnu"))</f>
        <v/>
      </c>
      <c r="D1648" s="76" t="str">
        <f aca="false">IF(B1648="","",IFERROR(INDEX(PE_Fonction,MATCH(B1648,PE_Mat,0)),""))</f>
        <v/>
      </c>
      <c r="E1648" s="76" t="str">
        <f aca="false">IF(B1648="","",IFERROR(INDEX(PE_Equipe,MATCH(B1648,PE_Mat,0)),""))</f>
        <v/>
      </c>
      <c r="F1648" s="25"/>
      <c r="G1648" s="25"/>
      <c r="H1648" s="68"/>
      <c r="I1648" s="89"/>
      <c r="J1648" s="31" t="str">
        <f aca="false">IF(B1648="","",IFERROR(INDEX(PE_Taux,MATCH(B1648,PE_Mat,0)),0))</f>
        <v/>
      </c>
      <c r="K1648" s="31" t="str">
        <f aca="false">IF(B1648="","",IF(H1648="A",0,IFERROR(N(I1648)/P_Heures*J1648,0)))</f>
        <v/>
      </c>
      <c r="L1648" s="25"/>
    </row>
    <row r="1649" customFormat="false" ht="15" hidden="false" customHeight="false" outlineLevel="0" collapsed="false">
      <c r="A1649" s="69"/>
      <c r="B1649" s="68"/>
      <c r="C1649" s="76" t="str">
        <f aca="false">IF(B1649="","",IFERROR(INDEX(PE_Nom,MATCH(B1649,PE_Mat,0)),"Matricule inconnu"))</f>
        <v/>
      </c>
      <c r="D1649" s="76" t="str">
        <f aca="false">IF(B1649="","",IFERROR(INDEX(PE_Fonction,MATCH(B1649,PE_Mat,0)),""))</f>
        <v/>
      </c>
      <c r="E1649" s="76" t="str">
        <f aca="false">IF(B1649="","",IFERROR(INDEX(PE_Equipe,MATCH(B1649,PE_Mat,0)),""))</f>
        <v/>
      </c>
      <c r="F1649" s="25"/>
      <c r="G1649" s="25"/>
      <c r="H1649" s="68"/>
      <c r="I1649" s="89"/>
      <c r="J1649" s="31" t="str">
        <f aca="false">IF(B1649="","",IFERROR(INDEX(PE_Taux,MATCH(B1649,PE_Mat,0)),0))</f>
        <v/>
      </c>
      <c r="K1649" s="31" t="str">
        <f aca="false">IF(B1649="","",IF(H1649="A",0,IFERROR(N(I1649)/P_Heures*J1649,0)))</f>
        <v/>
      </c>
      <c r="L1649" s="25"/>
    </row>
    <row r="1650" customFormat="false" ht="15" hidden="false" customHeight="false" outlineLevel="0" collapsed="false">
      <c r="A1650" s="69"/>
      <c r="B1650" s="68"/>
      <c r="C1650" s="76" t="str">
        <f aca="false">IF(B1650="","",IFERROR(INDEX(PE_Nom,MATCH(B1650,PE_Mat,0)),"Matricule inconnu"))</f>
        <v/>
      </c>
      <c r="D1650" s="76" t="str">
        <f aca="false">IF(B1650="","",IFERROR(INDEX(PE_Fonction,MATCH(B1650,PE_Mat,0)),""))</f>
        <v/>
      </c>
      <c r="E1650" s="76" t="str">
        <f aca="false">IF(B1650="","",IFERROR(INDEX(PE_Equipe,MATCH(B1650,PE_Mat,0)),""))</f>
        <v/>
      </c>
      <c r="F1650" s="25"/>
      <c r="G1650" s="25"/>
      <c r="H1650" s="68"/>
      <c r="I1650" s="89"/>
      <c r="J1650" s="31" t="str">
        <f aca="false">IF(B1650="","",IFERROR(INDEX(PE_Taux,MATCH(B1650,PE_Mat,0)),0))</f>
        <v/>
      </c>
      <c r="K1650" s="31" t="str">
        <f aca="false">IF(B1650="","",IF(H1650="A",0,IFERROR(N(I1650)/P_Heures*J1650,0)))</f>
        <v/>
      </c>
      <c r="L1650" s="25"/>
    </row>
    <row r="1651" customFormat="false" ht="15" hidden="false" customHeight="false" outlineLevel="0" collapsed="false">
      <c r="A1651" s="69"/>
      <c r="B1651" s="68"/>
      <c r="C1651" s="76" t="str">
        <f aca="false">IF(B1651="","",IFERROR(INDEX(PE_Nom,MATCH(B1651,PE_Mat,0)),"Matricule inconnu"))</f>
        <v/>
      </c>
      <c r="D1651" s="76" t="str">
        <f aca="false">IF(B1651="","",IFERROR(INDEX(PE_Fonction,MATCH(B1651,PE_Mat,0)),""))</f>
        <v/>
      </c>
      <c r="E1651" s="76" t="str">
        <f aca="false">IF(B1651="","",IFERROR(INDEX(PE_Equipe,MATCH(B1651,PE_Mat,0)),""))</f>
        <v/>
      </c>
      <c r="F1651" s="25"/>
      <c r="G1651" s="25"/>
      <c r="H1651" s="68"/>
      <c r="I1651" s="89"/>
      <c r="J1651" s="31" t="str">
        <f aca="false">IF(B1651="","",IFERROR(INDEX(PE_Taux,MATCH(B1651,PE_Mat,0)),0))</f>
        <v/>
      </c>
      <c r="K1651" s="31" t="str">
        <f aca="false">IF(B1651="","",IF(H1651="A",0,IFERROR(N(I1651)/P_Heures*J1651,0)))</f>
        <v/>
      </c>
      <c r="L1651" s="25"/>
    </row>
    <row r="1652" customFormat="false" ht="15" hidden="false" customHeight="false" outlineLevel="0" collapsed="false">
      <c r="A1652" s="69"/>
      <c r="B1652" s="68"/>
      <c r="C1652" s="76" t="str">
        <f aca="false">IF(B1652="","",IFERROR(INDEX(PE_Nom,MATCH(B1652,PE_Mat,0)),"Matricule inconnu"))</f>
        <v/>
      </c>
      <c r="D1652" s="76" t="str">
        <f aca="false">IF(B1652="","",IFERROR(INDEX(PE_Fonction,MATCH(B1652,PE_Mat,0)),""))</f>
        <v/>
      </c>
      <c r="E1652" s="76" t="str">
        <f aca="false">IF(B1652="","",IFERROR(INDEX(PE_Equipe,MATCH(B1652,PE_Mat,0)),""))</f>
        <v/>
      </c>
      <c r="F1652" s="25"/>
      <c r="G1652" s="25"/>
      <c r="H1652" s="68"/>
      <c r="I1652" s="89"/>
      <c r="J1652" s="31" t="str">
        <f aca="false">IF(B1652="","",IFERROR(INDEX(PE_Taux,MATCH(B1652,PE_Mat,0)),0))</f>
        <v/>
      </c>
      <c r="K1652" s="31" t="str">
        <f aca="false">IF(B1652="","",IF(H1652="A",0,IFERROR(N(I1652)/P_Heures*J1652,0)))</f>
        <v/>
      </c>
      <c r="L1652" s="25"/>
    </row>
    <row r="1653" customFormat="false" ht="15" hidden="false" customHeight="false" outlineLevel="0" collapsed="false">
      <c r="A1653" s="69"/>
      <c r="B1653" s="68"/>
      <c r="C1653" s="76" t="str">
        <f aca="false">IF(B1653="","",IFERROR(INDEX(PE_Nom,MATCH(B1653,PE_Mat,0)),"Matricule inconnu"))</f>
        <v/>
      </c>
      <c r="D1653" s="76" t="str">
        <f aca="false">IF(B1653="","",IFERROR(INDEX(PE_Fonction,MATCH(B1653,PE_Mat,0)),""))</f>
        <v/>
      </c>
      <c r="E1653" s="76" t="str">
        <f aca="false">IF(B1653="","",IFERROR(INDEX(PE_Equipe,MATCH(B1653,PE_Mat,0)),""))</f>
        <v/>
      </c>
      <c r="F1653" s="25"/>
      <c r="G1653" s="25"/>
      <c r="H1653" s="68"/>
      <c r="I1653" s="89"/>
      <c r="J1653" s="31" t="str">
        <f aca="false">IF(B1653="","",IFERROR(INDEX(PE_Taux,MATCH(B1653,PE_Mat,0)),0))</f>
        <v/>
      </c>
      <c r="K1653" s="31" t="str">
        <f aca="false">IF(B1653="","",IF(H1653="A",0,IFERROR(N(I1653)/P_Heures*J1653,0)))</f>
        <v/>
      </c>
      <c r="L1653" s="25"/>
    </row>
    <row r="1654" customFormat="false" ht="15" hidden="false" customHeight="false" outlineLevel="0" collapsed="false">
      <c r="A1654" s="69"/>
      <c r="B1654" s="68"/>
      <c r="C1654" s="76" t="str">
        <f aca="false">IF(B1654="","",IFERROR(INDEX(PE_Nom,MATCH(B1654,PE_Mat,0)),"Matricule inconnu"))</f>
        <v/>
      </c>
      <c r="D1654" s="76" t="str">
        <f aca="false">IF(B1654="","",IFERROR(INDEX(PE_Fonction,MATCH(B1654,PE_Mat,0)),""))</f>
        <v/>
      </c>
      <c r="E1654" s="76" t="str">
        <f aca="false">IF(B1654="","",IFERROR(INDEX(PE_Equipe,MATCH(B1654,PE_Mat,0)),""))</f>
        <v/>
      </c>
      <c r="F1654" s="25"/>
      <c r="G1654" s="25"/>
      <c r="H1654" s="68"/>
      <c r="I1654" s="89"/>
      <c r="J1654" s="31" t="str">
        <f aca="false">IF(B1654="","",IFERROR(INDEX(PE_Taux,MATCH(B1654,PE_Mat,0)),0))</f>
        <v/>
      </c>
      <c r="K1654" s="31" t="str">
        <f aca="false">IF(B1654="","",IF(H1654="A",0,IFERROR(N(I1654)/P_Heures*J1654,0)))</f>
        <v/>
      </c>
      <c r="L1654" s="25"/>
    </row>
    <row r="1655" customFormat="false" ht="15" hidden="false" customHeight="false" outlineLevel="0" collapsed="false">
      <c r="A1655" s="69"/>
      <c r="B1655" s="68"/>
      <c r="C1655" s="76" t="str">
        <f aca="false">IF(B1655="","",IFERROR(INDEX(PE_Nom,MATCH(B1655,PE_Mat,0)),"Matricule inconnu"))</f>
        <v/>
      </c>
      <c r="D1655" s="76" t="str">
        <f aca="false">IF(B1655="","",IFERROR(INDEX(PE_Fonction,MATCH(B1655,PE_Mat,0)),""))</f>
        <v/>
      </c>
      <c r="E1655" s="76" t="str">
        <f aca="false">IF(B1655="","",IFERROR(INDEX(PE_Equipe,MATCH(B1655,PE_Mat,0)),""))</f>
        <v/>
      </c>
      <c r="F1655" s="25"/>
      <c r="G1655" s="25"/>
      <c r="H1655" s="68"/>
      <c r="I1655" s="89"/>
      <c r="J1655" s="31" t="str">
        <f aca="false">IF(B1655="","",IFERROR(INDEX(PE_Taux,MATCH(B1655,PE_Mat,0)),0))</f>
        <v/>
      </c>
      <c r="K1655" s="31" t="str">
        <f aca="false">IF(B1655="","",IF(H1655="A",0,IFERROR(N(I1655)/P_Heures*J1655,0)))</f>
        <v/>
      </c>
      <c r="L1655" s="25"/>
    </row>
    <row r="1656" customFormat="false" ht="15" hidden="false" customHeight="false" outlineLevel="0" collapsed="false">
      <c r="A1656" s="69"/>
      <c r="B1656" s="68"/>
      <c r="C1656" s="76" t="str">
        <f aca="false">IF(B1656="","",IFERROR(INDEX(PE_Nom,MATCH(B1656,PE_Mat,0)),"Matricule inconnu"))</f>
        <v/>
      </c>
      <c r="D1656" s="76" t="str">
        <f aca="false">IF(B1656="","",IFERROR(INDEX(PE_Fonction,MATCH(B1656,PE_Mat,0)),""))</f>
        <v/>
      </c>
      <c r="E1656" s="76" t="str">
        <f aca="false">IF(B1656="","",IFERROR(INDEX(PE_Equipe,MATCH(B1656,PE_Mat,0)),""))</f>
        <v/>
      </c>
      <c r="F1656" s="25"/>
      <c r="G1656" s="25"/>
      <c r="H1656" s="68"/>
      <c r="I1656" s="89"/>
      <c r="J1656" s="31" t="str">
        <f aca="false">IF(B1656="","",IFERROR(INDEX(PE_Taux,MATCH(B1656,PE_Mat,0)),0))</f>
        <v/>
      </c>
      <c r="K1656" s="31" t="str">
        <f aca="false">IF(B1656="","",IF(H1656="A",0,IFERROR(N(I1656)/P_Heures*J1656,0)))</f>
        <v/>
      </c>
      <c r="L1656" s="25"/>
    </row>
    <row r="1657" customFormat="false" ht="15" hidden="false" customHeight="false" outlineLevel="0" collapsed="false">
      <c r="A1657" s="69"/>
      <c r="B1657" s="68"/>
      <c r="C1657" s="76" t="str">
        <f aca="false">IF(B1657="","",IFERROR(INDEX(PE_Nom,MATCH(B1657,PE_Mat,0)),"Matricule inconnu"))</f>
        <v/>
      </c>
      <c r="D1657" s="76" t="str">
        <f aca="false">IF(B1657="","",IFERROR(INDEX(PE_Fonction,MATCH(B1657,PE_Mat,0)),""))</f>
        <v/>
      </c>
      <c r="E1657" s="76" t="str">
        <f aca="false">IF(B1657="","",IFERROR(INDEX(PE_Equipe,MATCH(B1657,PE_Mat,0)),""))</f>
        <v/>
      </c>
      <c r="F1657" s="25"/>
      <c r="G1657" s="25"/>
      <c r="H1657" s="68"/>
      <c r="I1657" s="89"/>
      <c r="J1657" s="31" t="str">
        <f aca="false">IF(B1657="","",IFERROR(INDEX(PE_Taux,MATCH(B1657,PE_Mat,0)),0))</f>
        <v/>
      </c>
      <c r="K1657" s="31" t="str">
        <f aca="false">IF(B1657="","",IF(H1657="A",0,IFERROR(N(I1657)/P_Heures*J1657,0)))</f>
        <v/>
      </c>
      <c r="L1657" s="25"/>
    </row>
    <row r="1658" customFormat="false" ht="15" hidden="false" customHeight="false" outlineLevel="0" collapsed="false">
      <c r="A1658" s="69"/>
      <c r="B1658" s="68"/>
      <c r="C1658" s="76" t="str">
        <f aca="false">IF(B1658="","",IFERROR(INDEX(PE_Nom,MATCH(B1658,PE_Mat,0)),"Matricule inconnu"))</f>
        <v/>
      </c>
      <c r="D1658" s="76" t="str">
        <f aca="false">IF(B1658="","",IFERROR(INDEX(PE_Fonction,MATCH(B1658,PE_Mat,0)),""))</f>
        <v/>
      </c>
      <c r="E1658" s="76" t="str">
        <f aca="false">IF(B1658="","",IFERROR(INDEX(PE_Equipe,MATCH(B1658,PE_Mat,0)),""))</f>
        <v/>
      </c>
      <c r="F1658" s="25"/>
      <c r="G1658" s="25"/>
      <c r="H1658" s="68"/>
      <c r="I1658" s="89"/>
      <c r="J1658" s="31" t="str">
        <f aca="false">IF(B1658="","",IFERROR(INDEX(PE_Taux,MATCH(B1658,PE_Mat,0)),0))</f>
        <v/>
      </c>
      <c r="K1658" s="31" t="str">
        <f aca="false">IF(B1658="","",IF(H1658="A",0,IFERROR(N(I1658)/P_Heures*J1658,0)))</f>
        <v/>
      </c>
      <c r="L1658" s="25"/>
    </row>
    <row r="1659" customFormat="false" ht="15" hidden="false" customHeight="false" outlineLevel="0" collapsed="false">
      <c r="A1659" s="69"/>
      <c r="B1659" s="68"/>
      <c r="C1659" s="76" t="str">
        <f aca="false">IF(B1659="","",IFERROR(INDEX(PE_Nom,MATCH(B1659,PE_Mat,0)),"Matricule inconnu"))</f>
        <v/>
      </c>
      <c r="D1659" s="76" t="str">
        <f aca="false">IF(B1659="","",IFERROR(INDEX(PE_Fonction,MATCH(B1659,PE_Mat,0)),""))</f>
        <v/>
      </c>
      <c r="E1659" s="76" t="str">
        <f aca="false">IF(B1659="","",IFERROR(INDEX(PE_Equipe,MATCH(B1659,PE_Mat,0)),""))</f>
        <v/>
      </c>
      <c r="F1659" s="25"/>
      <c r="G1659" s="25"/>
      <c r="H1659" s="68"/>
      <c r="I1659" s="89"/>
      <c r="J1659" s="31" t="str">
        <f aca="false">IF(B1659="","",IFERROR(INDEX(PE_Taux,MATCH(B1659,PE_Mat,0)),0))</f>
        <v/>
      </c>
      <c r="K1659" s="31" t="str">
        <f aca="false">IF(B1659="","",IF(H1659="A",0,IFERROR(N(I1659)/P_Heures*J1659,0)))</f>
        <v/>
      </c>
      <c r="L1659" s="25"/>
    </row>
    <row r="1660" customFormat="false" ht="15" hidden="false" customHeight="false" outlineLevel="0" collapsed="false">
      <c r="A1660" s="69"/>
      <c r="B1660" s="68"/>
      <c r="C1660" s="76" t="str">
        <f aca="false">IF(B1660="","",IFERROR(INDEX(PE_Nom,MATCH(B1660,PE_Mat,0)),"Matricule inconnu"))</f>
        <v/>
      </c>
      <c r="D1660" s="76" t="str">
        <f aca="false">IF(B1660="","",IFERROR(INDEX(PE_Fonction,MATCH(B1660,PE_Mat,0)),""))</f>
        <v/>
      </c>
      <c r="E1660" s="76" t="str">
        <f aca="false">IF(B1660="","",IFERROR(INDEX(PE_Equipe,MATCH(B1660,PE_Mat,0)),""))</f>
        <v/>
      </c>
      <c r="F1660" s="25"/>
      <c r="G1660" s="25"/>
      <c r="H1660" s="68"/>
      <c r="I1660" s="89"/>
      <c r="J1660" s="31" t="str">
        <f aca="false">IF(B1660="","",IFERROR(INDEX(PE_Taux,MATCH(B1660,PE_Mat,0)),0))</f>
        <v/>
      </c>
      <c r="K1660" s="31" t="str">
        <f aca="false">IF(B1660="","",IF(H1660="A",0,IFERROR(N(I1660)/P_Heures*J1660,0)))</f>
        <v/>
      </c>
      <c r="L1660" s="25"/>
    </row>
    <row r="1661" customFormat="false" ht="15" hidden="false" customHeight="false" outlineLevel="0" collapsed="false">
      <c r="A1661" s="69"/>
      <c r="B1661" s="68"/>
      <c r="C1661" s="76" t="str">
        <f aca="false">IF(B1661="","",IFERROR(INDEX(PE_Nom,MATCH(B1661,PE_Mat,0)),"Matricule inconnu"))</f>
        <v/>
      </c>
      <c r="D1661" s="76" t="str">
        <f aca="false">IF(B1661="","",IFERROR(INDEX(PE_Fonction,MATCH(B1661,PE_Mat,0)),""))</f>
        <v/>
      </c>
      <c r="E1661" s="76" t="str">
        <f aca="false">IF(B1661="","",IFERROR(INDEX(PE_Equipe,MATCH(B1661,PE_Mat,0)),""))</f>
        <v/>
      </c>
      <c r="F1661" s="25"/>
      <c r="G1661" s="25"/>
      <c r="H1661" s="68"/>
      <c r="I1661" s="89"/>
      <c r="J1661" s="31" t="str">
        <f aca="false">IF(B1661="","",IFERROR(INDEX(PE_Taux,MATCH(B1661,PE_Mat,0)),0))</f>
        <v/>
      </c>
      <c r="K1661" s="31" t="str">
        <f aca="false">IF(B1661="","",IF(H1661="A",0,IFERROR(N(I1661)/P_Heures*J1661,0)))</f>
        <v/>
      </c>
      <c r="L1661" s="25"/>
    </row>
    <row r="1662" customFormat="false" ht="15" hidden="false" customHeight="false" outlineLevel="0" collapsed="false">
      <c r="A1662" s="69"/>
      <c r="B1662" s="68"/>
      <c r="C1662" s="76" t="str">
        <f aca="false">IF(B1662="","",IFERROR(INDEX(PE_Nom,MATCH(B1662,PE_Mat,0)),"Matricule inconnu"))</f>
        <v/>
      </c>
      <c r="D1662" s="76" t="str">
        <f aca="false">IF(B1662="","",IFERROR(INDEX(PE_Fonction,MATCH(B1662,PE_Mat,0)),""))</f>
        <v/>
      </c>
      <c r="E1662" s="76" t="str">
        <f aca="false">IF(B1662="","",IFERROR(INDEX(PE_Equipe,MATCH(B1662,PE_Mat,0)),""))</f>
        <v/>
      </c>
      <c r="F1662" s="25"/>
      <c r="G1662" s="25"/>
      <c r="H1662" s="68"/>
      <c r="I1662" s="89"/>
      <c r="J1662" s="31" t="str">
        <f aca="false">IF(B1662="","",IFERROR(INDEX(PE_Taux,MATCH(B1662,PE_Mat,0)),0))</f>
        <v/>
      </c>
      <c r="K1662" s="31" t="str">
        <f aca="false">IF(B1662="","",IF(H1662="A",0,IFERROR(N(I1662)/P_Heures*J1662,0)))</f>
        <v/>
      </c>
      <c r="L1662" s="25"/>
    </row>
    <row r="1663" customFormat="false" ht="15" hidden="false" customHeight="false" outlineLevel="0" collapsed="false">
      <c r="A1663" s="69"/>
      <c r="B1663" s="68"/>
      <c r="C1663" s="76" t="str">
        <f aca="false">IF(B1663="","",IFERROR(INDEX(PE_Nom,MATCH(B1663,PE_Mat,0)),"Matricule inconnu"))</f>
        <v/>
      </c>
      <c r="D1663" s="76" t="str">
        <f aca="false">IF(B1663="","",IFERROR(INDEX(PE_Fonction,MATCH(B1663,PE_Mat,0)),""))</f>
        <v/>
      </c>
      <c r="E1663" s="76" t="str">
        <f aca="false">IF(B1663="","",IFERROR(INDEX(PE_Equipe,MATCH(B1663,PE_Mat,0)),""))</f>
        <v/>
      </c>
      <c r="F1663" s="25"/>
      <c r="G1663" s="25"/>
      <c r="H1663" s="68"/>
      <c r="I1663" s="89"/>
      <c r="J1663" s="31" t="str">
        <f aca="false">IF(B1663="","",IFERROR(INDEX(PE_Taux,MATCH(B1663,PE_Mat,0)),0))</f>
        <v/>
      </c>
      <c r="K1663" s="31" t="str">
        <f aca="false">IF(B1663="","",IF(H1663="A",0,IFERROR(N(I1663)/P_Heures*J1663,0)))</f>
        <v/>
      </c>
      <c r="L1663" s="25"/>
    </row>
    <row r="1664" customFormat="false" ht="15" hidden="false" customHeight="false" outlineLevel="0" collapsed="false">
      <c r="A1664" s="69"/>
      <c r="B1664" s="68"/>
      <c r="C1664" s="76" t="str">
        <f aca="false">IF(B1664="","",IFERROR(INDEX(PE_Nom,MATCH(B1664,PE_Mat,0)),"Matricule inconnu"))</f>
        <v/>
      </c>
      <c r="D1664" s="76" t="str">
        <f aca="false">IF(B1664="","",IFERROR(INDEX(PE_Fonction,MATCH(B1664,PE_Mat,0)),""))</f>
        <v/>
      </c>
      <c r="E1664" s="76" t="str">
        <f aca="false">IF(B1664="","",IFERROR(INDEX(PE_Equipe,MATCH(B1664,PE_Mat,0)),""))</f>
        <v/>
      </c>
      <c r="F1664" s="25"/>
      <c r="G1664" s="25"/>
      <c r="H1664" s="68"/>
      <c r="I1664" s="89"/>
      <c r="J1664" s="31" t="str">
        <f aca="false">IF(B1664="","",IFERROR(INDEX(PE_Taux,MATCH(B1664,PE_Mat,0)),0))</f>
        <v/>
      </c>
      <c r="K1664" s="31" t="str">
        <f aca="false">IF(B1664="","",IF(H1664="A",0,IFERROR(N(I1664)/P_Heures*J1664,0)))</f>
        <v/>
      </c>
      <c r="L1664" s="25"/>
    </row>
    <row r="1665" customFormat="false" ht="15" hidden="false" customHeight="false" outlineLevel="0" collapsed="false">
      <c r="A1665" s="69"/>
      <c r="B1665" s="68"/>
      <c r="C1665" s="76" t="str">
        <f aca="false">IF(B1665="","",IFERROR(INDEX(PE_Nom,MATCH(B1665,PE_Mat,0)),"Matricule inconnu"))</f>
        <v/>
      </c>
      <c r="D1665" s="76" t="str">
        <f aca="false">IF(B1665="","",IFERROR(INDEX(PE_Fonction,MATCH(B1665,PE_Mat,0)),""))</f>
        <v/>
      </c>
      <c r="E1665" s="76" t="str">
        <f aca="false">IF(B1665="","",IFERROR(INDEX(PE_Equipe,MATCH(B1665,PE_Mat,0)),""))</f>
        <v/>
      </c>
      <c r="F1665" s="25"/>
      <c r="G1665" s="25"/>
      <c r="H1665" s="68"/>
      <c r="I1665" s="89"/>
      <c r="J1665" s="31" t="str">
        <f aca="false">IF(B1665="","",IFERROR(INDEX(PE_Taux,MATCH(B1665,PE_Mat,0)),0))</f>
        <v/>
      </c>
      <c r="K1665" s="31" t="str">
        <f aca="false">IF(B1665="","",IF(H1665="A",0,IFERROR(N(I1665)/P_Heures*J1665,0)))</f>
        <v/>
      </c>
      <c r="L1665" s="25"/>
    </row>
    <row r="1666" customFormat="false" ht="15" hidden="false" customHeight="false" outlineLevel="0" collapsed="false">
      <c r="A1666" s="69"/>
      <c r="B1666" s="68"/>
      <c r="C1666" s="76" t="str">
        <f aca="false">IF(B1666="","",IFERROR(INDEX(PE_Nom,MATCH(B1666,PE_Mat,0)),"Matricule inconnu"))</f>
        <v/>
      </c>
      <c r="D1666" s="76" t="str">
        <f aca="false">IF(B1666="","",IFERROR(INDEX(PE_Fonction,MATCH(B1666,PE_Mat,0)),""))</f>
        <v/>
      </c>
      <c r="E1666" s="76" t="str">
        <f aca="false">IF(B1666="","",IFERROR(INDEX(PE_Equipe,MATCH(B1666,PE_Mat,0)),""))</f>
        <v/>
      </c>
      <c r="F1666" s="25"/>
      <c r="G1666" s="25"/>
      <c r="H1666" s="68"/>
      <c r="I1666" s="89"/>
      <c r="J1666" s="31" t="str">
        <f aca="false">IF(B1666="","",IFERROR(INDEX(PE_Taux,MATCH(B1666,PE_Mat,0)),0))</f>
        <v/>
      </c>
      <c r="K1666" s="31" t="str">
        <f aca="false">IF(B1666="","",IF(H1666="A",0,IFERROR(N(I1666)/P_Heures*J1666,0)))</f>
        <v/>
      </c>
      <c r="L1666" s="25"/>
    </row>
    <row r="1667" customFormat="false" ht="15" hidden="false" customHeight="false" outlineLevel="0" collapsed="false">
      <c r="A1667" s="69"/>
      <c r="B1667" s="68"/>
      <c r="C1667" s="76" t="str">
        <f aca="false">IF(B1667="","",IFERROR(INDEX(PE_Nom,MATCH(B1667,PE_Mat,0)),"Matricule inconnu"))</f>
        <v/>
      </c>
      <c r="D1667" s="76" t="str">
        <f aca="false">IF(B1667="","",IFERROR(INDEX(PE_Fonction,MATCH(B1667,PE_Mat,0)),""))</f>
        <v/>
      </c>
      <c r="E1667" s="76" t="str">
        <f aca="false">IF(B1667="","",IFERROR(INDEX(PE_Equipe,MATCH(B1667,PE_Mat,0)),""))</f>
        <v/>
      </c>
      <c r="F1667" s="25"/>
      <c r="G1667" s="25"/>
      <c r="H1667" s="68"/>
      <c r="I1667" s="89"/>
      <c r="J1667" s="31" t="str">
        <f aca="false">IF(B1667="","",IFERROR(INDEX(PE_Taux,MATCH(B1667,PE_Mat,0)),0))</f>
        <v/>
      </c>
      <c r="K1667" s="31" t="str">
        <f aca="false">IF(B1667="","",IF(H1667="A",0,IFERROR(N(I1667)/P_Heures*J1667,0)))</f>
        <v/>
      </c>
      <c r="L1667" s="25"/>
    </row>
    <row r="1668" customFormat="false" ht="15" hidden="false" customHeight="false" outlineLevel="0" collapsed="false">
      <c r="A1668" s="69"/>
      <c r="B1668" s="68"/>
      <c r="C1668" s="76" t="str">
        <f aca="false">IF(B1668="","",IFERROR(INDEX(PE_Nom,MATCH(B1668,PE_Mat,0)),"Matricule inconnu"))</f>
        <v/>
      </c>
      <c r="D1668" s="76" t="str">
        <f aca="false">IF(B1668="","",IFERROR(INDEX(PE_Fonction,MATCH(B1668,PE_Mat,0)),""))</f>
        <v/>
      </c>
      <c r="E1668" s="76" t="str">
        <f aca="false">IF(B1668="","",IFERROR(INDEX(PE_Equipe,MATCH(B1668,PE_Mat,0)),""))</f>
        <v/>
      </c>
      <c r="F1668" s="25"/>
      <c r="G1668" s="25"/>
      <c r="H1668" s="68"/>
      <c r="I1668" s="89"/>
      <c r="J1668" s="31" t="str">
        <f aca="false">IF(B1668="","",IFERROR(INDEX(PE_Taux,MATCH(B1668,PE_Mat,0)),0))</f>
        <v/>
      </c>
      <c r="K1668" s="31" t="str">
        <f aca="false">IF(B1668="","",IF(H1668="A",0,IFERROR(N(I1668)/P_Heures*J1668,0)))</f>
        <v/>
      </c>
      <c r="L1668" s="25"/>
    </row>
    <row r="1669" customFormat="false" ht="15" hidden="false" customHeight="false" outlineLevel="0" collapsed="false">
      <c r="A1669" s="69"/>
      <c r="B1669" s="68"/>
      <c r="C1669" s="76" t="str">
        <f aca="false">IF(B1669="","",IFERROR(INDEX(PE_Nom,MATCH(B1669,PE_Mat,0)),"Matricule inconnu"))</f>
        <v/>
      </c>
      <c r="D1669" s="76" t="str">
        <f aca="false">IF(B1669="","",IFERROR(INDEX(PE_Fonction,MATCH(B1669,PE_Mat,0)),""))</f>
        <v/>
      </c>
      <c r="E1669" s="76" t="str">
        <f aca="false">IF(B1669="","",IFERROR(INDEX(PE_Equipe,MATCH(B1669,PE_Mat,0)),""))</f>
        <v/>
      </c>
      <c r="F1669" s="25"/>
      <c r="G1669" s="25"/>
      <c r="H1669" s="68"/>
      <c r="I1669" s="89"/>
      <c r="J1669" s="31" t="str">
        <f aca="false">IF(B1669="","",IFERROR(INDEX(PE_Taux,MATCH(B1669,PE_Mat,0)),0))</f>
        <v/>
      </c>
      <c r="K1669" s="31" t="str">
        <f aca="false">IF(B1669="","",IF(H1669="A",0,IFERROR(N(I1669)/P_Heures*J1669,0)))</f>
        <v/>
      </c>
      <c r="L1669" s="25"/>
    </row>
    <row r="1670" customFormat="false" ht="15" hidden="false" customHeight="false" outlineLevel="0" collapsed="false">
      <c r="A1670" s="69"/>
      <c r="B1670" s="68"/>
      <c r="C1670" s="76" t="str">
        <f aca="false">IF(B1670="","",IFERROR(INDEX(PE_Nom,MATCH(B1670,PE_Mat,0)),"Matricule inconnu"))</f>
        <v/>
      </c>
      <c r="D1670" s="76" t="str">
        <f aca="false">IF(B1670="","",IFERROR(INDEX(PE_Fonction,MATCH(B1670,PE_Mat,0)),""))</f>
        <v/>
      </c>
      <c r="E1670" s="76" t="str">
        <f aca="false">IF(B1670="","",IFERROR(INDEX(PE_Equipe,MATCH(B1670,PE_Mat,0)),""))</f>
        <v/>
      </c>
      <c r="F1670" s="25"/>
      <c r="G1670" s="25"/>
      <c r="H1670" s="68"/>
      <c r="I1670" s="89"/>
      <c r="J1670" s="31" t="str">
        <f aca="false">IF(B1670="","",IFERROR(INDEX(PE_Taux,MATCH(B1670,PE_Mat,0)),0))</f>
        <v/>
      </c>
      <c r="K1670" s="31" t="str">
        <f aca="false">IF(B1670="","",IF(H1670="A",0,IFERROR(N(I1670)/P_Heures*J1670,0)))</f>
        <v/>
      </c>
      <c r="L1670" s="25"/>
    </row>
    <row r="1671" customFormat="false" ht="15" hidden="false" customHeight="false" outlineLevel="0" collapsed="false">
      <c r="A1671" s="69"/>
      <c r="B1671" s="68"/>
      <c r="C1671" s="76" t="str">
        <f aca="false">IF(B1671="","",IFERROR(INDEX(PE_Nom,MATCH(B1671,PE_Mat,0)),"Matricule inconnu"))</f>
        <v/>
      </c>
      <c r="D1671" s="76" t="str">
        <f aca="false">IF(B1671="","",IFERROR(INDEX(PE_Fonction,MATCH(B1671,PE_Mat,0)),""))</f>
        <v/>
      </c>
      <c r="E1671" s="76" t="str">
        <f aca="false">IF(B1671="","",IFERROR(INDEX(PE_Equipe,MATCH(B1671,PE_Mat,0)),""))</f>
        <v/>
      </c>
      <c r="F1671" s="25"/>
      <c r="G1671" s="25"/>
      <c r="H1671" s="68"/>
      <c r="I1671" s="89"/>
      <c r="J1671" s="31" t="str">
        <f aca="false">IF(B1671="","",IFERROR(INDEX(PE_Taux,MATCH(B1671,PE_Mat,0)),0))</f>
        <v/>
      </c>
      <c r="K1671" s="31" t="str">
        <f aca="false">IF(B1671="","",IF(H1671="A",0,IFERROR(N(I1671)/P_Heures*J1671,0)))</f>
        <v/>
      </c>
      <c r="L1671" s="25"/>
    </row>
    <row r="1672" customFormat="false" ht="15" hidden="false" customHeight="false" outlineLevel="0" collapsed="false">
      <c r="A1672" s="69"/>
      <c r="B1672" s="68"/>
      <c r="C1672" s="76" t="str">
        <f aca="false">IF(B1672="","",IFERROR(INDEX(PE_Nom,MATCH(B1672,PE_Mat,0)),"Matricule inconnu"))</f>
        <v/>
      </c>
      <c r="D1672" s="76" t="str">
        <f aca="false">IF(B1672="","",IFERROR(INDEX(PE_Fonction,MATCH(B1672,PE_Mat,0)),""))</f>
        <v/>
      </c>
      <c r="E1672" s="76" t="str">
        <f aca="false">IF(B1672="","",IFERROR(INDEX(PE_Equipe,MATCH(B1672,PE_Mat,0)),""))</f>
        <v/>
      </c>
      <c r="F1672" s="25"/>
      <c r="G1672" s="25"/>
      <c r="H1672" s="68"/>
      <c r="I1672" s="89"/>
      <c r="J1672" s="31" t="str">
        <f aca="false">IF(B1672="","",IFERROR(INDEX(PE_Taux,MATCH(B1672,PE_Mat,0)),0))</f>
        <v/>
      </c>
      <c r="K1672" s="31" t="str">
        <f aca="false">IF(B1672="","",IF(H1672="A",0,IFERROR(N(I1672)/P_Heures*J1672,0)))</f>
        <v/>
      </c>
      <c r="L1672" s="25"/>
    </row>
    <row r="1673" customFormat="false" ht="15" hidden="false" customHeight="false" outlineLevel="0" collapsed="false">
      <c r="A1673" s="69"/>
      <c r="B1673" s="68"/>
      <c r="C1673" s="76" t="str">
        <f aca="false">IF(B1673="","",IFERROR(INDEX(PE_Nom,MATCH(B1673,PE_Mat,0)),"Matricule inconnu"))</f>
        <v/>
      </c>
      <c r="D1673" s="76" t="str">
        <f aca="false">IF(B1673="","",IFERROR(INDEX(PE_Fonction,MATCH(B1673,PE_Mat,0)),""))</f>
        <v/>
      </c>
      <c r="E1673" s="76" t="str">
        <f aca="false">IF(B1673="","",IFERROR(INDEX(PE_Equipe,MATCH(B1673,PE_Mat,0)),""))</f>
        <v/>
      </c>
      <c r="F1673" s="25"/>
      <c r="G1673" s="25"/>
      <c r="H1673" s="68"/>
      <c r="I1673" s="89"/>
      <c r="J1673" s="31" t="str">
        <f aca="false">IF(B1673="","",IFERROR(INDEX(PE_Taux,MATCH(B1673,PE_Mat,0)),0))</f>
        <v/>
      </c>
      <c r="K1673" s="31" t="str">
        <f aca="false">IF(B1673="","",IF(H1673="A",0,IFERROR(N(I1673)/P_Heures*J1673,0)))</f>
        <v/>
      </c>
      <c r="L1673" s="25"/>
    </row>
    <row r="1674" customFormat="false" ht="15" hidden="false" customHeight="false" outlineLevel="0" collapsed="false">
      <c r="A1674" s="69"/>
      <c r="B1674" s="68"/>
      <c r="C1674" s="76" t="str">
        <f aca="false">IF(B1674="","",IFERROR(INDEX(PE_Nom,MATCH(B1674,PE_Mat,0)),"Matricule inconnu"))</f>
        <v/>
      </c>
      <c r="D1674" s="76" t="str">
        <f aca="false">IF(B1674="","",IFERROR(INDEX(PE_Fonction,MATCH(B1674,PE_Mat,0)),""))</f>
        <v/>
      </c>
      <c r="E1674" s="76" t="str">
        <f aca="false">IF(B1674="","",IFERROR(INDEX(PE_Equipe,MATCH(B1674,PE_Mat,0)),""))</f>
        <v/>
      </c>
      <c r="F1674" s="25"/>
      <c r="G1674" s="25"/>
      <c r="H1674" s="68"/>
      <c r="I1674" s="89"/>
      <c r="J1674" s="31" t="str">
        <f aca="false">IF(B1674="","",IFERROR(INDEX(PE_Taux,MATCH(B1674,PE_Mat,0)),0))</f>
        <v/>
      </c>
      <c r="K1674" s="31" t="str">
        <f aca="false">IF(B1674="","",IF(H1674="A",0,IFERROR(N(I1674)/P_Heures*J1674,0)))</f>
        <v/>
      </c>
      <c r="L1674" s="25"/>
    </row>
    <row r="1675" customFormat="false" ht="15" hidden="false" customHeight="false" outlineLevel="0" collapsed="false">
      <c r="A1675" s="69"/>
      <c r="B1675" s="68"/>
      <c r="C1675" s="76" t="str">
        <f aca="false">IF(B1675="","",IFERROR(INDEX(PE_Nom,MATCH(B1675,PE_Mat,0)),"Matricule inconnu"))</f>
        <v/>
      </c>
      <c r="D1675" s="76" t="str">
        <f aca="false">IF(B1675="","",IFERROR(INDEX(PE_Fonction,MATCH(B1675,PE_Mat,0)),""))</f>
        <v/>
      </c>
      <c r="E1675" s="76" t="str">
        <f aca="false">IF(B1675="","",IFERROR(INDEX(PE_Equipe,MATCH(B1675,PE_Mat,0)),""))</f>
        <v/>
      </c>
      <c r="F1675" s="25"/>
      <c r="G1675" s="25"/>
      <c r="H1675" s="68"/>
      <c r="I1675" s="89"/>
      <c r="J1675" s="31" t="str">
        <f aca="false">IF(B1675="","",IFERROR(INDEX(PE_Taux,MATCH(B1675,PE_Mat,0)),0))</f>
        <v/>
      </c>
      <c r="K1675" s="31" t="str">
        <f aca="false">IF(B1675="","",IF(H1675="A",0,IFERROR(N(I1675)/P_Heures*J1675,0)))</f>
        <v/>
      </c>
      <c r="L1675" s="25"/>
    </row>
    <row r="1676" customFormat="false" ht="15" hidden="false" customHeight="false" outlineLevel="0" collapsed="false">
      <c r="A1676" s="69"/>
      <c r="B1676" s="68"/>
      <c r="C1676" s="76" t="str">
        <f aca="false">IF(B1676="","",IFERROR(INDEX(PE_Nom,MATCH(B1676,PE_Mat,0)),"Matricule inconnu"))</f>
        <v/>
      </c>
      <c r="D1676" s="76" t="str">
        <f aca="false">IF(B1676="","",IFERROR(INDEX(PE_Fonction,MATCH(B1676,PE_Mat,0)),""))</f>
        <v/>
      </c>
      <c r="E1676" s="76" t="str">
        <f aca="false">IF(B1676="","",IFERROR(INDEX(PE_Equipe,MATCH(B1676,PE_Mat,0)),""))</f>
        <v/>
      </c>
      <c r="F1676" s="25"/>
      <c r="G1676" s="25"/>
      <c r="H1676" s="68"/>
      <c r="I1676" s="89"/>
      <c r="J1676" s="31" t="str">
        <f aca="false">IF(B1676="","",IFERROR(INDEX(PE_Taux,MATCH(B1676,PE_Mat,0)),0))</f>
        <v/>
      </c>
      <c r="K1676" s="31" t="str">
        <f aca="false">IF(B1676="","",IF(H1676="A",0,IFERROR(N(I1676)/P_Heures*J1676,0)))</f>
        <v/>
      </c>
      <c r="L1676" s="25"/>
    </row>
    <row r="1677" customFormat="false" ht="15" hidden="false" customHeight="false" outlineLevel="0" collapsed="false">
      <c r="A1677" s="69"/>
      <c r="B1677" s="68"/>
      <c r="C1677" s="76" t="str">
        <f aca="false">IF(B1677="","",IFERROR(INDEX(PE_Nom,MATCH(B1677,PE_Mat,0)),"Matricule inconnu"))</f>
        <v/>
      </c>
      <c r="D1677" s="76" t="str">
        <f aca="false">IF(B1677="","",IFERROR(INDEX(PE_Fonction,MATCH(B1677,PE_Mat,0)),""))</f>
        <v/>
      </c>
      <c r="E1677" s="76" t="str">
        <f aca="false">IF(B1677="","",IFERROR(INDEX(PE_Equipe,MATCH(B1677,PE_Mat,0)),""))</f>
        <v/>
      </c>
      <c r="F1677" s="25"/>
      <c r="G1677" s="25"/>
      <c r="H1677" s="68"/>
      <c r="I1677" s="89"/>
      <c r="J1677" s="31" t="str">
        <f aca="false">IF(B1677="","",IFERROR(INDEX(PE_Taux,MATCH(B1677,PE_Mat,0)),0))</f>
        <v/>
      </c>
      <c r="K1677" s="31" t="str">
        <f aca="false">IF(B1677="","",IF(H1677="A",0,IFERROR(N(I1677)/P_Heures*J1677,0)))</f>
        <v/>
      </c>
      <c r="L1677" s="25"/>
    </row>
    <row r="1678" customFormat="false" ht="15" hidden="false" customHeight="false" outlineLevel="0" collapsed="false">
      <c r="A1678" s="69"/>
      <c r="B1678" s="68"/>
      <c r="C1678" s="76" t="str">
        <f aca="false">IF(B1678="","",IFERROR(INDEX(PE_Nom,MATCH(B1678,PE_Mat,0)),"Matricule inconnu"))</f>
        <v/>
      </c>
      <c r="D1678" s="76" t="str">
        <f aca="false">IF(B1678="","",IFERROR(INDEX(PE_Fonction,MATCH(B1678,PE_Mat,0)),""))</f>
        <v/>
      </c>
      <c r="E1678" s="76" t="str">
        <f aca="false">IF(B1678="","",IFERROR(INDEX(PE_Equipe,MATCH(B1678,PE_Mat,0)),""))</f>
        <v/>
      </c>
      <c r="F1678" s="25"/>
      <c r="G1678" s="25"/>
      <c r="H1678" s="68"/>
      <c r="I1678" s="89"/>
      <c r="J1678" s="31" t="str">
        <f aca="false">IF(B1678="","",IFERROR(INDEX(PE_Taux,MATCH(B1678,PE_Mat,0)),0))</f>
        <v/>
      </c>
      <c r="K1678" s="31" t="str">
        <f aca="false">IF(B1678="","",IF(H1678="A",0,IFERROR(N(I1678)/P_Heures*J1678,0)))</f>
        <v/>
      </c>
      <c r="L1678" s="25"/>
    </row>
    <row r="1679" customFormat="false" ht="15" hidden="false" customHeight="false" outlineLevel="0" collapsed="false">
      <c r="A1679" s="69"/>
      <c r="B1679" s="68"/>
      <c r="C1679" s="76" t="str">
        <f aca="false">IF(B1679="","",IFERROR(INDEX(PE_Nom,MATCH(B1679,PE_Mat,0)),"Matricule inconnu"))</f>
        <v/>
      </c>
      <c r="D1679" s="76" t="str">
        <f aca="false">IF(B1679="","",IFERROR(INDEX(PE_Fonction,MATCH(B1679,PE_Mat,0)),""))</f>
        <v/>
      </c>
      <c r="E1679" s="76" t="str">
        <f aca="false">IF(B1679="","",IFERROR(INDEX(PE_Equipe,MATCH(B1679,PE_Mat,0)),""))</f>
        <v/>
      </c>
      <c r="F1679" s="25"/>
      <c r="G1679" s="25"/>
      <c r="H1679" s="68"/>
      <c r="I1679" s="89"/>
      <c r="J1679" s="31" t="str">
        <f aca="false">IF(B1679="","",IFERROR(INDEX(PE_Taux,MATCH(B1679,PE_Mat,0)),0))</f>
        <v/>
      </c>
      <c r="K1679" s="31" t="str">
        <f aca="false">IF(B1679="","",IF(H1679="A",0,IFERROR(N(I1679)/P_Heures*J1679,0)))</f>
        <v/>
      </c>
      <c r="L1679" s="25"/>
    </row>
    <row r="1680" customFormat="false" ht="15" hidden="false" customHeight="false" outlineLevel="0" collapsed="false">
      <c r="A1680" s="69"/>
      <c r="B1680" s="68"/>
      <c r="C1680" s="76" t="str">
        <f aca="false">IF(B1680="","",IFERROR(INDEX(PE_Nom,MATCH(B1680,PE_Mat,0)),"Matricule inconnu"))</f>
        <v/>
      </c>
      <c r="D1680" s="76" t="str">
        <f aca="false">IF(B1680="","",IFERROR(INDEX(PE_Fonction,MATCH(B1680,PE_Mat,0)),""))</f>
        <v/>
      </c>
      <c r="E1680" s="76" t="str">
        <f aca="false">IF(B1680="","",IFERROR(INDEX(PE_Equipe,MATCH(B1680,PE_Mat,0)),""))</f>
        <v/>
      </c>
      <c r="F1680" s="25"/>
      <c r="G1680" s="25"/>
      <c r="H1680" s="68"/>
      <c r="I1680" s="89"/>
      <c r="J1680" s="31" t="str">
        <f aca="false">IF(B1680="","",IFERROR(INDEX(PE_Taux,MATCH(B1680,PE_Mat,0)),0))</f>
        <v/>
      </c>
      <c r="K1680" s="31" t="str">
        <f aca="false">IF(B1680="","",IF(H1680="A",0,IFERROR(N(I1680)/P_Heures*J1680,0)))</f>
        <v/>
      </c>
      <c r="L1680" s="25"/>
    </row>
    <row r="1681" customFormat="false" ht="15" hidden="false" customHeight="false" outlineLevel="0" collapsed="false">
      <c r="A1681" s="69"/>
      <c r="B1681" s="68"/>
      <c r="C1681" s="76" t="str">
        <f aca="false">IF(B1681="","",IFERROR(INDEX(PE_Nom,MATCH(B1681,PE_Mat,0)),"Matricule inconnu"))</f>
        <v/>
      </c>
      <c r="D1681" s="76" t="str">
        <f aca="false">IF(B1681="","",IFERROR(INDEX(PE_Fonction,MATCH(B1681,PE_Mat,0)),""))</f>
        <v/>
      </c>
      <c r="E1681" s="76" t="str">
        <f aca="false">IF(B1681="","",IFERROR(INDEX(PE_Equipe,MATCH(B1681,PE_Mat,0)),""))</f>
        <v/>
      </c>
      <c r="F1681" s="25"/>
      <c r="G1681" s="25"/>
      <c r="H1681" s="68"/>
      <c r="I1681" s="89"/>
      <c r="J1681" s="31" t="str">
        <f aca="false">IF(B1681="","",IFERROR(INDEX(PE_Taux,MATCH(B1681,PE_Mat,0)),0))</f>
        <v/>
      </c>
      <c r="K1681" s="31" t="str">
        <f aca="false">IF(B1681="","",IF(H1681="A",0,IFERROR(N(I1681)/P_Heures*J1681,0)))</f>
        <v/>
      </c>
      <c r="L1681" s="25"/>
    </row>
    <row r="1682" customFormat="false" ht="15" hidden="false" customHeight="false" outlineLevel="0" collapsed="false">
      <c r="A1682" s="69"/>
      <c r="B1682" s="68"/>
      <c r="C1682" s="76" t="str">
        <f aca="false">IF(B1682="","",IFERROR(INDEX(PE_Nom,MATCH(B1682,PE_Mat,0)),"Matricule inconnu"))</f>
        <v/>
      </c>
      <c r="D1682" s="76" t="str">
        <f aca="false">IF(B1682="","",IFERROR(INDEX(PE_Fonction,MATCH(B1682,PE_Mat,0)),""))</f>
        <v/>
      </c>
      <c r="E1682" s="76" t="str">
        <f aca="false">IF(B1682="","",IFERROR(INDEX(PE_Equipe,MATCH(B1682,PE_Mat,0)),""))</f>
        <v/>
      </c>
      <c r="F1682" s="25"/>
      <c r="G1682" s="25"/>
      <c r="H1682" s="68"/>
      <c r="I1682" s="89"/>
      <c r="J1682" s="31" t="str">
        <f aca="false">IF(B1682="","",IFERROR(INDEX(PE_Taux,MATCH(B1682,PE_Mat,0)),0))</f>
        <v/>
      </c>
      <c r="K1682" s="31" t="str">
        <f aca="false">IF(B1682="","",IF(H1682="A",0,IFERROR(N(I1682)/P_Heures*J1682,0)))</f>
        <v/>
      </c>
      <c r="L1682" s="25"/>
    </row>
    <row r="1683" customFormat="false" ht="15" hidden="false" customHeight="false" outlineLevel="0" collapsed="false">
      <c r="A1683" s="69"/>
      <c r="B1683" s="68"/>
      <c r="C1683" s="76" t="str">
        <f aca="false">IF(B1683="","",IFERROR(INDEX(PE_Nom,MATCH(B1683,PE_Mat,0)),"Matricule inconnu"))</f>
        <v/>
      </c>
      <c r="D1683" s="76" t="str">
        <f aca="false">IF(B1683="","",IFERROR(INDEX(PE_Fonction,MATCH(B1683,PE_Mat,0)),""))</f>
        <v/>
      </c>
      <c r="E1683" s="76" t="str">
        <f aca="false">IF(B1683="","",IFERROR(INDEX(PE_Equipe,MATCH(B1683,PE_Mat,0)),""))</f>
        <v/>
      </c>
      <c r="F1683" s="25"/>
      <c r="G1683" s="25"/>
      <c r="H1683" s="68"/>
      <c r="I1683" s="89"/>
      <c r="J1683" s="31" t="str">
        <f aca="false">IF(B1683="","",IFERROR(INDEX(PE_Taux,MATCH(B1683,PE_Mat,0)),0))</f>
        <v/>
      </c>
      <c r="K1683" s="31" t="str">
        <f aca="false">IF(B1683="","",IF(H1683="A",0,IFERROR(N(I1683)/P_Heures*J1683,0)))</f>
        <v/>
      </c>
      <c r="L1683" s="25"/>
    </row>
    <row r="1684" customFormat="false" ht="15" hidden="false" customHeight="false" outlineLevel="0" collapsed="false">
      <c r="A1684" s="69"/>
      <c r="B1684" s="68"/>
      <c r="C1684" s="76" t="str">
        <f aca="false">IF(B1684="","",IFERROR(INDEX(PE_Nom,MATCH(B1684,PE_Mat,0)),"Matricule inconnu"))</f>
        <v/>
      </c>
      <c r="D1684" s="76" t="str">
        <f aca="false">IF(B1684="","",IFERROR(INDEX(PE_Fonction,MATCH(B1684,PE_Mat,0)),""))</f>
        <v/>
      </c>
      <c r="E1684" s="76" t="str">
        <f aca="false">IF(B1684="","",IFERROR(INDEX(PE_Equipe,MATCH(B1684,PE_Mat,0)),""))</f>
        <v/>
      </c>
      <c r="F1684" s="25"/>
      <c r="G1684" s="25"/>
      <c r="H1684" s="68"/>
      <c r="I1684" s="89"/>
      <c r="J1684" s="31" t="str">
        <f aca="false">IF(B1684="","",IFERROR(INDEX(PE_Taux,MATCH(B1684,PE_Mat,0)),0))</f>
        <v/>
      </c>
      <c r="K1684" s="31" t="str">
        <f aca="false">IF(B1684="","",IF(H1684="A",0,IFERROR(N(I1684)/P_Heures*J1684,0)))</f>
        <v/>
      </c>
      <c r="L1684" s="25"/>
    </row>
    <row r="1685" customFormat="false" ht="15" hidden="false" customHeight="false" outlineLevel="0" collapsed="false">
      <c r="A1685" s="69"/>
      <c r="B1685" s="68"/>
      <c r="C1685" s="76" t="str">
        <f aca="false">IF(B1685="","",IFERROR(INDEX(PE_Nom,MATCH(B1685,PE_Mat,0)),"Matricule inconnu"))</f>
        <v/>
      </c>
      <c r="D1685" s="76" t="str">
        <f aca="false">IF(B1685="","",IFERROR(INDEX(PE_Fonction,MATCH(B1685,PE_Mat,0)),""))</f>
        <v/>
      </c>
      <c r="E1685" s="76" t="str">
        <f aca="false">IF(B1685="","",IFERROR(INDEX(PE_Equipe,MATCH(B1685,PE_Mat,0)),""))</f>
        <v/>
      </c>
      <c r="F1685" s="25"/>
      <c r="G1685" s="25"/>
      <c r="H1685" s="68"/>
      <c r="I1685" s="89"/>
      <c r="J1685" s="31" t="str">
        <f aca="false">IF(B1685="","",IFERROR(INDEX(PE_Taux,MATCH(B1685,PE_Mat,0)),0))</f>
        <v/>
      </c>
      <c r="K1685" s="31" t="str">
        <f aca="false">IF(B1685="","",IF(H1685="A",0,IFERROR(N(I1685)/P_Heures*J1685,0)))</f>
        <v/>
      </c>
      <c r="L1685" s="25"/>
    </row>
    <row r="1686" customFormat="false" ht="15" hidden="false" customHeight="false" outlineLevel="0" collapsed="false">
      <c r="A1686" s="69"/>
      <c r="B1686" s="68"/>
      <c r="C1686" s="76" t="str">
        <f aca="false">IF(B1686="","",IFERROR(INDEX(PE_Nom,MATCH(B1686,PE_Mat,0)),"Matricule inconnu"))</f>
        <v/>
      </c>
      <c r="D1686" s="76" t="str">
        <f aca="false">IF(B1686="","",IFERROR(INDEX(PE_Fonction,MATCH(B1686,PE_Mat,0)),""))</f>
        <v/>
      </c>
      <c r="E1686" s="76" t="str">
        <f aca="false">IF(B1686="","",IFERROR(INDEX(PE_Equipe,MATCH(B1686,PE_Mat,0)),""))</f>
        <v/>
      </c>
      <c r="F1686" s="25"/>
      <c r="G1686" s="25"/>
      <c r="H1686" s="68"/>
      <c r="I1686" s="89"/>
      <c r="J1686" s="31" t="str">
        <f aca="false">IF(B1686="","",IFERROR(INDEX(PE_Taux,MATCH(B1686,PE_Mat,0)),0))</f>
        <v/>
      </c>
      <c r="K1686" s="31" t="str">
        <f aca="false">IF(B1686="","",IF(H1686="A",0,IFERROR(N(I1686)/P_Heures*J1686,0)))</f>
        <v/>
      </c>
      <c r="L1686" s="25"/>
    </row>
    <row r="1687" customFormat="false" ht="15" hidden="false" customHeight="false" outlineLevel="0" collapsed="false">
      <c r="A1687" s="69"/>
      <c r="B1687" s="68"/>
      <c r="C1687" s="76" t="str">
        <f aca="false">IF(B1687="","",IFERROR(INDEX(PE_Nom,MATCH(B1687,PE_Mat,0)),"Matricule inconnu"))</f>
        <v/>
      </c>
      <c r="D1687" s="76" t="str">
        <f aca="false">IF(B1687="","",IFERROR(INDEX(PE_Fonction,MATCH(B1687,PE_Mat,0)),""))</f>
        <v/>
      </c>
      <c r="E1687" s="76" t="str">
        <f aca="false">IF(B1687="","",IFERROR(INDEX(PE_Equipe,MATCH(B1687,PE_Mat,0)),""))</f>
        <v/>
      </c>
      <c r="F1687" s="25"/>
      <c r="G1687" s="25"/>
      <c r="H1687" s="68"/>
      <c r="I1687" s="89"/>
      <c r="J1687" s="31" t="str">
        <f aca="false">IF(B1687="","",IFERROR(INDEX(PE_Taux,MATCH(B1687,PE_Mat,0)),0))</f>
        <v/>
      </c>
      <c r="K1687" s="31" t="str">
        <f aca="false">IF(B1687="","",IF(H1687="A",0,IFERROR(N(I1687)/P_Heures*J1687,0)))</f>
        <v/>
      </c>
      <c r="L1687" s="25"/>
    </row>
    <row r="1688" customFormat="false" ht="15" hidden="false" customHeight="false" outlineLevel="0" collapsed="false">
      <c r="A1688" s="69"/>
      <c r="B1688" s="68"/>
      <c r="C1688" s="76" t="str">
        <f aca="false">IF(B1688="","",IFERROR(INDEX(PE_Nom,MATCH(B1688,PE_Mat,0)),"Matricule inconnu"))</f>
        <v/>
      </c>
      <c r="D1688" s="76" t="str">
        <f aca="false">IF(B1688="","",IFERROR(INDEX(PE_Fonction,MATCH(B1688,PE_Mat,0)),""))</f>
        <v/>
      </c>
      <c r="E1688" s="76" t="str">
        <f aca="false">IF(B1688="","",IFERROR(INDEX(PE_Equipe,MATCH(B1688,PE_Mat,0)),""))</f>
        <v/>
      </c>
      <c r="F1688" s="25"/>
      <c r="G1688" s="25"/>
      <c r="H1688" s="68"/>
      <c r="I1688" s="89"/>
      <c r="J1688" s="31" t="str">
        <f aca="false">IF(B1688="","",IFERROR(INDEX(PE_Taux,MATCH(B1688,PE_Mat,0)),0))</f>
        <v/>
      </c>
      <c r="K1688" s="31" t="str">
        <f aca="false">IF(B1688="","",IF(H1688="A",0,IFERROR(N(I1688)/P_Heures*J1688,0)))</f>
        <v/>
      </c>
      <c r="L1688" s="25"/>
    </row>
    <row r="1689" customFormat="false" ht="15" hidden="false" customHeight="false" outlineLevel="0" collapsed="false">
      <c r="A1689" s="69"/>
      <c r="B1689" s="68"/>
      <c r="C1689" s="76" t="str">
        <f aca="false">IF(B1689="","",IFERROR(INDEX(PE_Nom,MATCH(B1689,PE_Mat,0)),"Matricule inconnu"))</f>
        <v/>
      </c>
      <c r="D1689" s="76" t="str">
        <f aca="false">IF(B1689="","",IFERROR(INDEX(PE_Fonction,MATCH(B1689,PE_Mat,0)),""))</f>
        <v/>
      </c>
      <c r="E1689" s="76" t="str">
        <f aca="false">IF(B1689="","",IFERROR(INDEX(PE_Equipe,MATCH(B1689,PE_Mat,0)),""))</f>
        <v/>
      </c>
      <c r="F1689" s="25"/>
      <c r="G1689" s="25"/>
      <c r="H1689" s="68"/>
      <c r="I1689" s="89"/>
      <c r="J1689" s="31" t="str">
        <f aca="false">IF(B1689="","",IFERROR(INDEX(PE_Taux,MATCH(B1689,PE_Mat,0)),0))</f>
        <v/>
      </c>
      <c r="K1689" s="31" t="str">
        <f aca="false">IF(B1689="","",IF(H1689="A",0,IFERROR(N(I1689)/P_Heures*J1689,0)))</f>
        <v/>
      </c>
      <c r="L1689" s="25"/>
    </row>
    <row r="1690" customFormat="false" ht="15" hidden="false" customHeight="false" outlineLevel="0" collapsed="false">
      <c r="A1690" s="69"/>
      <c r="B1690" s="68"/>
      <c r="C1690" s="76" t="str">
        <f aca="false">IF(B1690="","",IFERROR(INDEX(PE_Nom,MATCH(B1690,PE_Mat,0)),"Matricule inconnu"))</f>
        <v/>
      </c>
      <c r="D1690" s="76" t="str">
        <f aca="false">IF(B1690="","",IFERROR(INDEX(PE_Fonction,MATCH(B1690,PE_Mat,0)),""))</f>
        <v/>
      </c>
      <c r="E1690" s="76" t="str">
        <f aca="false">IF(B1690="","",IFERROR(INDEX(PE_Equipe,MATCH(B1690,PE_Mat,0)),""))</f>
        <v/>
      </c>
      <c r="F1690" s="25"/>
      <c r="G1690" s="25"/>
      <c r="H1690" s="68"/>
      <c r="I1690" s="89"/>
      <c r="J1690" s="31" t="str">
        <f aca="false">IF(B1690="","",IFERROR(INDEX(PE_Taux,MATCH(B1690,PE_Mat,0)),0))</f>
        <v/>
      </c>
      <c r="K1690" s="31" t="str">
        <f aca="false">IF(B1690="","",IF(H1690="A",0,IFERROR(N(I1690)/P_Heures*J1690,0)))</f>
        <v/>
      </c>
      <c r="L1690" s="25"/>
    </row>
    <row r="1691" customFormat="false" ht="15" hidden="false" customHeight="false" outlineLevel="0" collapsed="false">
      <c r="A1691" s="69"/>
      <c r="B1691" s="68"/>
      <c r="C1691" s="76" t="str">
        <f aca="false">IF(B1691="","",IFERROR(INDEX(PE_Nom,MATCH(B1691,PE_Mat,0)),"Matricule inconnu"))</f>
        <v/>
      </c>
      <c r="D1691" s="76" t="str">
        <f aca="false">IF(B1691="","",IFERROR(INDEX(PE_Fonction,MATCH(B1691,PE_Mat,0)),""))</f>
        <v/>
      </c>
      <c r="E1691" s="76" t="str">
        <f aca="false">IF(B1691="","",IFERROR(INDEX(PE_Equipe,MATCH(B1691,PE_Mat,0)),""))</f>
        <v/>
      </c>
      <c r="F1691" s="25"/>
      <c r="G1691" s="25"/>
      <c r="H1691" s="68"/>
      <c r="I1691" s="89"/>
      <c r="J1691" s="31" t="str">
        <f aca="false">IF(B1691="","",IFERROR(INDEX(PE_Taux,MATCH(B1691,PE_Mat,0)),0))</f>
        <v/>
      </c>
      <c r="K1691" s="31" t="str">
        <f aca="false">IF(B1691="","",IF(H1691="A",0,IFERROR(N(I1691)/P_Heures*J1691,0)))</f>
        <v/>
      </c>
      <c r="L1691" s="25"/>
    </row>
    <row r="1692" customFormat="false" ht="15" hidden="false" customHeight="false" outlineLevel="0" collapsed="false">
      <c r="A1692" s="69"/>
      <c r="B1692" s="68"/>
      <c r="C1692" s="76" t="str">
        <f aca="false">IF(B1692="","",IFERROR(INDEX(PE_Nom,MATCH(B1692,PE_Mat,0)),"Matricule inconnu"))</f>
        <v/>
      </c>
      <c r="D1692" s="76" t="str">
        <f aca="false">IF(B1692="","",IFERROR(INDEX(PE_Fonction,MATCH(B1692,PE_Mat,0)),""))</f>
        <v/>
      </c>
      <c r="E1692" s="76" t="str">
        <f aca="false">IF(B1692="","",IFERROR(INDEX(PE_Equipe,MATCH(B1692,PE_Mat,0)),""))</f>
        <v/>
      </c>
      <c r="F1692" s="25"/>
      <c r="G1692" s="25"/>
      <c r="H1692" s="68"/>
      <c r="I1692" s="89"/>
      <c r="J1692" s="31" t="str">
        <f aca="false">IF(B1692="","",IFERROR(INDEX(PE_Taux,MATCH(B1692,PE_Mat,0)),0))</f>
        <v/>
      </c>
      <c r="K1692" s="31" t="str">
        <f aca="false">IF(B1692="","",IF(H1692="A",0,IFERROR(N(I1692)/P_Heures*J1692,0)))</f>
        <v/>
      </c>
      <c r="L1692" s="25"/>
    </row>
    <row r="1693" customFormat="false" ht="15" hidden="false" customHeight="false" outlineLevel="0" collapsed="false">
      <c r="A1693" s="69"/>
      <c r="B1693" s="68"/>
      <c r="C1693" s="76" t="str">
        <f aca="false">IF(B1693="","",IFERROR(INDEX(PE_Nom,MATCH(B1693,PE_Mat,0)),"Matricule inconnu"))</f>
        <v/>
      </c>
      <c r="D1693" s="76" t="str">
        <f aca="false">IF(B1693="","",IFERROR(INDEX(PE_Fonction,MATCH(B1693,PE_Mat,0)),""))</f>
        <v/>
      </c>
      <c r="E1693" s="76" t="str">
        <f aca="false">IF(B1693="","",IFERROR(INDEX(PE_Equipe,MATCH(B1693,PE_Mat,0)),""))</f>
        <v/>
      </c>
      <c r="F1693" s="25"/>
      <c r="G1693" s="25"/>
      <c r="H1693" s="68"/>
      <c r="I1693" s="89"/>
      <c r="J1693" s="31" t="str">
        <f aca="false">IF(B1693="","",IFERROR(INDEX(PE_Taux,MATCH(B1693,PE_Mat,0)),0))</f>
        <v/>
      </c>
      <c r="K1693" s="31" t="str">
        <f aca="false">IF(B1693="","",IF(H1693="A",0,IFERROR(N(I1693)/P_Heures*J1693,0)))</f>
        <v/>
      </c>
      <c r="L1693" s="25"/>
    </row>
    <row r="1694" customFormat="false" ht="15" hidden="false" customHeight="false" outlineLevel="0" collapsed="false">
      <c r="A1694" s="69"/>
      <c r="B1694" s="68"/>
      <c r="C1694" s="76" t="str">
        <f aca="false">IF(B1694="","",IFERROR(INDEX(PE_Nom,MATCH(B1694,PE_Mat,0)),"Matricule inconnu"))</f>
        <v/>
      </c>
      <c r="D1694" s="76" t="str">
        <f aca="false">IF(B1694="","",IFERROR(INDEX(PE_Fonction,MATCH(B1694,PE_Mat,0)),""))</f>
        <v/>
      </c>
      <c r="E1694" s="76" t="str">
        <f aca="false">IF(B1694="","",IFERROR(INDEX(PE_Equipe,MATCH(B1694,PE_Mat,0)),""))</f>
        <v/>
      </c>
      <c r="F1694" s="25"/>
      <c r="G1694" s="25"/>
      <c r="H1694" s="68"/>
      <c r="I1694" s="89"/>
      <c r="J1694" s="31" t="str">
        <f aca="false">IF(B1694="","",IFERROR(INDEX(PE_Taux,MATCH(B1694,PE_Mat,0)),0))</f>
        <v/>
      </c>
      <c r="K1694" s="31" t="str">
        <f aca="false">IF(B1694="","",IF(H1694="A",0,IFERROR(N(I1694)/P_Heures*J1694,0)))</f>
        <v/>
      </c>
      <c r="L1694" s="25"/>
    </row>
    <row r="1695" customFormat="false" ht="15" hidden="false" customHeight="false" outlineLevel="0" collapsed="false">
      <c r="A1695" s="69"/>
      <c r="B1695" s="68"/>
      <c r="C1695" s="76" t="str">
        <f aca="false">IF(B1695="","",IFERROR(INDEX(PE_Nom,MATCH(B1695,PE_Mat,0)),"Matricule inconnu"))</f>
        <v/>
      </c>
      <c r="D1695" s="76" t="str">
        <f aca="false">IF(B1695="","",IFERROR(INDEX(PE_Fonction,MATCH(B1695,PE_Mat,0)),""))</f>
        <v/>
      </c>
      <c r="E1695" s="76" t="str">
        <f aca="false">IF(B1695="","",IFERROR(INDEX(PE_Equipe,MATCH(B1695,PE_Mat,0)),""))</f>
        <v/>
      </c>
      <c r="F1695" s="25"/>
      <c r="G1695" s="25"/>
      <c r="H1695" s="68"/>
      <c r="I1695" s="89"/>
      <c r="J1695" s="31" t="str">
        <f aca="false">IF(B1695="","",IFERROR(INDEX(PE_Taux,MATCH(B1695,PE_Mat,0)),0))</f>
        <v/>
      </c>
      <c r="K1695" s="31" t="str">
        <f aca="false">IF(B1695="","",IF(H1695="A",0,IFERROR(N(I1695)/P_Heures*J1695,0)))</f>
        <v/>
      </c>
      <c r="L1695" s="25"/>
    </row>
    <row r="1696" customFormat="false" ht="15" hidden="false" customHeight="false" outlineLevel="0" collapsed="false">
      <c r="A1696" s="69"/>
      <c r="B1696" s="68"/>
      <c r="C1696" s="76" t="str">
        <f aca="false">IF(B1696="","",IFERROR(INDEX(PE_Nom,MATCH(B1696,PE_Mat,0)),"Matricule inconnu"))</f>
        <v/>
      </c>
      <c r="D1696" s="76" t="str">
        <f aca="false">IF(B1696="","",IFERROR(INDEX(PE_Fonction,MATCH(B1696,PE_Mat,0)),""))</f>
        <v/>
      </c>
      <c r="E1696" s="76" t="str">
        <f aca="false">IF(B1696="","",IFERROR(INDEX(PE_Equipe,MATCH(B1696,PE_Mat,0)),""))</f>
        <v/>
      </c>
      <c r="F1696" s="25"/>
      <c r="G1696" s="25"/>
      <c r="H1696" s="68"/>
      <c r="I1696" s="89"/>
      <c r="J1696" s="31" t="str">
        <f aca="false">IF(B1696="","",IFERROR(INDEX(PE_Taux,MATCH(B1696,PE_Mat,0)),0))</f>
        <v/>
      </c>
      <c r="K1696" s="31" t="str">
        <f aca="false">IF(B1696="","",IF(H1696="A",0,IFERROR(N(I1696)/P_Heures*J1696,0)))</f>
        <v/>
      </c>
      <c r="L1696" s="25"/>
    </row>
    <row r="1697" customFormat="false" ht="15" hidden="false" customHeight="false" outlineLevel="0" collapsed="false">
      <c r="A1697" s="69"/>
      <c r="B1697" s="68"/>
      <c r="C1697" s="76" t="str">
        <f aca="false">IF(B1697="","",IFERROR(INDEX(PE_Nom,MATCH(B1697,PE_Mat,0)),"Matricule inconnu"))</f>
        <v/>
      </c>
      <c r="D1697" s="76" t="str">
        <f aca="false">IF(B1697="","",IFERROR(INDEX(PE_Fonction,MATCH(B1697,PE_Mat,0)),""))</f>
        <v/>
      </c>
      <c r="E1697" s="76" t="str">
        <f aca="false">IF(B1697="","",IFERROR(INDEX(PE_Equipe,MATCH(B1697,PE_Mat,0)),""))</f>
        <v/>
      </c>
      <c r="F1697" s="25"/>
      <c r="G1697" s="25"/>
      <c r="H1697" s="68"/>
      <c r="I1697" s="89"/>
      <c r="J1697" s="31" t="str">
        <f aca="false">IF(B1697="","",IFERROR(INDEX(PE_Taux,MATCH(B1697,PE_Mat,0)),0))</f>
        <v/>
      </c>
      <c r="K1697" s="31" t="str">
        <f aca="false">IF(B1697="","",IF(H1697="A",0,IFERROR(N(I1697)/P_Heures*J1697,0)))</f>
        <v/>
      </c>
      <c r="L1697" s="25"/>
    </row>
    <row r="1698" customFormat="false" ht="15" hidden="false" customHeight="false" outlineLevel="0" collapsed="false">
      <c r="A1698" s="69"/>
      <c r="B1698" s="68"/>
      <c r="C1698" s="76" t="str">
        <f aca="false">IF(B1698="","",IFERROR(INDEX(PE_Nom,MATCH(B1698,PE_Mat,0)),"Matricule inconnu"))</f>
        <v/>
      </c>
      <c r="D1698" s="76" t="str">
        <f aca="false">IF(B1698="","",IFERROR(INDEX(PE_Fonction,MATCH(B1698,PE_Mat,0)),""))</f>
        <v/>
      </c>
      <c r="E1698" s="76" t="str">
        <f aca="false">IF(B1698="","",IFERROR(INDEX(PE_Equipe,MATCH(B1698,PE_Mat,0)),""))</f>
        <v/>
      </c>
      <c r="F1698" s="25"/>
      <c r="G1698" s="25"/>
      <c r="H1698" s="68"/>
      <c r="I1698" s="89"/>
      <c r="J1698" s="31" t="str">
        <f aca="false">IF(B1698="","",IFERROR(INDEX(PE_Taux,MATCH(B1698,PE_Mat,0)),0))</f>
        <v/>
      </c>
      <c r="K1698" s="31" t="str">
        <f aca="false">IF(B1698="","",IF(H1698="A",0,IFERROR(N(I1698)/P_Heures*J1698,0)))</f>
        <v/>
      </c>
      <c r="L1698" s="25"/>
    </row>
    <row r="1699" customFormat="false" ht="15" hidden="false" customHeight="false" outlineLevel="0" collapsed="false">
      <c r="A1699" s="69"/>
      <c r="B1699" s="68"/>
      <c r="C1699" s="76" t="str">
        <f aca="false">IF(B1699="","",IFERROR(INDEX(PE_Nom,MATCH(B1699,PE_Mat,0)),"Matricule inconnu"))</f>
        <v/>
      </c>
      <c r="D1699" s="76" t="str">
        <f aca="false">IF(B1699="","",IFERROR(INDEX(PE_Fonction,MATCH(B1699,PE_Mat,0)),""))</f>
        <v/>
      </c>
      <c r="E1699" s="76" t="str">
        <f aca="false">IF(B1699="","",IFERROR(INDEX(PE_Equipe,MATCH(B1699,PE_Mat,0)),""))</f>
        <v/>
      </c>
      <c r="F1699" s="25"/>
      <c r="G1699" s="25"/>
      <c r="H1699" s="68"/>
      <c r="I1699" s="89"/>
      <c r="J1699" s="31" t="str">
        <f aca="false">IF(B1699="","",IFERROR(INDEX(PE_Taux,MATCH(B1699,PE_Mat,0)),0))</f>
        <v/>
      </c>
      <c r="K1699" s="31" t="str">
        <f aca="false">IF(B1699="","",IF(H1699="A",0,IFERROR(N(I1699)/P_Heures*J1699,0)))</f>
        <v/>
      </c>
      <c r="L1699" s="25"/>
    </row>
    <row r="1700" customFormat="false" ht="15" hidden="false" customHeight="false" outlineLevel="0" collapsed="false">
      <c r="A1700" s="69"/>
      <c r="B1700" s="68"/>
      <c r="C1700" s="76" t="str">
        <f aca="false">IF(B1700="","",IFERROR(INDEX(PE_Nom,MATCH(B1700,PE_Mat,0)),"Matricule inconnu"))</f>
        <v/>
      </c>
      <c r="D1700" s="76" t="str">
        <f aca="false">IF(B1700="","",IFERROR(INDEX(PE_Fonction,MATCH(B1700,PE_Mat,0)),""))</f>
        <v/>
      </c>
      <c r="E1700" s="76" t="str">
        <f aca="false">IF(B1700="","",IFERROR(INDEX(PE_Equipe,MATCH(B1700,PE_Mat,0)),""))</f>
        <v/>
      </c>
      <c r="F1700" s="25"/>
      <c r="G1700" s="25"/>
      <c r="H1700" s="68"/>
      <c r="I1700" s="89"/>
      <c r="J1700" s="31" t="str">
        <f aca="false">IF(B1700="","",IFERROR(INDEX(PE_Taux,MATCH(B1700,PE_Mat,0)),0))</f>
        <v/>
      </c>
      <c r="K1700" s="31" t="str">
        <f aca="false">IF(B1700="","",IF(H1700="A",0,IFERROR(N(I1700)/P_Heures*J1700,0)))</f>
        <v/>
      </c>
      <c r="L1700" s="25"/>
    </row>
    <row r="1701" customFormat="false" ht="15" hidden="false" customHeight="false" outlineLevel="0" collapsed="false">
      <c r="A1701" s="69"/>
      <c r="B1701" s="68"/>
      <c r="C1701" s="76" t="str">
        <f aca="false">IF(B1701="","",IFERROR(INDEX(PE_Nom,MATCH(B1701,PE_Mat,0)),"Matricule inconnu"))</f>
        <v/>
      </c>
      <c r="D1701" s="76" t="str">
        <f aca="false">IF(B1701="","",IFERROR(INDEX(PE_Fonction,MATCH(B1701,PE_Mat,0)),""))</f>
        <v/>
      </c>
      <c r="E1701" s="76" t="str">
        <f aca="false">IF(B1701="","",IFERROR(INDEX(PE_Equipe,MATCH(B1701,PE_Mat,0)),""))</f>
        <v/>
      </c>
      <c r="F1701" s="25"/>
      <c r="G1701" s="25"/>
      <c r="H1701" s="68"/>
      <c r="I1701" s="89"/>
      <c r="J1701" s="31" t="str">
        <f aca="false">IF(B1701="","",IFERROR(INDEX(PE_Taux,MATCH(B1701,PE_Mat,0)),0))</f>
        <v/>
      </c>
      <c r="K1701" s="31" t="str">
        <f aca="false">IF(B1701="","",IF(H1701="A",0,IFERROR(N(I1701)/P_Heures*J1701,0)))</f>
        <v/>
      </c>
      <c r="L1701" s="25"/>
    </row>
    <row r="1702" customFormat="false" ht="15" hidden="false" customHeight="false" outlineLevel="0" collapsed="false">
      <c r="A1702" s="69"/>
      <c r="B1702" s="68"/>
      <c r="C1702" s="76" t="str">
        <f aca="false">IF(B1702="","",IFERROR(INDEX(PE_Nom,MATCH(B1702,PE_Mat,0)),"Matricule inconnu"))</f>
        <v/>
      </c>
      <c r="D1702" s="76" t="str">
        <f aca="false">IF(B1702="","",IFERROR(INDEX(PE_Fonction,MATCH(B1702,PE_Mat,0)),""))</f>
        <v/>
      </c>
      <c r="E1702" s="76" t="str">
        <f aca="false">IF(B1702="","",IFERROR(INDEX(PE_Equipe,MATCH(B1702,PE_Mat,0)),""))</f>
        <v/>
      </c>
      <c r="F1702" s="25"/>
      <c r="G1702" s="25"/>
      <c r="H1702" s="68"/>
      <c r="I1702" s="89"/>
      <c r="J1702" s="31" t="str">
        <f aca="false">IF(B1702="","",IFERROR(INDEX(PE_Taux,MATCH(B1702,PE_Mat,0)),0))</f>
        <v/>
      </c>
      <c r="K1702" s="31" t="str">
        <f aca="false">IF(B1702="","",IF(H1702="A",0,IFERROR(N(I1702)/P_Heures*J1702,0)))</f>
        <v/>
      </c>
      <c r="L1702" s="25"/>
    </row>
    <row r="1703" customFormat="false" ht="15" hidden="false" customHeight="false" outlineLevel="0" collapsed="false">
      <c r="A1703" s="69"/>
      <c r="B1703" s="68"/>
      <c r="C1703" s="76" t="str">
        <f aca="false">IF(B1703="","",IFERROR(INDEX(PE_Nom,MATCH(B1703,PE_Mat,0)),"Matricule inconnu"))</f>
        <v/>
      </c>
      <c r="D1703" s="76" t="str">
        <f aca="false">IF(B1703="","",IFERROR(INDEX(PE_Fonction,MATCH(B1703,PE_Mat,0)),""))</f>
        <v/>
      </c>
      <c r="E1703" s="76" t="str">
        <f aca="false">IF(B1703="","",IFERROR(INDEX(PE_Equipe,MATCH(B1703,PE_Mat,0)),""))</f>
        <v/>
      </c>
      <c r="F1703" s="25"/>
      <c r="G1703" s="25"/>
      <c r="H1703" s="68"/>
      <c r="I1703" s="89"/>
      <c r="J1703" s="31" t="str">
        <f aca="false">IF(B1703="","",IFERROR(INDEX(PE_Taux,MATCH(B1703,PE_Mat,0)),0))</f>
        <v/>
      </c>
      <c r="K1703" s="31" t="str">
        <f aca="false">IF(B1703="","",IF(H1703="A",0,IFERROR(N(I1703)/P_Heures*J1703,0)))</f>
        <v/>
      </c>
      <c r="L1703" s="25"/>
    </row>
    <row r="1704" customFormat="false" ht="15" hidden="false" customHeight="false" outlineLevel="0" collapsed="false">
      <c r="A1704" s="69"/>
      <c r="B1704" s="68"/>
      <c r="C1704" s="76" t="str">
        <f aca="false">IF(B1704="","",IFERROR(INDEX(PE_Nom,MATCH(B1704,PE_Mat,0)),"Matricule inconnu"))</f>
        <v/>
      </c>
      <c r="D1704" s="76" t="str">
        <f aca="false">IF(B1704="","",IFERROR(INDEX(PE_Fonction,MATCH(B1704,PE_Mat,0)),""))</f>
        <v/>
      </c>
      <c r="E1704" s="76" t="str">
        <f aca="false">IF(B1704="","",IFERROR(INDEX(PE_Equipe,MATCH(B1704,PE_Mat,0)),""))</f>
        <v/>
      </c>
      <c r="F1704" s="25"/>
      <c r="G1704" s="25"/>
      <c r="H1704" s="68"/>
      <c r="I1704" s="89"/>
      <c r="J1704" s="31" t="str">
        <f aca="false">IF(B1704="","",IFERROR(INDEX(PE_Taux,MATCH(B1704,PE_Mat,0)),0))</f>
        <v/>
      </c>
      <c r="K1704" s="31" t="str">
        <f aca="false">IF(B1704="","",IF(H1704="A",0,IFERROR(N(I1704)/P_Heures*J1704,0)))</f>
        <v/>
      </c>
      <c r="L1704" s="25"/>
    </row>
    <row r="1705" customFormat="false" ht="15" hidden="false" customHeight="false" outlineLevel="0" collapsed="false">
      <c r="A1705" s="69"/>
      <c r="B1705" s="68"/>
      <c r="C1705" s="76" t="str">
        <f aca="false">IF(B1705="","",IFERROR(INDEX(PE_Nom,MATCH(B1705,PE_Mat,0)),"Matricule inconnu"))</f>
        <v/>
      </c>
      <c r="D1705" s="76" t="str">
        <f aca="false">IF(B1705="","",IFERROR(INDEX(PE_Fonction,MATCH(B1705,PE_Mat,0)),""))</f>
        <v/>
      </c>
      <c r="E1705" s="76" t="str">
        <f aca="false">IF(B1705="","",IFERROR(INDEX(PE_Equipe,MATCH(B1705,PE_Mat,0)),""))</f>
        <v/>
      </c>
      <c r="F1705" s="25"/>
      <c r="G1705" s="25"/>
      <c r="H1705" s="68"/>
      <c r="I1705" s="89"/>
      <c r="J1705" s="31" t="str">
        <f aca="false">IF(B1705="","",IFERROR(INDEX(PE_Taux,MATCH(B1705,PE_Mat,0)),0))</f>
        <v/>
      </c>
      <c r="K1705" s="31" t="str">
        <f aca="false">IF(B1705="","",IF(H1705="A",0,IFERROR(N(I1705)/P_Heures*J1705,0)))</f>
        <v/>
      </c>
      <c r="L1705" s="25"/>
    </row>
    <row r="1706" customFormat="false" ht="15" hidden="false" customHeight="false" outlineLevel="0" collapsed="false">
      <c r="A1706" s="69"/>
      <c r="B1706" s="68"/>
      <c r="C1706" s="76" t="str">
        <f aca="false">IF(B1706="","",IFERROR(INDEX(PE_Nom,MATCH(B1706,PE_Mat,0)),"Matricule inconnu"))</f>
        <v/>
      </c>
      <c r="D1706" s="76" t="str">
        <f aca="false">IF(B1706="","",IFERROR(INDEX(PE_Fonction,MATCH(B1706,PE_Mat,0)),""))</f>
        <v/>
      </c>
      <c r="E1706" s="76" t="str">
        <f aca="false">IF(B1706="","",IFERROR(INDEX(PE_Equipe,MATCH(B1706,PE_Mat,0)),""))</f>
        <v/>
      </c>
      <c r="F1706" s="25"/>
      <c r="G1706" s="25"/>
      <c r="H1706" s="68"/>
      <c r="I1706" s="89"/>
      <c r="J1706" s="31" t="str">
        <f aca="false">IF(B1706="","",IFERROR(INDEX(PE_Taux,MATCH(B1706,PE_Mat,0)),0))</f>
        <v/>
      </c>
      <c r="K1706" s="31" t="str">
        <f aca="false">IF(B1706="","",IF(H1706="A",0,IFERROR(N(I1706)/P_Heures*J1706,0)))</f>
        <v/>
      </c>
      <c r="L1706" s="25"/>
    </row>
    <row r="1707" customFormat="false" ht="15" hidden="false" customHeight="false" outlineLevel="0" collapsed="false">
      <c r="A1707" s="69"/>
      <c r="B1707" s="68"/>
      <c r="C1707" s="76" t="str">
        <f aca="false">IF(B1707="","",IFERROR(INDEX(PE_Nom,MATCH(B1707,PE_Mat,0)),"Matricule inconnu"))</f>
        <v/>
      </c>
      <c r="D1707" s="76" t="str">
        <f aca="false">IF(B1707="","",IFERROR(INDEX(PE_Fonction,MATCH(B1707,PE_Mat,0)),""))</f>
        <v/>
      </c>
      <c r="E1707" s="76" t="str">
        <f aca="false">IF(B1707="","",IFERROR(INDEX(PE_Equipe,MATCH(B1707,PE_Mat,0)),""))</f>
        <v/>
      </c>
      <c r="F1707" s="25"/>
      <c r="G1707" s="25"/>
      <c r="H1707" s="68"/>
      <c r="I1707" s="89"/>
      <c r="J1707" s="31" t="str">
        <f aca="false">IF(B1707="","",IFERROR(INDEX(PE_Taux,MATCH(B1707,PE_Mat,0)),0))</f>
        <v/>
      </c>
      <c r="K1707" s="31" t="str">
        <f aca="false">IF(B1707="","",IF(H1707="A",0,IFERROR(N(I1707)/P_Heures*J1707,0)))</f>
        <v/>
      </c>
      <c r="L1707" s="25"/>
    </row>
    <row r="1708" customFormat="false" ht="15" hidden="false" customHeight="false" outlineLevel="0" collapsed="false">
      <c r="A1708" s="69"/>
      <c r="B1708" s="68"/>
      <c r="C1708" s="76" t="str">
        <f aca="false">IF(B1708="","",IFERROR(INDEX(PE_Nom,MATCH(B1708,PE_Mat,0)),"Matricule inconnu"))</f>
        <v/>
      </c>
      <c r="D1708" s="76" t="str">
        <f aca="false">IF(B1708="","",IFERROR(INDEX(PE_Fonction,MATCH(B1708,PE_Mat,0)),""))</f>
        <v/>
      </c>
      <c r="E1708" s="76" t="str">
        <f aca="false">IF(B1708="","",IFERROR(INDEX(PE_Equipe,MATCH(B1708,PE_Mat,0)),""))</f>
        <v/>
      </c>
      <c r="F1708" s="25"/>
      <c r="G1708" s="25"/>
      <c r="H1708" s="68"/>
      <c r="I1708" s="89"/>
      <c r="J1708" s="31" t="str">
        <f aca="false">IF(B1708="","",IFERROR(INDEX(PE_Taux,MATCH(B1708,PE_Mat,0)),0))</f>
        <v/>
      </c>
      <c r="K1708" s="31" t="str">
        <f aca="false">IF(B1708="","",IF(H1708="A",0,IFERROR(N(I1708)/P_Heures*J1708,0)))</f>
        <v/>
      </c>
      <c r="L1708" s="25"/>
    </row>
    <row r="1709" customFormat="false" ht="15" hidden="false" customHeight="false" outlineLevel="0" collapsed="false">
      <c r="A1709" s="69"/>
      <c r="B1709" s="68"/>
      <c r="C1709" s="76" t="str">
        <f aca="false">IF(B1709="","",IFERROR(INDEX(PE_Nom,MATCH(B1709,PE_Mat,0)),"Matricule inconnu"))</f>
        <v/>
      </c>
      <c r="D1709" s="76" t="str">
        <f aca="false">IF(B1709="","",IFERROR(INDEX(PE_Fonction,MATCH(B1709,PE_Mat,0)),""))</f>
        <v/>
      </c>
      <c r="E1709" s="76" t="str">
        <f aca="false">IF(B1709="","",IFERROR(INDEX(PE_Equipe,MATCH(B1709,PE_Mat,0)),""))</f>
        <v/>
      </c>
      <c r="F1709" s="25"/>
      <c r="G1709" s="25"/>
      <c r="H1709" s="68"/>
      <c r="I1709" s="89"/>
      <c r="J1709" s="31" t="str">
        <f aca="false">IF(B1709="","",IFERROR(INDEX(PE_Taux,MATCH(B1709,PE_Mat,0)),0))</f>
        <v/>
      </c>
      <c r="K1709" s="31" t="str">
        <f aca="false">IF(B1709="","",IF(H1709="A",0,IFERROR(N(I1709)/P_Heures*J1709,0)))</f>
        <v/>
      </c>
      <c r="L1709" s="25"/>
    </row>
    <row r="1710" customFormat="false" ht="15" hidden="false" customHeight="false" outlineLevel="0" collapsed="false">
      <c r="A1710" s="69"/>
      <c r="B1710" s="68"/>
      <c r="C1710" s="76" t="str">
        <f aca="false">IF(B1710="","",IFERROR(INDEX(PE_Nom,MATCH(B1710,PE_Mat,0)),"Matricule inconnu"))</f>
        <v/>
      </c>
      <c r="D1710" s="76" t="str">
        <f aca="false">IF(B1710="","",IFERROR(INDEX(PE_Fonction,MATCH(B1710,PE_Mat,0)),""))</f>
        <v/>
      </c>
      <c r="E1710" s="76" t="str">
        <f aca="false">IF(B1710="","",IFERROR(INDEX(PE_Equipe,MATCH(B1710,PE_Mat,0)),""))</f>
        <v/>
      </c>
      <c r="F1710" s="25"/>
      <c r="G1710" s="25"/>
      <c r="H1710" s="68"/>
      <c r="I1710" s="89"/>
      <c r="J1710" s="31" t="str">
        <f aca="false">IF(B1710="","",IFERROR(INDEX(PE_Taux,MATCH(B1710,PE_Mat,0)),0))</f>
        <v/>
      </c>
      <c r="K1710" s="31" t="str">
        <f aca="false">IF(B1710="","",IF(H1710="A",0,IFERROR(N(I1710)/P_Heures*J1710,0)))</f>
        <v/>
      </c>
      <c r="L1710" s="25"/>
    </row>
    <row r="1711" customFormat="false" ht="15" hidden="false" customHeight="false" outlineLevel="0" collapsed="false">
      <c r="A1711" s="69"/>
      <c r="B1711" s="68"/>
      <c r="C1711" s="76" t="str">
        <f aca="false">IF(B1711="","",IFERROR(INDEX(PE_Nom,MATCH(B1711,PE_Mat,0)),"Matricule inconnu"))</f>
        <v/>
      </c>
      <c r="D1711" s="76" t="str">
        <f aca="false">IF(B1711="","",IFERROR(INDEX(PE_Fonction,MATCH(B1711,PE_Mat,0)),""))</f>
        <v/>
      </c>
      <c r="E1711" s="76" t="str">
        <f aca="false">IF(B1711="","",IFERROR(INDEX(PE_Equipe,MATCH(B1711,PE_Mat,0)),""))</f>
        <v/>
      </c>
      <c r="F1711" s="25"/>
      <c r="G1711" s="25"/>
      <c r="H1711" s="68"/>
      <c r="I1711" s="89"/>
      <c r="J1711" s="31" t="str">
        <f aca="false">IF(B1711="","",IFERROR(INDEX(PE_Taux,MATCH(B1711,PE_Mat,0)),0))</f>
        <v/>
      </c>
      <c r="K1711" s="31" t="str">
        <f aca="false">IF(B1711="","",IF(H1711="A",0,IFERROR(N(I1711)/P_Heures*J1711,0)))</f>
        <v/>
      </c>
      <c r="L1711" s="25"/>
    </row>
    <row r="1712" customFormat="false" ht="15" hidden="false" customHeight="false" outlineLevel="0" collapsed="false">
      <c r="A1712" s="69"/>
      <c r="B1712" s="68"/>
      <c r="C1712" s="76" t="str">
        <f aca="false">IF(B1712="","",IFERROR(INDEX(PE_Nom,MATCH(B1712,PE_Mat,0)),"Matricule inconnu"))</f>
        <v/>
      </c>
      <c r="D1712" s="76" t="str">
        <f aca="false">IF(B1712="","",IFERROR(INDEX(PE_Fonction,MATCH(B1712,PE_Mat,0)),""))</f>
        <v/>
      </c>
      <c r="E1712" s="76" t="str">
        <f aca="false">IF(B1712="","",IFERROR(INDEX(PE_Equipe,MATCH(B1712,PE_Mat,0)),""))</f>
        <v/>
      </c>
      <c r="F1712" s="25"/>
      <c r="G1712" s="25"/>
      <c r="H1712" s="68"/>
      <c r="I1712" s="89"/>
      <c r="J1712" s="31" t="str">
        <f aca="false">IF(B1712="","",IFERROR(INDEX(PE_Taux,MATCH(B1712,PE_Mat,0)),0))</f>
        <v/>
      </c>
      <c r="K1712" s="31" t="str">
        <f aca="false">IF(B1712="","",IF(H1712="A",0,IFERROR(N(I1712)/P_Heures*J1712,0)))</f>
        <v/>
      </c>
      <c r="L1712" s="25"/>
    </row>
    <row r="1713" customFormat="false" ht="15" hidden="false" customHeight="false" outlineLevel="0" collapsed="false">
      <c r="A1713" s="69"/>
      <c r="B1713" s="68"/>
      <c r="C1713" s="76" t="str">
        <f aca="false">IF(B1713="","",IFERROR(INDEX(PE_Nom,MATCH(B1713,PE_Mat,0)),"Matricule inconnu"))</f>
        <v/>
      </c>
      <c r="D1713" s="76" t="str">
        <f aca="false">IF(B1713="","",IFERROR(INDEX(PE_Fonction,MATCH(B1713,PE_Mat,0)),""))</f>
        <v/>
      </c>
      <c r="E1713" s="76" t="str">
        <f aca="false">IF(B1713="","",IFERROR(INDEX(PE_Equipe,MATCH(B1713,PE_Mat,0)),""))</f>
        <v/>
      </c>
      <c r="F1713" s="25"/>
      <c r="G1713" s="25"/>
      <c r="H1713" s="68"/>
      <c r="I1713" s="89"/>
      <c r="J1713" s="31" t="str">
        <f aca="false">IF(B1713="","",IFERROR(INDEX(PE_Taux,MATCH(B1713,PE_Mat,0)),0))</f>
        <v/>
      </c>
      <c r="K1713" s="31" t="str">
        <f aca="false">IF(B1713="","",IF(H1713="A",0,IFERROR(N(I1713)/P_Heures*J1713,0)))</f>
        <v/>
      </c>
      <c r="L1713" s="25"/>
    </row>
    <row r="1714" customFormat="false" ht="15" hidden="false" customHeight="false" outlineLevel="0" collapsed="false">
      <c r="A1714" s="69"/>
      <c r="B1714" s="68"/>
      <c r="C1714" s="76" t="str">
        <f aca="false">IF(B1714="","",IFERROR(INDEX(PE_Nom,MATCH(B1714,PE_Mat,0)),"Matricule inconnu"))</f>
        <v/>
      </c>
      <c r="D1714" s="76" t="str">
        <f aca="false">IF(B1714="","",IFERROR(INDEX(PE_Fonction,MATCH(B1714,PE_Mat,0)),""))</f>
        <v/>
      </c>
      <c r="E1714" s="76" t="str">
        <f aca="false">IF(B1714="","",IFERROR(INDEX(PE_Equipe,MATCH(B1714,PE_Mat,0)),""))</f>
        <v/>
      </c>
      <c r="F1714" s="25"/>
      <c r="G1714" s="25"/>
      <c r="H1714" s="68"/>
      <c r="I1714" s="89"/>
      <c r="J1714" s="31" t="str">
        <f aca="false">IF(B1714="","",IFERROR(INDEX(PE_Taux,MATCH(B1714,PE_Mat,0)),0))</f>
        <v/>
      </c>
      <c r="K1714" s="31" t="str">
        <f aca="false">IF(B1714="","",IF(H1714="A",0,IFERROR(N(I1714)/P_Heures*J1714,0)))</f>
        <v/>
      </c>
      <c r="L1714" s="25"/>
    </row>
    <row r="1715" customFormat="false" ht="15" hidden="false" customHeight="false" outlineLevel="0" collapsed="false">
      <c r="A1715" s="69"/>
      <c r="B1715" s="68"/>
      <c r="C1715" s="76" t="str">
        <f aca="false">IF(B1715="","",IFERROR(INDEX(PE_Nom,MATCH(B1715,PE_Mat,0)),"Matricule inconnu"))</f>
        <v/>
      </c>
      <c r="D1715" s="76" t="str">
        <f aca="false">IF(B1715="","",IFERROR(INDEX(PE_Fonction,MATCH(B1715,PE_Mat,0)),""))</f>
        <v/>
      </c>
      <c r="E1715" s="76" t="str">
        <f aca="false">IF(B1715="","",IFERROR(INDEX(PE_Equipe,MATCH(B1715,PE_Mat,0)),""))</f>
        <v/>
      </c>
      <c r="F1715" s="25"/>
      <c r="G1715" s="25"/>
      <c r="H1715" s="68"/>
      <c r="I1715" s="89"/>
      <c r="J1715" s="31" t="str">
        <f aca="false">IF(B1715="","",IFERROR(INDEX(PE_Taux,MATCH(B1715,PE_Mat,0)),0))</f>
        <v/>
      </c>
      <c r="K1715" s="31" t="str">
        <f aca="false">IF(B1715="","",IF(H1715="A",0,IFERROR(N(I1715)/P_Heures*J1715,0)))</f>
        <v/>
      </c>
      <c r="L1715" s="25"/>
    </row>
    <row r="1716" customFormat="false" ht="15" hidden="false" customHeight="false" outlineLevel="0" collapsed="false">
      <c r="A1716" s="69"/>
      <c r="B1716" s="68"/>
      <c r="C1716" s="76" t="str">
        <f aca="false">IF(B1716="","",IFERROR(INDEX(PE_Nom,MATCH(B1716,PE_Mat,0)),"Matricule inconnu"))</f>
        <v/>
      </c>
      <c r="D1716" s="76" t="str">
        <f aca="false">IF(B1716="","",IFERROR(INDEX(PE_Fonction,MATCH(B1716,PE_Mat,0)),""))</f>
        <v/>
      </c>
      <c r="E1716" s="76" t="str">
        <f aca="false">IF(B1716="","",IFERROR(INDEX(PE_Equipe,MATCH(B1716,PE_Mat,0)),""))</f>
        <v/>
      </c>
      <c r="F1716" s="25"/>
      <c r="G1716" s="25"/>
      <c r="H1716" s="68"/>
      <c r="I1716" s="89"/>
      <c r="J1716" s="31" t="str">
        <f aca="false">IF(B1716="","",IFERROR(INDEX(PE_Taux,MATCH(B1716,PE_Mat,0)),0))</f>
        <v/>
      </c>
      <c r="K1716" s="31" t="str">
        <f aca="false">IF(B1716="","",IF(H1716="A",0,IFERROR(N(I1716)/P_Heures*J1716,0)))</f>
        <v/>
      </c>
      <c r="L1716" s="25"/>
    </row>
    <row r="1717" customFormat="false" ht="15" hidden="false" customHeight="false" outlineLevel="0" collapsed="false">
      <c r="A1717" s="69"/>
      <c r="B1717" s="68"/>
      <c r="C1717" s="76" t="str">
        <f aca="false">IF(B1717="","",IFERROR(INDEX(PE_Nom,MATCH(B1717,PE_Mat,0)),"Matricule inconnu"))</f>
        <v/>
      </c>
      <c r="D1717" s="76" t="str">
        <f aca="false">IF(B1717="","",IFERROR(INDEX(PE_Fonction,MATCH(B1717,PE_Mat,0)),""))</f>
        <v/>
      </c>
      <c r="E1717" s="76" t="str">
        <f aca="false">IF(B1717="","",IFERROR(INDEX(PE_Equipe,MATCH(B1717,PE_Mat,0)),""))</f>
        <v/>
      </c>
      <c r="F1717" s="25"/>
      <c r="G1717" s="25"/>
      <c r="H1717" s="68"/>
      <c r="I1717" s="89"/>
      <c r="J1717" s="31" t="str">
        <f aca="false">IF(B1717="","",IFERROR(INDEX(PE_Taux,MATCH(B1717,PE_Mat,0)),0))</f>
        <v/>
      </c>
      <c r="K1717" s="31" t="str">
        <f aca="false">IF(B1717="","",IF(H1717="A",0,IFERROR(N(I1717)/P_Heures*J1717,0)))</f>
        <v/>
      </c>
      <c r="L1717" s="25"/>
    </row>
    <row r="1718" customFormat="false" ht="15" hidden="false" customHeight="false" outlineLevel="0" collapsed="false">
      <c r="A1718" s="69"/>
      <c r="B1718" s="68"/>
      <c r="C1718" s="76" t="str">
        <f aca="false">IF(B1718="","",IFERROR(INDEX(PE_Nom,MATCH(B1718,PE_Mat,0)),"Matricule inconnu"))</f>
        <v/>
      </c>
      <c r="D1718" s="76" t="str">
        <f aca="false">IF(B1718="","",IFERROR(INDEX(PE_Fonction,MATCH(B1718,PE_Mat,0)),""))</f>
        <v/>
      </c>
      <c r="E1718" s="76" t="str">
        <f aca="false">IF(B1718="","",IFERROR(INDEX(PE_Equipe,MATCH(B1718,PE_Mat,0)),""))</f>
        <v/>
      </c>
      <c r="F1718" s="25"/>
      <c r="G1718" s="25"/>
      <c r="H1718" s="68"/>
      <c r="I1718" s="89"/>
      <c r="J1718" s="31" t="str">
        <f aca="false">IF(B1718="","",IFERROR(INDEX(PE_Taux,MATCH(B1718,PE_Mat,0)),0))</f>
        <v/>
      </c>
      <c r="K1718" s="31" t="str">
        <f aca="false">IF(B1718="","",IF(H1718="A",0,IFERROR(N(I1718)/P_Heures*J1718,0)))</f>
        <v/>
      </c>
      <c r="L1718" s="25"/>
    </row>
    <row r="1719" customFormat="false" ht="15" hidden="false" customHeight="false" outlineLevel="0" collapsed="false">
      <c r="A1719" s="69"/>
      <c r="B1719" s="68"/>
      <c r="C1719" s="76" t="str">
        <f aca="false">IF(B1719="","",IFERROR(INDEX(PE_Nom,MATCH(B1719,PE_Mat,0)),"Matricule inconnu"))</f>
        <v/>
      </c>
      <c r="D1719" s="76" t="str">
        <f aca="false">IF(B1719="","",IFERROR(INDEX(PE_Fonction,MATCH(B1719,PE_Mat,0)),""))</f>
        <v/>
      </c>
      <c r="E1719" s="76" t="str">
        <f aca="false">IF(B1719="","",IFERROR(INDEX(PE_Equipe,MATCH(B1719,PE_Mat,0)),""))</f>
        <v/>
      </c>
      <c r="F1719" s="25"/>
      <c r="G1719" s="25"/>
      <c r="H1719" s="68"/>
      <c r="I1719" s="89"/>
      <c r="J1719" s="31" t="str">
        <f aca="false">IF(B1719="","",IFERROR(INDEX(PE_Taux,MATCH(B1719,PE_Mat,0)),0))</f>
        <v/>
      </c>
      <c r="K1719" s="31" t="str">
        <f aca="false">IF(B1719="","",IF(H1719="A",0,IFERROR(N(I1719)/P_Heures*J1719,0)))</f>
        <v/>
      </c>
      <c r="L1719" s="25"/>
    </row>
    <row r="1720" customFormat="false" ht="15" hidden="false" customHeight="false" outlineLevel="0" collapsed="false">
      <c r="A1720" s="69"/>
      <c r="B1720" s="68"/>
      <c r="C1720" s="76" t="str">
        <f aca="false">IF(B1720="","",IFERROR(INDEX(PE_Nom,MATCH(B1720,PE_Mat,0)),"Matricule inconnu"))</f>
        <v/>
      </c>
      <c r="D1720" s="76" t="str">
        <f aca="false">IF(B1720="","",IFERROR(INDEX(PE_Fonction,MATCH(B1720,PE_Mat,0)),""))</f>
        <v/>
      </c>
      <c r="E1720" s="76" t="str">
        <f aca="false">IF(B1720="","",IFERROR(INDEX(PE_Equipe,MATCH(B1720,PE_Mat,0)),""))</f>
        <v/>
      </c>
      <c r="F1720" s="25"/>
      <c r="G1720" s="25"/>
      <c r="H1720" s="68"/>
      <c r="I1720" s="89"/>
      <c r="J1720" s="31" t="str">
        <f aca="false">IF(B1720="","",IFERROR(INDEX(PE_Taux,MATCH(B1720,PE_Mat,0)),0))</f>
        <v/>
      </c>
      <c r="K1720" s="31" t="str">
        <f aca="false">IF(B1720="","",IF(H1720="A",0,IFERROR(N(I1720)/P_Heures*J1720,0)))</f>
        <v/>
      </c>
      <c r="L1720" s="25"/>
    </row>
    <row r="1721" customFormat="false" ht="15" hidden="false" customHeight="false" outlineLevel="0" collapsed="false">
      <c r="A1721" s="69"/>
      <c r="B1721" s="68"/>
      <c r="C1721" s="76" t="str">
        <f aca="false">IF(B1721="","",IFERROR(INDEX(PE_Nom,MATCH(B1721,PE_Mat,0)),"Matricule inconnu"))</f>
        <v/>
      </c>
      <c r="D1721" s="76" t="str">
        <f aca="false">IF(B1721="","",IFERROR(INDEX(PE_Fonction,MATCH(B1721,PE_Mat,0)),""))</f>
        <v/>
      </c>
      <c r="E1721" s="76" t="str">
        <f aca="false">IF(B1721="","",IFERROR(INDEX(PE_Equipe,MATCH(B1721,PE_Mat,0)),""))</f>
        <v/>
      </c>
      <c r="F1721" s="25"/>
      <c r="G1721" s="25"/>
      <c r="H1721" s="68"/>
      <c r="I1721" s="89"/>
      <c r="J1721" s="31" t="str">
        <f aca="false">IF(B1721="","",IFERROR(INDEX(PE_Taux,MATCH(B1721,PE_Mat,0)),0))</f>
        <v/>
      </c>
      <c r="K1721" s="31" t="str">
        <f aca="false">IF(B1721="","",IF(H1721="A",0,IFERROR(N(I1721)/P_Heures*J1721,0)))</f>
        <v/>
      </c>
      <c r="L1721" s="25"/>
    </row>
    <row r="1722" customFormat="false" ht="15" hidden="false" customHeight="false" outlineLevel="0" collapsed="false">
      <c r="A1722" s="69"/>
      <c r="B1722" s="68"/>
      <c r="C1722" s="76" t="str">
        <f aca="false">IF(B1722="","",IFERROR(INDEX(PE_Nom,MATCH(B1722,PE_Mat,0)),"Matricule inconnu"))</f>
        <v/>
      </c>
      <c r="D1722" s="76" t="str">
        <f aca="false">IF(B1722="","",IFERROR(INDEX(PE_Fonction,MATCH(B1722,PE_Mat,0)),""))</f>
        <v/>
      </c>
      <c r="E1722" s="76" t="str">
        <f aca="false">IF(B1722="","",IFERROR(INDEX(PE_Equipe,MATCH(B1722,PE_Mat,0)),""))</f>
        <v/>
      </c>
      <c r="F1722" s="25"/>
      <c r="G1722" s="25"/>
      <c r="H1722" s="68"/>
      <c r="I1722" s="89"/>
      <c r="J1722" s="31" t="str">
        <f aca="false">IF(B1722="","",IFERROR(INDEX(PE_Taux,MATCH(B1722,PE_Mat,0)),0))</f>
        <v/>
      </c>
      <c r="K1722" s="31" t="str">
        <f aca="false">IF(B1722="","",IF(H1722="A",0,IFERROR(N(I1722)/P_Heures*J1722,0)))</f>
        <v/>
      </c>
      <c r="L1722" s="25"/>
    </row>
    <row r="1723" customFormat="false" ht="15" hidden="false" customHeight="false" outlineLevel="0" collapsed="false">
      <c r="A1723" s="69"/>
      <c r="B1723" s="68"/>
      <c r="C1723" s="76" t="str">
        <f aca="false">IF(B1723="","",IFERROR(INDEX(PE_Nom,MATCH(B1723,PE_Mat,0)),"Matricule inconnu"))</f>
        <v/>
      </c>
      <c r="D1723" s="76" t="str">
        <f aca="false">IF(B1723="","",IFERROR(INDEX(PE_Fonction,MATCH(B1723,PE_Mat,0)),""))</f>
        <v/>
      </c>
      <c r="E1723" s="76" t="str">
        <f aca="false">IF(B1723="","",IFERROR(INDEX(PE_Equipe,MATCH(B1723,PE_Mat,0)),""))</f>
        <v/>
      </c>
      <c r="F1723" s="25"/>
      <c r="G1723" s="25"/>
      <c r="H1723" s="68"/>
      <c r="I1723" s="89"/>
      <c r="J1723" s="31" t="str">
        <f aca="false">IF(B1723="","",IFERROR(INDEX(PE_Taux,MATCH(B1723,PE_Mat,0)),0))</f>
        <v/>
      </c>
      <c r="K1723" s="31" t="str">
        <f aca="false">IF(B1723="","",IF(H1723="A",0,IFERROR(N(I1723)/P_Heures*J1723,0)))</f>
        <v/>
      </c>
      <c r="L1723" s="25"/>
    </row>
    <row r="1724" customFormat="false" ht="15" hidden="false" customHeight="false" outlineLevel="0" collapsed="false">
      <c r="A1724" s="69"/>
      <c r="B1724" s="68"/>
      <c r="C1724" s="76" t="str">
        <f aca="false">IF(B1724="","",IFERROR(INDEX(PE_Nom,MATCH(B1724,PE_Mat,0)),"Matricule inconnu"))</f>
        <v/>
      </c>
      <c r="D1724" s="76" t="str">
        <f aca="false">IF(B1724="","",IFERROR(INDEX(PE_Fonction,MATCH(B1724,PE_Mat,0)),""))</f>
        <v/>
      </c>
      <c r="E1724" s="76" t="str">
        <f aca="false">IF(B1724="","",IFERROR(INDEX(PE_Equipe,MATCH(B1724,PE_Mat,0)),""))</f>
        <v/>
      </c>
      <c r="F1724" s="25"/>
      <c r="G1724" s="25"/>
      <c r="H1724" s="68"/>
      <c r="I1724" s="89"/>
      <c r="J1724" s="31" t="str">
        <f aca="false">IF(B1724="","",IFERROR(INDEX(PE_Taux,MATCH(B1724,PE_Mat,0)),0))</f>
        <v/>
      </c>
      <c r="K1724" s="31" t="str">
        <f aca="false">IF(B1724="","",IF(H1724="A",0,IFERROR(N(I1724)/P_Heures*J1724,0)))</f>
        <v/>
      </c>
      <c r="L1724" s="25"/>
    </row>
    <row r="1725" customFormat="false" ht="15" hidden="false" customHeight="false" outlineLevel="0" collapsed="false">
      <c r="A1725" s="69"/>
      <c r="B1725" s="68"/>
      <c r="C1725" s="76" t="str">
        <f aca="false">IF(B1725="","",IFERROR(INDEX(PE_Nom,MATCH(B1725,PE_Mat,0)),"Matricule inconnu"))</f>
        <v/>
      </c>
      <c r="D1725" s="76" t="str">
        <f aca="false">IF(B1725="","",IFERROR(INDEX(PE_Fonction,MATCH(B1725,PE_Mat,0)),""))</f>
        <v/>
      </c>
      <c r="E1725" s="76" t="str">
        <f aca="false">IF(B1725="","",IFERROR(INDEX(PE_Equipe,MATCH(B1725,PE_Mat,0)),""))</f>
        <v/>
      </c>
      <c r="F1725" s="25"/>
      <c r="G1725" s="25"/>
      <c r="H1725" s="68"/>
      <c r="I1725" s="89"/>
      <c r="J1725" s="31" t="str">
        <f aca="false">IF(B1725="","",IFERROR(INDEX(PE_Taux,MATCH(B1725,PE_Mat,0)),0))</f>
        <v/>
      </c>
      <c r="K1725" s="31" t="str">
        <f aca="false">IF(B1725="","",IF(H1725="A",0,IFERROR(N(I1725)/P_Heures*J1725,0)))</f>
        <v/>
      </c>
      <c r="L1725" s="25"/>
    </row>
    <row r="1726" customFormat="false" ht="15" hidden="false" customHeight="false" outlineLevel="0" collapsed="false">
      <c r="A1726" s="69"/>
      <c r="B1726" s="68"/>
      <c r="C1726" s="76" t="str">
        <f aca="false">IF(B1726="","",IFERROR(INDEX(PE_Nom,MATCH(B1726,PE_Mat,0)),"Matricule inconnu"))</f>
        <v/>
      </c>
      <c r="D1726" s="76" t="str">
        <f aca="false">IF(B1726="","",IFERROR(INDEX(PE_Fonction,MATCH(B1726,PE_Mat,0)),""))</f>
        <v/>
      </c>
      <c r="E1726" s="76" t="str">
        <f aca="false">IF(B1726="","",IFERROR(INDEX(PE_Equipe,MATCH(B1726,PE_Mat,0)),""))</f>
        <v/>
      </c>
      <c r="F1726" s="25"/>
      <c r="G1726" s="25"/>
      <c r="H1726" s="68"/>
      <c r="I1726" s="89"/>
      <c r="J1726" s="31" t="str">
        <f aca="false">IF(B1726="","",IFERROR(INDEX(PE_Taux,MATCH(B1726,PE_Mat,0)),0))</f>
        <v/>
      </c>
      <c r="K1726" s="31" t="str">
        <f aca="false">IF(B1726="","",IF(H1726="A",0,IFERROR(N(I1726)/P_Heures*J1726,0)))</f>
        <v/>
      </c>
      <c r="L1726" s="25"/>
    </row>
    <row r="1727" customFormat="false" ht="15" hidden="false" customHeight="false" outlineLevel="0" collapsed="false">
      <c r="A1727" s="69"/>
      <c r="B1727" s="68"/>
      <c r="C1727" s="76" t="str">
        <f aca="false">IF(B1727="","",IFERROR(INDEX(PE_Nom,MATCH(B1727,PE_Mat,0)),"Matricule inconnu"))</f>
        <v/>
      </c>
      <c r="D1727" s="76" t="str">
        <f aca="false">IF(B1727="","",IFERROR(INDEX(PE_Fonction,MATCH(B1727,PE_Mat,0)),""))</f>
        <v/>
      </c>
      <c r="E1727" s="76" t="str">
        <f aca="false">IF(B1727="","",IFERROR(INDEX(PE_Equipe,MATCH(B1727,PE_Mat,0)),""))</f>
        <v/>
      </c>
      <c r="F1727" s="25"/>
      <c r="G1727" s="25"/>
      <c r="H1727" s="68"/>
      <c r="I1727" s="89"/>
      <c r="J1727" s="31" t="str">
        <f aca="false">IF(B1727="","",IFERROR(INDEX(PE_Taux,MATCH(B1727,PE_Mat,0)),0))</f>
        <v/>
      </c>
      <c r="K1727" s="31" t="str">
        <f aca="false">IF(B1727="","",IF(H1727="A",0,IFERROR(N(I1727)/P_Heures*J1727,0)))</f>
        <v/>
      </c>
      <c r="L1727" s="25"/>
    </row>
    <row r="1728" customFormat="false" ht="15" hidden="false" customHeight="false" outlineLevel="0" collapsed="false">
      <c r="A1728" s="69"/>
      <c r="B1728" s="68"/>
      <c r="C1728" s="76" t="str">
        <f aca="false">IF(B1728="","",IFERROR(INDEX(PE_Nom,MATCH(B1728,PE_Mat,0)),"Matricule inconnu"))</f>
        <v/>
      </c>
      <c r="D1728" s="76" t="str">
        <f aca="false">IF(B1728="","",IFERROR(INDEX(PE_Fonction,MATCH(B1728,PE_Mat,0)),""))</f>
        <v/>
      </c>
      <c r="E1728" s="76" t="str">
        <f aca="false">IF(B1728="","",IFERROR(INDEX(PE_Equipe,MATCH(B1728,PE_Mat,0)),""))</f>
        <v/>
      </c>
      <c r="F1728" s="25"/>
      <c r="G1728" s="25"/>
      <c r="H1728" s="68"/>
      <c r="I1728" s="89"/>
      <c r="J1728" s="31" t="str">
        <f aca="false">IF(B1728="","",IFERROR(INDEX(PE_Taux,MATCH(B1728,PE_Mat,0)),0))</f>
        <v/>
      </c>
      <c r="K1728" s="31" t="str">
        <f aca="false">IF(B1728="","",IF(H1728="A",0,IFERROR(N(I1728)/P_Heures*J1728,0)))</f>
        <v/>
      </c>
      <c r="L1728" s="25"/>
    </row>
    <row r="1729" customFormat="false" ht="15" hidden="false" customHeight="false" outlineLevel="0" collapsed="false">
      <c r="A1729" s="69"/>
      <c r="B1729" s="68"/>
      <c r="C1729" s="76" t="str">
        <f aca="false">IF(B1729="","",IFERROR(INDEX(PE_Nom,MATCH(B1729,PE_Mat,0)),"Matricule inconnu"))</f>
        <v/>
      </c>
      <c r="D1729" s="76" t="str">
        <f aca="false">IF(B1729="","",IFERROR(INDEX(PE_Fonction,MATCH(B1729,PE_Mat,0)),""))</f>
        <v/>
      </c>
      <c r="E1729" s="76" t="str">
        <f aca="false">IF(B1729="","",IFERROR(INDEX(PE_Equipe,MATCH(B1729,PE_Mat,0)),""))</f>
        <v/>
      </c>
      <c r="F1729" s="25"/>
      <c r="G1729" s="25"/>
      <c r="H1729" s="68"/>
      <c r="I1729" s="89"/>
      <c r="J1729" s="31" t="str">
        <f aca="false">IF(B1729="","",IFERROR(INDEX(PE_Taux,MATCH(B1729,PE_Mat,0)),0))</f>
        <v/>
      </c>
      <c r="K1729" s="31" t="str">
        <f aca="false">IF(B1729="","",IF(H1729="A",0,IFERROR(N(I1729)/P_Heures*J1729,0)))</f>
        <v/>
      </c>
      <c r="L1729" s="25"/>
    </row>
    <row r="1730" customFormat="false" ht="15" hidden="false" customHeight="false" outlineLevel="0" collapsed="false">
      <c r="A1730" s="69"/>
      <c r="B1730" s="68"/>
      <c r="C1730" s="76" t="str">
        <f aca="false">IF(B1730="","",IFERROR(INDEX(PE_Nom,MATCH(B1730,PE_Mat,0)),"Matricule inconnu"))</f>
        <v/>
      </c>
      <c r="D1730" s="76" t="str">
        <f aca="false">IF(B1730="","",IFERROR(INDEX(PE_Fonction,MATCH(B1730,PE_Mat,0)),""))</f>
        <v/>
      </c>
      <c r="E1730" s="76" t="str">
        <f aca="false">IF(B1730="","",IFERROR(INDEX(PE_Equipe,MATCH(B1730,PE_Mat,0)),""))</f>
        <v/>
      </c>
      <c r="F1730" s="25"/>
      <c r="G1730" s="25"/>
      <c r="H1730" s="68"/>
      <c r="I1730" s="89"/>
      <c r="J1730" s="31" t="str">
        <f aca="false">IF(B1730="","",IFERROR(INDEX(PE_Taux,MATCH(B1730,PE_Mat,0)),0))</f>
        <v/>
      </c>
      <c r="K1730" s="31" t="str">
        <f aca="false">IF(B1730="","",IF(H1730="A",0,IFERROR(N(I1730)/P_Heures*J1730,0)))</f>
        <v/>
      </c>
      <c r="L1730" s="25"/>
    </row>
    <row r="1731" customFormat="false" ht="15" hidden="false" customHeight="false" outlineLevel="0" collapsed="false">
      <c r="A1731" s="69"/>
      <c r="B1731" s="68"/>
      <c r="C1731" s="76" t="str">
        <f aca="false">IF(B1731="","",IFERROR(INDEX(PE_Nom,MATCH(B1731,PE_Mat,0)),"Matricule inconnu"))</f>
        <v/>
      </c>
      <c r="D1731" s="76" t="str">
        <f aca="false">IF(B1731="","",IFERROR(INDEX(PE_Fonction,MATCH(B1731,PE_Mat,0)),""))</f>
        <v/>
      </c>
      <c r="E1731" s="76" t="str">
        <f aca="false">IF(B1731="","",IFERROR(INDEX(PE_Equipe,MATCH(B1731,PE_Mat,0)),""))</f>
        <v/>
      </c>
      <c r="F1731" s="25"/>
      <c r="G1731" s="25"/>
      <c r="H1731" s="68"/>
      <c r="I1731" s="89"/>
      <c r="J1731" s="31" t="str">
        <f aca="false">IF(B1731="","",IFERROR(INDEX(PE_Taux,MATCH(B1731,PE_Mat,0)),0))</f>
        <v/>
      </c>
      <c r="K1731" s="31" t="str">
        <f aca="false">IF(B1731="","",IF(H1731="A",0,IFERROR(N(I1731)/P_Heures*J1731,0)))</f>
        <v/>
      </c>
      <c r="L1731" s="25"/>
    </row>
    <row r="1732" customFormat="false" ht="15" hidden="false" customHeight="false" outlineLevel="0" collapsed="false">
      <c r="A1732" s="69"/>
      <c r="B1732" s="68"/>
      <c r="C1732" s="76" t="str">
        <f aca="false">IF(B1732="","",IFERROR(INDEX(PE_Nom,MATCH(B1732,PE_Mat,0)),"Matricule inconnu"))</f>
        <v/>
      </c>
      <c r="D1732" s="76" t="str">
        <f aca="false">IF(B1732="","",IFERROR(INDEX(PE_Fonction,MATCH(B1732,PE_Mat,0)),""))</f>
        <v/>
      </c>
      <c r="E1732" s="76" t="str">
        <f aca="false">IF(B1732="","",IFERROR(INDEX(PE_Equipe,MATCH(B1732,PE_Mat,0)),""))</f>
        <v/>
      </c>
      <c r="F1732" s="25"/>
      <c r="G1732" s="25"/>
      <c r="H1732" s="68"/>
      <c r="I1732" s="89"/>
      <c r="J1732" s="31" t="str">
        <f aca="false">IF(B1732="","",IFERROR(INDEX(PE_Taux,MATCH(B1732,PE_Mat,0)),0))</f>
        <v/>
      </c>
      <c r="K1732" s="31" t="str">
        <f aca="false">IF(B1732="","",IF(H1732="A",0,IFERROR(N(I1732)/P_Heures*J1732,0)))</f>
        <v/>
      </c>
      <c r="L1732" s="25"/>
    </row>
    <row r="1733" customFormat="false" ht="15" hidden="false" customHeight="false" outlineLevel="0" collapsed="false">
      <c r="A1733" s="69"/>
      <c r="B1733" s="68"/>
      <c r="C1733" s="76" t="str">
        <f aca="false">IF(B1733="","",IFERROR(INDEX(PE_Nom,MATCH(B1733,PE_Mat,0)),"Matricule inconnu"))</f>
        <v/>
      </c>
      <c r="D1733" s="76" t="str">
        <f aca="false">IF(B1733="","",IFERROR(INDEX(PE_Fonction,MATCH(B1733,PE_Mat,0)),""))</f>
        <v/>
      </c>
      <c r="E1733" s="76" t="str">
        <f aca="false">IF(B1733="","",IFERROR(INDEX(PE_Equipe,MATCH(B1733,PE_Mat,0)),""))</f>
        <v/>
      </c>
      <c r="F1733" s="25"/>
      <c r="G1733" s="25"/>
      <c r="H1733" s="68"/>
      <c r="I1733" s="89"/>
      <c r="J1733" s="31" t="str">
        <f aca="false">IF(B1733="","",IFERROR(INDEX(PE_Taux,MATCH(B1733,PE_Mat,0)),0))</f>
        <v/>
      </c>
      <c r="K1733" s="31" t="str">
        <f aca="false">IF(B1733="","",IF(H1733="A",0,IFERROR(N(I1733)/P_Heures*J1733,0)))</f>
        <v/>
      </c>
      <c r="L1733" s="25"/>
    </row>
    <row r="1734" customFormat="false" ht="15" hidden="false" customHeight="false" outlineLevel="0" collapsed="false">
      <c r="A1734" s="69"/>
      <c r="B1734" s="68"/>
      <c r="C1734" s="76" t="str">
        <f aca="false">IF(B1734="","",IFERROR(INDEX(PE_Nom,MATCH(B1734,PE_Mat,0)),"Matricule inconnu"))</f>
        <v/>
      </c>
      <c r="D1734" s="76" t="str">
        <f aca="false">IF(B1734="","",IFERROR(INDEX(PE_Fonction,MATCH(B1734,PE_Mat,0)),""))</f>
        <v/>
      </c>
      <c r="E1734" s="76" t="str">
        <f aca="false">IF(B1734="","",IFERROR(INDEX(PE_Equipe,MATCH(B1734,PE_Mat,0)),""))</f>
        <v/>
      </c>
      <c r="F1734" s="25"/>
      <c r="G1734" s="25"/>
      <c r="H1734" s="68"/>
      <c r="I1734" s="89"/>
      <c r="J1734" s="31" t="str">
        <f aca="false">IF(B1734="","",IFERROR(INDEX(PE_Taux,MATCH(B1734,PE_Mat,0)),0))</f>
        <v/>
      </c>
      <c r="K1734" s="31" t="str">
        <f aca="false">IF(B1734="","",IF(H1734="A",0,IFERROR(N(I1734)/P_Heures*J1734,0)))</f>
        <v/>
      </c>
      <c r="L1734" s="25"/>
    </row>
    <row r="1735" customFormat="false" ht="15" hidden="false" customHeight="false" outlineLevel="0" collapsed="false">
      <c r="A1735" s="69"/>
      <c r="B1735" s="68"/>
      <c r="C1735" s="76" t="str">
        <f aca="false">IF(B1735="","",IFERROR(INDEX(PE_Nom,MATCH(B1735,PE_Mat,0)),"Matricule inconnu"))</f>
        <v/>
      </c>
      <c r="D1735" s="76" t="str">
        <f aca="false">IF(B1735="","",IFERROR(INDEX(PE_Fonction,MATCH(B1735,PE_Mat,0)),""))</f>
        <v/>
      </c>
      <c r="E1735" s="76" t="str">
        <f aca="false">IF(B1735="","",IFERROR(INDEX(PE_Equipe,MATCH(B1735,PE_Mat,0)),""))</f>
        <v/>
      </c>
      <c r="F1735" s="25"/>
      <c r="G1735" s="25"/>
      <c r="H1735" s="68"/>
      <c r="I1735" s="89"/>
      <c r="J1735" s="31" t="str">
        <f aca="false">IF(B1735="","",IFERROR(INDEX(PE_Taux,MATCH(B1735,PE_Mat,0)),0))</f>
        <v/>
      </c>
      <c r="K1735" s="31" t="str">
        <f aca="false">IF(B1735="","",IF(H1735="A",0,IFERROR(N(I1735)/P_Heures*J1735,0)))</f>
        <v/>
      </c>
      <c r="L1735" s="25"/>
    </row>
    <row r="1736" customFormat="false" ht="15" hidden="false" customHeight="false" outlineLevel="0" collapsed="false">
      <c r="A1736" s="69"/>
      <c r="B1736" s="68"/>
      <c r="C1736" s="76" t="str">
        <f aca="false">IF(B1736="","",IFERROR(INDEX(PE_Nom,MATCH(B1736,PE_Mat,0)),"Matricule inconnu"))</f>
        <v/>
      </c>
      <c r="D1736" s="76" t="str">
        <f aca="false">IF(B1736="","",IFERROR(INDEX(PE_Fonction,MATCH(B1736,PE_Mat,0)),""))</f>
        <v/>
      </c>
      <c r="E1736" s="76" t="str">
        <f aca="false">IF(B1736="","",IFERROR(INDEX(PE_Equipe,MATCH(B1736,PE_Mat,0)),""))</f>
        <v/>
      </c>
      <c r="F1736" s="25"/>
      <c r="G1736" s="25"/>
      <c r="H1736" s="68"/>
      <c r="I1736" s="89"/>
      <c r="J1736" s="31" t="str">
        <f aca="false">IF(B1736="","",IFERROR(INDEX(PE_Taux,MATCH(B1736,PE_Mat,0)),0))</f>
        <v/>
      </c>
      <c r="K1736" s="31" t="str">
        <f aca="false">IF(B1736="","",IF(H1736="A",0,IFERROR(N(I1736)/P_Heures*J1736,0)))</f>
        <v/>
      </c>
      <c r="L1736" s="25"/>
    </row>
    <row r="1737" customFormat="false" ht="15" hidden="false" customHeight="false" outlineLevel="0" collapsed="false">
      <c r="A1737" s="69"/>
      <c r="B1737" s="68"/>
      <c r="C1737" s="76" t="str">
        <f aca="false">IF(B1737="","",IFERROR(INDEX(PE_Nom,MATCH(B1737,PE_Mat,0)),"Matricule inconnu"))</f>
        <v/>
      </c>
      <c r="D1737" s="76" t="str">
        <f aca="false">IF(B1737="","",IFERROR(INDEX(PE_Fonction,MATCH(B1737,PE_Mat,0)),""))</f>
        <v/>
      </c>
      <c r="E1737" s="76" t="str">
        <f aca="false">IF(B1737="","",IFERROR(INDEX(PE_Equipe,MATCH(B1737,PE_Mat,0)),""))</f>
        <v/>
      </c>
      <c r="F1737" s="25"/>
      <c r="G1737" s="25"/>
      <c r="H1737" s="68"/>
      <c r="I1737" s="89"/>
      <c r="J1737" s="31" t="str">
        <f aca="false">IF(B1737="","",IFERROR(INDEX(PE_Taux,MATCH(B1737,PE_Mat,0)),0))</f>
        <v/>
      </c>
      <c r="K1737" s="31" t="str">
        <f aca="false">IF(B1737="","",IF(H1737="A",0,IFERROR(N(I1737)/P_Heures*J1737,0)))</f>
        <v/>
      </c>
      <c r="L1737" s="25"/>
    </row>
    <row r="1738" customFormat="false" ht="15" hidden="false" customHeight="false" outlineLevel="0" collapsed="false">
      <c r="A1738" s="69"/>
      <c r="B1738" s="68"/>
      <c r="C1738" s="76" t="str">
        <f aca="false">IF(B1738="","",IFERROR(INDEX(PE_Nom,MATCH(B1738,PE_Mat,0)),"Matricule inconnu"))</f>
        <v/>
      </c>
      <c r="D1738" s="76" t="str">
        <f aca="false">IF(B1738="","",IFERROR(INDEX(PE_Fonction,MATCH(B1738,PE_Mat,0)),""))</f>
        <v/>
      </c>
      <c r="E1738" s="76" t="str">
        <f aca="false">IF(B1738="","",IFERROR(INDEX(PE_Equipe,MATCH(B1738,PE_Mat,0)),""))</f>
        <v/>
      </c>
      <c r="F1738" s="25"/>
      <c r="G1738" s="25"/>
      <c r="H1738" s="68"/>
      <c r="I1738" s="89"/>
      <c r="J1738" s="31" t="str">
        <f aca="false">IF(B1738="","",IFERROR(INDEX(PE_Taux,MATCH(B1738,PE_Mat,0)),0))</f>
        <v/>
      </c>
      <c r="K1738" s="31" t="str">
        <f aca="false">IF(B1738="","",IF(H1738="A",0,IFERROR(N(I1738)/P_Heures*J1738,0)))</f>
        <v/>
      </c>
      <c r="L1738" s="25"/>
    </row>
    <row r="1739" customFormat="false" ht="15" hidden="false" customHeight="false" outlineLevel="0" collapsed="false">
      <c r="A1739" s="69"/>
      <c r="B1739" s="68"/>
      <c r="C1739" s="76" t="str">
        <f aca="false">IF(B1739="","",IFERROR(INDEX(PE_Nom,MATCH(B1739,PE_Mat,0)),"Matricule inconnu"))</f>
        <v/>
      </c>
      <c r="D1739" s="76" t="str">
        <f aca="false">IF(B1739="","",IFERROR(INDEX(PE_Fonction,MATCH(B1739,PE_Mat,0)),""))</f>
        <v/>
      </c>
      <c r="E1739" s="76" t="str">
        <f aca="false">IF(B1739="","",IFERROR(INDEX(PE_Equipe,MATCH(B1739,PE_Mat,0)),""))</f>
        <v/>
      </c>
      <c r="F1739" s="25"/>
      <c r="G1739" s="25"/>
      <c r="H1739" s="68"/>
      <c r="I1739" s="89"/>
      <c r="J1739" s="31" t="str">
        <f aca="false">IF(B1739="","",IFERROR(INDEX(PE_Taux,MATCH(B1739,PE_Mat,0)),0))</f>
        <v/>
      </c>
      <c r="K1739" s="31" t="str">
        <f aca="false">IF(B1739="","",IF(H1739="A",0,IFERROR(N(I1739)/P_Heures*J1739,0)))</f>
        <v/>
      </c>
      <c r="L1739" s="25"/>
    </row>
    <row r="1740" customFormat="false" ht="15" hidden="false" customHeight="false" outlineLevel="0" collapsed="false">
      <c r="A1740" s="69"/>
      <c r="B1740" s="68"/>
      <c r="C1740" s="76" t="str">
        <f aca="false">IF(B1740="","",IFERROR(INDEX(PE_Nom,MATCH(B1740,PE_Mat,0)),"Matricule inconnu"))</f>
        <v/>
      </c>
      <c r="D1740" s="76" t="str">
        <f aca="false">IF(B1740="","",IFERROR(INDEX(PE_Fonction,MATCH(B1740,PE_Mat,0)),""))</f>
        <v/>
      </c>
      <c r="E1740" s="76" t="str">
        <f aca="false">IF(B1740="","",IFERROR(INDEX(PE_Equipe,MATCH(B1740,PE_Mat,0)),""))</f>
        <v/>
      </c>
      <c r="F1740" s="25"/>
      <c r="G1740" s="25"/>
      <c r="H1740" s="68"/>
      <c r="I1740" s="89"/>
      <c r="J1740" s="31" t="str">
        <f aca="false">IF(B1740="","",IFERROR(INDEX(PE_Taux,MATCH(B1740,PE_Mat,0)),0))</f>
        <v/>
      </c>
      <c r="K1740" s="31" t="str">
        <f aca="false">IF(B1740="","",IF(H1740="A",0,IFERROR(N(I1740)/P_Heures*J1740,0)))</f>
        <v/>
      </c>
      <c r="L1740" s="25"/>
    </row>
    <row r="1741" customFormat="false" ht="15" hidden="false" customHeight="false" outlineLevel="0" collapsed="false">
      <c r="A1741" s="69"/>
      <c r="B1741" s="68"/>
      <c r="C1741" s="76" t="str">
        <f aca="false">IF(B1741="","",IFERROR(INDEX(PE_Nom,MATCH(B1741,PE_Mat,0)),"Matricule inconnu"))</f>
        <v/>
      </c>
      <c r="D1741" s="76" t="str">
        <f aca="false">IF(B1741="","",IFERROR(INDEX(PE_Fonction,MATCH(B1741,PE_Mat,0)),""))</f>
        <v/>
      </c>
      <c r="E1741" s="76" t="str">
        <f aca="false">IF(B1741="","",IFERROR(INDEX(PE_Equipe,MATCH(B1741,PE_Mat,0)),""))</f>
        <v/>
      </c>
      <c r="F1741" s="25"/>
      <c r="G1741" s="25"/>
      <c r="H1741" s="68"/>
      <c r="I1741" s="89"/>
      <c r="J1741" s="31" t="str">
        <f aca="false">IF(B1741="","",IFERROR(INDEX(PE_Taux,MATCH(B1741,PE_Mat,0)),0))</f>
        <v/>
      </c>
      <c r="K1741" s="31" t="str">
        <f aca="false">IF(B1741="","",IF(H1741="A",0,IFERROR(N(I1741)/P_Heures*J1741,0)))</f>
        <v/>
      </c>
      <c r="L1741" s="25"/>
    </row>
    <row r="1742" customFormat="false" ht="15" hidden="false" customHeight="false" outlineLevel="0" collapsed="false">
      <c r="A1742" s="69"/>
      <c r="B1742" s="68"/>
      <c r="C1742" s="76" t="str">
        <f aca="false">IF(B1742="","",IFERROR(INDEX(PE_Nom,MATCH(B1742,PE_Mat,0)),"Matricule inconnu"))</f>
        <v/>
      </c>
      <c r="D1742" s="76" t="str">
        <f aca="false">IF(B1742="","",IFERROR(INDEX(PE_Fonction,MATCH(B1742,PE_Mat,0)),""))</f>
        <v/>
      </c>
      <c r="E1742" s="76" t="str">
        <f aca="false">IF(B1742="","",IFERROR(INDEX(PE_Equipe,MATCH(B1742,PE_Mat,0)),""))</f>
        <v/>
      </c>
      <c r="F1742" s="25"/>
      <c r="G1742" s="25"/>
      <c r="H1742" s="68"/>
      <c r="I1742" s="89"/>
      <c r="J1742" s="31" t="str">
        <f aca="false">IF(B1742="","",IFERROR(INDEX(PE_Taux,MATCH(B1742,PE_Mat,0)),0))</f>
        <v/>
      </c>
      <c r="K1742" s="31" t="str">
        <f aca="false">IF(B1742="","",IF(H1742="A",0,IFERROR(N(I1742)/P_Heures*J1742,0)))</f>
        <v/>
      </c>
      <c r="L1742" s="25"/>
    </row>
    <row r="1743" customFormat="false" ht="15" hidden="false" customHeight="false" outlineLevel="0" collapsed="false">
      <c r="A1743" s="69"/>
      <c r="B1743" s="68"/>
      <c r="C1743" s="76" t="str">
        <f aca="false">IF(B1743="","",IFERROR(INDEX(PE_Nom,MATCH(B1743,PE_Mat,0)),"Matricule inconnu"))</f>
        <v/>
      </c>
      <c r="D1743" s="76" t="str">
        <f aca="false">IF(B1743="","",IFERROR(INDEX(PE_Fonction,MATCH(B1743,PE_Mat,0)),""))</f>
        <v/>
      </c>
      <c r="E1743" s="76" t="str">
        <f aca="false">IF(B1743="","",IFERROR(INDEX(PE_Equipe,MATCH(B1743,PE_Mat,0)),""))</f>
        <v/>
      </c>
      <c r="F1743" s="25"/>
      <c r="G1743" s="25"/>
      <c r="H1743" s="68"/>
      <c r="I1743" s="89"/>
      <c r="J1743" s="31" t="str">
        <f aca="false">IF(B1743="","",IFERROR(INDEX(PE_Taux,MATCH(B1743,PE_Mat,0)),0))</f>
        <v/>
      </c>
      <c r="K1743" s="31" t="str">
        <f aca="false">IF(B1743="","",IF(H1743="A",0,IFERROR(N(I1743)/P_Heures*J1743,0)))</f>
        <v/>
      </c>
      <c r="L1743" s="25"/>
    </row>
    <row r="1744" customFormat="false" ht="15" hidden="false" customHeight="false" outlineLevel="0" collapsed="false">
      <c r="A1744" s="69"/>
      <c r="B1744" s="68"/>
      <c r="C1744" s="76" t="str">
        <f aca="false">IF(B1744="","",IFERROR(INDEX(PE_Nom,MATCH(B1744,PE_Mat,0)),"Matricule inconnu"))</f>
        <v/>
      </c>
      <c r="D1744" s="76" t="str">
        <f aca="false">IF(B1744="","",IFERROR(INDEX(PE_Fonction,MATCH(B1744,PE_Mat,0)),""))</f>
        <v/>
      </c>
      <c r="E1744" s="76" t="str">
        <f aca="false">IF(B1744="","",IFERROR(INDEX(PE_Equipe,MATCH(B1744,PE_Mat,0)),""))</f>
        <v/>
      </c>
      <c r="F1744" s="25"/>
      <c r="G1744" s="25"/>
      <c r="H1744" s="68"/>
      <c r="I1744" s="89"/>
      <c r="J1744" s="31" t="str">
        <f aca="false">IF(B1744="","",IFERROR(INDEX(PE_Taux,MATCH(B1744,PE_Mat,0)),0))</f>
        <v/>
      </c>
      <c r="K1744" s="31" t="str">
        <f aca="false">IF(B1744="","",IF(H1744="A",0,IFERROR(N(I1744)/P_Heures*J1744,0)))</f>
        <v/>
      </c>
      <c r="L1744" s="25"/>
    </row>
    <row r="1745" customFormat="false" ht="15" hidden="false" customHeight="false" outlineLevel="0" collapsed="false">
      <c r="A1745" s="69"/>
      <c r="B1745" s="68"/>
      <c r="C1745" s="76" t="str">
        <f aca="false">IF(B1745="","",IFERROR(INDEX(PE_Nom,MATCH(B1745,PE_Mat,0)),"Matricule inconnu"))</f>
        <v/>
      </c>
      <c r="D1745" s="76" t="str">
        <f aca="false">IF(B1745="","",IFERROR(INDEX(PE_Fonction,MATCH(B1745,PE_Mat,0)),""))</f>
        <v/>
      </c>
      <c r="E1745" s="76" t="str">
        <f aca="false">IF(B1745="","",IFERROR(INDEX(PE_Equipe,MATCH(B1745,PE_Mat,0)),""))</f>
        <v/>
      </c>
      <c r="F1745" s="25"/>
      <c r="G1745" s="25"/>
      <c r="H1745" s="68"/>
      <c r="I1745" s="89"/>
      <c r="J1745" s="31" t="str">
        <f aca="false">IF(B1745="","",IFERROR(INDEX(PE_Taux,MATCH(B1745,PE_Mat,0)),0))</f>
        <v/>
      </c>
      <c r="K1745" s="31" t="str">
        <f aca="false">IF(B1745="","",IF(H1745="A",0,IFERROR(N(I1745)/P_Heures*J1745,0)))</f>
        <v/>
      </c>
      <c r="L1745" s="25"/>
    </row>
    <row r="1746" customFormat="false" ht="15" hidden="false" customHeight="false" outlineLevel="0" collapsed="false">
      <c r="A1746" s="69"/>
      <c r="B1746" s="68"/>
      <c r="C1746" s="76" t="str">
        <f aca="false">IF(B1746="","",IFERROR(INDEX(PE_Nom,MATCH(B1746,PE_Mat,0)),"Matricule inconnu"))</f>
        <v/>
      </c>
      <c r="D1746" s="76" t="str">
        <f aca="false">IF(B1746="","",IFERROR(INDEX(PE_Fonction,MATCH(B1746,PE_Mat,0)),""))</f>
        <v/>
      </c>
      <c r="E1746" s="76" t="str">
        <f aca="false">IF(B1746="","",IFERROR(INDEX(PE_Equipe,MATCH(B1746,PE_Mat,0)),""))</f>
        <v/>
      </c>
      <c r="F1746" s="25"/>
      <c r="G1746" s="25"/>
      <c r="H1746" s="68"/>
      <c r="I1746" s="89"/>
      <c r="J1746" s="31" t="str">
        <f aca="false">IF(B1746="","",IFERROR(INDEX(PE_Taux,MATCH(B1746,PE_Mat,0)),0))</f>
        <v/>
      </c>
      <c r="K1746" s="31" t="str">
        <f aca="false">IF(B1746="","",IF(H1746="A",0,IFERROR(N(I1746)/P_Heures*J1746,0)))</f>
        <v/>
      </c>
      <c r="L1746" s="25"/>
    </row>
    <row r="1747" customFormat="false" ht="15" hidden="false" customHeight="false" outlineLevel="0" collapsed="false">
      <c r="A1747" s="69"/>
      <c r="B1747" s="68"/>
      <c r="C1747" s="76" t="str">
        <f aca="false">IF(B1747="","",IFERROR(INDEX(PE_Nom,MATCH(B1747,PE_Mat,0)),"Matricule inconnu"))</f>
        <v/>
      </c>
      <c r="D1747" s="76" t="str">
        <f aca="false">IF(B1747="","",IFERROR(INDEX(PE_Fonction,MATCH(B1747,PE_Mat,0)),""))</f>
        <v/>
      </c>
      <c r="E1747" s="76" t="str">
        <f aca="false">IF(B1747="","",IFERROR(INDEX(PE_Equipe,MATCH(B1747,PE_Mat,0)),""))</f>
        <v/>
      </c>
      <c r="F1747" s="25"/>
      <c r="G1747" s="25"/>
      <c r="H1747" s="68"/>
      <c r="I1747" s="89"/>
      <c r="J1747" s="31" t="str">
        <f aca="false">IF(B1747="","",IFERROR(INDEX(PE_Taux,MATCH(B1747,PE_Mat,0)),0))</f>
        <v/>
      </c>
      <c r="K1747" s="31" t="str">
        <f aca="false">IF(B1747="","",IF(H1747="A",0,IFERROR(N(I1747)/P_Heures*J1747,0)))</f>
        <v/>
      </c>
      <c r="L1747" s="25"/>
    </row>
    <row r="1748" customFormat="false" ht="15" hidden="false" customHeight="false" outlineLevel="0" collapsed="false">
      <c r="A1748" s="69"/>
      <c r="B1748" s="68"/>
      <c r="C1748" s="76" t="str">
        <f aca="false">IF(B1748="","",IFERROR(INDEX(PE_Nom,MATCH(B1748,PE_Mat,0)),"Matricule inconnu"))</f>
        <v/>
      </c>
      <c r="D1748" s="76" t="str">
        <f aca="false">IF(B1748="","",IFERROR(INDEX(PE_Fonction,MATCH(B1748,PE_Mat,0)),""))</f>
        <v/>
      </c>
      <c r="E1748" s="76" t="str">
        <f aca="false">IF(B1748="","",IFERROR(INDEX(PE_Equipe,MATCH(B1748,PE_Mat,0)),""))</f>
        <v/>
      </c>
      <c r="F1748" s="25"/>
      <c r="G1748" s="25"/>
      <c r="H1748" s="68"/>
      <c r="I1748" s="89"/>
      <c r="J1748" s="31" t="str">
        <f aca="false">IF(B1748="","",IFERROR(INDEX(PE_Taux,MATCH(B1748,PE_Mat,0)),0))</f>
        <v/>
      </c>
      <c r="K1748" s="31" t="str">
        <f aca="false">IF(B1748="","",IF(H1748="A",0,IFERROR(N(I1748)/P_Heures*J1748,0)))</f>
        <v/>
      </c>
      <c r="L1748" s="25"/>
    </row>
    <row r="1749" customFormat="false" ht="15" hidden="false" customHeight="false" outlineLevel="0" collapsed="false">
      <c r="A1749" s="69"/>
      <c r="B1749" s="68"/>
      <c r="C1749" s="76" t="str">
        <f aca="false">IF(B1749="","",IFERROR(INDEX(PE_Nom,MATCH(B1749,PE_Mat,0)),"Matricule inconnu"))</f>
        <v/>
      </c>
      <c r="D1749" s="76" t="str">
        <f aca="false">IF(B1749="","",IFERROR(INDEX(PE_Fonction,MATCH(B1749,PE_Mat,0)),""))</f>
        <v/>
      </c>
      <c r="E1749" s="76" t="str">
        <f aca="false">IF(B1749="","",IFERROR(INDEX(PE_Equipe,MATCH(B1749,PE_Mat,0)),""))</f>
        <v/>
      </c>
      <c r="F1749" s="25"/>
      <c r="G1749" s="25"/>
      <c r="H1749" s="68"/>
      <c r="I1749" s="89"/>
      <c r="J1749" s="31" t="str">
        <f aca="false">IF(B1749="","",IFERROR(INDEX(PE_Taux,MATCH(B1749,PE_Mat,0)),0))</f>
        <v/>
      </c>
      <c r="K1749" s="31" t="str">
        <f aca="false">IF(B1749="","",IF(H1749="A",0,IFERROR(N(I1749)/P_Heures*J1749,0)))</f>
        <v/>
      </c>
      <c r="L1749" s="25"/>
    </row>
    <row r="1750" customFormat="false" ht="15" hidden="false" customHeight="false" outlineLevel="0" collapsed="false">
      <c r="A1750" s="69"/>
      <c r="B1750" s="68"/>
      <c r="C1750" s="76" t="str">
        <f aca="false">IF(B1750="","",IFERROR(INDEX(PE_Nom,MATCH(B1750,PE_Mat,0)),"Matricule inconnu"))</f>
        <v/>
      </c>
      <c r="D1750" s="76" t="str">
        <f aca="false">IF(B1750="","",IFERROR(INDEX(PE_Fonction,MATCH(B1750,PE_Mat,0)),""))</f>
        <v/>
      </c>
      <c r="E1750" s="76" t="str">
        <f aca="false">IF(B1750="","",IFERROR(INDEX(PE_Equipe,MATCH(B1750,PE_Mat,0)),""))</f>
        <v/>
      </c>
      <c r="F1750" s="25"/>
      <c r="G1750" s="25"/>
      <c r="H1750" s="68"/>
      <c r="I1750" s="89"/>
      <c r="J1750" s="31" t="str">
        <f aca="false">IF(B1750="","",IFERROR(INDEX(PE_Taux,MATCH(B1750,PE_Mat,0)),0))</f>
        <v/>
      </c>
      <c r="K1750" s="31" t="str">
        <f aca="false">IF(B1750="","",IF(H1750="A",0,IFERROR(N(I1750)/P_Heures*J1750,0)))</f>
        <v/>
      </c>
      <c r="L1750" s="25"/>
    </row>
    <row r="1751" customFormat="false" ht="15" hidden="false" customHeight="false" outlineLevel="0" collapsed="false">
      <c r="A1751" s="69"/>
      <c r="B1751" s="68"/>
      <c r="C1751" s="76" t="str">
        <f aca="false">IF(B1751="","",IFERROR(INDEX(PE_Nom,MATCH(B1751,PE_Mat,0)),"Matricule inconnu"))</f>
        <v/>
      </c>
      <c r="D1751" s="76" t="str">
        <f aca="false">IF(B1751="","",IFERROR(INDEX(PE_Fonction,MATCH(B1751,PE_Mat,0)),""))</f>
        <v/>
      </c>
      <c r="E1751" s="76" t="str">
        <f aca="false">IF(B1751="","",IFERROR(INDEX(PE_Equipe,MATCH(B1751,PE_Mat,0)),""))</f>
        <v/>
      </c>
      <c r="F1751" s="25"/>
      <c r="G1751" s="25"/>
      <c r="H1751" s="68"/>
      <c r="I1751" s="89"/>
      <c r="J1751" s="31" t="str">
        <f aca="false">IF(B1751="","",IFERROR(INDEX(PE_Taux,MATCH(B1751,PE_Mat,0)),0))</f>
        <v/>
      </c>
      <c r="K1751" s="31" t="str">
        <f aca="false">IF(B1751="","",IF(H1751="A",0,IFERROR(N(I1751)/P_Heures*J1751,0)))</f>
        <v/>
      </c>
      <c r="L1751" s="25"/>
    </row>
    <row r="1752" customFormat="false" ht="15" hidden="false" customHeight="false" outlineLevel="0" collapsed="false">
      <c r="A1752" s="69"/>
      <c r="B1752" s="68"/>
      <c r="C1752" s="76" t="str">
        <f aca="false">IF(B1752="","",IFERROR(INDEX(PE_Nom,MATCH(B1752,PE_Mat,0)),"Matricule inconnu"))</f>
        <v/>
      </c>
      <c r="D1752" s="76" t="str">
        <f aca="false">IF(B1752="","",IFERROR(INDEX(PE_Fonction,MATCH(B1752,PE_Mat,0)),""))</f>
        <v/>
      </c>
      <c r="E1752" s="76" t="str">
        <f aca="false">IF(B1752="","",IFERROR(INDEX(PE_Equipe,MATCH(B1752,PE_Mat,0)),""))</f>
        <v/>
      </c>
      <c r="F1752" s="25"/>
      <c r="G1752" s="25"/>
      <c r="H1752" s="68"/>
      <c r="I1752" s="89"/>
      <c r="J1752" s="31" t="str">
        <f aca="false">IF(B1752="","",IFERROR(INDEX(PE_Taux,MATCH(B1752,PE_Mat,0)),0))</f>
        <v/>
      </c>
      <c r="K1752" s="31" t="str">
        <f aca="false">IF(B1752="","",IF(H1752="A",0,IFERROR(N(I1752)/P_Heures*J1752,0)))</f>
        <v/>
      </c>
      <c r="L1752" s="25"/>
    </row>
    <row r="1753" customFormat="false" ht="15" hidden="false" customHeight="false" outlineLevel="0" collapsed="false">
      <c r="A1753" s="69"/>
      <c r="B1753" s="68"/>
      <c r="C1753" s="76" t="str">
        <f aca="false">IF(B1753="","",IFERROR(INDEX(PE_Nom,MATCH(B1753,PE_Mat,0)),"Matricule inconnu"))</f>
        <v/>
      </c>
      <c r="D1753" s="76" t="str">
        <f aca="false">IF(B1753="","",IFERROR(INDEX(PE_Fonction,MATCH(B1753,PE_Mat,0)),""))</f>
        <v/>
      </c>
      <c r="E1753" s="76" t="str">
        <f aca="false">IF(B1753="","",IFERROR(INDEX(PE_Equipe,MATCH(B1753,PE_Mat,0)),""))</f>
        <v/>
      </c>
      <c r="F1753" s="25"/>
      <c r="G1753" s="25"/>
      <c r="H1753" s="68"/>
      <c r="I1753" s="89"/>
      <c r="J1753" s="31" t="str">
        <f aca="false">IF(B1753="","",IFERROR(INDEX(PE_Taux,MATCH(B1753,PE_Mat,0)),0))</f>
        <v/>
      </c>
      <c r="K1753" s="31" t="str">
        <f aca="false">IF(B1753="","",IF(H1753="A",0,IFERROR(N(I1753)/P_Heures*J1753,0)))</f>
        <v/>
      </c>
      <c r="L1753" s="25"/>
    </row>
    <row r="1754" customFormat="false" ht="15" hidden="false" customHeight="false" outlineLevel="0" collapsed="false">
      <c r="A1754" s="69"/>
      <c r="B1754" s="68"/>
      <c r="C1754" s="76" t="str">
        <f aca="false">IF(B1754="","",IFERROR(INDEX(PE_Nom,MATCH(B1754,PE_Mat,0)),"Matricule inconnu"))</f>
        <v/>
      </c>
      <c r="D1754" s="76" t="str">
        <f aca="false">IF(B1754="","",IFERROR(INDEX(PE_Fonction,MATCH(B1754,PE_Mat,0)),""))</f>
        <v/>
      </c>
      <c r="E1754" s="76" t="str">
        <f aca="false">IF(B1754="","",IFERROR(INDEX(PE_Equipe,MATCH(B1754,PE_Mat,0)),""))</f>
        <v/>
      </c>
      <c r="F1754" s="25"/>
      <c r="G1754" s="25"/>
      <c r="H1754" s="68"/>
      <c r="I1754" s="89"/>
      <c r="J1754" s="31" t="str">
        <f aca="false">IF(B1754="","",IFERROR(INDEX(PE_Taux,MATCH(B1754,PE_Mat,0)),0))</f>
        <v/>
      </c>
      <c r="K1754" s="31" t="str">
        <f aca="false">IF(B1754="","",IF(H1754="A",0,IFERROR(N(I1754)/P_Heures*J1754,0)))</f>
        <v/>
      </c>
      <c r="L1754" s="25"/>
    </row>
    <row r="1755" customFormat="false" ht="15" hidden="false" customHeight="false" outlineLevel="0" collapsed="false">
      <c r="A1755" s="69"/>
      <c r="B1755" s="68"/>
      <c r="C1755" s="76" t="str">
        <f aca="false">IF(B1755="","",IFERROR(INDEX(PE_Nom,MATCH(B1755,PE_Mat,0)),"Matricule inconnu"))</f>
        <v/>
      </c>
      <c r="D1755" s="76" t="str">
        <f aca="false">IF(B1755="","",IFERROR(INDEX(PE_Fonction,MATCH(B1755,PE_Mat,0)),""))</f>
        <v/>
      </c>
      <c r="E1755" s="76" t="str">
        <f aca="false">IF(B1755="","",IFERROR(INDEX(PE_Equipe,MATCH(B1755,PE_Mat,0)),""))</f>
        <v/>
      </c>
      <c r="F1755" s="25"/>
      <c r="G1755" s="25"/>
      <c r="H1755" s="68"/>
      <c r="I1755" s="89"/>
      <c r="J1755" s="31" t="str">
        <f aca="false">IF(B1755="","",IFERROR(INDEX(PE_Taux,MATCH(B1755,PE_Mat,0)),0))</f>
        <v/>
      </c>
      <c r="K1755" s="31" t="str">
        <f aca="false">IF(B1755="","",IF(H1755="A",0,IFERROR(N(I1755)/P_Heures*J1755,0)))</f>
        <v/>
      </c>
      <c r="L1755" s="25"/>
    </row>
    <row r="1756" customFormat="false" ht="15" hidden="false" customHeight="false" outlineLevel="0" collapsed="false">
      <c r="A1756" s="69"/>
      <c r="B1756" s="68"/>
      <c r="C1756" s="76" t="str">
        <f aca="false">IF(B1756="","",IFERROR(INDEX(PE_Nom,MATCH(B1756,PE_Mat,0)),"Matricule inconnu"))</f>
        <v/>
      </c>
      <c r="D1756" s="76" t="str">
        <f aca="false">IF(B1756="","",IFERROR(INDEX(PE_Fonction,MATCH(B1756,PE_Mat,0)),""))</f>
        <v/>
      </c>
      <c r="E1756" s="76" t="str">
        <f aca="false">IF(B1756="","",IFERROR(INDEX(PE_Equipe,MATCH(B1756,PE_Mat,0)),""))</f>
        <v/>
      </c>
      <c r="F1756" s="25"/>
      <c r="G1756" s="25"/>
      <c r="H1756" s="68"/>
      <c r="I1756" s="89"/>
      <c r="J1756" s="31" t="str">
        <f aca="false">IF(B1756="","",IFERROR(INDEX(PE_Taux,MATCH(B1756,PE_Mat,0)),0))</f>
        <v/>
      </c>
      <c r="K1756" s="31" t="str">
        <f aca="false">IF(B1756="","",IF(H1756="A",0,IFERROR(N(I1756)/P_Heures*J1756,0)))</f>
        <v/>
      </c>
      <c r="L1756" s="25"/>
    </row>
    <row r="1757" customFormat="false" ht="15" hidden="false" customHeight="false" outlineLevel="0" collapsed="false">
      <c r="A1757" s="69"/>
      <c r="B1757" s="68"/>
      <c r="C1757" s="76" t="str">
        <f aca="false">IF(B1757="","",IFERROR(INDEX(PE_Nom,MATCH(B1757,PE_Mat,0)),"Matricule inconnu"))</f>
        <v/>
      </c>
      <c r="D1757" s="76" t="str">
        <f aca="false">IF(B1757="","",IFERROR(INDEX(PE_Fonction,MATCH(B1757,PE_Mat,0)),""))</f>
        <v/>
      </c>
      <c r="E1757" s="76" t="str">
        <f aca="false">IF(B1757="","",IFERROR(INDEX(PE_Equipe,MATCH(B1757,PE_Mat,0)),""))</f>
        <v/>
      </c>
      <c r="F1757" s="25"/>
      <c r="G1757" s="25"/>
      <c r="H1757" s="68"/>
      <c r="I1757" s="89"/>
      <c r="J1757" s="31" t="str">
        <f aca="false">IF(B1757="","",IFERROR(INDEX(PE_Taux,MATCH(B1757,PE_Mat,0)),0))</f>
        <v/>
      </c>
      <c r="K1757" s="31" t="str">
        <f aca="false">IF(B1757="","",IF(H1757="A",0,IFERROR(N(I1757)/P_Heures*J1757,0)))</f>
        <v/>
      </c>
      <c r="L1757" s="25"/>
    </row>
    <row r="1758" customFormat="false" ht="15" hidden="false" customHeight="false" outlineLevel="0" collapsed="false">
      <c r="A1758" s="69"/>
      <c r="B1758" s="68"/>
      <c r="C1758" s="76" t="str">
        <f aca="false">IF(B1758="","",IFERROR(INDEX(PE_Nom,MATCH(B1758,PE_Mat,0)),"Matricule inconnu"))</f>
        <v/>
      </c>
      <c r="D1758" s="76" t="str">
        <f aca="false">IF(B1758="","",IFERROR(INDEX(PE_Fonction,MATCH(B1758,PE_Mat,0)),""))</f>
        <v/>
      </c>
      <c r="E1758" s="76" t="str">
        <f aca="false">IF(B1758="","",IFERROR(INDEX(PE_Equipe,MATCH(B1758,PE_Mat,0)),""))</f>
        <v/>
      </c>
      <c r="F1758" s="25"/>
      <c r="G1758" s="25"/>
      <c r="H1758" s="68"/>
      <c r="I1758" s="89"/>
      <c r="J1758" s="31" t="str">
        <f aca="false">IF(B1758="","",IFERROR(INDEX(PE_Taux,MATCH(B1758,PE_Mat,0)),0))</f>
        <v/>
      </c>
      <c r="K1758" s="31" t="str">
        <f aca="false">IF(B1758="","",IF(H1758="A",0,IFERROR(N(I1758)/P_Heures*J1758,0)))</f>
        <v/>
      </c>
      <c r="L1758" s="25"/>
    </row>
    <row r="1759" customFormat="false" ht="15" hidden="false" customHeight="false" outlineLevel="0" collapsed="false">
      <c r="A1759" s="69"/>
      <c r="B1759" s="68"/>
      <c r="C1759" s="76" t="str">
        <f aca="false">IF(B1759="","",IFERROR(INDEX(PE_Nom,MATCH(B1759,PE_Mat,0)),"Matricule inconnu"))</f>
        <v/>
      </c>
      <c r="D1759" s="76" t="str">
        <f aca="false">IF(B1759="","",IFERROR(INDEX(PE_Fonction,MATCH(B1759,PE_Mat,0)),""))</f>
        <v/>
      </c>
      <c r="E1759" s="76" t="str">
        <f aca="false">IF(B1759="","",IFERROR(INDEX(PE_Equipe,MATCH(B1759,PE_Mat,0)),""))</f>
        <v/>
      </c>
      <c r="F1759" s="25"/>
      <c r="G1759" s="25"/>
      <c r="H1759" s="68"/>
      <c r="I1759" s="89"/>
      <c r="J1759" s="31" t="str">
        <f aca="false">IF(B1759="","",IFERROR(INDEX(PE_Taux,MATCH(B1759,PE_Mat,0)),0))</f>
        <v/>
      </c>
      <c r="K1759" s="31" t="str">
        <f aca="false">IF(B1759="","",IF(H1759="A",0,IFERROR(N(I1759)/P_Heures*J1759,0)))</f>
        <v/>
      </c>
      <c r="L1759" s="25"/>
    </row>
    <row r="1760" customFormat="false" ht="15" hidden="false" customHeight="false" outlineLevel="0" collapsed="false">
      <c r="A1760" s="69"/>
      <c r="B1760" s="68"/>
      <c r="C1760" s="76" t="str">
        <f aca="false">IF(B1760="","",IFERROR(INDEX(PE_Nom,MATCH(B1760,PE_Mat,0)),"Matricule inconnu"))</f>
        <v/>
      </c>
      <c r="D1760" s="76" t="str">
        <f aca="false">IF(B1760="","",IFERROR(INDEX(PE_Fonction,MATCH(B1760,PE_Mat,0)),""))</f>
        <v/>
      </c>
      <c r="E1760" s="76" t="str">
        <f aca="false">IF(B1760="","",IFERROR(INDEX(PE_Equipe,MATCH(B1760,PE_Mat,0)),""))</f>
        <v/>
      </c>
      <c r="F1760" s="25"/>
      <c r="G1760" s="25"/>
      <c r="H1760" s="68"/>
      <c r="I1760" s="89"/>
      <c r="J1760" s="31" t="str">
        <f aca="false">IF(B1760="","",IFERROR(INDEX(PE_Taux,MATCH(B1760,PE_Mat,0)),0))</f>
        <v/>
      </c>
      <c r="K1760" s="31" t="str">
        <f aca="false">IF(B1760="","",IF(H1760="A",0,IFERROR(N(I1760)/P_Heures*J1760,0)))</f>
        <v/>
      </c>
      <c r="L1760" s="25"/>
    </row>
    <row r="1761" customFormat="false" ht="15" hidden="false" customHeight="false" outlineLevel="0" collapsed="false">
      <c r="A1761" s="69"/>
      <c r="B1761" s="68"/>
      <c r="C1761" s="76" t="str">
        <f aca="false">IF(B1761="","",IFERROR(INDEX(PE_Nom,MATCH(B1761,PE_Mat,0)),"Matricule inconnu"))</f>
        <v/>
      </c>
      <c r="D1761" s="76" t="str">
        <f aca="false">IF(B1761="","",IFERROR(INDEX(PE_Fonction,MATCH(B1761,PE_Mat,0)),""))</f>
        <v/>
      </c>
      <c r="E1761" s="76" t="str">
        <f aca="false">IF(B1761="","",IFERROR(INDEX(PE_Equipe,MATCH(B1761,PE_Mat,0)),""))</f>
        <v/>
      </c>
      <c r="F1761" s="25"/>
      <c r="G1761" s="25"/>
      <c r="H1761" s="68"/>
      <c r="I1761" s="89"/>
      <c r="J1761" s="31" t="str">
        <f aca="false">IF(B1761="","",IFERROR(INDEX(PE_Taux,MATCH(B1761,PE_Mat,0)),0))</f>
        <v/>
      </c>
      <c r="K1761" s="31" t="str">
        <f aca="false">IF(B1761="","",IF(H1761="A",0,IFERROR(N(I1761)/P_Heures*J1761,0)))</f>
        <v/>
      </c>
      <c r="L1761" s="25"/>
    </row>
    <row r="1762" customFormat="false" ht="15" hidden="false" customHeight="false" outlineLevel="0" collapsed="false">
      <c r="A1762" s="69"/>
      <c r="B1762" s="68"/>
      <c r="C1762" s="76" t="str">
        <f aca="false">IF(B1762="","",IFERROR(INDEX(PE_Nom,MATCH(B1762,PE_Mat,0)),"Matricule inconnu"))</f>
        <v/>
      </c>
      <c r="D1762" s="76" t="str">
        <f aca="false">IF(B1762="","",IFERROR(INDEX(PE_Fonction,MATCH(B1762,PE_Mat,0)),""))</f>
        <v/>
      </c>
      <c r="E1762" s="76" t="str">
        <f aca="false">IF(B1762="","",IFERROR(INDEX(PE_Equipe,MATCH(B1762,PE_Mat,0)),""))</f>
        <v/>
      </c>
      <c r="F1762" s="25"/>
      <c r="G1762" s="25"/>
      <c r="H1762" s="68"/>
      <c r="I1762" s="89"/>
      <c r="J1762" s="31" t="str">
        <f aca="false">IF(B1762="","",IFERROR(INDEX(PE_Taux,MATCH(B1762,PE_Mat,0)),0))</f>
        <v/>
      </c>
      <c r="K1762" s="31" t="str">
        <f aca="false">IF(B1762="","",IF(H1762="A",0,IFERROR(N(I1762)/P_Heures*J1762,0)))</f>
        <v/>
      </c>
      <c r="L1762" s="25"/>
    </row>
    <row r="1763" customFormat="false" ht="15" hidden="false" customHeight="false" outlineLevel="0" collapsed="false">
      <c r="A1763" s="69"/>
      <c r="B1763" s="68"/>
      <c r="C1763" s="76" t="str">
        <f aca="false">IF(B1763="","",IFERROR(INDEX(PE_Nom,MATCH(B1763,PE_Mat,0)),"Matricule inconnu"))</f>
        <v/>
      </c>
      <c r="D1763" s="76" t="str">
        <f aca="false">IF(B1763="","",IFERROR(INDEX(PE_Fonction,MATCH(B1763,PE_Mat,0)),""))</f>
        <v/>
      </c>
      <c r="E1763" s="76" t="str">
        <f aca="false">IF(B1763="","",IFERROR(INDEX(PE_Equipe,MATCH(B1763,PE_Mat,0)),""))</f>
        <v/>
      </c>
      <c r="F1763" s="25"/>
      <c r="G1763" s="25"/>
      <c r="H1763" s="68"/>
      <c r="I1763" s="89"/>
      <c r="J1763" s="31" t="str">
        <f aca="false">IF(B1763="","",IFERROR(INDEX(PE_Taux,MATCH(B1763,PE_Mat,0)),0))</f>
        <v/>
      </c>
      <c r="K1763" s="31" t="str">
        <f aca="false">IF(B1763="","",IF(H1763="A",0,IFERROR(N(I1763)/P_Heures*J1763,0)))</f>
        <v/>
      </c>
      <c r="L1763" s="25"/>
    </row>
    <row r="1764" customFormat="false" ht="15" hidden="false" customHeight="false" outlineLevel="0" collapsed="false">
      <c r="A1764" s="69"/>
      <c r="B1764" s="68"/>
      <c r="C1764" s="76" t="str">
        <f aca="false">IF(B1764="","",IFERROR(INDEX(PE_Nom,MATCH(B1764,PE_Mat,0)),"Matricule inconnu"))</f>
        <v/>
      </c>
      <c r="D1764" s="76" t="str">
        <f aca="false">IF(B1764="","",IFERROR(INDEX(PE_Fonction,MATCH(B1764,PE_Mat,0)),""))</f>
        <v/>
      </c>
      <c r="E1764" s="76" t="str">
        <f aca="false">IF(B1764="","",IFERROR(INDEX(PE_Equipe,MATCH(B1764,PE_Mat,0)),""))</f>
        <v/>
      </c>
      <c r="F1764" s="25"/>
      <c r="G1764" s="25"/>
      <c r="H1764" s="68"/>
      <c r="I1764" s="89"/>
      <c r="J1764" s="31" t="str">
        <f aca="false">IF(B1764="","",IFERROR(INDEX(PE_Taux,MATCH(B1764,PE_Mat,0)),0))</f>
        <v/>
      </c>
      <c r="K1764" s="31" t="str">
        <f aca="false">IF(B1764="","",IF(H1764="A",0,IFERROR(N(I1764)/P_Heures*J1764,0)))</f>
        <v/>
      </c>
      <c r="L1764" s="25"/>
    </row>
    <row r="1765" customFormat="false" ht="15" hidden="false" customHeight="false" outlineLevel="0" collapsed="false">
      <c r="A1765" s="69"/>
      <c r="B1765" s="68"/>
      <c r="C1765" s="76" t="str">
        <f aca="false">IF(B1765="","",IFERROR(INDEX(PE_Nom,MATCH(B1765,PE_Mat,0)),"Matricule inconnu"))</f>
        <v/>
      </c>
      <c r="D1765" s="76" t="str">
        <f aca="false">IF(B1765="","",IFERROR(INDEX(PE_Fonction,MATCH(B1765,PE_Mat,0)),""))</f>
        <v/>
      </c>
      <c r="E1765" s="76" t="str">
        <f aca="false">IF(B1765="","",IFERROR(INDEX(PE_Equipe,MATCH(B1765,PE_Mat,0)),""))</f>
        <v/>
      </c>
      <c r="F1765" s="25"/>
      <c r="G1765" s="25"/>
      <c r="H1765" s="68"/>
      <c r="I1765" s="89"/>
      <c r="J1765" s="31" t="str">
        <f aca="false">IF(B1765="","",IFERROR(INDEX(PE_Taux,MATCH(B1765,PE_Mat,0)),0))</f>
        <v/>
      </c>
      <c r="K1765" s="31" t="str">
        <f aca="false">IF(B1765="","",IF(H1765="A",0,IFERROR(N(I1765)/P_Heures*J1765,0)))</f>
        <v/>
      </c>
      <c r="L1765" s="25"/>
    </row>
    <row r="1766" customFormat="false" ht="15" hidden="false" customHeight="false" outlineLevel="0" collapsed="false">
      <c r="A1766" s="69"/>
      <c r="B1766" s="68"/>
      <c r="C1766" s="76" t="str">
        <f aca="false">IF(B1766="","",IFERROR(INDEX(PE_Nom,MATCH(B1766,PE_Mat,0)),"Matricule inconnu"))</f>
        <v/>
      </c>
      <c r="D1766" s="76" t="str">
        <f aca="false">IF(B1766="","",IFERROR(INDEX(PE_Fonction,MATCH(B1766,PE_Mat,0)),""))</f>
        <v/>
      </c>
      <c r="E1766" s="76" t="str">
        <f aca="false">IF(B1766="","",IFERROR(INDEX(PE_Equipe,MATCH(B1766,PE_Mat,0)),""))</f>
        <v/>
      </c>
      <c r="F1766" s="25"/>
      <c r="G1766" s="25"/>
      <c r="H1766" s="68"/>
      <c r="I1766" s="89"/>
      <c r="J1766" s="31" t="str">
        <f aca="false">IF(B1766="","",IFERROR(INDEX(PE_Taux,MATCH(B1766,PE_Mat,0)),0))</f>
        <v/>
      </c>
      <c r="K1766" s="31" t="str">
        <f aca="false">IF(B1766="","",IF(H1766="A",0,IFERROR(N(I1766)/P_Heures*J1766,0)))</f>
        <v/>
      </c>
      <c r="L1766" s="25"/>
    </row>
    <row r="1767" customFormat="false" ht="15" hidden="false" customHeight="false" outlineLevel="0" collapsed="false">
      <c r="A1767" s="69"/>
      <c r="B1767" s="68"/>
      <c r="C1767" s="76" t="str">
        <f aca="false">IF(B1767="","",IFERROR(INDEX(PE_Nom,MATCH(B1767,PE_Mat,0)),"Matricule inconnu"))</f>
        <v/>
      </c>
      <c r="D1767" s="76" t="str">
        <f aca="false">IF(B1767="","",IFERROR(INDEX(PE_Fonction,MATCH(B1767,PE_Mat,0)),""))</f>
        <v/>
      </c>
      <c r="E1767" s="76" t="str">
        <f aca="false">IF(B1767="","",IFERROR(INDEX(PE_Equipe,MATCH(B1767,PE_Mat,0)),""))</f>
        <v/>
      </c>
      <c r="F1767" s="25"/>
      <c r="G1767" s="25"/>
      <c r="H1767" s="68"/>
      <c r="I1767" s="89"/>
      <c r="J1767" s="31" t="str">
        <f aca="false">IF(B1767="","",IFERROR(INDEX(PE_Taux,MATCH(B1767,PE_Mat,0)),0))</f>
        <v/>
      </c>
      <c r="K1767" s="31" t="str">
        <f aca="false">IF(B1767="","",IF(H1767="A",0,IFERROR(N(I1767)/P_Heures*J1767,0)))</f>
        <v/>
      </c>
      <c r="L1767" s="25"/>
    </row>
    <row r="1768" customFormat="false" ht="15" hidden="false" customHeight="false" outlineLevel="0" collapsed="false">
      <c r="A1768" s="69"/>
      <c r="B1768" s="68"/>
      <c r="C1768" s="76" t="str">
        <f aca="false">IF(B1768="","",IFERROR(INDEX(PE_Nom,MATCH(B1768,PE_Mat,0)),"Matricule inconnu"))</f>
        <v/>
      </c>
      <c r="D1768" s="76" t="str">
        <f aca="false">IF(B1768="","",IFERROR(INDEX(PE_Fonction,MATCH(B1768,PE_Mat,0)),""))</f>
        <v/>
      </c>
      <c r="E1768" s="76" t="str">
        <f aca="false">IF(B1768="","",IFERROR(INDEX(PE_Equipe,MATCH(B1768,PE_Mat,0)),""))</f>
        <v/>
      </c>
      <c r="F1768" s="25"/>
      <c r="G1768" s="25"/>
      <c r="H1768" s="68"/>
      <c r="I1768" s="89"/>
      <c r="J1768" s="31" t="str">
        <f aca="false">IF(B1768="","",IFERROR(INDEX(PE_Taux,MATCH(B1768,PE_Mat,0)),0))</f>
        <v/>
      </c>
      <c r="K1768" s="31" t="str">
        <f aca="false">IF(B1768="","",IF(H1768="A",0,IFERROR(N(I1768)/P_Heures*J1768,0)))</f>
        <v/>
      </c>
      <c r="L1768" s="25"/>
    </row>
    <row r="1769" customFormat="false" ht="15" hidden="false" customHeight="false" outlineLevel="0" collapsed="false">
      <c r="A1769" s="69"/>
      <c r="B1769" s="68"/>
      <c r="C1769" s="76" t="str">
        <f aca="false">IF(B1769="","",IFERROR(INDEX(PE_Nom,MATCH(B1769,PE_Mat,0)),"Matricule inconnu"))</f>
        <v/>
      </c>
      <c r="D1769" s="76" t="str">
        <f aca="false">IF(B1769="","",IFERROR(INDEX(PE_Fonction,MATCH(B1769,PE_Mat,0)),""))</f>
        <v/>
      </c>
      <c r="E1769" s="76" t="str">
        <f aca="false">IF(B1769="","",IFERROR(INDEX(PE_Equipe,MATCH(B1769,PE_Mat,0)),""))</f>
        <v/>
      </c>
      <c r="F1769" s="25"/>
      <c r="G1769" s="25"/>
      <c r="H1769" s="68"/>
      <c r="I1769" s="89"/>
      <c r="J1769" s="31" t="str">
        <f aca="false">IF(B1769="","",IFERROR(INDEX(PE_Taux,MATCH(B1769,PE_Mat,0)),0))</f>
        <v/>
      </c>
      <c r="K1769" s="31" t="str">
        <f aca="false">IF(B1769="","",IF(H1769="A",0,IFERROR(N(I1769)/P_Heures*J1769,0)))</f>
        <v/>
      </c>
      <c r="L1769" s="25"/>
    </row>
    <row r="1770" customFormat="false" ht="15" hidden="false" customHeight="false" outlineLevel="0" collapsed="false">
      <c r="A1770" s="69"/>
      <c r="B1770" s="68"/>
      <c r="C1770" s="76" t="str">
        <f aca="false">IF(B1770="","",IFERROR(INDEX(PE_Nom,MATCH(B1770,PE_Mat,0)),"Matricule inconnu"))</f>
        <v/>
      </c>
      <c r="D1770" s="76" t="str">
        <f aca="false">IF(B1770="","",IFERROR(INDEX(PE_Fonction,MATCH(B1770,PE_Mat,0)),""))</f>
        <v/>
      </c>
      <c r="E1770" s="76" t="str">
        <f aca="false">IF(B1770="","",IFERROR(INDEX(PE_Equipe,MATCH(B1770,PE_Mat,0)),""))</f>
        <v/>
      </c>
      <c r="F1770" s="25"/>
      <c r="G1770" s="25"/>
      <c r="H1770" s="68"/>
      <c r="I1770" s="89"/>
      <c r="J1770" s="31" t="str">
        <f aca="false">IF(B1770="","",IFERROR(INDEX(PE_Taux,MATCH(B1770,PE_Mat,0)),0))</f>
        <v/>
      </c>
      <c r="K1770" s="31" t="str">
        <f aca="false">IF(B1770="","",IF(H1770="A",0,IFERROR(N(I1770)/P_Heures*J1770,0)))</f>
        <v/>
      </c>
      <c r="L1770" s="25"/>
    </row>
    <row r="1771" customFormat="false" ht="15" hidden="false" customHeight="false" outlineLevel="0" collapsed="false">
      <c r="A1771" s="69"/>
      <c r="B1771" s="68"/>
      <c r="C1771" s="76" t="str">
        <f aca="false">IF(B1771="","",IFERROR(INDEX(PE_Nom,MATCH(B1771,PE_Mat,0)),"Matricule inconnu"))</f>
        <v/>
      </c>
      <c r="D1771" s="76" t="str">
        <f aca="false">IF(B1771="","",IFERROR(INDEX(PE_Fonction,MATCH(B1771,PE_Mat,0)),""))</f>
        <v/>
      </c>
      <c r="E1771" s="76" t="str">
        <f aca="false">IF(B1771="","",IFERROR(INDEX(PE_Equipe,MATCH(B1771,PE_Mat,0)),""))</f>
        <v/>
      </c>
      <c r="F1771" s="25"/>
      <c r="G1771" s="25"/>
      <c r="H1771" s="68"/>
      <c r="I1771" s="89"/>
      <c r="J1771" s="31" t="str">
        <f aca="false">IF(B1771="","",IFERROR(INDEX(PE_Taux,MATCH(B1771,PE_Mat,0)),0))</f>
        <v/>
      </c>
      <c r="K1771" s="31" t="str">
        <f aca="false">IF(B1771="","",IF(H1771="A",0,IFERROR(N(I1771)/P_Heures*J1771,0)))</f>
        <v/>
      </c>
      <c r="L1771" s="25"/>
    </row>
    <row r="1772" customFormat="false" ht="15" hidden="false" customHeight="false" outlineLevel="0" collapsed="false">
      <c r="A1772" s="69"/>
      <c r="B1772" s="68"/>
      <c r="C1772" s="76" t="str">
        <f aca="false">IF(B1772="","",IFERROR(INDEX(PE_Nom,MATCH(B1772,PE_Mat,0)),"Matricule inconnu"))</f>
        <v/>
      </c>
      <c r="D1772" s="76" t="str">
        <f aca="false">IF(B1772="","",IFERROR(INDEX(PE_Fonction,MATCH(B1772,PE_Mat,0)),""))</f>
        <v/>
      </c>
      <c r="E1772" s="76" t="str">
        <f aca="false">IF(B1772="","",IFERROR(INDEX(PE_Equipe,MATCH(B1772,PE_Mat,0)),""))</f>
        <v/>
      </c>
      <c r="F1772" s="25"/>
      <c r="G1772" s="25"/>
      <c r="H1772" s="68"/>
      <c r="I1772" s="89"/>
      <c r="J1772" s="31" t="str">
        <f aca="false">IF(B1772="","",IFERROR(INDEX(PE_Taux,MATCH(B1772,PE_Mat,0)),0))</f>
        <v/>
      </c>
      <c r="K1772" s="31" t="str">
        <f aca="false">IF(B1772="","",IF(H1772="A",0,IFERROR(N(I1772)/P_Heures*J1772,0)))</f>
        <v/>
      </c>
      <c r="L1772" s="25"/>
    </row>
    <row r="1773" customFormat="false" ht="15" hidden="false" customHeight="false" outlineLevel="0" collapsed="false">
      <c r="A1773" s="69"/>
      <c r="B1773" s="68"/>
      <c r="C1773" s="76" t="str">
        <f aca="false">IF(B1773="","",IFERROR(INDEX(PE_Nom,MATCH(B1773,PE_Mat,0)),"Matricule inconnu"))</f>
        <v/>
      </c>
      <c r="D1773" s="76" t="str">
        <f aca="false">IF(B1773="","",IFERROR(INDEX(PE_Fonction,MATCH(B1773,PE_Mat,0)),""))</f>
        <v/>
      </c>
      <c r="E1773" s="76" t="str">
        <f aca="false">IF(B1773="","",IFERROR(INDEX(PE_Equipe,MATCH(B1773,PE_Mat,0)),""))</f>
        <v/>
      </c>
      <c r="F1773" s="25"/>
      <c r="G1773" s="25"/>
      <c r="H1773" s="68"/>
      <c r="I1773" s="89"/>
      <c r="J1773" s="31" t="str">
        <f aca="false">IF(B1773="","",IFERROR(INDEX(PE_Taux,MATCH(B1773,PE_Mat,0)),0))</f>
        <v/>
      </c>
      <c r="K1773" s="31" t="str">
        <f aca="false">IF(B1773="","",IF(H1773="A",0,IFERROR(N(I1773)/P_Heures*J1773,0)))</f>
        <v/>
      </c>
      <c r="L1773" s="25"/>
    </row>
    <row r="1774" customFormat="false" ht="15" hidden="false" customHeight="false" outlineLevel="0" collapsed="false">
      <c r="A1774" s="69"/>
      <c r="B1774" s="68"/>
      <c r="C1774" s="76" t="str">
        <f aca="false">IF(B1774="","",IFERROR(INDEX(PE_Nom,MATCH(B1774,PE_Mat,0)),"Matricule inconnu"))</f>
        <v/>
      </c>
      <c r="D1774" s="76" t="str">
        <f aca="false">IF(B1774="","",IFERROR(INDEX(PE_Fonction,MATCH(B1774,PE_Mat,0)),""))</f>
        <v/>
      </c>
      <c r="E1774" s="76" t="str">
        <f aca="false">IF(B1774="","",IFERROR(INDEX(PE_Equipe,MATCH(B1774,PE_Mat,0)),""))</f>
        <v/>
      </c>
      <c r="F1774" s="25"/>
      <c r="G1774" s="25"/>
      <c r="H1774" s="68"/>
      <c r="I1774" s="89"/>
      <c r="J1774" s="31" t="str">
        <f aca="false">IF(B1774="","",IFERROR(INDEX(PE_Taux,MATCH(B1774,PE_Mat,0)),0))</f>
        <v/>
      </c>
      <c r="K1774" s="31" t="str">
        <f aca="false">IF(B1774="","",IF(H1774="A",0,IFERROR(N(I1774)/P_Heures*J1774,0)))</f>
        <v/>
      </c>
      <c r="L1774" s="25"/>
    </row>
    <row r="1775" customFormat="false" ht="15" hidden="false" customHeight="false" outlineLevel="0" collapsed="false">
      <c r="A1775" s="69"/>
      <c r="B1775" s="68"/>
      <c r="C1775" s="76" t="str">
        <f aca="false">IF(B1775="","",IFERROR(INDEX(PE_Nom,MATCH(B1775,PE_Mat,0)),"Matricule inconnu"))</f>
        <v/>
      </c>
      <c r="D1775" s="76" t="str">
        <f aca="false">IF(B1775="","",IFERROR(INDEX(PE_Fonction,MATCH(B1775,PE_Mat,0)),""))</f>
        <v/>
      </c>
      <c r="E1775" s="76" t="str">
        <f aca="false">IF(B1775="","",IFERROR(INDEX(PE_Equipe,MATCH(B1775,PE_Mat,0)),""))</f>
        <v/>
      </c>
      <c r="F1775" s="25"/>
      <c r="G1775" s="25"/>
      <c r="H1775" s="68"/>
      <c r="I1775" s="89"/>
      <c r="J1775" s="31" t="str">
        <f aca="false">IF(B1775="","",IFERROR(INDEX(PE_Taux,MATCH(B1775,PE_Mat,0)),0))</f>
        <v/>
      </c>
      <c r="K1775" s="31" t="str">
        <f aca="false">IF(B1775="","",IF(H1775="A",0,IFERROR(N(I1775)/P_Heures*J1775,0)))</f>
        <v/>
      </c>
      <c r="L1775" s="25"/>
    </row>
    <row r="1776" customFormat="false" ht="15" hidden="false" customHeight="false" outlineLevel="0" collapsed="false">
      <c r="A1776" s="69"/>
      <c r="B1776" s="68"/>
      <c r="C1776" s="76" t="str">
        <f aca="false">IF(B1776="","",IFERROR(INDEX(PE_Nom,MATCH(B1776,PE_Mat,0)),"Matricule inconnu"))</f>
        <v/>
      </c>
      <c r="D1776" s="76" t="str">
        <f aca="false">IF(B1776="","",IFERROR(INDEX(PE_Fonction,MATCH(B1776,PE_Mat,0)),""))</f>
        <v/>
      </c>
      <c r="E1776" s="76" t="str">
        <f aca="false">IF(B1776="","",IFERROR(INDEX(PE_Equipe,MATCH(B1776,PE_Mat,0)),""))</f>
        <v/>
      </c>
      <c r="F1776" s="25"/>
      <c r="G1776" s="25"/>
      <c r="H1776" s="68"/>
      <c r="I1776" s="89"/>
      <c r="J1776" s="31" t="str">
        <f aca="false">IF(B1776="","",IFERROR(INDEX(PE_Taux,MATCH(B1776,PE_Mat,0)),0))</f>
        <v/>
      </c>
      <c r="K1776" s="31" t="str">
        <f aca="false">IF(B1776="","",IF(H1776="A",0,IFERROR(N(I1776)/P_Heures*J1776,0)))</f>
        <v/>
      </c>
      <c r="L1776" s="25"/>
    </row>
    <row r="1777" customFormat="false" ht="15" hidden="false" customHeight="false" outlineLevel="0" collapsed="false">
      <c r="A1777" s="69"/>
      <c r="B1777" s="68"/>
      <c r="C1777" s="76" t="str">
        <f aca="false">IF(B1777="","",IFERROR(INDEX(PE_Nom,MATCH(B1777,PE_Mat,0)),"Matricule inconnu"))</f>
        <v/>
      </c>
      <c r="D1777" s="76" t="str">
        <f aca="false">IF(B1777="","",IFERROR(INDEX(PE_Fonction,MATCH(B1777,PE_Mat,0)),""))</f>
        <v/>
      </c>
      <c r="E1777" s="76" t="str">
        <f aca="false">IF(B1777="","",IFERROR(INDEX(PE_Equipe,MATCH(B1777,PE_Mat,0)),""))</f>
        <v/>
      </c>
      <c r="F1777" s="25"/>
      <c r="G1777" s="25"/>
      <c r="H1777" s="68"/>
      <c r="I1777" s="89"/>
      <c r="J1777" s="31" t="str">
        <f aca="false">IF(B1777="","",IFERROR(INDEX(PE_Taux,MATCH(B1777,PE_Mat,0)),0))</f>
        <v/>
      </c>
      <c r="K1777" s="31" t="str">
        <f aca="false">IF(B1777="","",IF(H1777="A",0,IFERROR(N(I1777)/P_Heures*J1777,0)))</f>
        <v/>
      </c>
      <c r="L1777" s="25"/>
    </row>
    <row r="1778" customFormat="false" ht="15" hidden="false" customHeight="false" outlineLevel="0" collapsed="false">
      <c r="A1778" s="69"/>
      <c r="B1778" s="68"/>
      <c r="C1778" s="76" t="str">
        <f aca="false">IF(B1778="","",IFERROR(INDEX(PE_Nom,MATCH(B1778,PE_Mat,0)),"Matricule inconnu"))</f>
        <v/>
      </c>
      <c r="D1778" s="76" t="str">
        <f aca="false">IF(B1778="","",IFERROR(INDEX(PE_Fonction,MATCH(B1778,PE_Mat,0)),""))</f>
        <v/>
      </c>
      <c r="E1778" s="76" t="str">
        <f aca="false">IF(B1778="","",IFERROR(INDEX(PE_Equipe,MATCH(B1778,PE_Mat,0)),""))</f>
        <v/>
      </c>
      <c r="F1778" s="25"/>
      <c r="G1778" s="25"/>
      <c r="H1778" s="68"/>
      <c r="I1778" s="89"/>
      <c r="J1778" s="31" t="str">
        <f aca="false">IF(B1778="","",IFERROR(INDEX(PE_Taux,MATCH(B1778,PE_Mat,0)),0))</f>
        <v/>
      </c>
      <c r="K1778" s="31" t="str">
        <f aca="false">IF(B1778="","",IF(H1778="A",0,IFERROR(N(I1778)/P_Heures*J1778,0)))</f>
        <v/>
      </c>
      <c r="L1778" s="25"/>
    </row>
    <row r="1779" customFormat="false" ht="15" hidden="false" customHeight="false" outlineLevel="0" collapsed="false">
      <c r="A1779" s="69"/>
      <c r="B1779" s="68"/>
      <c r="C1779" s="76" t="str">
        <f aca="false">IF(B1779="","",IFERROR(INDEX(PE_Nom,MATCH(B1779,PE_Mat,0)),"Matricule inconnu"))</f>
        <v/>
      </c>
      <c r="D1779" s="76" t="str">
        <f aca="false">IF(B1779="","",IFERROR(INDEX(PE_Fonction,MATCH(B1779,PE_Mat,0)),""))</f>
        <v/>
      </c>
      <c r="E1779" s="76" t="str">
        <f aca="false">IF(B1779="","",IFERROR(INDEX(PE_Equipe,MATCH(B1779,PE_Mat,0)),""))</f>
        <v/>
      </c>
      <c r="F1779" s="25"/>
      <c r="G1779" s="25"/>
      <c r="H1779" s="68"/>
      <c r="I1779" s="89"/>
      <c r="J1779" s="31" t="str">
        <f aca="false">IF(B1779="","",IFERROR(INDEX(PE_Taux,MATCH(B1779,PE_Mat,0)),0))</f>
        <v/>
      </c>
      <c r="K1779" s="31" t="str">
        <f aca="false">IF(B1779="","",IF(H1779="A",0,IFERROR(N(I1779)/P_Heures*J1779,0)))</f>
        <v/>
      </c>
      <c r="L1779" s="25"/>
    </row>
    <row r="1780" customFormat="false" ht="15" hidden="false" customHeight="false" outlineLevel="0" collapsed="false">
      <c r="A1780" s="69"/>
      <c r="B1780" s="68"/>
      <c r="C1780" s="76" t="str">
        <f aca="false">IF(B1780="","",IFERROR(INDEX(PE_Nom,MATCH(B1780,PE_Mat,0)),"Matricule inconnu"))</f>
        <v/>
      </c>
      <c r="D1780" s="76" t="str">
        <f aca="false">IF(B1780="","",IFERROR(INDEX(PE_Fonction,MATCH(B1780,PE_Mat,0)),""))</f>
        <v/>
      </c>
      <c r="E1780" s="76" t="str">
        <f aca="false">IF(B1780="","",IFERROR(INDEX(PE_Equipe,MATCH(B1780,PE_Mat,0)),""))</f>
        <v/>
      </c>
      <c r="F1780" s="25"/>
      <c r="G1780" s="25"/>
      <c r="H1780" s="68"/>
      <c r="I1780" s="89"/>
      <c r="J1780" s="31" t="str">
        <f aca="false">IF(B1780="","",IFERROR(INDEX(PE_Taux,MATCH(B1780,PE_Mat,0)),0))</f>
        <v/>
      </c>
      <c r="K1780" s="31" t="str">
        <f aca="false">IF(B1780="","",IF(H1780="A",0,IFERROR(N(I1780)/P_Heures*J1780,0)))</f>
        <v/>
      </c>
      <c r="L1780" s="25"/>
    </row>
    <row r="1781" customFormat="false" ht="15" hidden="false" customHeight="false" outlineLevel="0" collapsed="false">
      <c r="A1781" s="69"/>
      <c r="B1781" s="68"/>
      <c r="C1781" s="76" t="str">
        <f aca="false">IF(B1781="","",IFERROR(INDEX(PE_Nom,MATCH(B1781,PE_Mat,0)),"Matricule inconnu"))</f>
        <v/>
      </c>
      <c r="D1781" s="76" t="str">
        <f aca="false">IF(B1781="","",IFERROR(INDEX(PE_Fonction,MATCH(B1781,PE_Mat,0)),""))</f>
        <v/>
      </c>
      <c r="E1781" s="76" t="str">
        <f aca="false">IF(B1781="","",IFERROR(INDEX(PE_Equipe,MATCH(B1781,PE_Mat,0)),""))</f>
        <v/>
      </c>
      <c r="F1781" s="25"/>
      <c r="G1781" s="25"/>
      <c r="H1781" s="68"/>
      <c r="I1781" s="89"/>
      <c r="J1781" s="31" t="str">
        <f aca="false">IF(B1781="","",IFERROR(INDEX(PE_Taux,MATCH(B1781,PE_Mat,0)),0))</f>
        <v/>
      </c>
      <c r="K1781" s="31" t="str">
        <f aca="false">IF(B1781="","",IF(H1781="A",0,IFERROR(N(I1781)/P_Heures*J1781,0)))</f>
        <v/>
      </c>
      <c r="L1781" s="25"/>
    </row>
    <row r="1782" customFormat="false" ht="15" hidden="false" customHeight="false" outlineLevel="0" collapsed="false">
      <c r="A1782" s="69"/>
      <c r="B1782" s="68"/>
      <c r="C1782" s="76" t="str">
        <f aca="false">IF(B1782="","",IFERROR(INDEX(PE_Nom,MATCH(B1782,PE_Mat,0)),"Matricule inconnu"))</f>
        <v/>
      </c>
      <c r="D1782" s="76" t="str">
        <f aca="false">IF(B1782="","",IFERROR(INDEX(PE_Fonction,MATCH(B1782,PE_Mat,0)),""))</f>
        <v/>
      </c>
      <c r="E1782" s="76" t="str">
        <f aca="false">IF(B1782="","",IFERROR(INDEX(PE_Equipe,MATCH(B1782,PE_Mat,0)),""))</f>
        <v/>
      </c>
      <c r="F1782" s="25"/>
      <c r="G1782" s="25"/>
      <c r="H1782" s="68"/>
      <c r="I1782" s="89"/>
      <c r="J1782" s="31" t="str">
        <f aca="false">IF(B1782="","",IFERROR(INDEX(PE_Taux,MATCH(B1782,PE_Mat,0)),0))</f>
        <v/>
      </c>
      <c r="K1782" s="31" t="str">
        <f aca="false">IF(B1782="","",IF(H1782="A",0,IFERROR(N(I1782)/P_Heures*J1782,0)))</f>
        <v/>
      </c>
      <c r="L1782" s="25"/>
    </row>
    <row r="1783" customFormat="false" ht="15" hidden="false" customHeight="false" outlineLevel="0" collapsed="false">
      <c r="A1783" s="69"/>
      <c r="B1783" s="68"/>
      <c r="C1783" s="76" t="str">
        <f aca="false">IF(B1783="","",IFERROR(INDEX(PE_Nom,MATCH(B1783,PE_Mat,0)),"Matricule inconnu"))</f>
        <v/>
      </c>
      <c r="D1783" s="76" t="str">
        <f aca="false">IF(B1783="","",IFERROR(INDEX(PE_Fonction,MATCH(B1783,PE_Mat,0)),""))</f>
        <v/>
      </c>
      <c r="E1783" s="76" t="str">
        <f aca="false">IF(B1783="","",IFERROR(INDEX(PE_Equipe,MATCH(B1783,PE_Mat,0)),""))</f>
        <v/>
      </c>
      <c r="F1783" s="25"/>
      <c r="G1783" s="25"/>
      <c r="H1783" s="68"/>
      <c r="I1783" s="89"/>
      <c r="J1783" s="31" t="str">
        <f aca="false">IF(B1783="","",IFERROR(INDEX(PE_Taux,MATCH(B1783,PE_Mat,0)),0))</f>
        <v/>
      </c>
      <c r="K1783" s="31" t="str">
        <f aca="false">IF(B1783="","",IF(H1783="A",0,IFERROR(N(I1783)/P_Heures*J1783,0)))</f>
        <v/>
      </c>
      <c r="L1783" s="25"/>
    </row>
    <row r="1784" customFormat="false" ht="15" hidden="false" customHeight="false" outlineLevel="0" collapsed="false">
      <c r="A1784" s="69"/>
      <c r="B1784" s="68"/>
      <c r="C1784" s="76" t="str">
        <f aca="false">IF(B1784="","",IFERROR(INDEX(PE_Nom,MATCH(B1784,PE_Mat,0)),"Matricule inconnu"))</f>
        <v/>
      </c>
      <c r="D1784" s="76" t="str">
        <f aca="false">IF(B1784="","",IFERROR(INDEX(PE_Fonction,MATCH(B1784,PE_Mat,0)),""))</f>
        <v/>
      </c>
      <c r="E1784" s="76" t="str">
        <f aca="false">IF(B1784="","",IFERROR(INDEX(PE_Equipe,MATCH(B1784,PE_Mat,0)),""))</f>
        <v/>
      </c>
      <c r="F1784" s="25"/>
      <c r="G1784" s="25"/>
      <c r="H1784" s="68"/>
      <c r="I1784" s="89"/>
      <c r="J1784" s="31" t="str">
        <f aca="false">IF(B1784="","",IFERROR(INDEX(PE_Taux,MATCH(B1784,PE_Mat,0)),0))</f>
        <v/>
      </c>
      <c r="K1784" s="31" t="str">
        <f aca="false">IF(B1784="","",IF(H1784="A",0,IFERROR(N(I1784)/P_Heures*J1784,0)))</f>
        <v/>
      </c>
      <c r="L1784" s="25"/>
    </row>
    <row r="1785" customFormat="false" ht="15" hidden="false" customHeight="false" outlineLevel="0" collapsed="false">
      <c r="A1785" s="69"/>
      <c r="B1785" s="68"/>
      <c r="C1785" s="76" t="str">
        <f aca="false">IF(B1785="","",IFERROR(INDEX(PE_Nom,MATCH(B1785,PE_Mat,0)),"Matricule inconnu"))</f>
        <v/>
      </c>
      <c r="D1785" s="76" t="str">
        <f aca="false">IF(B1785="","",IFERROR(INDEX(PE_Fonction,MATCH(B1785,PE_Mat,0)),""))</f>
        <v/>
      </c>
      <c r="E1785" s="76" t="str">
        <f aca="false">IF(B1785="","",IFERROR(INDEX(PE_Equipe,MATCH(B1785,PE_Mat,0)),""))</f>
        <v/>
      </c>
      <c r="F1785" s="25"/>
      <c r="G1785" s="25"/>
      <c r="H1785" s="68"/>
      <c r="I1785" s="89"/>
      <c r="J1785" s="31" t="str">
        <f aca="false">IF(B1785="","",IFERROR(INDEX(PE_Taux,MATCH(B1785,PE_Mat,0)),0))</f>
        <v/>
      </c>
      <c r="K1785" s="31" t="str">
        <f aca="false">IF(B1785="","",IF(H1785="A",0,IFERROR(N(I1785)/P_Heures*J1785,0)))</f>
        <v/>
      </c>
      <c r="L1785" s="25"/>
    </row>
    <row r="1786" customFormat="false" ht="15" hidden="false" customHeight="false" outlineLevel="0" collapsed="false">
      <c r="A1786" s="69"/>
      <c r="B1786" s="68"/>
      <c r="C1786" s="76" t="str">
        <f aca="false">IF(B1786="","",IFERROR(INDEX(PE_Nom,MATCH(B1786,PE_Mat,0)),"Matricule inconnu"))</f>
        <v/>
      </c>
      <c r="D1786" s="76" t="str">
        <f aca="false">IF(B1786="","",IFERROR(INDEX(PE_Fonction,MATCH(B1786,PE_Mat,0)),""))</f>
        <v/>
      </c>
      <c r="E1786" s="76" t="str">
        <f aca="false">IF(B1786="","",IFERROR(INDEX(PE_Equipe,MATCH(B1786,PE_Mat,0)),""))</f>
        <v/>
      </c>
      <c r="F1786" s="25"/>
      <c r="G1786" s="25"/>
      <c r="H1786" s="68"/>
      <c r="I1786" s="89"/>
      <c r="J1786" s="31" t="str">
        <f aca="false">IF(B1786="","",IFERROR(INDEX(PE_Taux,MATCH(B1786,PE_Mat,0)),0))</f>
        <v/>
      </c>
      <c r="K1786" s="31" t="str">
        <f aca="false">IF(B1786="","",IF(H1786="A",0,IFERROR(N(I1786)/P_Heures*J1786,0)))</f>
        <v/>
      </c>
      <c r="L1786" s="25"/>
    </row>
    <row r="1787" customFormat="false" ht="15" hidden="false" customHeight="false" outlineLevel="0" collapsed="false">
      <c r="A1787" s="69"/>
      <c r="B1787" s="68"/>
      <c r="C1787" s="76" t="str">
        <f aca="false">IF(B1787="","",IFERROR(INDEX(PE_Nom,MATCH(B1787,PE_Mat,0)),"Matricule inconnu"))</f>
        <v/>
      </c>
      <c r="D1787" s="76" t="str">
        <f aca="false">IF(B1787="","",IFERROR(INDEX(PE_Fonction,MATCH(B1787,PE_Mat,0)),""))</f>
        <v/>
      </c>
      <c r="E1787" s="76" t="str">
        <f aca="false">IF(B1787="","",IFERROR(INDEX(PE_Equipe,MATCH(B1787,PE_Mat,0)),""))</f>
        <v/>
      </c>
      <c r="F1787" s="25"/>
      <c r="G1787" s="25"/>
      <c r="H1787" s="68"/>
      <c r="I1787" s="89"/>
      <c r="J1787" s="31" t="str">
        <f aca="false">IF(B1787="","",IFERROR(INDEX(PE_Taux,MATCH(B1787,PE_Mat,0)),0))</f>
        <v/>
      </c>
      <c r="K1787" s="31" t="str">
        <f aca="false">IF(B1787="","",IF(H1787="A",0,IFERROR(N(I1787)/P_Heures*J1787,0)))</f>
        <v/>
      </c>
      <c r="L1787" s="25"/>
    </row>
    <row r="1788" customFormat="false" ht="15" hidden="false" customHeight="false" outlineLevel="0" collapsed="false">
      <c r="A1788" s="69"/>
      <c r="B1788" s="68"/>
      <c r="C1788" s="76" t="str">
        <f aca="false">IF(B1788="","",IFERROR(INDEX(PE_Nom,MATCH(B1788,PE_Mat,0)),"Matricule inconnu"))</f>
        <v/>
      </c>
      <c r="D1788" s="76" t="str">
        <f aca="false">IF(B1788="","",IFERROR(INDEX(PE_Fonction,MATCH(B1788,PE_Mat,0)),""))</f>
        <v/>
      </c>
      <c r="E1788" s="76" t="str">
        <f aca="false">IF(B1788="","",IFERROR(INDEX(PE_Equipe,MATCH(B1788,PE_Mat,0)),""))</f>
        <v/>
      </c>
      <c r="F1788" s="25"/>
      <c r="G1788" s="25"/>
      <c r="H1788" s="68"/>
      <c r="I1788" s="89"/>
      <c r="J1788" s="31" t="str">
        <f aca="false">IF(B1788="","",IFERROR(INDEX(PE_Taux,MATCH(B1788,PE_Mat,0)),0))</f>
        <v/>
      </c>
      <c r="K1788" s="31" t="str">
        <f aca="false">IF(B1788="","",IF(H1788="A",0,IFERROR(N(I1788)/P_Heures*J1788,0)))</f>
        <v/>
      </c>
      <c r="L1788" s="25"/>
    </row>
    <row r="1789" customFormat="false" ht="15" hidden="false" customHeight="false" outlineLevel="0" collapsed="false">
      <c r="A1789" s="69"/>
      <c r="B1789" s="68"/>
      <c r="C1789" s="76" t="str">
        <f aca="false">IF(B1789="","",IFERROR(INDEX(PE_Nom,MATCH(B1789,PE_Mat,0)),"Matricule inconnu"))</f>
        <v/>
      </c>
      <c r="D1789" s="76" t="str">
        <f aca="false">IF(B1789="","",IFERROR(INDEX(PE_Fonction,MATCH(B1789,PE_Mat,0)),""))</f>
        <v/>
      </c>
      <c r="E1789" s="76" t="str">
        <f aca="false">IF(B1789="","",IFERROR(INDEX(PE_Equipe,MATCH(B1789,PE_Mat,0)),""))</f>
        <v/>
      </c>
      <c r="F1789" s="25"/>
      <c r="G1789" s="25"/>
      <c r="H1789" s="68"/>
      <c r="I1789" s="89"/>
      <c r="J1789" s="31" t="str">
        <f aca="false">IF(B1789="","",IFERROR(INDEX(PE_Taux,MATCH(B1789,PE_Mat,0)),0))</f>
        <v/>
      </c>
      <c r="K1789" s="31" t="str">
        <f aca="false">IF(B1789="","",IF(H1789="A",0,IFERROR(N(I1789)/P_Heures*J1789,0)))</f>
        <v/>
      </c>
      <c r="L1789" s="25"/>
    </row>
    <row r="1790" customFormat="false" ht="15" hidden="false" customHeight="false" outlineLevel="0" collapsed="false">
      <c r="A1790" s="69"/>
      <c r="B1790" s="68"/>
      <c r="C1790" s="76" t="str">
        <f aca="false">IF(B1790="","",IFERROR(INDEX(PE_Nom,MATCH(B1790,PE_Mat,0)),"Matricule inconnu"))</f>
        <v/>
      </c>
      <c r="D1790" s="76" t="str">
        <f aca="false">IF(B1790="","",IFERROR(INDEX(PE_Fonction,MATCH(B1790,PE_Mat,0)),""))</f>
        <v/>
      </c>
      <c r="E1790" s="76" t="str">
        <f aca="false">IF(B1790="","",IFERROR(INDEX(PE_Equipe,MATCH(B1790,PE_Mat,0)),""))</f>
        <v/>
      </c>
      <c r="F1790" s="25"/>
      <c r="G1790" s="25"/>
      <c r="H1790" s="68"/>
      <c r="I1790" s="89"/>
      <c r="J1790" s="31" t="str">
        <f aca="false">IF(B1790="","",IFERROR(INDEX(PE_Taux,MATCH(B1790,PE_Mat,0)),0))</f>
        <v/>
      </c>
      <c r="K1790" s="31" t="str">
        <f aca="false">IF(B1790="","",IF(H1790="A",0,IFERROR(N(I1790)/P_Heures*J1790,0)))</f>
        <v/>
      </c>
      <c r="L1790" s="25"/>
    </row>
    <row r="1791" customFormat="false" ht="15" hidden="false" customHeight="false" outlineLevel="0" collapsed="false">
      <c r="A1791" s="69"/>
      <c r="B1791" s="68"/>
      <c r="C1791" s="76" t="str">
        <f aca="false">IF(B1791="","",IFERROR(INDEX(PE_Nom,MATCH(B1791,PE_Mat,0)),"Matricule inconnu"))</f>
        <v/>
      </c>
      <c r="D1791" s="76" t="str">
        <f aca="false">IF(B1791="","",IFERROR(INDEX(PE_Fonction,MATCH(B1791,PE_Mat,0)),""))</f>
        <v/>
      </c>
      <c r="E1791" s="76" t="str">
        <f aca="false">IF(B1791="","",IFERROR(INDEX(PE_Equipe,MATCH(B1791,PE_Mat,0)),""))</f>
        <v/>
      </c>
      <c r="F1791" s="25"/>
      <c r="G1791" s="25"/>
      <c r="H1791" s="68"/>
      <c r="I1791" s="89"/>
      <c r="J1791" s="31" t="str">
        <f aca="false">IF(B1791="","",IFERROR(INDEX(PE_Taux,MATCH(B1791,PE_Mat,0)),0))</f>
        <v/>
      </c>
      <c r="K1791" s="31" t="str">
        <f aca="false">IF(B1791="","",IF(H1791="A",0,IFERROR(N(I1791)/P_Heures*J1791,0)))</f>
        <v/>
      </c>
      <c r="L1791" s="25"/>
    </row>
    <row r="1792" customFormat="false" ht="15" hidden="false" customHeight="false" outlineLevel="0" collapsed="false">
      <c r="A1792" s="69"/>
      <c r="B1792" s="68"/>
      <c r="C1792" s="76" t="str">
        <f aca="false">IF(B1792="","",IFERROR(INDEX(PE_Nom,MATCH(B1792,PE_Mat,0)),"Matricule inconnu"))</f>
        <v/>
      </c>
      <c r="D1792" s="76" t="str">
        <f aca="false">IF(B1792="","",IFERROR(INDEX(PE_Fonction,MATCH(B1792,PE_Mat,0)),""))</f>
        <v/>
      </c>
      <c r="E1792" s="76" t="str">
        <f aca="false">IF(B1792="","",IFERROR(INDEX(PE_Equipe,MATCH(B1792,PE_Mat,0)),""))</f>
        <v/>
      </c>
      <c r="F1792" s="25"/>
      <c r="G1792" s="25"/>
      <c r="H1792" s="68"/>
      <c r="I1792" s="89"/>
      <c r="J1792" s="31" t="str">
        <f aca="false">IF(B1792="","",IFERROR(INDEX(PE_Taux,MATCH(B1792,PE_Mat,0)),0))</f>
        <v/>
      </c>
      <c r="K1792" s="31" t="str">
        <f aca="false">IF(B1792="","",IF(H1792="A",0,IFERROR(N(I1792)/P_Heures*J1792,0)))</f>
        <v/>
      </c>
      <c r="L1792" s="25"/>
    </row>
    <row r="1793" customFormat="false" ht="15" hidden="false" customHeight="false" outlineLevel="0" collapsed="false">
      <c r="A1793" s="69"/>
      <c r="B1793" s="68"/>
      <c r="C1793" s="76" t="str">
        <f aca="false">IF(B1793="","",IFERROR(INDEX(PE_Nom,MATCH(B1793,PE_Mat,0)),"Matricule inconnu"))</f>
        <v/>
      </c>
      <c r="D1793" s="76" t="str">
        <f aca="false">IF(B1793="","",IFERROR(INDEX(PE_Fonction,MATCH(B1793,PE_Mat,0)),""))</f>
        <v/>
      </c>
      <c r="E1793" s="76" t="str">
        <f aca="false">IF(B1793="","",IFERROR(INDEX(PE_Equipe,MATCH(B1793,PE_Mat,0)),""))</f>
        <v/>
      </c>
      <c r="F1793" s="25"/>
      <c r="G1793" s="25"/>
      <c r="H1793" s="68"/>
      <c r="I1793" s="89"/>
      <c r="J1793" s="31" t="str">
        <f aca="false">IF(B1793="","",IFERROR(INDEX(PE_Taux,MATCH(B1793,PE_Mat,0)),0))</f>
        <v/>
      </c>
      <c r="K1793" s="31" t="str">
        <f aca="false">IF(B1793="","",IF(H1793="A",0,IFERROR(N(I1793)/P_Heures*J1793,0)))</f>
        <v/>
      </c>
      <c r="L1793" s="25"/>
    </row>
    <row r="1794" customFormat="false" ht="15" hidden="false" customHeight="false" outlineLevel="0" collapsed="false">
      <c r="A1794" s="69"/>
      <c r="B1794" s="68"/>
      <c r="C1794" s="76" t="str">
        <f aca="false">IF(B1794="","",IFERROR(INDEX(PE_Nom,MATCH(B1794,PE_Mat,0)),"Matricule inconnu"))</f>
        <v/>
      </c>
      <c r="D1794" s="76" t="str">
        <f aca="false">IF(B1794="","",IFERROR(INDEX(PE_Fonction,MATCH(B1794,PE_Mat,0)),""))</f>
        <v/>
      </c>
      <c r="E1794" s="76" t="str">
        <f aca="false">IF(B1794="","",IFERROR(INDEX(PE_Equipe,MATCH(B1794,PE_Mat,0)),""))</f>
        <v/>
      </c>
      <c r="F1794" s="25"/>
      <c r="G1794" s="25"/>
      <c r="H1794" s="68"/>
      <c r="I1794" s="89"/>
      <c r="J1794" s="31" t="str">
        <f aca="false">IF(B1794="","",IFERROR(INDEX(PE_Taux,MATCH(B1794,PE_Mat,0)),0))</f>
        <v/>
      </c>
      <c r="K1794" s="31" t="str">
        <f aca="false">IF(B1794="","",IF(H1794="A",0,IFERROR(N(I1794)/P_Heures*J1794,0)))</f>
        <v/>
      </c>
      <c r="L1794" s="25"/>
    </row>
    <row r="1795" customFormat="false" ht="15" hidden="false" customHeight="false" outlineLevel="0" collapsed="false">
      <c r="A1795" s="69"/>
      <c r="B1795" s="68"/>
      <c r="C1795" s="76" t="str">
        <f aca="false">IF(B1795="","",IFERROR(INDEX(PE_Nom,MATCH(B1795,PE_Mat,0)),"Matricule inconnu"))</f>
        <v/>
      </c>
      <c r="D1795" s="76" t="str">
        <f aca="false">IF(B1795="","",IFERROR(INDEX(PE_Fonction,MATCH(B1795,PE_Mat,0)),""))</f>
        <v/>
      </c>
      <c r="E1795" s="76" t="str">
        <f aca="false">IF(B1795="","",IFERROR(INDEX(PE_Equipe,MATCH(B1795,PE_Mat,0)),""))</f>
        <v/>
      </c>
      <c r="F1795" s="25"/>
      <c r="G1795" s="25"/>
      <c r="H1795" s="68"/>
      <c r="I1795" s="89"/>
      <c r="J1795" s="31" t="str">
        <f aca="false">IF(B1795="","",IFERROR(INDEX(PE_Taux,MATCH(B1795,PE_Mat,0)),0))</f>
        <v/>
      </c>
      <c r="K1795" s="31" t="str">
        <f aca="false">IF(B1795="","",IF(H1795="A",0,IFERROR(N(I1795)/P_Heures*J1795,0)))</f>
        <v/>
      </c>
      <c r="L1795" s="25"/>
    </row>
    <row r="1796" customFormat="false" ht="15" hidden="false" customHeight="false" outlineLevel="0" collapsed="false">
      <c r="A1796" s="69"/>
      <c r="B1796" s="68"/>
      <c r="C1796" s="76" t="str">
        <f aca="false">IF(B1796="","",IFERROR(INDEX(PE_Nom,MATCH(B1796,PE_Mat,0)),"Matricule inconnu"))</f>
        <v/>
      </c>
      <c r="D1796" s="76" t="str">
        <f aca="false">IF(B1796="","",IFERROR(INDEX(PE_Fonction,MATCH(B1796,PE_Mat,0)),""))</f>
        <v/>
      </c>
      <c r="E1796" s="76" t="str">
        <f aca="false">IF(B1796="","",IFERROR(INDEX(PE_Equipe,MATCH(B1796,PE_Mat,0)),""))</f>
        <v/>
      </c>
      <c r="F1796" s="25"/>
      <c r="G1796" s="25"/>
      <c r="H1796" s="68"/>
      <c r="I1796" s="89"/>
      <c r="J1796" s="31" t="str">
        <f aca="false">IF(B1796="","",IFERROR(INDEX(PE_Taux,MATCH(B1796,PE_Mat,0)),0))</f>
        <v/>
      </c>
      <c r="K1796" s="31" t="str">
        <f aca="false">IF(B1796="","",IF(H1796="A",0,IFERROR(N(I1796)/P_Heures*J1796,0)))</f>
        <v/>
      </c>
      <c r="L1796" s="25"/>
    </row>
    <row r="1797" customFormat="false" ht="15" hidden="false" customHeight="false" outlineLevel="0" collapsed="false">
      <c r="A1797" s="69"/>
      <c r="B1797" s="68"/>
      <c r="C1797" s="76" t="str">
        <f aca="false">IF(B1797="","",IFERROR(INDEX(PE_Nom,MATCH(B1797,PE_Mat,0)),"Matricule inconnu"))</f>
        <v/>
      </c>
      <c r="D1797" s="76" t="str">
        <f aca="false">IF(B1797="","",IFERROR(INDEX(PE_Fonction,MATCH(B1797,PE_Mat,0)),""))</f>
        <v/>
      </c>
      <c r="E1797" s="76" t="str">
        <f aca="false">IF(B1797="","",IFERROR(INDEX(PE_Equipe,MATCH(B1797,PE_Mat,0)),""))</f>
        <v/>
      </c>
      <c r="F1797" s="25"/>
      <c r="G1797" s="25"/>
      <c r="H1797" s="68"/>
      <c r="I1797" s="89"/>
      <c r="J1797" s="31" t="str">
        <f aca="false">IF(B1797="","",IFERROR(INDEX(PE_Taux,MATCH(B1797,PE_Mat,0)),0))</f>
        <v/>
      </c>
      <c r="K1797" s="31" t="str">
        <f aca="false">IF(B1797="","",IF(H1797="A",0,IFERROR(N(I1797)/P_Heures*J1797,0)))</f>
        <v/>
      </c>
      <c r="L1797" s="25"/>
    </row>
    <row r="1798" customFormat="false" ht="15" hidden="false" customHeight="false" outlineLevel="0" collapsed="false">
      <c r="A1798" s="69"/>
      <c r="B1798" s="68"/>
      <c r="C1798" s="76" t="str">
        <f aca="false">IF(B1798="","",IFERROR(INDEX(PE_Nom,MATCH(B1798,PE_Mat,0)),"Matricule inconnu"))</f>
        <v/>
      </c>
      <c r="D1798" s="76" t="str">
        <f aca="false">IF(B1798="","",IFERROR(INDEX(PE_Fonction,MATCH(B1798,PE_Mat,0)),""))</f>
        <v/>
      </c>
      <c r="E1798" s="76" t="str">
        <f aca="false">IF(B1798="","",IFERROR(INDEX(PE_Equipe,MATCH(B1798,PE_Mat,0)),""))</f>
        <v/>
      </c>
      <c r="F1798" s="25"/>
      <c r="G1798" s="25"/>
      <c r="H1798" s="68"/>
      <c r="I1798" s="89"/>
      <c r="J1798" s="31" t="str">
        <f aca="false">IF(B1798="","",IFERROR(INDEX(PE_Taux,MATCH(B1798,PE_Mat,0)),0))</f>
        <v/>
      </c>
      <c r="K1798" s="31" t="str">
        <f aca="false">IF(B1798="","",IF(H1798="A",0,IFERROR(N(I1798)/P_Heures*J1798,0)))</f>
        <v/>
      </c>
      <c r="L1798" s="25"/>
    </row>
    <row r="1799" customFormat="false" ht="15" hidden="false" customHeight="false" outlineLevel="0" collapsed="false">
      <c r="A1799" s="69"/>
      <c r="B1799" s="68"/>
      <c r="C1799" s="76" t="str">
        <f aca="false">IF(B1799="","",IFERROR(INDEX(PE_Nom,MATCH(B1799,PE_Mat,0)),"Matricule inconnu"))</f>
        <v/>
      </c>
      <c r="D1799" s="76" t="str">
        <f aca="false">IF(B1799="","",IFERROR(INDEX(PE_Fonction,MATCH(B1799,PE_Mat,0)),""))</f>
        <v/>
      </c>
      <c r="E1799" s="76" t="str">
        <f aca="false">IF(B1799="","",IFERROR(INDEX(PE_Equipe,MATCH(B1799,PE_Mat,0)),""))</f>
        <v/>
      </c>
      <c r="F1799" s="25"/>
      <c r="G1799" s="25"/>
      <c r="H1799" s="68"/>
      <c r="I1799" s="89"/>
      <c r="J1799" s="31" t="str">
        <f aca="false">IF(B1799="","",IFERROR(INDEX(PE_Taux,MATCH(B1799,PE_Mat,0)),0))</f>
        <v/>
      </c>
      <c r="K1799" s="31" t="str">
        <f aca="false">IF(B1799="","",IF(H1799="A",0,IFERROR(N(I1799)/P_Heures*J1799,0)))</f>
        <v/>
      </c>
      <c r="L1799" s="25"/>
    </row>
    <row r="1800" customFormat="false" ht="15" hidden="false" customHeight="false" outlineLevel="0" collapsed="false">
      <c r="A1800" s="69"/>
      <c r="B1800" s="68"/>
      <c r="C1800" s="76" t="str">
        <f aca="false">IF(B1800="","",IFERROR(INDEX(PE_Nom,MATCH(B1800,PE_Mat,0)),"Matricule inconnu"))</f>
        <v/>
      </c>
      <c r="D1800" s="76" t="str">
        <f aca="false">IF(B1800="","",IFERROR(INDEX(PE_Fonction,MATCH(B1800,PE_Mat,0)),""))</f>
        <v/>
      </c>
      <c r="E1800" s="76" t="str">
        <f aca="false">IF(B1800="","",IFERROR(INDEX(PE_Equipe,MATCH(B1800,PE_Mat,0)),""))</f>
        <v/>
      </c>
      <c r="F1800" s="25"/>
      <c r="G1800" s="25"/>
      <c r="H1800" s="68"/>
      <c r="I1800" s="89"/>
      <c r="J1800" s="31" t="str">
        <f aca="false">IF(B1800="","",IFERROR(INDEX(PE_Taux,MATCH(B1800,PE_Mat,0)),0))</f>
        <v/>
      </c>
      <c r="K1800" s="31" t="str">
        <f aca="false">IF(B1800="","",IF(H1800="A",0,IFERROR(N(I1800)/P_Heures*J1800,0)))</f>
        <v/>
      </c>
      <c r="L1800" s="25"/>
    </row>
    <row r="1801" customFormat="false" ht="15" hidden="false" customHeight="false" outlineLevel="0" collapsed="false">
      <c r="A1801" s="69"/>
      <c r="B1801" s="68"/>
      <c r="C1801" s="76" t="str">
        <f aca="false">IF(B1801="","",IFERROR(INDEX(PE_Nom,MATCH(B1801,PE_Mat,0)),"Matricule inconnu"))</f>
        <v/>
      </c>
      <c r="D1801" s="76" t="str">
        <f aca="false">IF(B1801="","",IFERROR(INDEX(PE_Fonction,MATCH(B1801,PE_Mat,0)),""))</f>
        <v/>
      </c>
      <c r="E1801" s="76" t="str">
        <f aca="false">IF(B1801="","",IFERROR(INDEX(PE_Equipe,MATCH(B1801,PE_Mat,0)),""))</f>
        <v/>
      </c>
      <c r="F1801" s="25"/>
      <c r="G1801" s="25"/>
      <c r="H1801" s="68"/>
      <c r="I1801" s="89"/>
      <c r="J1801" s="31" t="str">
        <f aca="false">IF(B1801="","",IFERROR(INDEX(PE_Taux,MATCH(B1801,PE_Mat,0)),0))</f>
        <v/>
      </c>
      <c r="K1801" s="31" t="str">
        <f aca="false">IF(B1801="","",IF(H1801="A",0,IFERROR(N(I1801)/P_Heures*J1801,0)))</f>
        <v/>
      </c>
      <c r="L1801" s="25"/>
    </row>
    <row r="1802" customFormat="false" ht="15" hidden="false" customHeight="false" outlineLevel="0" collapsed="false">
      <c r="A1802" s="69"/>
      <c r="B1802" s="68"/>
      <c r="C1802" s="76" t="str">
        <f aca="false">IF(B1802="","",IFERROR(INDEX(PE_Nom,MATCH(B1802,PE_Mat,0)),"Matricule inconnu"))</f>
        <v/>
      </c>
      <c r="D1802" s="76" t="str">
        <f aca="false">IF(B1802="","",IFERROR(INDEX(PE_Fonction,MATCH(B1802,PE_Mat,0)),""))</f>
        <v/>
      </c>
      <c r="E1802" s="76" t="str">
        <f aca="false">IF(B1802="","",IFERROR(INDEX(PE_Equipe,MATCH(B1802,PE_Mat,0)),""))</f>
        <v/>
      </c>
      <c r="F1802" s="25"/>
      <c r="G1802" s="25"/>
      <c r="H1802" s="68"/>
      <c r="I1802" s="89"/>
      <c r="J1802" s="31" t="str">
        <f aca="false">IF(B1802="","",IFERROR(INDEX(PE_Taux,MATCH(B1802,PE_Mat,0)),0))</f>
        <v/>
      </c>
      <c r="K1802" s="31" t="str">
        <f aca="false">IF(B1802="","",IF(H1802="A",0,IFERROR(N(I1802)/P_Heures*J1802,0)))</f>
        <v/>
      </c>
      <c r="L1802" s="25"/>
    </row>
    <row r="1803" customFormat="false" ht="15" hidden="false" customHeight="false" outlineLevel="0" collapsed="false">
      <c r="A1803" s="69"/>
      <c r="B1803" s="68"/>
      <c r="C1803" s="76" t="str">
        <f aca="false">IF(B1803="","",IFERROR(INDEX(PE_Nom,MATCH(B1803,PE_Mat,0)),"Matricule inconnu"))</f>
        <v/>
      </c>
      <c r="D1803" s="76" t="str">
        <f aca="false">IF(B1803="","",IFERROR(INDEX(PE_Fonction,MATCH(B1803,PE_Mat,0)),""))</f>
        <v/>
      </c>
      <c r="E1803" s="76" t="str">
        <f aca="false">IF(B1803="","",IFERROR(INDEX(PE_Equipe,MATCH(B1803,PE_Mat,0)),""))</f>
        <v/>
      </c>
      <c r="F1803" s="25"/>
      <c r="G1803" s="25"/>
      <c r="H1803" s="68"/>
      <c r="I1803" s="89"/>
      <c r="J1803" s="31" t="str">
        <f aca="false">IF(B1803="","",IFERROR(INDEX(PE_Taux,MATCH(B1803,PE_Mat,0)),0))</f>
        <v/>
      </c>
      <c r="K1803" s="31" t="str">
        <f aca="false">IF(B1803="","",IF(H1803="A",0,IFERROR(N(I1803)/P_Heures*J1803,0)))</f>
        <v/>
      </c>
      <c r="L1803" s="25"/>
    </row>
    <row r="1804" customFormat="false" ht="15" hidden="false" customHeight="false" outlineLevel="0" collapsed="false">
      <c r="A1804" s="69"/>
      <c r="B1804" s="68"/>
      <c r="C1804" s="76" t="str">
        <f aca="false">IF(B1804="","",IFERROR(INDEX(PE_Nom,MATCH(B1804,PE_Mat,0)),"Matricule inconnu"))</f>
        <v/>
      </c>
      <c r="D1804" s="76" t="str">
        <f aca="false">IF(B1804="","",IFERROR(INDEX(PE_Fonction,MATCH(B1804,PE_Mat,0)),""))</f>
        <v/>
      </c>
      <c r="E1804" s="76" t="str">
        <f aca="false">IF(B1804="","",IFERROR(INDEX(PE_Equipe,MATCH(B1804,PE_Mat,0)),""))</f>
        <v/>
      </c>
      <c r="F1804" s="25"/>
      <c r="G1804" s="25"/>
      <c r="H1804" s="68"/>
      <c r="I1804" s="89"/>
      <c r="J1804" s="31" t="str">
        <f aca="false">IF(B1804="","",IFERROR(INDEX(PE_Taux,MATCH(B1804,PE_Mat,0)),0))</f>
        <v/>
      </c>
      <c r="K1804" s="31" t="str">
        <f aca="false">IF(B1804="","",IF(H1804="A",0,IFERROR(N(I1804)/P_Heures*J1804,0)))</f>
        <v/>
      </c>
      <c r="L1804" s="25"/>
    </row>
    <row r="1805" customFormat="false" ht="15" hidden="false" customHeight="false" outlineLevel="0" collapsed="false">
      <c r="A1805" s="69"/>
      <c r="B1805" s="68"/>
      <c r="C1805" s="76" t="str">
        <f aca="false">IF(B1805="","",IFERROR(INDEX(PE_Nom,MATCH(B1805,PE_Mat,0)),"Matricule inconnu"))</f>
        <v/>
      </c>
      <c r="D1805" s="76" t="str">
        <f aca="false">IF(B1805="","",IFERROR(INDEX(PE_Fonction,MATCH(B1805,PE_Mat,0)),""))</f>
        <v/>
      </c>
      <c r="E1805" s="76" t="str">
        <f aca="false">IF(B1805="","",IFERROR(INDEX(PE_Equipe,MATCH(B1805,PE_Mat,0)),""))</f>
        <v/>
      </c>
      <c r="F1805" s="25"/>
      <c r="G1805" s="25"/>
      <c r="H1805" s="68"/>
      <c r="I1805" s="89"/>
      <c r="J1805" s="31" t="str">
        <f aca="false">IF(B1805="","",IFERROR(INDEX(PE_Taux,MATCH(B1805,PE_Mat,0)),0))</f>
        <v/>
      </c>
      <c r="K1805" s="31" t="str">
        <f aca="false">IF(B1805="","",IF(H1805="A",0,IFERROR(N(I1805)/P_Heures*J1805,0)))</f>
        <v/>
      </c>
      <c r="L1805" s="25"/>
    </row>
    <row r="1806" customFormat="false" ht="15" hidden="false" customHeight="false" outlineLevel="0" collapsed="false">
      <c r="A1806" s="69"/>
      <c r="B1806" s="68"/>
      <c r="C1806" s="76" t="str">
        <f aca="false">IF(B1806="","",IFERROR(INDEX(PE_Nom,MATCH(B1806,PE_Mat,0)),"Matricule inconnu"))</f>
        <v/>
      </c>
      <c r="D1806" s="76" t="str">
        <f aca="false">IF(B1806="","",IFERROR(INDEX(PE_Fonction,MATCH(B1806,PE_Mat,0)),""))</f>
        <v/>
      </c>
      <c r="E1806" s="76" t="str">
        <f aca="false">IF(B1806="","",IFERROR(INDEX(PE_Equipe,MATCH(B1806,PE_Mat,0)),""))</f>
        <v/>
      </c>
      <c r="F1806" s="25"/>
      <c r="G1806" s="25"/>
      <c r="H1806" s="68"/>
      <c r="I1806" s="89"/>
      <c r="J1806" s="31" t="str">
        <f aca="false">IF(B1806="","",IFERROR(INDEX(PE_Taux,MATCH(B1806,PE_Mat,0)),0))</f>
        <v/>
      </c>
      <c r="K1806" s="31" t="str">
        <f aca="false">IF(B1806="","",IF(H1806="A",0,IFERROR(N(I1806)/P_Heures*J1806,0)))</f>
        <v/>
      </c>
      <c r="L1806" s="25"/>
    </row>
    <row r="1807" customFormat="false" ht="15" hidden="false" customHeight="false" outlineLevel="0" collapsed="false">
      <c r="A1807" s="69"/>
      <c r="B1807" s="68"/>
      <c r="C1807" s="76" t="str">
        <f aca="false">IF(B1807="","",IFERROR(INDEX(PE_Nom,MATCH(B1807,PE_Mat,0)),"Matricule inconnu"))</f>
        <v/>
      </c>
      <c r="D1807" s="76" t="str">
        <f aca="false">IF(B1807="","",IFERROR(INDEX(PE_Fonction,MATCH(B1807,PE_Mat,0)),""))</f>
        <v/>
      </c>
      <c r="E1807" s="76" t="str">
        <f aca="false">IF(B1807="","",IFERROR(INDEX(PE_Equipe,MATCH(B1807,PE_Mat,0)),""))</f>
        <v/>
      </c>
      <c r="F1807" s="25"/>
      <c r="G1807" s="25"/>
      <c r="H1807" s="68"/>
      <c r="I1807" s="89"/>
      <c r="J1807" s="31" t="str">
        <f aca="false">IF(B1807="","",IFERROR(INDEX(PE_Taux,MATCH(B1807,PE_Mat,0)),0))</f>
        <v/>
      </c>
      <c r="K1807" s="31" t="str">
        <f aca="false">IF(B1807="","",IF(H1807="A",0,IFERROR(N(I1807)/P_Heures*J1807,0)))</f>
        <v/>
      </c>
      <c r="L1807" s="25"/>
    </row>
    <row r="1808" customFormat="false" ht="15" hidden="false" customHeight="false" outlineLevel="0" collapsed="false">
      <c r="A1808" s="69"/>
      <c r="B1808" s="68"/>
      <c r="C1808" s="76" t="str">
        <f aca="false">IF(B1808="","",IFERROR(INDEX(PE_Nom,MATCH(B1808,PE_Mat,0)),"Matricule inconnu"))</f>
        <v/>
      </c>
      <c r="D1808" s="76" t="str">
        <f aca="false">IF(B1808="","",IFERROR(INDEX(PE_Fonction,MATCH(B1808,PE_Mat,0)),""))</f>
        <v/>
      </c>
      <c r="E1808" s="76" t="str">
        <f aca="false">IF(B1808="","",IFERROR(INDEX(PE_Equipe,MATCH(B1808,PE_Mat,0)),""))</f>
        <v/>
      </c>
      <c r="F1808" s="25"/>
      <c r="G1808" s="25"/>
      <c r="H1808" s="68"/>
      <c r="I1808" s="89"/>
      <c r="J1808" s="31" t="str">
        <f aca="false">IF(B1808="","",IFERROR(INDEX(PE_Taux,MATCH(B1808,PE_Mat,0)),0))</f>
        <v/>
      </c>
      <c r="K1808" s="31" t="str">
        <f aca="false">IF(B1808="","",IF(H1808="A",0,IFERROR(N(I1808)/P_Heures*J1808,0)))</f>
        <v/>
      </c>
      <c r="L1808" s="25"/>
    </row>
    <row r="1809" customFormat="false" ht="15" hidden="false" customHeight="false" outlineLevel="0" collapsed="false">
      <c r="A1809" s="69"/>
      <c r="B1809" s="68"/>
      <c r="C1809" s="76" t="str">
        <f aca="false">IF(B1809="","",IFERROR(INDEX(PE_Nom,MATCH(B1809,PE_Mat,0)),"Matricule inconnu"))</f>
        <v/>
      </c>
      <c r="D1809" s="76" t="str">
        <f aca="false">IF(B1809="","",IFERROR(INDEX(PE_Fonction,MATCH(B1809,PE_Mat,0)),""))</f>
        <v/>
      </c>
      <c r="E1809" s="76" t="str">
        <f aca="false">IF(B1809="","",IFERROR(INDEX(PE_Equipe,MATCH(B1809,PE_Mat,0)),""))</f>
        <v/>
      </c>
      <c r="F1809" s="25"/>
      <c r="G1809" s="25"/>
      <c r="H1809" s="68"/>
      <c r="I1809" s="89"/>
      <c r="J1809" s="31" t="str">
        <f aca="false">IF(B1809="","",IFERROR(INDEX(PE_Taux,MATCH(B1809,PE_Mat,0)),0))</f>
        <v/>
      </c>
      <c r="K1809" s="31" t="str">
        <f aca="false">IF(B1809="","",IF(H1809="A",0,IFERROR(N(I1809)/P_Heures*J1809,0)))</f>
        <v/>
      </c>
      <c r="L1809" s="25"/>
    </row>
    <row r="1810" customFormat="false" ht="15" hidden="false" customHeight="false" outlineLevel="0" collapsed="false">
      <c r="A1810" s="69"/>
      <c r="B1810" s="68"/>
      <c r="C1810" s="76" t="str">
        <f aca="false">IF(B1810="","",IFERROR(INDEX(PE_Nom,MATCH(B1810,PE_Mat,0)),"Matricule inconnu"))</f>
        <v/>
      </c>
      <c r="D1810" s="76" t="str">
        <f aca="false">IF(B1810="","",IFERROR(INDEX(PE_Fonction,MATCH(B1810,PE_Mat,0)),""))</f>
        <v/>
      </c>
      <c r="E1810" s="76" t="str">
        <f aca="false">IF(B1810="","",IFERROR(INDEX(PE_Equipe,MATCH(B1810,PE_Mat,0)),""))</f>
        <v/>
      </c>
      <c r="F1810" s="25"/>
      <c r="G1810" s="25"/>
      <c r="H1810" s="68"/>
      <c r="I1810" s="89"/>
      <c r="J1810" s="31" t="str">
        <f aca="false">IF(B1810="","",IFERROR(INDEX(PE_Taux,MATCH(B1810,PE_Mat,0)),0))</f>
        <v/>
      </c>
      <c r="K1810" s="31" t="str">
        <f aca="false">IF(B1810="","",IF(H1810="A",0,IFERROR(N(I1810)/P_Heures*J1810,0)))</f>
        <v/>
      </c>
      <c r="L1810" s="25"/>
    </row>
    <row r="1811" customFormat="false" ht="15" hidden="false" customHeight="false" outlineLevel="0" collapsed="false">
      <c r="A1811" s="69"/>
      <c r="B1811" s="68"/>
      <c r="C1811" s="76" t="str">
        <f aca="false">IF(B1811="","",IFERROR(INDEX(PE_Nom,MATCH(B1811,PE_Mat,0)),"Matricule inconnu"))</f>
        <v/>
      </c>
      <c r="D1811" s="76" t="str">
        <f aca="false">IF(B1811="","",IFERROR(INDEX(PE_Fonction,MATCH(B1811,PE_Mat,0)),""))</f>
        <v/>
      </c>
      <c r="E1811" s="76" t="str">
        <f aca="false">IF(B1811="","",IFERROR(INDEX(PE_Equipe,MATCH(B1811,PE_Mat,0)),""))</f>
        <v/>
      </c>
      <c r="F1811" s="25"/>
      <c r="G1811" s="25"/>
      <c r="H1811" s="68"/>
      <c r="I1811" s="89"/>
      <c r="J1811" s="31" t="str">
        <f aca="false">IF(B1811="","",IFERROR(INDEX(PE_Taux,MATCH(B1811,PE_Mat,0)),0))</f>
        <v/>
      </c>
      <c r="K1811" s="31" t="str">
        <f aca="false">IF(B1811="","",IF(H1811="A",0,IFERROR(N(I1811)/P_Heures*J1811,0)))</f>
        <v/>
      </c>
      <c r="L1811" s="25"/>
    </row>
    <row r="1812" customFormat="false" ht="15" hidden="false" customHeight="false" outlineLevel="0" collapsed="false">
      <c r="A1812" s="69"/>
      <c r="B1812" s="68"/>
      <c r="C1812" s="76" t="str">
        <f aca="false">IF(B1812="","",IFERROR(INDEX(PE_Nom,MATCH(B1812,PE_Mat,0)),"Matricule inconnu"))</f>
        <v/>
      </c>
      <c r="D1812" s="76" t="str">
        <f aca="false">IF(B1812="","",IFERROR(INDEX(PE_Fonction,MATCH(B1812,PE_Mat,0)),""))</f>
        <v/>
      </c>
      <c r="E1812" s="76" t="str">
        <f aca="false">IF(B1812="","",IFERROR(INDEX(PE_Equipe,MATCH(B1812,PE_Mat,0)),""))</f>
        <v/>
      </c>
      <c r="F1812" s="25"/>
      <c r="G1812" s="25"/>
      <c r="H1812" s="68"/>
      <c r="I1812" s="89"/>
      <c r="J1812" s="31" t="str">
        <f aca="false">IF(B1812="","",IFERROR(INDEX(PE_Taux,MATCH(B1812,PE_Mat,0)),0))</f>
        <v/>
      </c>
      <c r="K1812" s="31" t="str">
        <f aca="false">IF(B1812="","",IF(H1812="A",0,IFERROR(N(I1812)/P_Heures*J1812,0)))</f>
        <v/>
      </c>
      <c r="L1812" s="25"/>
    </row>
    <row r="1813" customFormat="false" ht="15" hidden="false" customHeight="false" outlineLevel="0" collapsed="false">
      <c r="A1813" s="69"/>
      <c r="B1813" s="68"/>
      <c r="C1813" s="76" t="str">
        <f aca="false">IF(B1813="","",IFERROR(INDEX(PE_Nom,MATCH(B1813,PE_Mat,0)),"Matricule inconnu"))</f>
        <v/>
      </c>
      <c r="D1813" s="76" t="str">
        <f aca="false">IF(B1813="","",IFERROR(INDEX(PE_Fonction,MATCH(B1813,PE_Mat,0)),""))</f>
        <v/>
      </c>
      <c r="E1813" s="76" t="str">
        <f aca="false">IF(B1813="","",IFERROR(INDEX(PE_Equipe,MATCH(B1813,PE_Mat,0)),""))</f>
        <v/>
      </c>
      <c r="F1813" s="25"/>
      <c r="G1813" s="25"/>
      <c r="H1813" s="68"/>
      <c r="I1813" s="89"/>
      <c r="J1813" s="31" t="str">
        <f aca="false">IF(B1813="","",IFERROR(INDEX(PE_Taux,MATCH(B1813,PE_Mat,0)),0))</f>
        <v/>
      </c>
      <c r="K1813" s="31" t="str">
        <f aca="false">IF(B1813="","",IF(H1813="A",0,IFERROR(N(I1813)/P_Heures*J1813,0)))</f>
        <v/>
      </c>
      <c r="L1813" s="25"/>
    </row>
    <row r="1814" customFormat="false" ht="15" hidden="false" customHeight="false" outlineLevel="0" collapsed="false">
      <c r="A1814" s="69"/>
      <c r="B1814" s="68"/>
      <c r="C1814" s="76" t="str">
        <f aca="false">IF(B1814="","",IFERROR(INDEX(PE_Nom,MATCH(B1814,PE_Mat,0)),"Matricule inconnu"))</f>
        <v/>
      </c>
      <c r="D1814" s="76" t="str">
        <f aca="false">IF(B1814="","",IFERROR(INDEX(PE_Fonction,MATCH(B1814,PE_Mat,0)),""))</f>
        <v/>
      </c>
      <c r="E1814" s="76" t="str">
        <f aca="false">IF(B1814="","",IFERROR(INDEX(PE_Equipe,MATCH(B1814,PE_Mat,0)),""))</f>
        <v/>
      </c>
      <c r="F1814" s="25"/>
      <c r="G1814" s="25"/>
      <c r="H1814" s="68"/>
      <c r="I1814" s="89"/>
      <c r="J1814" s="31" t="str">
        <f aca="false">IF(B1814="","",IFERROR(INDEX(PE_Taux,MATCH(B1814,PE_Mat,0)),0))</f>
        <v/>
      </c>
      <c r="K1814" s="31" t="str">
        <f aca="false">IF(B1814="","",IF(H1814="A",0,IFERROR(N(I1814)/P_Heures*J1814,0)))</f>
        <v/>
      </c>
      <c r="L1814" s="25"/>
    </row>
    <row r="1815" customFormat="false" ht="15" hidden="false" customHeight="false" outlineLevel="0" collapsed="false">
      <c r="A1815" s="69"/>
      <c r="B1815" s="68"/>
      <c r="C1815" s="76" t="str">
        <f aca="false">IF(B1815="","",IFERROR(INDEX(PE_Nom,MATCH(B1815,PE_Mat,0)),"Matricule inconnu"))</f>
        <v/>
      </c>
      <c r="D1815" s="76" t="str">
        <f aca="false">IF(B1815="","",IFERROR(INDEX(PE_Fonction,MATCH(B1815,PE_Mat,0)),""))</f>
        <v/>
      </c>
      <c r="E1815" s="76" t="str">
        <f aca="false">IF(B1815="","",IFERROR(INDEX(PE_Equipe,MATCH(B1815,PE_Mat,0)),""))</f>
        <v/>
      </c>
      <c r="F1815" s="25"/>
      <c r="G1815" s="25"/>
      <c r="H1815" s="68"/>
      <c r="I1815" s="89"/>
      <c r="J1815" s="31" t="str">
        <f aca="false">IF(B1815="","",IFERROR(INDEX(PE_Taux,MATCH(B1815,PE_Mat,0)),0))</f>
        <v/>
      </c>
      <c r="K1815" s="31" t="str">
        <f aca="false">IF(B1815="","",IF(H1815="A",0,IFERROR(N(I1815)/P_Heures*J1815,0)))</f>
        <v/>
      </c>
      <c r="L1815" s="25"/>
    </row>
    <row r="1816" customFormat="false" ht="15" hidden="false" customHeight="false" outlineLevel="0" collapsed="false">
      <c r="A1816" s="69"/>
      <c r="B1816" s="68"/>
      <c r="C1816" s="76" t="str">
        <f aca="false">IF(B1816="","",IFERROR(INDEX(PE_Nom,MATCH(B1816,PE_Mat,0)),"Matricule inconnu"))</f>
        <v/>
      </c>
      <c r="D1816" s="76" t="str">
        <f aca="false">IF(B1816="","",IFERROR(INDEX(PE_Fonction,MATCH(B1816,PE_Mat,0)),""))</f>
        <v/>
      </c>
      <c r="E1816" s="76" t="str">
        <f aca="false">IF(B1816="","",IFERROR(INDEX(PE_Equipe,MATCH(B1816,PE_Mat,0)),""))</f>
        <v/>
      </c>
      <c r="F1816" s="25"/>
      <c r="G1816" s="25"/>
      <c r="H1816" s="68"/>
      <c r="I1816" s="89"/>
      <c r="J1816" s="31" t="str">
        <f aca="false">IF(B1816="","",IFERROR(INDEX(PE_Taux,MATCH(B1816,PE_Mat,0)),0))</f>
        <v/>
      </c>
      <c r="K1816" s="31" t="str">
        <f aca="false">IF(B1816="","",IF(H1816="A",0,IFERROR(N(I1816)/P_Heures*J1816,0)))</f>
        <v/>
      </c>
      <c r="L1816" s="25"/>
    </row>
    <row r="1817" customFormat="false" ht="15" hidden="false" customHeight="false" outlineLevel="0" collapsed="false">
      <c r="A1817" s="69"/>
      <c r="B1817" s="68"/>
      <c r="C1817" s="76" t="str">
        <f aca="false">IF(B1817="","",IFERROR(INDEX(PE_Nom,MATCH(B1817,PE_Mat,0)),"Matricule inconnu"))</f>
        <v/>
      </c>
      <c r="D1817" s="76" t="str">
        <f aca="false">IF(B1817="","",IFERROR(INDEX(PE_Fonction,MATCH(B1817,PE_Mat,0)),""))</f>
        <v/>
      </c>
      <c r="E1817" s="76" t="str">
        <f aca="false">IF(B1817="","",IFERROR(INDEX(PE_Equipe,MATCH(B1817,PE_Mat,0)),""))</f>
        <v/>
      </c>
      <c r="F1817" s="25"/>
      <c r="G1817" s="25"/>
      <c r="H1817" s="68"/>
      <c r="I1817" s="89"/>
      <c r="J1817" s="31" t="str">
        <f aca="false">IF(B1817="","",IFERROR(INDEX(PE_Taux,MATCH(B1817,PE_Mat,0)),0))</f>
        <v/>
      </c>
      <c r="K1817" s="31" t="str">
        <f aca="false">IF(B1817="","",IF(H1817="A",0,IFERROR(N(I1817)/P_Heures*J1817,0)))</f>
        <v/>
      </c>
      <c r="L1817" s="25"/>
    </row>
    <row r="1818" customFormat="false" ht="15" hidden="false" customHeight="false" outlineLevel="0" collapsed="false">
      <c r="A1818" s="69"/>
      <c r="B1818" s="68"/>
      <c r="C1818" s="76" t="str">
        <f aca="false">IF(B1818="","",IFERROR(INDEX(PE_Nom,MATCH(B1818,PE_Mat,0)),"Matricule inconnu"))</f>
        <v/>
      </c>
      <c r="D1818" s="76" t="str">
        <f aca="false">IF(B1818="","",IFERROR(INDEX(PE_Fonction,MATCH(B1818,PE_Mat,0)),""))</f>
        <v/>
      </c>
      <c r="E1818" s="76" t="str">
        <f aca="false">IF(B1818="","",IFERROR(INDEX(PE_Equipe,MATCH(B1818,PE_Mat,0)),""))</f>
        <v/>
      </c>
      <c r="F1818" s="25"/>
      <c r="G1818" s="25"/>
      <c r="H1818" s="68"/>
      <c r="I1818" s="89"/>
      <c r="J1818" s="31" t="str">
        <f aca="false">IF(B1818="","",IFERROR(INDEX(PE_Taux,MATCH(B1818,PE_Mat,0)),0))</f>
        <v/>
      </c>
      <c r="K1818" s="31" t="str">
        <f aca="false">IF(B1818="","",IF(H1818="A",0,IFERROR(N(I1818)/P_Heures*J1818,0)))</f>
        <v/>
      </c>
      <c r="L1818" s="25"/>
    </row>
    <row r="1819" customFormat="false" ht="15" hidden="false" customHeight="false" outlineLevel="0" collapsed="false">
      <c r="A1819" s="69"/>
      <c r="B1819" s="68"/>
      <c r="C1819" s="76" t="str">
        <f aca="false">IF(B1819="","",IFERROR(INDEX(PE_Nom,MATCH(B1819,PE_Mat,0)),"Matricule inconnu"))</f>
        <v/>
      </c>
      <c r="D1819" s="76" t="str">
        <f aca="false">IF(B1819="","",IFERROR(INDEX(PE_Fonction,MATCH(B1819,PE_Mat,0)),""))</f>
        <v/>
      </c>
      <c r="E1819" s="76" t="str">
        <f aca="false">IF(B1819="","",IFERROR(INDEX(PE_Equipe,MATCH(B1819,PE_Mat,0)),""))</f>
        <v/>
      </c>
      <c r="F1819" s="25"/>
      <c r="G1819" s="25"/>
      <c r="H1819" s="68"/>
      <c r="I1819" s="89"/>
      <c r="J1819" s="31" t="str">
        <f aca="false">IF(B1819="","",IFERROR(INDEX(PE_Taux,MATCH(B1819,PE_Mat,0)),0))</f>
        <v/>
      </c>
      <c r="K1819" s="31" t="str">
        <f aca="false">IF(B1819="","",IF(H1819="A",0,IFERROR(N(I1819)/P_Heures*J1819,0)))</f>
        <v/>
      </c>
      <c r="L1819" s="25"/>
    </row>
    <row r="1820" customFormat="false" ht="15" hidden="false" customHeight="false" outlineLevel="0" collapsed="false">
      <c r="A1820" s="69"/>
      <c r="B1820" s="68"/>
      <c r="C1820" s="76" t="str">
        <f aca="false">IF(B1820="","",IFERROR(INDEX(PE_Nom,MATCH(B1820,PE_Mat,0)),"Matricule inconnu"))</f>
        <v/>
      </c>
      <c r="D1820" s="76" t="str">
        <f aca="false">IF(B1820="","",IFERROR(INDEX(PE_Fonction,MATCH(B1820,PE_Mat,0)),""))</f>
        <v/>
      </c>
      <c r="E1820" s="76" t="str">
        <f aca="false">IF(B1820="","",IFERROR(INDEX(PE_Equipe,MATCH(B1820,PE_Mat,0)),""))</f>
        <v/>
      </c>
      <c r="F1820" s="25"/>
      <c r="G1820" s="25"/>
      <c r="H1820" s="68"/>
      <c r="I1820" s="89"/>
      <c r="J1820" s="31" t="str">
        <f aca="false">IF(B1820="","",IFERROR(INDEX(PE_Taux,MATCH(B1820,PE_Mat,0)),0))</f>
        <v/>
      </c>
      <c r="K1820" s="31" t="str">
        <f aca="false">IF(B1820="","",IF(H1820="A",0,IFERROR(N(I1820)/P_Heures*J1820,0)))</f>
        <v/>
      </c>
      <c r="L1820" s="25"/>
    </row>
    <row r="1821" customFormat="false" ht="15" hidden="false" customHeight="false" outlineLevel="0" collapsed="false">
      <c r="A1821" s="69"/>
      <c r="B1821" s="68"/>
      <c r="C1821" s="76" t="str">
        <f aca="false">IF(B1821="","",IFERROR(INDEX(PE_Nom,MATCH(B1821,PE_Mat,0)),"Matricule inconnu"))</f>
        <v/>
      </c>
      <c r="D1821" s="76" t="str">
        <f aca="false">IF(B1821="","",IFERROR(INDEX(PE_Fonction,MATCH(B1821,PE_Mat,0)),""))</f>
        <v/>
      </c>
      <c r="E1821" s="76" t="str">
        <f aca="false">IF(B1821="","",IFERROR(INDEX(PE_Equipe,MATCH(B1821,PE_Mat,0)),""))</f>
        <v/>
      </c>
      <c r="F1821" s="25"/>
      <c r="G1821" s="25"/>
      <c r="H1821" s="68"/>
      <c r="I1821" s="89"/>
      <c r="J1821" s="31" t="str">
        <f aca="false">IF(B1821="","",IFERROR(INDEX(PE_Taux,MATCH(B1821,PE_Mat,0)),0))</f>
        <v/>
      </c>
      <c r="K1821" s="31" t="str">
        <f aca="false">IF(B1821="","",IF(H1821="A",0,IFERROR(N(I1821)/P_Heures*J1821,0)))</f>
        <v/>
      </c>
      <c r="L1821" s="25"/>
    </row>
    <row r="1822" customFormat="false" ht="15" hidden="false" customHeight="false" outlineLevel="0" collapsed="false">
      <c r="A1822" s="69"/>
      <c r="B1822" s="68"/>
      <c r="C1822" s="76" t="str">
        <f aca="false">IF(B1822="","",IFERROR(INDEX(PE_Nom,MATCH(B1822,PE_Mat,0)),"Matricule inconnu"))</f>
        <v/>
      </c>
      <c r="D1822" s="76" t="str">
        <f aca="false">IF(B1822="","",IFERROR(INDEX(PE_Fonction,MATCH(B1822,PE_Mat,0)),""))</f>
        <v/>
      </c>
      <c r="E1822" s="76" t="str">
        <f aca="false">IF(B1822="","",IFERROR(INDEX(PE_Equipe,MATCH(B1822,PE_Mat,0)),""))</f>
        <v/>
      </c>
      <c r="F1822" s="25"/>
      <c r="G1822" s="25"/>
      <c r="H1822" s="68"/>
      <c r="I1822" s="89"/>
      <c r="J1822" s="31" t="str">
        <f aca="false">IF(B1822="","",IFERROR(INDEX(PE_Taux,MATCH(B1822,PE_Mat,0)),0))</f>
        <v/>
      </c>
      <c r="K1822" s="31" t="str">
        <f aca="false">IF(B1822="","",IF(H1822="A",0,IFERROR(N(I1822)/P_Heures*J1822,0)))</f>
        <v/>
      </c>
      <c r="L1822" s="25"/>
    </row>
    <row r="1823" customFormat="false" ht="15" hidden="false" customHeight="false" outlineLevel="0" collapsed="false">
      <c r="A1823" s="69"/>
      <c r="B1823" s="68"/>
      <c r="C1823" s="76" t="str">
        <f aca="false">IF(B1823="","",IFERROR(INDEX(PE_Nom,MATCH(B1823,PE_Mat,0)),"Matricule inconnu"))</f>
        <v/>
      </c>
      <c r="D1823" s="76" t="str">
        <f aca="false">IF(B1823="","",IFERROR(INDEX(PE_Fonction,MATCH(B1823,PE_Mat,0)),""))</f>
        <v/>
      </c>
      <c r="E1823" s="76" t="str">
        <f aca="false">IF(B1823="","",IFERROR(INDEX(PE_Equipe,MATCH(B1823,PE_Mat,0)),""))</f>
        <v/>
      </c>
      <c r="F1823" s="25"/>
      <c r="G1823" s="25"/>
      <c r="H1823" s="68"/>
      <c r="I1823" s="89"/>
      <c r="J1823" s="31" t="str">
        <f aca="false">IF(B1823="","",IFERROR(INDEX(PE_Taux,MATCH(B1823,PE_Mat,0)),0))</f>
        <v/>
      </c>
      <c r="K1823" s="31" t="str">
        <f aca="false">IF(B1823="","",IF(H1823="A",0,IFERROR(N(I1823)/P_Heures*J1823,0)))</f>
        <v/>
      </c>
      <c r="L1823" s="25"/>
    </row>
    <row r="1824" customFormat="false" ht="15" hidden="false" customHeight="false" outlineLevel="0" collapsed="false">
      <c r="A1824" s="69"/>
      <c r="B1824" s="68"/>
      <c r="C1824" s="76" t="str">
        <f aca="false">IF(B1824="","",IFERROR(INDEX(PE_Nom,MATCH(B1824,PE_Mat,0)),"Matricule inconnu"))</f>
        <v/>
      </c>
      <c r="D1824" s="76" t="str">
        <f aca="false">IF(B1824="","",IFERROR(INDEX(PE_Fonction,MATCH(B1824,PE_Mat,0)),""))</f>
        <v/>
      </c>
      <c r="E1824" s="76" t="str">
        <f aca="false">IF(B1824="","",IFERROR(INDEX(PE_Equipe,MATCH(B1824,PE_Mat,0)),""))</f>
        <v/>
      </c>
      <c r="F1824" s="25"/>
      <c r="G1824" s="25"/>
      <c r="H1824" s="68"/>
      <c r="I1824" s="89"/>
      <c r="J1824" s="31" t="str">
        <f aca="false">IF(B1824="","",IFERROR(INDEX(PE_Taux,MATCH(B1824,PE_Mat,0)),0))</f>
        <v/>
      </c>
      <c r="K1824" s="31" t="str">
        <f aca="false">IF(B1824="","",IF(H1824="A",0,IFERROR(N(I1824)/P_Heures*J1824,0)))</f>
        <v/>
      </c>
      <c r="L1824" s="25"/>
    </row>
    <row r="1825" customFormat="false" ht="15" hidden="false" customHeight="false" outlineLevel="0" collapsed="false">
      <c r="A1825" s="69"/>
      <c r="B1825" s="68"/>
      <c r="C1825" s="76" t="str">
        <f aca="false">IF(B1825="","",IFERROR(INDEX(PE_Nom,MATCH(B1825,PE_Mat,0)),"Matricule inconnu"))</f>
        <v/>
      </c>
      <c r="D1825" s="76" t="str">
        <f aca="false">IF(B1825="","",IFERROR(INDEX(PE_Fonction,MATCH(B1825,PE_Mat,0)),""))</f>
        <v/>
      </c>
      <c r="E1825" s="76" t="str">
        <f aca="false">IF(B1825="","",IFERROR(INDEX(PE_Equipe,MATCH(B1825,PE_Mat,0)),""))</f>
        <v/>
      </c>
      <c r="F1825" s="25"/>
      <c r="G1825" s="25"/>
      <c r="H1825" s="68"/>
      <c r="I1825" s="89"/>
      <c r="J1825" s="31" t="str">
        <f aca="false">IF(B1825="","",IFERROR(INDEX(PE_Taux,MATCH(B1825,PE_Mat,0)),0))</f>
        <v/>
      </c>
      <c r="K1825" s="31" t="str">
        <f aca="false">IF(B1825="","",IF(H1825="A",0,IFERROR(N(I1825)/P_Heures*J1825,0)))</f>
        <v/>
      </c>
      <c r="L1825" s="25"/>
    </row>
    <row r="1826" customFormat="false" ht="15" hidden="false" customHeight="false" outlineLevel="0" collapsed="false">
      <c r="A1826" s="69"/>
      <c r="B1826" s="68"/>
      <c r="C1826" s="76" t="str">
        <f aca="false">IF(B1826="","",IFERROR(INDEX(PE_Nom,MATCH(B1826,PE_Mat,0)),"Matricule inconnu"))</f>
        <v/>
      </c>
      <c r="D1826" s="76" t="str">
        <f aca="false">IF(B1826="","",IFERROR(INDEX(PE_Fonction,MATCH(B1826,PE_Mat,0)),""))</f>
        <v/>
      </c>
      <c r="E1826" s="76" t="str">
        <f aca="false">IF(B1826="","",IFERROR(INDEX(PE_Equipe,MATCH(B1826,PE_Mat,0)),""))</f>
        <v/>
      </c>
      <c r="F1826" s="25"/>
      <c r="G1826" s="25"/>
      <c r="H1826" s="68"/>
      <c r="I1826" s="89"/>
      <c r="J1826" s="31" t="str">
        <f aca="false">IF(B1826="","",IFERROR(INDEX(PE_Taux,MATCH(B1826,PE_Mat,0)),0))</f>
        <v/>
      </c>
      <c r="K1826" s="31" t="str">
        <f aca="false">IF(B1826="","",IF(H1826="A",0,IFERROR(N(I1826)/P_Heures*J1826,0)))</f>
        <v/>
      </c>
      <c r="L1826" s="25"/>
    </row>
    <row r="1827" customFormat="false" ht="15" hidden="false" customHeight="false" outlineLevel="0" collapsed="false">
      <c r="A1827" s="69"/>
      <c r="B1827" s="68"/>
      <c r="C1827" s="76" t="str">
        <f aca="false">IF(B1827="","",IFERROR(INDEX(PE_Nom,MATCH(B1827,PE_Mat,0)),"Matricule inconnu"))</f>
        <v/>
      </c>
      <c r="D1827" s="76" t="str">
        <f aca="false">IF(B1827="","",IFERROR(INDEX(PE_Fonction,MATCH(B1827,PE_Mat,0)),""))</f>
        <v/>
      </c>
      <c r="E1827" s="76" t="str">
        <f aca="false">IF(B1827="","",IFERROR(INDEX(PE_Equipe,MATCH(B1827,PE_Mat,0)),""))</f>
        <v/>
      </c>
      <c r="F1827" s="25"/>
      <c r="G1827" s="25"/>
      <c r="H1827" s="68"/>
      <c r="I1827" s="89"/>
      <c r="J1827" s="31" t="str">
        <f aca="false">IF(B1827="","",IFERROR(INDEX(PE_Taux,MATCH(B1827,PE_Mat,0)),0))</f>
        <v/>
      </c>
      <c r="K1827" s="31" t="str">
        <f aca="false">IF(B1827="","",IF(H1827="A",0,IFERROR(N(I1827)/P_Heures*J1827,0)))</f>
        <v/>
      </c>
      <c r="L1827" s="25"/>
    </row>
    <row r="1828" customFormat="false" ht="15" hidden="false" customHeight="false" outlineLevel="0" collapsed="false">
      <c r="A1828" s="69"/>
      <c r="B1828" s="68"/>
      <c r="C1828" s="76" t="str">
        <f aca="false">IF(B1828="","",IFERROR(INDEX(PE_Nom,MATCH(B1828,PE_Mat,0)),"Matricule inconnu"))</f>
        <v/>
      </c>
      <c r="D1828" s="76" t="str">
        <f aca="false">IF(B1828="","",IFERROR(INDEX(PE_Fonction,MATCH(B1828,PE_Mat,0)),""))</f>
        <v/>
      </c>
      <c r="E1828" s="76" t="str">
        <f aca="false">IF(B1828="","",IFERROR(INDEX(PE_Equipe,MATCH(B1828,PE_Mat,0)),""))</f>
        <v/>
      </c>
      <c r="F1828" s="25"/>
      <c r="G1828" s="25"/>
      <c r="H1828" s="68"/>
      <c r="I1828" s="89"/>
      <c r="J1828" s="31" t="str">
        <f aca="false">IF(B1828="","",IFERROR(INDEX(PE_Taux,MATCH(B1828,PE_Mat,0)),0))</f>
        <v/>
      </c>
      <c r="K1828" s="31" t="str">
        <f aca="false">IF(B1828="","",IF(H1828="A",0,IFERROR(N(I1828)/P_Heures*J1828,0)))</f>
        <v/>
      </c>
      <c r="L1828" s="25"/>
    </row>
    <row r="1829" customFormat="false" ht="15" hidden="false" customHeight="false" outlineLevel="0" collapsed="false">
      <c r="A1829" s="69"/>
      <c r="B1829" s="68"/>
      <c r="C1829" s="76" t="str">
        <f aca="false">IF(B1829="","",IFERROR(INDEX(PE_Nom,MATCH(B1829,PE_Mat,0)),"Matricule inconnu"))</f>
        <v/>
      </c>
      <c r="D1829" s="76" t="str">
        <f aca="false">IF(B1829="","",IFERROR(INDEX(PE_Fonction,MATCH(B1829,PE_Mat,0)),""))</f>
        <v/>
      </c>
      <c r="E1829" s="76" t="str">
        <f aca="false">IF(B1829="","",IFERROR(INDEX(PE_Equipe,MATCH(B1829,PE_Mat,0)),""))</f>
        <v/>
      </c>
      <c r="F1829" s="25"/>
      <c r="G1829" s="25"/>
      <c r="H1829" s="68"/>
      <c r="I1829" s="89"/>
      <c r="J1829" s="31" t="str">
        <f aca="false">IF(B1829="","",IFERROR(INDEX(PE_Taux,MATCH(B1829,PE_Mat,0)),0))</f>
        <v/>
      </c>
      <c r="K1829" s="31" t="str">
        <f aca="false">IF(B1829="","",IF(H1829="A",0,IFERROR(N(I1829)/P_Heures*J1829,0)))</f>
        <v/>
      </c>
      <c r="L1829" s="25"/>
    </row>
    <row r="1830" customFormat="false" ht="15" hidden="false" customHeight="false" outlineLevel="0" collapsed="false">
      <c r="A1830" s="69"/>
      <c r="B1830" s="68"/>
      <c r="C1830" s="76" t="str">
        <f aca="false">IF(B1830="","",IFERROR(INDEX(PE_Nom,MATCH(B1830,PE_Mat,0)),"Matricule inconnu"))</f>
        <v/>
      </c>
      <c r="D1830" s="76" t="str">
        <f aca="false">IF(B1830="","",IFERROR(INDEX(PE_Fonction,MATCH(B1830,PE_Mat,0)),""))</f>
        <v/>
      </c>
      <c r="E1830" s="76" t="str">
        <f aca="false">IF(B1830="","",IFERROR(INDEX(PE_Equipe,MATCH(B1830,PE_Mat,0)),""))</f>
        <v/>
      </c>
      <c r="F1830" s="25"/>
      <c r="G1830" s="25"/>
      <c r="H1830" s="68"/>
      <c r="I1830" s="89"/>
      <c r="J1830" s="31" t="str">
        <f aca="false">IF(B1830="","",IFERROR(INDEX(PE_Taux,MATCH(B1830,PE_Mat,0)),0))</f>
        <v/>
      </c>
      <c r="K1830" s="31" t="str">
        <f aca="false">IF(B1830="","",IF(H1830="A",0,IFERROR(N(I1830)/P_Heures*J1830,0)))</f>
        <v/>
      </c>
      <c r="L1830" s="25"/>
    </row>
    <row r="1831" customFormat="false" ht="15" hidden="false" customHeight="false" outlineLevel="0" collapsed="false">
      <c r="A1831" s="69"/>
      <c r="B1831" s="68"/>
      <c r="C1831" s="76" t="str">
        <f aca="false">IF(B1831="","",IFERROR(INDEX(PE_Nom,MATCH(B1831,PE_Mat,0)),"Matricule inconnu"))</f>
        <v/>
      </c>
      <c r="D1831" s="76" t="str">
        <f aca="false">IF(B1831="","",IFERROR(INDEX(PE_Fonction,MATCH(B1831,PE_Mat,0)),""))</f>
        <v/>
      </c>
      <c r="E1831" s="76" t="str">
        <f aca="false">IF(B1831="","",IFERROR(INDEX(PE_Equipe,MATCH(B1831,PE_Mat,0)),""))</f>
        <v/>
      </c>
      <c r="F1831" s="25"/>
      <c r="G1831" s="25"/>
      <c r="H1831" s="68"/>
      <c r="I1831" s="89"/>
      <c r="J1831" s="31" t="str">
        <f aca="false">IF(B1831="","",IFERROR(INDEX(PE_Taux,MATCH(B1831,PE_Mat,0)),0))</f>
        <v/>
      </c>
      <c r="K1831" s="31" t="str">
        <f aca="false">IF(B1831="","",IF(H1831="A",0,IFERROR(N(I1831)/P_Heures*J1831,0)))</f>
        <v/>
      </c>
      <c r="L1831" s="25"/>
    </row>
    <row r="1832" customFormat="false" ht="15" hidden="false" customHeight="false" outlineLevel="0" collapsed="false">
      <c r="A1832" s="69"/>
      <c r="B1832" s="68"/>
      <c r="C1832" s="76" t="str">
        <f aca="false">IF(B1832="","",IFERROR(INDEX(PE_Nom,MATCH(B1832,PE_Mat,0)),"Matricule inconnu"))</f>
        <v/>
      </c>
      <c r="D1832" s="76" t="str">
        <f aca="false">IF(B1832="","",IFERROR(INDEX(PE_Fonction,MATCH(B1832,PE_Mat,0)),""))</f>
        <v/>
      </c>
      <c r="E1832" s="76" t="str">
        <f aca="false">IF(B1832="","",IFERROR(INDEX(PE_Equipe,MATCH(B1832,PE_Mat,0)),""))</f>
        <v/>
      </c>
      <c r="F1832" s="25"/>
      <c r="G1832" s="25"/>
      <c r="H1832" s="68"/>
      <c r="I1832" s="89"/>
      <c r="J1832" s="31" t="str">
        <f aca="false">IF(B1832="","",IFERROR(INDEX(PE_Taux,MATCH(B1832,PE_Mat,0)),0))</f>
        <v/>
      </c>
      <c r="K1832" s="31" t="str">
        <f aca="false">IF(B1832="","",IF(H1832="A",0,IFERROR(N(I1832)/P_Heures*J1832,0)))</f>
        <v/>
      </c>
      <c r="L1832" s="25"/>
    </row>
    <row r="1833" customFormat="false" ht="15" hidden="false" customHeight="false" outlineLevel="0" collapsed="false">
      <c r="A1833" s="69"/>
      <c r="B1833" s="68"/>
      <c r="C1833" s="76" t="str">
        <f aca="false">IF(B1833="","",IFERROR(INDEX(PE_Nom,MATCH(B1833,PE_Mat,0)),"Matricule inconnu"))</f>
        <v/>
      </c>
      <c r="D1833" s="76" t="str">
        <f aca="false">IF(B1833="","",IFERROR(INDEX(PE_Fonction,MATCH(B1833,PE_Mat,0)),""))</f>
        <v/>
      </c>
      <c r="E1833" s="76" t="str">
        <f aca="false">IF(B1833="","",IFERROR(INDEX(PE_Equipe,MATCH(B1833,PE_Mat,0)),""))</f>
        <v/>
      </c>
      <c r="F1833" s="25"/>
      <c r="G1833" s="25"/>
      <c r="H1833" s="68"/>
      <c r="I1833" s="89"/>
      <c r="J1833" s="31" t="str">
        <f aca="false">IF(B1833="","",IFERROR(INDEX(PE_Taux,MATCH(B1833,PE_Mat,0)),0))</f>
        <v/>
      </c>
      <c r="K1833" s="31" t="str">
        <f aca="false">IF(B1833="","",IF(H1833="A",0,IFERROR(N(I1833)/P_Heures*J1833,0)))</f>
        <v/>
      </c>
      <c r="L1833" s="25"/>
    </row>
    <row r="1834" customFormat="false" ht="15" hidden="false" customHeight="false" outlineLevel="0" collapsed="false">
      <c r="A1834" s="69"/>
      <c r="B1834" s="68"/>
      <c r="C1834" s="76" t="str">
        <f aca="false">IF(B1834="","",IFERROR(INDEX(PE_Nom,MATCH(B1834,PE_Mat,0)),"Matricule inconnu"))</f>
        <v/>
      </c>
      <c r="D1834" s="76" t="str">
        <f aca="false">IF(B1834="","",IFERROR(INDEX(PE_Fonction,MATCH(B1834,PE_Mat,0)),""))</f>
        <v/>
      </c>
      <c r="E1834" s="76" t="str">
        <f aca="false">IF(B1834="","",IFERROR(INDEX(PE_Equipe,MATCH(B1834,PE_Mat,0)),""))</f>
        <v/>
      </c>
      <c r="F1834" s="25"/>
      <c r="G1834" s="25"/>
      <c r="H1834" s="68"/>
      <c r="I1834" s="89"/>
      <c r="J1834" s="31" t="str">
        <f aca="false">IF(B1834="","",IFERROR(INDEX(PE_Taux,MATCH(B1834,PE_Mat,0)),0))</f>
        <v/>
      </c>
      <c r="K1834" s="31" t="str">
        <f aca="false">IF(B1834="","",IF(H1834="A",0,IFERROR(N(I1834)/P_Heures*J1834,0)))</f>
        <v/>
      </c>
      <c r="L1834" s="25"/>
    </row>
    <row r="1835" customFormat="false" ht="15" hidden="false" customHeight="false" outlineLevel="0" collapsed="false">
      <c r="A1835" s="69"/>
      <c r="B1835" s="68"/>
      <c r="C1835" s="76" t="str">
        <f aca="false">IF(B1835="","",IFERROR(INDEX(PE_Nom,MATCH(B1835,PE_Mat,0)),"Matricule inconnu"))</f>
        <v/>
      </c>
      <c r="D1835" s="76" t="str">
        <f aca="false">IF(B1835="","",IFERROR(INDEX(PE_Fonction,MATCH(B1835,PE_Mat,0)),""))</f>
        <v/>
      </c>
      <c r="E1835" s="76" t="str">
        <f aca="false">IF(B1835="","",IFERROR(INDEX(PE_Equipe,MATCH(B1835,PE_Mat,0)),""))</f>
        <v/>
      </c>
      <c r="F1835" s="25"/>
      <c r="G1835" s="25"/>
      <c r="H1835" s="68"/>
      <c r="I1835" s="89"/>
      <c r="J1835" s="31" t="str">
        <f aca="false">IF(B1835="","",IFERROR(INDEX(PE_Taux,MATCH(B1835,PE_Mat,0)),0))</f>
        <v/>
      </c>
      <c r="K1835" s="31" t="str">
        <f aca="false">IF(B1835="","",IF(H1835="A",0,IFERROR(N(I1835)/P_Heures*J1835,0)))</f>
        <v/>
      </c>
      <c r="L1835" s="25"/>
    </row>
    <row r="1836" customFormat="false" ht="15" hidden="false" customHeight="false" outlineLevel="0" collapsed="false">
      <c r="A1836" s="69"/>
      <c r="B1836" s="68"/>
      <c r="C1836" s="76" t="str">
        <f aca="false">IF(B1836="","",IFERROR(INDEX(PE_Nom,MATCH(B1836,PE_Mat,0)),"Matricule inconnu"))</f>
        <v/>
      </c>
      <c r="D1836" s="76" t="str">
        <f aca="false">IF(B1836="","",IFERROR(INDEX(PE_Fonction,MATCH(B1836,PE_Mat,0)),""))</f>
        <v/>
      </c>
      <c r="E1836" s="76" t="str">
        <f aca="false">IF(B1836="","",IFERROR(INDEX(PE_Equipe,MATCH(B1836,PE_Mat,0)),""))</f>
        <v/>
      </c>
      <c r="F1836" s="25"/>
      <c r="G1836" s="25"/>
      <c r="H1836" s="68"/>
      <c r="I1836" s="89"/>
      <c r="J1836" s="31" t="str">
        <f aca="false">IF(B1836="","",IFERROR(INDEX(PE_Taux,MATCH(B1836,PE_Mat,0)),0))</f>
        <v/>
      </c>
      <c r="K1836" s="31" t="str">
        <f aca="false">IF(B1836="","",IF(H1836="A",0,IFERROR(N(I1836)/P_Heures*J1836,0)))</f>
        <v/>
      </c>
      <c r="L1836" s="25"/>
    </row>
    <row r="1837" customFormat="false" ht="15" hidden="false" customHeight="false" outlineLevel="0" collapsed="false">
      <c r="A1837" s="69"/>
      <c r="B1837" s="68"/>
      <c r="C1837" s="76" t="str">
        <f aca="false">IF(B1837="","",IFERROR(INDEX(PE_Nom,MATCH(B1837,PE_Mat,0)),"Matricule inconnu"))</f>
        <v/>
      </c>
      <c r="D1837" s="76" t="str">
        <f aca="false">IF(B1837="","",IFERROR(INDEX(PE_Fonction,MATCH(B1837,PE_Mat,0)),""))</f>
        <v/>
      </c>
      <c r="E1837" s="76" t="str">
        <f aca="false">IF(B1837="","",IFERROR(INDEX(PE_Equipe,MATCH(B1837,PE_Mat,0)),""))</f>
        <v/>
      </c>
      <c r="F1837" s="25"/>
      <c r="G1837" s="25"/>
      <c r="H1837" s="68"/>
      <c r="I1837" s="89"/>
      <c r="J1837" s="31" t="str">
        <f aca="false">IF(B1837="","",IFERROR(INDEX(PE_Taux,MATCH(B1837,PE_Mat,0)),0))</f>
        <v/>
      </c>
      <c r="K1837" s="31" t="str">
        <f aca="false">IF(B1837="","",IF(H1837="A",0,IFERROR(N(I1837)/P_Heures*J1837,0)))</f>
        <v/>
      </c>
      <c r="L1837" s="25"/>
    </row>
    <row r="1838" customFormat="false" ht="15" hidden="false" customHeight="false" outlineLevel="0" collapsed="false">
      <c r="A1838" s="69"/>
      <c r="B1838" s="68"/>
      <c r="C1838" s="76" t="str">
        <f aca="false">IF(B1838="","",IFERROR(INDEX(PE_Nom,MATCH(B1838,PE_Mat,0)),"Matricule inconnu"))</f>
        <v/>
      </c>
      <c r="D1838" s="76" t="str">
        <f aca="false">IF(B1838="","",IFERROR(INDEX(PE_Fonction,MATCH(B1838,PE_Mat,0)),""))</f>
        <v/>
      </c>
      <c r="E1838" s="76" t="str">
        <f aca="false">IF(B1838="","",IFERROR(INDEX(PE_Equipe,MATCH(B1838,PE_Mat,0)),""))</f>
        <v/>
      </c>
      <c r="F1838" s="25"/>
      <c r="G1838" s="25"/>
      <c r="H1838" s="68"/>
      <c r="I1838" s="89"/>
      <c r="J1838" s="31" t="str">
        <f aca="false">IF(B1838="","",IFERROR(INDEX(PE_Taux,MATCH(B1838,PE_Mat,0)),0))</f>
        <v/>
      </c>
      <c r="K1838" s="31" t="str">
        <f aca="false">IF(B1838="","",IF(H1838="A",0,IFERROR(N(I1838)/P_Heures*J1838,0)))</f>
        <v/>
      </c>
      <c r="L1838" s="25"/>
    </row>
    <row r="1839" customFormat="false" ht="15" hidden="false" customHeight="false" outlineLevel="0" collapsed="false">
      <c r="A1839" s="69"/>
      <c r="B1839" s="68"/>
      <c r="C1839" s="76" t="str">
        <f aca="false">IF(B1839="","",IFERROR(INDEX(PE_Nom,MATCH(B1839,PE_Mat,0)),"Matricule inconnu"))</f>
        <v/>
      </c>
      <c r="D1839" s="76" t="str">
        <f aca="false">IF(B1839="","",IFERROR(INDEX(PE_Fonction,MATCH(B1839,PE_Mat,0)),""))</f>
        <v/>
      </c>
      <c r="E1839" s="76" t="str">
        <f aca="false">IF(B1839="","",IFERROR(INDEX(PE_Equipe,MATCH(B1839,PE_Mat,0)),""))</f>
        <v/>
      </c>
      <c r="F1839" s="25"/>
      <c r="G1839" s="25"/>
      <c r="H1839" s="68"/>
      <c r="I1839" s="89"/>
      <c r="J1839" s="31" t="str">
        <f aca="false">IF(B1839="","",IFERROR(INDEX(PE_Taux,MATCH(B1839,PE_Mat,0)),0))</f>
        <v/>
      </c>
      <c r="K1839" s="31" t="str">
        <f aca="false">IF(B1839="","",IF(H1839="A",0,IFERROR(N(I1839)/P_Heures*J1839,0)))</f>
        <v/>
      </c>
      <c r="L1839" s="25"/>
    </row>
    <row r="1840" customFormat="false" ht="15" hidden="false" customHeight="false" outlineLevel="0" collapsed="false">
      <c r="A1840" s="69"/>
      <c r="B1840" s="68"/>
      <c r="C1840" s="76" t="str">
        <f aca="false">IF(B1840="","",IFERROR(INDEX(PE_Nom,MATCH(B1840,PE_Mat,0)),"Matricule inconnu"))</f>
        <v/>
      </c>
      <c r="D1840" s="76" t="str">
        <f aca="false">IF(B1840="","",IFERROR(INDEX(PE_Fonction,MATCH(B1840,PE_Mat,0)),""))</f>
        <v/>
      </c>
      <c r="E1840" s="76" t="str">
        <f aca="false">IF(B1840="","",IFERROR(INDEX(PE_Equipe,MATCH(B1840,PE_Mat,0)),""))</f>
        <v/>
      </c>
      <c r="F1840" s="25"/>
      <c r="G1840" s="25"/>
      <c r="H1840" s="68"/>
      <c r="I1840" s="89"/>
      <c r="J1840" s="31" t="str">
        <f aca="false">IF(B1840="","",IFERROR(INDEX(PE_Taux,MATCH(B1840,PE_Mat,0)),0))</f>
        <v/>
      </c>
      <c r="K1840" s="31" t="str">
        <f aca="false">IF(B1840="","",IF(H1840="A",0,IFERROR(N(I1840)/P_Heures*J1840,0)))</f>
        <v/>
      </c>
      <c r="L1840" s="25"/>
    </row>
    <row r="1841" customFormat="false" ht="15" hidden="false" customHeight="false" outlineLevel="0" collapsed="false">
      <c r="A1841" s="69"/>
      <c r="B1841" s="68"/>
      <c r="C1841" s="76" t="str">
        <f aca="false">IF(B1841="","",IFERROR(INDEX(PE_Nom,MATCH(B1841,PE_Mat,0)),"Matricule inconnu"))</f>
        <v/>
      </c>
      <c r="D1841" s="76" t="str">
        <f aca="false">IF(B1841="","",IFERROR(INDEX(PE_Fonction,MATCH(B1841,PE_Mat,0)),""))</f>
        <v/>
      </c>
      <c r="E1841" s="76" t="str">
        <f aca="false">IF(B1841="","",IFERROR(INDEX(PE_Equipe,MATCH(B1841,PE_Mat,0)),""))</f>
        <v/>
      </c>
      <c r="F1841" s="25"/>
      <c r="G1841" s="25"/>
      <c r="H1841" s="68"/>
      <c r="I1841" s="89"/>
      <c r="J1841" s="31" t="str">
        <f aca="false">IF(B1841="","",IFERROR(INDEX(PE_Taux,MATCH(B1841,PE_Mat,0)),0))</f>
        <v/>
      </c>
      <c r="K1841" s="31" t="str">
        <f aca="false">IF(B1841="","",IF(H1841="A",0,IFERROR(N(I1841)/P_Heures*J1841,0)))</f>
        <v/>
      </c>
      <c r="L1841" s="25"/>
    </row>
    <row r="1842" customFormat="false" ht="15" hidden="false" customHeight="false" outlineLevel="0" collapsed="false">
      <c r="A1842" s="69"/>
      <c r="B1842" s="68"/>
      <c r="C1842" s="76" t="str">
        <f aca="false">IF(B1842="","",IFERROR(INDEX(PE_Nom,MATCH(B1842,PE_Mat,0)),"Matricule inconnu"))</f>
        <v/>
      </c>
      <c r="D1842" s="76" t="str">
        <f aca="false">IF(B1842="","",IFERROR(INDEX(PE_Fonction,MATCH(B1842,PE_Mat,0)),""))</f>
        <v/>
      </c>
      <c r="E1842" s="76" t="str">
        <f aca="false">IF(B1842="","",IFERROR(INDEX(PE_Equipe,MATCH(B1842,PE_Mat,0)),""))</f>
        <v/>
      </c>
      <c r="F1842" s="25"/>
      <c r="G1842" s="25"/>
      <c r="H1842" s="68"/>
      <c r="I1842" s="89"/>
      <c r="J1842" s="31" t="str">
        <f aca="false">IF(B1842="","",IFERROR(INDEX(PE_Taux,MATCH(B1842,PE_Mat,0)),0))</f>
        <v/>
      </c>
      <c r="K1842" s="31" t="str">
        <f aca="false">IF(B1842="","",IF(H1842="A",0,IFERROR(N(I1842)/P_Heures*J1842,0)))</f>
        <v/>
      </c>
      <c r="L1842" s="25"/>
    </row>
    <row r="1843" customFormat="false" ht="15" hidden="false" customHeight="false" outlineLevel="0" collapsed="false">
      <c r="A1843" s="69"/>
      <c r="B1843" s="68"/>
      <c r="C1843" s="76" t="str">
        <f aca="false">IF(B1843="","",IFERROR(INDEX(PE_Nom,MATCH(B1843,PE_Mat,0)),"Matricule inconnu"))</f>
        <v/>
      </c>
      <c r="D1843" s="76" t="str">
        <f aca="false">IF(B1843="","",IFERROR(INDEX(PE_Fonction,MATCH(B1843,PE_Mat,0)),""))</f>
        <v/>
      </c>
      <c r="E1843" s="76" t="str">
        <f aca="false">IF(B1843="","",IFERROR(INDEX(PE_Equipe,MATCH(B1843,PE_Mat,0)),""))</f>
        <v/>
      </c>
      <c r="F1843" s="25"/>
      <c r="G1843" s="25"/>
      <c r="H1843" s="68"/>
      <c r="I1843" s="89"/>
      <c r="J1843" s="31" t="str">
        <f aca="false">IF(B1843="","",IFERROR(INDEX(PE_Taux,MATCH(B1843,PE_Mat,0)),0))</f>
        <v/>
      </c>
      <c r="K1843" s="31" t="str">
        <f aca="false">IF(B1843="","",IF(H1843="A",0,IFERROR(N(I1843)/P_Heures*J1843,0)))</f>
        <v/>
      </c>
      <c r="L1843" s="25"/>
    </row>
    <row r="1844" customFormat="false" ht="15" hidden="false" customHeight="false" outlineLevel="0" collapsed="false">
      <c r="A1844" s="69"/>
      <c r="B1844" s="68"/>
      <c r="C1844" s="76" t="str">
        <f aca="false">IF(B1844="","",IFERROR(INDEX(PE_Nom,MATCH(B1844,PE_Mat,0)),"Matricule inconnu"))</f>
        <v/>
      </c>
      <c r="D1844" s="76" t="str">
        <f aca="false">IF(B1844="","",IFERROR(INDEX(PE_Fonction,MATCH(B1844,PE_Mat,0)),""))</f>
        <v/>
      </c>
      <c r="E1844" s="76" t="str">
        <f aca="false">IF(B1844="","",IFERROR(INDEX(PE_Equipe,MATCH(B1844,PE_Mat,0)),""))</f>
        <v/>
      </c>
      <c r="F1844" s="25"/>
      <c r="G1844" s="25"/>
      <c r="H1844" s="68"/>
      <c r="I1844" s="89"/>
      <c r="J1844" s="31" t="str">
        <f aca="false">IF(B1844="","",IFERROR(INDEX(PE_Taux,MATCH(B1844,PE_Mat,0)),0))</f>
        <v/>
      </c>
      <c r="K1844" s="31" t="str">
        <f aca="false">IF(B1844="","",IF(H1844="A",0,IFERROR(N(I1844)/P_Heures*J1844,0)))</f>
        <v/>
      </c>
      <c r="L1844" s="25"/>
    </row>
    <row r="1845" customFormat="false" ht="15" hidden="false" customHeight="false" outlineLevel="0" collapsed="false">
      <c r="A1845" s="69"/>
      <c r="B1845" s="68"/>
      <c r="C1845" s="76" t="str">
        <f aca="false">IF(B1845="","",IFERROR(INDEX(PE_Nom,MATCH(B1845,PE_Mat,0)),"Matricule inconnu"))</f>
        <v/>
      </c>
      <c r="D1845" s="76" t="str">
        <f aca="false">IF(B1845="","",IFERROR(INDEX(PE_Fonction,MATCH(B1845,PE_Mat,0)),""))</f>
        <v/>
      </c>
      <c r="E1845" s="76" t="str">
        <f aca="false">IF(B1845="","",IFERROR(INDEX(PE_Equipe,MATCH(B1845,PE_Mat,0)),""))</f>
        <v/>
      </c>
      <c r="F1845" s="25"/>
      <c r="G1845" s="25"/>
      <c r="H1845" s="68"/>
      <c r="I1845" s="89"/>
      <c r="J1845" s="31" t="str">
        <f aca="false">IF(B1845="","",IFERROR(INDEX(PE_Taux,MATCH(B1845,PE_Mat,0)),0))</f>
        <v/>
      </c>
      <c r="K1845" s="31" t="str">
        <f aca="false">IF(B1845="","",IF(H1845="A",0,IFERROR(N(I1845)/P_Heures*J1845,0)))</f>
        <v/>
      </c>
      <c r="L1845" s="25"/>
    </row>
    <row r="1846" customFormat="false" ht="15" hidden="false" customHeight="false" outlineLevel="0" collapsed="false">
      <c r="A1846" s="69"/>
      <c r="B1846" s="68"/>
      <c r="C1846" s="76" t="str">
        <f aca="false">IF(B1846="","",IFERROR(INDEX(PE_Nom,MATCH(B1846,PE_Mat,0)),"Matricule inconnu"))</f>
        <v/>
      </c>
      <c r="D1846" s="76" t="str">
        <f aca="false">IF(B1846="","",IFERROR(INDEX(PE_Fonction,MATCH(B1846,PE_Mat,0)),""))</f>
        <v/>
      </c>
      <c r="E1846" s="76" t="str">
        <f aca="false">IF(B1846="","",IFERROR(INDEX(PE_Equipe,MATCH(B1846,PE_Mat,0)),""))</f>
        <v/>
      </c>
      <c r="F1846" s="25"/>
      <c r="G1846" s="25"/>
      <c r="H1846" s="68"/>
      <c r="I1846" s="89"/>
      <c r="J1846" s="31" t="str">
        <f aca="false">IF(B1846="","",IFERROR(INDEX(PE_Taux,MATCH(B1846,PE_Mat,0)),0))</f>
        <v/>
      </c>
      <c r="K1846" s="31" t="str">
        <f aca="false">IF(B1846="","",IF(H1846="A",0,IFERROR(N(I1846)/P_Heures*J1846,0)))</f>
        <v/>
      </c>
      <c r="L1846" s="25"/>
    </row>
    <row r="1847" customFormat="false" ht="15" hidden="false" customHeight="false" outlineLevel="0" collapsed="false">
      <c r="A1847" s="69"/>
      <c r="B1847" s="68"/>
      <c r="C1847" s="76" t="str">
        <f aca="false">IF(B1847="","",IFERROR(INDEX(PE_Nom,MATCH(B1847,PE_Mat,0)),"Matricule inconnu"))</f>
        <v/>
      </c>
      <c r="D1847" s="76" t="str">
        <f aca="false">IF(B1847="","",IFERROR(INDEX(PE_Fonction,MATCH(B1847,PE_Mat,0)),""))</f>
        <v/>
      </c>
      <c r="E1847" s="76" t="str">
        <f aca="false">IF(B1847="","",IFERROR(INDEX(PE_Equipe,MATCH(B1847,PE_Mat,0)),""))</f>
        <v/>
      </c>
      <c r="F1847" s="25"/>
      <c r="G1847" s="25"/>
      <c r="H1847" s="68"/>
      <c r="I1847" s="89"/>
      <c r="J1847" s="31" t="str">
        <f aca="false">IF(B1847="","",IFERROR(INDEX(PE_Taux,MATCH(B1847,PE_Mat,0)),0))</f>
        <v/>
      </c>
      <c r="K1847" s="31" t="str">
        <f aca="false">IF(B1847="","",IF(H1847="A",0,IFERROR(N(I1847)/P_Heures*J1847,0)))</f>
        <v/>
      </c>
      <c r="L1847" s="25"/>
    </row>
    <row r="1848" customFormat="false" ht="15" hidden="false" customHeight="false" outlineLevel="0" collapsed="false">
      <c r="A1848" s="69"/>
      <c r="B1848" s="68"/>
      <c r="C1848" s="76" t="str">
        <f aca="false">IF(B1848="","",IFERROR(INDEX(PE_Nom,MATCH(B1848,PE_Mat,0)),"Matricule inconnu"))</f>
        <v/>
      </c>
      <c r="D1848" s="76" t="str">
        <f aca="false">IF(B1848="","",IFERROR(INDEX(PE_Fonction,MATCH(B1848,PE_Mat,0)),""))</f>
        <v/>
      </c>
      <c r="E1848" s="76" t="str">
        <f aca="false">IF(B1848="","",IFERROR(INDEX(PE_Equipe,MATCH(B1848,PE_Mat,0)),""))</f>
        <v/>
      </c>
      <c r="F1848" s="25"/>
      <c r="G1848" s="25"/>
      <c r="H1848" s="68"/>
      <c r="I1848" s="89"/>
      <c r="J1848" s="31" t="str">
        <f aca="false">IF(B1848="","",IFERROR(INDEX(PE_Taux,MATCH(B1848,PE_Mat,0)),0))</f>
        <v/>
      </c>
      <c r="K1848" s="31" t="str">
        <f aca="false">IF(B1848="","",IF(H1848="A",0,IFERROR(N(I1848)/P_Heures*J1848,0)))</f>
        <v/>
      </c>
      <c r="L1848" s="25"/>
    </row>
    <row r="1849" customFormat="false" ht="15" hidden="false" customHeight="false" outlineLevel="0" collapsed="false">
      <c r="A1849" s="69"/>
      <c r="B1849" s="68"/>
      <c r="C1849" s="76" t="str">
        <f aca="false">IF(B1849="","",IFERROR(INDEX(PE_Nom,MATCH(B1849,PE_Mat,0)),"Matricule inconnu"))</f>
        <v/>
      </c>
      <c r="D1849" s="76" t="str">
        <f aca="false">IF(B1849="","",IFERROR(INDEX(PE_Fonction,MATCH(B1849,PE_Mat,0)),""))</f>
        <v/>
      </c>
      <c r="E1849" s="76" t="str">
        <f aca="false">IF(B1849="","",IFERROR(INDEX(PE_Equipe,MATCH(B1849,PE_Mat,0)),""))</f>
        <v/>
      </c>
      <c r="F1849" s="25"/>
      <c r="G1849" s="25"/>
      <c r="H1849" s="68"/>
      <c r="I1849" s="89"/>
      <c r="J1849" s="31" t="str">
        <f aca="false">IF(B1849="","",IFERROR(INDEX(PE_Taux,MATCH(B1849,PE_Mat,0)),0))</f>
        <v/>
      </c>
      <c r="K1849" s="31" t="str">
        <f aca="false">IF(B1849="","",IF(H1849="A",0,IFERROR(N(I1849)/P_Heures*J1849,0)))</f>
        <v/>
      </c>
      <c r="L1849" s="25"/>
    </row>
    <row r="1850" customFormat="false" ht="15" hidden="false" customHeight="false" outlineLevel="0" collapsed="false">
      <c r="A1850" s="69"/>
      <c r="B1850" s="68"/>
      <c r="C1850" s="76" t="str">
        <f aca="false">IF(B1850="","",IFERROR(INDEX(PE_Nom,MATCH(B1850,PE_Mat,0)),"Matricule inconnu"))</f>
        <v/>
      </c>
      <c r="D1850" s="76" t="str">
        <f aca="false">IF(B1850="","",IFERROR(INDEX(PE_Fonction,MATCH(B1850,PE_Mat,0)),""))</f>
        <v/>
      </c>
      <c r="E1850" s="76" t="str">
        <f aca="false">IF(B1850="","",IFERROR(INDEX(PE_Equipe,MATCH(B1850,PE_Mat,0)),""))</f>
        <v/>
      </c>
      <c r="F1850" s="25"/>
      <c r="G1850" s="25"/>
      <c r="H1850" s="68"/>
      <c r="I1850" s="89"/>
      <c r="J1850" s="31" t="str">
        <f aca="false">IF(B1850="","",IFERROR(INDEX(PE_Taux,MATCH(B1850,PE_Mat,0)),0))</f>
        <v/>
      </c>
      <c r="K1850" s="31" t="str">
        <f aca="false">IF(B1850="","",IF(H1850="A",0,IFERROR(N(I1850)/P_Heures*J1850,0)))</f>
        <v/>
      </c>
      <c r="L1850" s="25"/>
    </row>
    <row r="1851" customFormat="false" ht="15" hidden="false" customHeight="false" outlineLevel="0" collapsed="false">
      <c r="A1851" s="69"/>
      <c r="B1851" s="68"/>
      <c r="C1851" s="76" t="str">
        <f aca="false">IF(B1851="","",IFERROR(INDEX(PE_Nom,MATCH(B1851,PE_Mat,0)),"Matricule inconnu"))</f>
        <v/>
      </c>
      <c r="D1851" s="76" t="str">
        <f aca="false">IF(B1851="","",IFERROR(INDEX(PE_Fonction,MATCH(B1851,PE_Mat,0)),""))</f>
        <v/>
      </c>
      <c r="E1851" s="76" t="str">
        <f aca="false">IF(B1851="","",IFERROR(INDEX(PE_Equipe,MATCH(B1851,PE_Mat,0)),""))</f>
        <v/>
      </c>
      <c r="F1851" s="25"/>
      <c r="G1851" s="25"/>
      <c r="H1851" s="68"/>
      <c r="I1851" s="89"/>
      <c r="J1851" s="31" t="str">
        <f aca="false">IF(B1851="","",IFERROR(INDEX(PE_Taux,MATCH(B1851,PE_Mat,0)),0))</f>
        <v/>
      </c>
      <c r="K1851" s="31" t="str">
        <f aca="false">IF(B1851="","",IF(H1851="A",0,IFERROR(N(I1851)/P_Heures*J1851,0)))</f>
        <v/>
      </c>
      <c r="L1851" s="25"/>
    </row>
    <row r="1852" customFormat="false" ht="15" hidden="false" customHeight="false" outlineLevel="0" collapsed="false">
      <c r="A1852" s="69"/>
      <c r="B1852" s="68"/>
      <c r="C1852" s="76" t="str">
        <f aca="false">IF(B1852="","",IFERROR(INDEX(PE_Nom,MATCH(B1852,PE_Mat,0)),"Matricule inconnu"))</f>
        <v/>
      </c>
      <c r="D1852" s="76" t="str">
        <f aca="false">IF(B1852="","",IFERROR(INDEX(PE_Fonction,MATCH(B1852,PE_Mat,0)),""))</f>
        <v/>
      </c>
      <c r="E1852" s="76" t="str">
        <f aca="false">IF(B1852="","",IFERROR(INDEX(PE_Equipe,MATCH(B1852,PE_Mat,0)),""))</f>
        <v/>
      </c>
      <c r="F1852" s="25"/>
      <c r="G1852" s="25"/>
      <c r="H1852" s="68"/>
      <c r="I1852" s="89"/>
      <c r="J1852" s="31" t="str">
        <f aca="false">IF(B1852="","",IFERROR(INDEX(PE_Taux,MATCH(B1852,PE_Mat,0)),0))</f>
        <v/>
      </c>
      <c r="K1852" s="31" t="str">
        <f aca="false">IF(B1852="","",IF(H1852="A",0,IFERROR(N(I1852)/P_Heures*J1852,0)))</f>
        <v/>
      </c>
      <c r="L1852" s="25"/>
    </row>
    <row r="1853" customFormat="false" ht="15" hidden="false" customHeight="false" outlineLevel="0" collapsed="false">
      <c r="A1853" s="69"/>
      <c r="B1853" s="68"/>
      <c r="C1853" s="76" t="str">
        <f aca="false">IF(B1853="","",IFERROR(INDEX(PE_Nom,MATCH(B1853,PE_Mat,0)),"Matricule inconnu"))</f>
        <v/>
      </c>
      <c r="D1853" s="76" t="str">
        <f aca="false">IF(B1853="","",IFERROR(INDEX(PE_Fonction,MATCH(B1853,PE_Mat,0)),""))</f>
        <v/>
      </c>
      <c r="E1853" s="76" t="str">
        <f aca="false">IF(B1853="","",IFERROR(INDEX(PE_Equipe,MATCH(B1853,PE_Mat,0)),""))</f>
        <v/>
      </c>
      <c r="F1853" s="25"/>
      <c r="G1853" s="25"/>
      <c r="H1853" s="68"/>
      <c r="I1853" s="89"/>
      <c r="J1853" s="31" t="str">
        <f aca="false">IF(B1853="","",IFERROR(INDEX(PE_Taux,MATCH(B1853,PE_Mat,0)),0))</f>
        <v/>
      </c>
      <c r="K1853" s="31" t="str">
        <f aca="false">IF(B1853="","",IF(H1853="A",0,IFERROR(N(I1853)/P_Heures*J1853,0)))</f>
        <v/>
      </c>
      <c r="L1853" s="25"/>
    </row>
    <row r="1854" customFormat="false" ht="15" hidden="false" customHeight="false" outlineLevel="0" collapsed="false">
      <c r="A1854" s="69"/>
      <c r="B1854" s="68"/>
      <c r="C1854" s="76" t="str">
        <f aca="false">IF(B1854="","",IFERROR(INDEX(PE_Nom,MATCH(B1854,PE_Mat,0)),"Matricule inconnu"))</f>
        <v/>
      </c>
      <c r="D1854" s="76" t="str">
        <f aca="false">IF(B1854="","",IFERROR(INDEX(PE_Fonction,MATCH(B1854,PE_Mat,0)),""))</f>
        <v/>
      </c>
      <c r="E1854" s="76" t="str">
        <f aca="false">IF(B1854="","",IFERROR(INDEX(PE_Equipe,MATCH(B1854,PE_Mat,0)),""))</f>
        <v/>
      </c>
      <c r="F1854" s="25"/>
      <c r="G1854" s="25"/>
      <c r="H1854" s="68"/>
      <c r="I1854" s="89"/>
      <c r="J1854" s="31" t="str">
        <f aca="false">IF(B1854="","",IFERROR(INDEX(PE_Taux,MATCH(B1854,PE_Mat,0)),0))</f>
        <v/>
      </c>
      <c r="K1854" s="31" t="str">
        <f aca="false">IF(B1854="","",IF(H1854="A",0,IFERROR(N(I1854)/P_Heures*J1854,0)))</f>
        <v/>
      </c>
      <c r="L1854" s="25"/>
    </row>
    <row r="1855" customFormat="false" ht="15" hidden="false" customHeight="false" outlineLevel="0" collapsed="false">
      <c r="A1855" s="69"/>
      <c r="B1855" s="68"/>
      <c r="C1855" s="76" t="str">
        <f aca="false">IF(B1855="","",IFERROR(INDEX(PE_Nom,MATCH(B1855,PE_Mat,0)),"Matricule inconnu"))</f>
        <v/>
      </c>
      <c r="D1855" s="76" t="str">
        <f aca="false">IF(B1855="","",IFERROR(INDEX(PE_Fonction,MATCH(B1855,PE_Mat,0)),""))</f>
        <v/>
      </c>
      <c r="E1855" s="76" t="str">
        <f aca="false">IF(B1855="","",IFERROR(INDEX(PE_Equipe,MATCH(B1855,PE_Mat,0)),""))</f>
        <v/>
      </c>
      <c r="F1855" s="25"/>
      <c r="G1855" s="25"/>
      <c r="H1855" s="68"/>
      <c r="I1855" s="89"/>
      <c r="J1855" s="31" t="str">
        <f aca="false">IF(B1855="","",IFERROR(INDEX(PE_Taux,MATCH(B1855,PE_Mat,0)),0))</f>
        <v/>
      </c>
      <c r="K1855" s="31" t="str">
        <f aca="false">IF(B1855="","",IF(H1855="A",0,IFERROR(N(I1855)/P_Heures*J1855,0)))</f>
        <v/>
      </c>
      <c r="L1855" s="25"/>
    </row>
    <row r="1856" customFormat="false" ht="15" hidden="false" customHeight="false" outlineLevel="0" collapsed="false">
      <c r="A1856" s="69"/>
      <c r="B1856" s="68"/>
      <c r="C1856" s="76" t="str">
        <f aca="false">IF(B1856="","",IFERROR(INDEX(PE_Nom,MATCH(B1856,PE_Mat,0)),"Matricule inconnu"))</f>
        <v/>
      </c>
      <c r="D1856" s="76" t="str">
        <f aca="false">IF(B1856="","",IFERROR(INDEX(PE_Fonction,MATCH(B1856,PE_Mat,0)),""))</f>
        <v/>
      </c>
      <c r="E1856" s="76" t="str">
        <f aca="false">IF(B1856="","",IFERROR(INDEX(PE_Equipe,MATCH(B1856,PE_Mat,0)),""))</f>
        <v/>
      </c>
      <c r="F1856" s="25"/>
      <c r="G1856" s="25"/>
      <c r="H1856" s="68"/>
      <c r="I1856" s="89"/>
      <c r="J1856" s="31" t="str">
        <f aca="false">IF(B1856="","",IFERROR(INDEX(PE_Taux,MATCH(B1856,PE_Mat,0)),0))</f>
        <v/>
      </c>
      <c r="K1856" s="31" t="str">
        <f aca="false">IF(B1856="","",IF(H1856="A",0,IFERROR(N(I1856)/P_Heures*J1856,0)))</f>
        <v/>
      </c>
      <c r="L1856" s="25"/>
    </row>
    <row r="1857" customFormat="false" ht="15" hidden="false" customHeight="false" outlineLevel="0" collapsed="false">
      <c r="A1857" s="69"/>
      <c r="B1857" s="68"/>
      <c r="C1857" s="76" t="str">
        <f aca="false">IF(B1857="","",IFERROR(INDEX(PE_Nom,MATCH(B1857,PE_Mat,0)),"Matricule inconnu"))</f>
        <v/>
      </c>
      <c r="D1857" s="76" t="str">
        <f aca="false">IF(B1857="","",IFERROR(INDEX(PE_Fonction,MATCH(B1857,PE_Mat,0)),""))</f>
        <v/>
      </c>
      <c r="E1857" s="76" t="str">
        <f aca="false">IF(B1857="","",IFERROR(INDEX(PE_Equipe,MATCH(B1857,PE_Mat,0)),""))</f>
        <v/>
      </c>
      <c r="F1857" s="25"/>
      <c r="G1857" s="25"/>
      <c r="H1857" s="68"/>
      <c r="I1857" s="89"/>
      <c r="J1857" s="31" t="str">
        <f aca="false">IF(B1857="","",IFERROR(INDEX(PE_Taux,MATCH(B1857,PE_Mat,0)),0))</f>
        <v/>
      </c>
      <c r="K1857" s="31" t="str">
        <f aca="false">IF(B1857="","",IF(H1857="A",0,IFERROR(N(I1857)/P_Heures*J1857,0)))</f>
        <v/>
      </c>
      <c r="L1857" s="25"/>
    </row>
    <row r="1858" customFormat="false" ht="15" hidden="false" customHeight="false" outlineLevel="0" collapsed="false">
      <c r="A1858" s="69"/>
      <c r="B1858" s="68"/>
      <c r="C1858" s="76" t="str">
        <f aca="false">IF(B1858="","",IFERROR(INDEX(PE_Nom,MATCH(B1858,PE_Mat,0)),"Matricule inconnu"))</f>
        <v/>
      </c>
      <c r="D1858" s="76" t="str">
        <f aca="false">IF(B1858="","",IFERROR(INDEX(PE_Fonction,MATCH(B1858,PE_Mat,0)),""))</f>
        <v/>
      </c>
      <c r="E1858" s="76" t="str">
        <f aca="false">IF(B1858="","",IFERROR(INDEX(PE_Equipe,MATCH(B1858,PE_Mat,0)),""))</f>
        <v/>
      </c>
      <c r="F1858" s="25"/>
      <c r="G1858" s="25"/>
      <c r="H1858" s="68"/>
      <c r="I1858" s="89"/>
      <c r="J1858" s="31" t="str">
        <f aca="false">IF(B1858="","",IFERROR(INDEX(PE_Taux,MATCH(B1858,PE_Mat,0)),0))</f>
        <v/>
      </c>
      <c r="K1858" s="31" t="str">
        <f aca="false">IF(B1858="","",IF(H1858="A",0,IFERROR(N(I1858)/P_Heures*J1858,0)))</f>
        <v/>
      </c>
      <c r="L1858" s="25"/>
    </row>
    <row r="1859" customFormat="false" ht="15" hidden="false" customHeight="false" outlineLevel="0" collapsed="false">
      <c r="A1859" s="69"/>
      <c r="B1859" s="68"/>
      <c r="C1859" s="76" t="str">
        <f aca="false">IF(B1859="","",IFERROR(INDEX(PE_Nom,MATCH(B1859,PE_Mat,0)),"Matricule inconnu"))</f>
        <v/>
      </c>
      <c r="D1859" s="76" t="str">
        <f aca="false">IF(B1859="","",IFERROR(INDEX(PE_Fonction,MATCH(B1859,PE_Mat,0)),""))</f>
        <v/>
      </c>
      <c r="E1859" s="76" t="str">
        <f aca="false">IF(B1859="","",IFERROR(INDEX(PE_Equipe,MATCH(B1859,PE_Mat,0)),""))</f>
        <v/>
      </c>
      <c r="F1859" s="25"/>
      <c r="G1859" s="25"/>
      <c r="H1859" s="68"/>
      <c r="I1859" s="89"/>
      <c r="J1859" s="31" t="str">
        <f aca="false">IF(B1859="","",IFERROR(INDEX(PE_Taux,MATCH(B1859,PE_Mat,0)),0))</f>
        <v/>
      </c>
      <c r="K1859" s="31" t="str">
        <f aca="false">IF(B1859="","",IF(H1859="A",0,IFERROR(N(I1859)/P_Heures*J1859,0)))</f>
        <v/>
      </c>
      <c r="L1859" s="25"/>
    </row>
    <row r="1860" customFormat="false" ht="15" hidden="false" customHeight="false" outlineLevel="0" collapsed="false">
      <c r="A1860" s="69"/>
      <c r="B1860" s="68"/>
      <c r="C1860" s="76" t="str">
        <f aca="false">IF(B1860="","",IFERROR(INDEX(PE_Nom,MATCH(B1860,PE_Mat,0)),"Matricule inconnu"))</f>
        <v/>
      </c>
      <c r="D1860" s="76" t="str">
        <f aca="false">IF(B1860="","",IFERROR(INDEX(PE_Fonction,MATCH(B1860,PE_Mat,0)),""))</f>
        <v/>
      </c>
      <c r="E1860" s="76" t="str">
        <f aca="false">IF(B1860="","",IFERROR(INDEX(PE_Equipe,MATCH(B1860,PE_Mat,0)),""))</f>
        <v/>
      </c>
      <c r="F1860" s="25"/>
      <c r="G1860" s="25"/>
      <c r="H1860" s="68"/>
      <c r="I1860" s="89"/>
      <c r="J1860" s="31" t="str">
        <f aca="false">IF(B1860="","",IFERROR(INDEX(PE_Taux,MATCH(B1860,PE_Mat,0)),0))</f>
        <v/>
      </c>
      <c r="K1860" s="31" t="str">
        <f aca="false">IF(B1860="","",IF(H1860="A",0,IFERROR(N(I1860)/P_Heures*J1860,0)))</f>
        <v/>
      </c>
      <c r="L1860" s="25"/>
    </row>
    <row r="1861" customFormat="false" ht="15" hidden="false" customHeight="false" outlineLevel="0" collapsed="false">
      <c r="A1861" s="69"/>
      <c r="B1861" s="68"/>
      <c r="C1861" s="76" t="str">
        <f aca="false">IF(B1861="","",IFERROR(INDEX(PE_Nom,MATCH(B1861,PE_Mat,0)),"Matricule inconnu"))</f>
        <v/>
      </c>
      <c r="D1861" s="76" t="str">
        <f aca="false">IF(B1861="","",IFERROR(INDEX(PE_Fonction,MATCH(B1861,PE_Mat,0)),""))</f>
        <v/>
      </c>
      <c r="E1861" s="76" t="str">
        <f aca="false">IF(B1861="","",IFERROR(INDEX(PE_Equipe,MATCH(B1861,PE_Mat,0)),""))</f>
        <v/>
      </c>
      <c r="F1861" s="25"/>
      <c r="G1861" s="25"/>
      <c r="H1861" s="68"/>
      <c r="I1861" s="89"/>
      <c r="J1861" s="31" t="str">
        <f aca="false">IF(B1861="","",IFERROR(INDEX(PE_Taux,MATCH(B1861,PE_Mat,0)),0))</f>
        <v/>
      </c>
      <c r="K1861" s="31" t="str">
        <f aca="false">IF(B1861="","",IF(H1861="A",0,IFERROR(N(I1861)/P_Heures*J1861,0)))</f>
        <v/>
      </c>
      <c r="L1861" s="25"/>
    </row>
    <row r="1862" customFormat="false" ht="15" hidden="false" customHeight="false" outlineLevel="0" collapsed="false">
      <c r="A1862" s="69"/>
      <c r="B1862" s="68"/>
      <c r="C1862" s="76" t="str">
        <f aca="false">IF(B1862="","",IFERROR(INDEX(PE_Nom,MATCH(B1862,PE_Mat,0)),"Matricule inconnu"))</f>
        <v/>
      </c>
      <c r="D1862" s="76" t="str">
        <f aca="false">IF(B1862="","",IFERROR(INDEX(PE_Fonction,MATCH(B1862,PE_Mat,0)),""))</f>
        <v/>
      </c>
      <c r="E1862" s="76" t="str">
        <f aca="false">IF(B1862="","",IFERROR(INDEX(PE_Equipe,MATCH(B1862,PE_Mat,0)),""))</f>
        <v/>
      </c>
      <c r="F1862" s="25"/>
      <c r="G1862" s="25"/>
      <c r="H1862" s="68"/>
      <c r="I1862" s="89"/>
      <c r="J1862" s="31" t="str">
        <f aca="false">IF(B1862="","",IFERROR(INDEX(PE_Taux,MATCH(B1862,PE_Mat,0)),0))</f>
        <v/>
      </c>
      <c r="K1862" s="31" t="str">
        <f aca="false">IF(B1862="","",IF(H1862="A",0,IFERROR(N(I1862)/P_Heures*J1862,0)))</f>
        <v/>
      </c>
      <c r="L1862" s="25"/>
    </row>
    <row r="1863" customFormat="false" ht="15" hidden="false" customHeight="false" outlineLevel="0" collapsed="false">
      <c r="A1863" s="69"/>
      <c r="B1863" s="68"/>
      <c r="C1863" s="76" t="str">
        <f aca="false">IF(B1863="","",IFERROR(INDEX(PE_Nom,MATCH(B1863,PE_Mat,0)),"Matricule inconnu"))</f>
        <v/>
      </c>
      <c r="D1863" s="76" t="str">
        <f aca="false">IF(B1863="","",IFERROR(INDEX(PE_Fonction,MATCH(B1863,PE_Mat,0)),""))</f>
        <v/>
      </c>
      <c r="E1863" s="76" t="str">
        <f aca="false">IF(B1863="","",IFERROR(INDEX(PE_Equipe,MATCH(B1863,PE_Mat,0)),""))</f>
        <v/>
      </c>
      <c r="F1863" s="25"/>
      <c r="G1863" s="25"/>
      <c r="H1863" s="68"/>
      <c r="I1863" s="89"/>
      <c r="J1863" s="31" t="str">
        <f aca="false">IF(B1863="","",IFERROR(INDEX(PE_Taux,MATCH(B1863,PE_Mat,0)),0))</f>
        <v/>
      </c>
      <c r="K1863" s="31" t="str">
        <f aca="false">IF(B1863="","",IF(H1863="A",0,IFERROR(N(I1863)/P_Heures*J1863,0)))</f>
        <v/>
      </c>
      <c r="L1863" s="25"/>
    </row>
    <row r="1864" customFormat="false" ht="15" hidden="false" customHeight="false" outlineLevel="0" collapsed="false">
      <c r="A1864" s="69"/>
      <c r="B1864" s="68"/>
      <c r="C1864" s="76" t="str">
        <f aca="false">IF(B1864="","",IFERROR(INDEX(PE_Nom,MATCH(B1864,PE_Mat,0)),"Matricule inconnu"))</f>
        <v/>
      </c>
      <c r="D1864" s="76" t="str">
        <f aca="false">IF(B1864="","",IFERROR(INDEX(PE_Fonction,MATCH(B1864,PE_Mat,0)),""))</f>
        <v/>
      </c>
      <c r="E1864" s="76" t="str">
        <f aca="false">IF(B1864="","",IFERROR(INDEX(PE_Equipe,MATCH(B1864,PE_Mat,0)),""))</f>
        <v/>
      </c>
      <c r="F1864" s="25"/>
      <c r="G1864" s="25"/>
      <c r="H1864" s="68"/>
      <c r="I1864" s="89"/>
      <c r="J1864" s="31" t="str">
        <f aca="false">IF(B1864="","",IFERROR(INDEX(PE_Taux,MATCH(B1864,PE_Mat,0)),0))</f>
        <v/>
      </c>
      <c r="K1864" s="31" t="str">
        <f aca="false">IF(B1864="","",IF(H1864="A",0,IFERROR(N(I1864)/P_Heures*J1864,0)))</f>
        <v/>
      </c>
      <c r="L1864" s="25"/>
    </row>
    <row r="1865" customFormat="false" ht="15" hidden="false" customHeight="false" outlineLevel="0" collapsed="false">
      <c r="A1865" s="69"/>
      <c r="B1865" s="68"/>
      <c r="C1865" s="76" t="str">
        <f aca="false">IF(B1865="","",IFERROR(INDEX(PE_Nom,MATCH(B1865,PE_Mat,0)),"Matricule inconnu"))</f>
        <v/>
      </c>
      <c r="D1865" s="76" t="str">
        <f aca="false">IF(B1865="","",IFERROR(INDEX(PE_Fonction,MATCH(B1865,PE_Mat,0)),""))</f>
        <v/>
      </c>
      <c r="E1865" s="76" t="str">
        <f aca="false">IF(B1865="","",IFERROR(INDEX(PE_Equipe,MATCH(B1865,PE_Mat,0)),""))</f>
        <v/>
      </c>
      <c r="F1865" s="25"/>
      <c r="G1865" s="25"/>
      <c r="H1865" s="68"/>
      <c r="I1865" s="89"/>
      <c r="J1865" s="31" t="str">
        <f aca="false">IF(B1865="","",IFERROR(INDEX(PE_Taux,MATCH(B1865,PE_Mat,0)),0))</f>
        <v/>
      </c>
      <c r="K1865" s="31" t="str">
        <f aca="false">IF(B1865="","",IF(H1865="A",0,IFERROR(N(I1865)/P_Heures*J1865,0)))</f>
        <v/>
      </c>
      <c r="L1865" s="25"/>
    </row>
    <row r="1866" customFormat="false" ht="15" hidden="false" customHeight="false" outlineLevel="0" collapsed="false">
      <c r="A1866" s="69"/>
      <c r="B1866" s="68"/>
      <c r="C1866" s="76" t="str">
        <f aca="false">IF(B1866="","",IFERROR(INDEX(PE_Nom,MATCH(B1866,PE_Mat,0)),"Matricule inconnu"))</f>
        <v/>
      </c>
      <c r="D1866" s="76" t="str">
        <f aca="false">IF(B1866="","",IFERROR(INDEX(PE_Fonction,MATCH(B1866,PE_Mat,0)),""))</f>
        <v/>
      </c>
      <c r="E1866" s="76" t="str">
        <f aca="false">IF(B1866="","",IFERROR(INDEX(PE_Equipe,MATCH(B1866,PE_Mat,0)),""))</f>
        <v/>
      </c>
      <c r="F1866" s="25"/>
      <c r="G1866" s="25"/>
      <c r="H1866" s="68"/>
      <c r="I1866" s="89"/>
      <c r="J1866" s="31" t="str">
        <f aca="false">IF(B1866="","",IFERROR(INDEX(PE_Taux,MATCH(B1866,PE_Mat,0)),0))</f>
        <v/>
      </c>
      <c r="K1866" s="31" t="str">
        <f aca="false">IF(B1866="","",IF(H1866="A",0,IFERROR(N(I1866)/P_Heures*J1866,0)))</f>
        <v/>
      </c>
      <c r="L1866" s="25"/>
    </row>
    <row r="1867" customFormat="false" ht="15" hidden="false" customHeight="false" outlineLevel="0" collapsed="false">
      <c r="A1867" s="69"/>
      <c r="B1867" s="68"/>
      <c r="C1867" s="76" t="str">
        <f aca="false">IF(B1867="","",IFERROR(INDEX(PE_Nom,MATCH(B1867,PE_Mat,0)),"Matricule inconnu"))</f>
        <v/>
      </c>
      <c r="D1867" s="76" t="str">
        <f aca="false">IF(B1867="","",IFERROR(INDEX(PE_Fonction,MATCH(B1867,PE_Mat,0)),""))</f>
        <v/>
      </c>
      <c r="E1867" s="76" t="str">
        <f aca="false">IF(B1867="","",IFERROR(INDEX(PE_Equipe,MATCH(B1867,PE_Mat,0)),""))</f>
        <v/>
      </c>
      <c r="F1867" s="25"/>
      <c r="G1867" s="25"/>
      <c r="H1867" s="68"/>
      <c r="I1867" s="89"/>
      <c r="J1867" s="31" t="str">
        <f aca="false">IF(B1867="","",IFERROR(INDEX(PE_Taux,MATCH(B1867,PE_Mat,0)),0))</f>
        <v/>
      </c>
      <c r="K1867" s="31" t="str">
        <f aca="false">IF(B1867="","",IF(H1867="A",0,IFERROR(N(I1867)/P_Heures*J1867,0)))</f>
        <v/>
      </c>
      <c r="L1867" s="25"/>
    </row>
    <row r="1868" customFormat="false" ht="15" hidden="false" customHeight="false" outlineLevel="0" collapsed="false">
      <c r="A1868" s="69"/>
      <c r="B1868" s="68"/>
      <c r="C1868" s="76" t="str">
        <f aca="false">IF(B1868="","",IFERROR(INDEX(PE_Nom,MATCH(B1868,PE_Mat,0)),"Matricule inconnu"))</f>
        <v/>
      </c>
      <c r="D1868" s="76" t="str">
        <f aca="false">IF(B1868="","",IFERROR(INDEX(PE_Fonction,MATCH(B1868,PE_Mat,0)),""))</f>
        <v/>
      </c>
      <c r="E1868" s="76" t="str">
        <f aca="false">IF(B1868="","",IFERROR(INDEX(PE_Equipe,MATCH(B1868,PE_Mat,0)),""))</f>
        <v/>
      </c>
      <c r="F1868" s="25"/>
      <c r="G1868" s="25"/>
      <c r="H1868" s="68"/>
      <c r="I1868" s="89"/>
      <c r="J1868" s="31" t="str">
        <f aca="false">IF(B1868="","",IFERROR(INDEX(PE_Taux,MATCH(B1868,PE_Mat,0)),0))</f>
        <v/>
      </c>
      <c r="K1868" s="31" t="str">
        <f aca="false">IF(B1868="","",IF(H1868="A",0,IFERROR(N(I1868)/P_Heures*J1868,0)))</f>
        <v/>
      </c>
      <c r="L1868" s="25"/>
    </row>
    <row r="1869" customFormat="false" ht="15" hidden="false" customHeight="false" outlineLevel="0" collapsed="false">
      <c r="A1869" s="69"/>
      <c r="B1869" s="68"/>
      <c r="C1869" s="76" t="str">
        <f aca="false">IF(B1869="","",IFERROR(INDEX(PE_Nom,MATCH(B1869,PE_Mat,0)),"Matricule inconnu"))</f>
        <v/>
      </c>
      <c r="D1869" s="76" t="str">
        <f aca="false">IF(B1869="","",IFERROR(INDEX(PE_Fonction,MATCH(B1869,PE_Mat,0)),""))</f>
        <v/>
      </c>
      <c r="E1869" s="76" t="str">
        <f aca="false">IF(B1869="","",IFERROR(INDEX(PE_Equipe,MATCH(B1869,PE_Mat,0)),""))</f>
        <v/>
      </c>
      <c r="F1869" s="25"/>
      <c r="G1869" s="25"/>
      <c r="H1869" s="68"/>
      <c r="I1869" s="89"/>
      <c r="J1869" s="31" t="str">
        <f aca="false">IF(B1869="","",IFERROR(INDEX(PE_Taux,MATCH(B1869,PE_Mat,0)),0))</f>
        <v/>
      </c>
      <c r="K1869" s="31" t="str">
        <f aca="false">IF(B1869="","",IF(H1869="A",0,IFERROR(N(I1869)/P_Heures*J1869,0)))</f>
        <v/>
      </c>
      <c r="L1869" s="25"/>
    </row>
    <row r="1870" customFormat="false" ht="15" hidden="false" customHeight="false" outlineLevel="0" collapsed="false">
      <c r="A1870" s="69"/>
      <c r="B1870" s="68"/>
      <c r="C1870" s="76" t="str">
        <f aca="false">IF(B1870="","",IFERROR(INDEX(PE_Nom,MATCH(B1870,PE_Mat,0)),"Matricule inconnu"))</f>
        <v/>
      </c>
      <c r="D1870" s="76" t="str">
        <f aca="false">IF(B1870="","",IFERROR(INDEX(PE_Fonction,MATCH(B1870,PE_Mat,0)),""))</f>
        <v/>
      </c>
      <c r="E1870" s="76" t="str">
        <f aca="false">IF(B1870="","",IFERROR(INDEX(PE_Equipe,MATCH(B1870,PE_Mat,0)),""))</f>
        <v/>
      </c>
      <c r="F1870" s="25"/>
      <c r="G1870" s="25"/>
      <c r="H1870" s="68"/>
      <c r="I1870" s="89"/>
      <c r="J1870" s="31" t="str">
        <f aca="false">IF(B1870="","",IFERROR(INDEX(PE_Taux,MATCH(B1870,PE_Mat,0)),0))</f>
        <v/>
      </c>
      <c r="K1870" s="31" t="str">
        <f aca="false">IF(B1870="","",IF(H1870="A",0,IFERROR(N(I1870)/P_Heures*J1870,0)))</f>
        <v/>
      </c>
      <c r="L1870" s="25"/>
    </row>
    <row r="1871" customFormat="false" ht="15" hidden="false" customHeight="false" outlineLevel="0" collapsed="false">
      <c r="A1871" s="69"/>
      <c r="B1871" s="68"/>
      <c r="C1871" s="76" t="str">
        <f aca="false">IF(B1871="","",IFERROR(INDEX(PE_Nom,MATCH(B1871,PE_Mat,0)),"Matricule inconnu"))</f>
        <v/>
      </c>
      <c r="D1871" s="76" t="str">
        <f aca="false">IF(B1871="","",IFERROR(INDEX(PE_Fonction,MATCH(B1871,PE_Mat,0)),""))</f>
        <v/>
      </c>
      <c r="E1871" s="76" t="str">
        <f aca="false">IF(B1871="","",IFERROR(INDEX(PE_Equipe,MATCH(B1871,PE_Mat,0)),""))</f>
        <v/>
      </c>
      <c r="F1871" s="25"/>
      <c r="G1871" s="25"/>
      <c r="H1871" s="68"/>
      <c r="I1871" s="89"/>
      <c r="J1871" s="31" t="str">
        <f aca="false">IF(B1871="","",IFERROR(INDEX(PE_Taux,MATCH(B1871,PE_Mat,0)),0))</f>
        <v/>
      </c>
      <c r="K1871" s="31" t="str">
        <f aca="false">IF(B1871="","",IF(H1871="A",0,IFERROR(N(I1871)/P_Heures*J1871,0)))</f>
        <v/>
      </c>
      <c r="L1871" s="25"/>
    </row>
    <row r="1872" customFormat="false" ht="15" hidden="false" customHeight="false" outlineLevel="0" collapsed="false">
      <c r="A1872" s="69"/>
      <c r="B1872" s="68"/>
      <c r="C1872" s="76" t="str">
        <f aca="false">IF(B1872="","",IFERROR(INDEX(PE_Nom,MATCH(B1872,PE_Mat,0)),"Matricule inconnu"))</f>
        <v/>
      </c>
      <c r="D1872" s="76" t="str">
        <f aca="false">IF(B1872="","",IFERROR(INDEX(PE_Fonction,MATCH(B1872,PE_Mat,0)),""))</f>
        <v/>
      </c>
      <c r="E1872" s="76" t="str">
        <f aca="false">IF(B1872="","",IFERROR(INDEX(PE_Equipe,MATCH(B1872,PE_Mat,0)),""))</f>
        <v/>
      </c>
      <c r="F1872" s="25"/>
      <c r="G1872" s="25"/>
      <c r="H1872" s="68"/>
      <c r="I1872" s="89"/>
      <c r="J1872" s="31" t="str">
        <f aca="false">IF(B1872="","",IFERROR(INDEX(PE_Taux,MATCH(B1872,PE_Mat,0)),0))</f>
        <v/>
      </c>
      <c r="K1872" s="31" t="str">
        <f aca="false">IF(B1872="","",IF(H1872="A",0,IFERROR(N(I1872)/P_Heures*J1872,0)))</f>
        <v/>
      </c>
      <c r="L1872" s="25"/>
    </row>
    <row r="1873" customFormat="false" ht="15" hidden="false" customHeight="false" outlineLevel="0" collapsed="false">
      <c r="A1873" s="69"/>
      <c r="B1873" s="68"/>
      <c r="C1873" s="76" t="str">
        <f aca="false">IF(B1873="","",IFERROR(INDEX(PE_Nom,MATCH(B1873,PE_Mat,0)),"Matricule inconnu"))</f>
        <v/>
      </c>
      <c r="D1873" s="76" t="str">
        <f aca="false">IF(B1873="","",IFERROR(INDEX(PE_Fonction,MATCH(B1873,PE_Mat,0)),""))</f>
        <v/>
      </c>
      <c r="E1873" s="76" t="str">
        <f aca="false">IF(B1873="","",IFERROR(INDEX(PE_Equipe,MATCH(B1873,PE_Mat,0)),""))</f>
        <v/>
      </c>
      <c r="F1873" s="25"/>
      <c r="G1873" s="25"/>
      <c r="H1873" s="68"/>
      <c r="I1873" s="89"/>
      <c r="J1873" s="31" t="str">
        <f aca="false">IF(B1873="","",IFERROR(INDEX(PE_Taux,MATCH(B1873,PE_Mat,0)),0))</f>
        <v/>
      </c>
      <c r="K1873" s="31" t="str">
        <f aca="false">IF(B1873="","",IF(H1873="A",0,IFERROR(N(I1873)/P_Heures*J1873,0)))</f>
        <v/>
      </c>
      <c r="L1873" s="25"/>
    </row>
    <row r="1874" customFormat="false" ht="15" hidden="false" customHeight="false" outlineLevel="0" collapsed="false">
      <c r="A1874" s="69"/>
      <c r="B1874" s="68"/>
      <c r="C1874" s="76" t="str">
        <f aca="false">IF(B1874="","",IFERROR(INDEX(PE_Nom,MATCH(B1874,PE_Mat,0)),"Matricule inconnu"))</f>
        <v/>
      </c>
      <c r="D1874" s="76" t="str">
        <f aca="false">IF(B1874="","",IFERROR(INDEX(PE_Fonction,MATCH(B1874,PE_Mat,0)),""))</f>
        <v/>
      </c>
      <c r="E1874" s="76" t="str">
        <f aca="false">IF(B1874="","",IFERROR(INDEX(PE_Equipe,MATCH(B1874,PE_Mat,0)),""))</f>
        <v/>
      </c>
      <c r="F1874" s="25"/>
      <c r="G1874" s="25"/>
      <c r="H1874" s="68"/>
      <c r="I1874" s="89"/>
      <c r="J1874" s="31" t="str">
        <f aca="false">IF(B1874="","",IFERROR(INDEX(PE_Taux,MATCH(B1874,PE_Mat,0)),0))</f>
        <v/>
      </c>
      <c r="K1874" s="31" t="str">
        <f aca="false">IF(B1874="","",IF(H1874="A",0,IFERROR(N(I1874)/P_Heures*J1874,0)))</f>
        <v/>
      </c>
      <c r="L1874" s="25"/>
    </row>
    <row r="1875" customFormat="false" ht="15" hidden="false" customHeight="false" outlineLevel="0" collapsed="false">
      <c r="A1875" s="69"/>
      <c r="B1875" s="68"/>
      <c r="C1875" s="76" t="str">
        <f aca="false">IF(B1875="","",IFERROR(INDEX(PE_Nom,MATCH(B1875,PE_Mat,0)),"Matricule inconnu"))</f>
        <v/>
      </c>
      <c r="D1875" s="76" t="str">
        <f aca="false">IF(B1875="","",IFERROR(INDEX(PE_Fonction,MATCH(B1875,PE_Mat,0)),""))</f>
        <v/>
      </c>
      <c r="E1875" s="76" t="str">
        <f aca="false">IF(B1875="","",IFERROR(INDEX(PE_Equipe,MATCH(B1875,PE_Mat,0)),""))</f>
        <v/>
      </c>
      <c r="F1875" s="25"/>
      <c r="G1875" s="25"/>
      <c r="H1875" s="68"/>
      <c r="I1875" s="89"/>
      <c r="J1875" s="31" t="str">
        <f aca="false">IF(B1875="","",IFERROR(INDEX(PE_Taux,MATCH(B1875,PE_Mat,0)),0))</f>
        <v/>
      </c>
      <c r="K1875" s="31" t="str">
        <f aca="false">IF(B1875="","",IF(H1875="A",0,IFERROR(N(I1875)/P_Heures*J1875,0)))</f>
        <v/>
      </c>
      <c r="L1875" s="25"/>
    </row>
    <row r="1876" customFormat="false" ht="15" hidden="false" customHeight="false" outlineLevel="0" collapsed="false">
      <c r="A1876" s="69"/>
      <c r="B1876" s="68"/>
      <c r="C1876" s="76" t="str">
        <f aca="false">IF(B1876="","",IFERROR(INDEX(PE_Nom,MATCH(B1876,PE_Mat,0)),"Matricule inconnu"))</f>
        <v/>
      </c>
      <c r="D1876" s="76" t="str">
        <f aca="false">IF(B1876="","",IFERROR(INDEX(PE_Fonction,MATCH(B1876,PE_Mat,0)),""))</f>
        <v/>
      </c>
      <c r="E1876" s="76" t="str">
        <f aca="false">IF(B1876="","",IFERROR(INDEX(PE_Equipe,MATCH(B1876,PE_Mat,0)),""))</f>
        <v/>
      </c>
      <c r="F1876" s="25"/>
      <c r="G1876" s="25"/>
      <c r="H1876" s="68"/>
      <c r="I1876" s="89"/>
      <c r="J1876" s="31" t="str">
        <f aca="false">IF(B1876="","",IFERROR(INDEX(PE_Taux,MATCH(B1876,PE_Mat,0)),0))</f>
        <v/>
      </c>
      <c r="K1876" s="31" t="str">
        <f aca="false">IF(B1876="","",IF(H1876="A",0,IFERROR(N(I1876)/P_Heures*J1876,0)))</f>
        <v/>
      </c>
      <c r="L1876" s="25"/>
    </row>
    <row r="1877" customFormat="false" ht="15" hidden="false" customHeight="false" outlineLevel="0" collapsed="false">
      <c r="A1877" s="69"/>
      <c r="B1877" s="68"/>
      <c r="C1877" s="76" t="str">
        <f aca="false">IF(B1877="","",IFERROR(INDEX(PE_Nom,MATCH(B1877,PE_Mat,0)),"Matricule inconnu"))</f>
        <v/>
      </c>
      <c r="D1877" s="76" t="str">
        <f aca="false">IF(B1877="","",IFERROR(INDEX(PE_Fonction,MATCH(B1877,PE_Mat,0)),""))</f>
        <v/>
      </c>
      <c r="E1877" s="76" t="str">
        <f aca="false">IF(B1877="","",IFERROR(INDEX(PE_Equipe,MATCH(B1877,PE_Mat,0)),""))</f>
        <v/>
      </c>
      <c r="F1877" s="25"/>
      <c r="G1877" s="25"/>
      <c r="H1877" s="68"/>
      <c r="I1877" s="89"/>
      <c r="J1877" s="31" t="str">
        <f aca="false">IF(B1877="","",IFERROR(INDEX(PE_Taux,MATCH(B1877,PE_Mat,0)),0))</f>
        <v/>
      </c>
      <c r="K1877" s="31" t="str">
        <f aca="false">IF(B1877="","",IF(H1877="A",0,IFERROR(N(I1877)/P_Heures*J1877,0)))</f>
        <v/>
      </c>
      <c r="L1877" s="25"/>
    </row>
    <row r="1878" customFormat="false" ht="15" hidden="false" customHeight="false" outlineLevel="0" collapsed="false">
      <c r="A1878" s="69"/>
      <c r="B1878" s="68"/>
      <c r="C1878" s="76" t="str">
        <f aca="false">IF(B1878="","",IFERROR(INDEX(PE_Nom,MATCH(B1878,PE_Mat,0)),"Matricule inconnu"))</f>
        <v/>
      </c>
      <c r="D1878" s="76" t="str">
        <f aca="false">IF(B1878="","",IFERROR(INDEX(PE_Fonction,MATCH(B1878,PE_Mat,0)),""))</f>
        <v/>
      </c>
      <c r="E1878" s="76" t="str">
        <f aca="false">IF(B1878="","",IFERROR(INDEX(PE_Equipe,MATCH(B1878,PE_Mat,0)),""))</f>
        <v/>
      </c>
      <c r="F1878" s="25"/>
      <c r="G1878" s="25"/>
      <c r="H1878" s="68"/>
      <c r="I1878" s="89"/>
      <c r="J1878" s="31" t="str">
        <f aca="false">IF(B1878="","",IFERROR(INDEX(PE_Taux,MATCH(B1878,PE_Mat,0)),0))</f>
        <v/>
      </c>
      <c r="K1878" s="31" t="str">
        <f aca="false">IF(B1878="","",IF(H1878="A",0,IFERROR(N(I1878)/P_Heures*J1878,0)))</f>
        <v/>
      </c>
      <c r="L1878" s="25"/>
    </row>
    <row r="1879" customFormat="false" ht="15" hidden="false" customHeight="false" outlineLevel="0" collapsed="false">
      <c r="A1879" s="69"/>
      <c r="B1879" s="68"/>
      <c r="C1879" s="76" t="str">
        <f aca="false">IF(B1879="","",IFERROR(INDEX(PE_Nom,MATCH(B1879,PE_Mat,0)),"Matricule inconnu"))</f>
        <v/>
      </c>
      <c r="D1879" s="76" t="str">
        <f aca="false">IF(B1879="","",IFERROR(INDEX(PE_Fonction,MATCH(B1879,PE_Mat,0)),""))</f>
        <v/>
      </c>
      <c r="E1879" s="76" t="str">
        <f aca="false">IF(B1879="","",IFERROR(INDEX(PE_Equipe,MATCH(B1879,PE_Mat,0)),""))</f>
        <v/>
      </c>
      <c r="F1879" s="25"/>
      <c r="G1879" s="25"/>
      <c r="H1879" s="68"/>
      <c r="I1879" s="89"/>
      <c r="J1879" s="31" t="str">
        <f aca="false">IF(B1879="","",IFERROR(INDEX(PE_Taux,MATCH(B1879,PE_Mat,0)),0))</f>
        <v/>
      </c>
      <c r="K1879" s="31" t="str">
        <f aca="false">IF(B1879="","",IF(H1879="A",0,IFERROR(N(I1879)/P_Heures*J1879,0)))</f>
        <v/>
      </c>
      <c r="L1879" s="25"/>
    </row>
    <row r="1880" customFormat="false" ht="15" hidden="false" customHeight="false" outlineLevel="0" collapsed="false">
      <c r="A1880" s="69"/>
      <c r="B1880" s="68"/>
      <c r="C1880" s="76" t="str">
        <f aca="false">IF(B1880="","",IFERROR(INDEX(PE_Nom,MATCH(B1880,PE_Mat,0)),"Matricule inconnu"))</f>
        <v/>
      </c>
      <c r="D1880" s="76" t="str">
        <f aca="false">IF(B1880="","",IFERROR(INDEX(PE_Fonction,MATCH(B1880,PE_Mat,0)),""))</f>
        <v/>
      </c>
      <c r="E1880" s="76" t="str">
        <f aca="false">IF(B1880="","",IFERROR(INDEX(PE_Equipe,MATCH(B1880,PE_Mat,0)),""))</f>
        <v/>
      </c>
      <c r="F1880" s="25"/>
      <c r="G1880" s="25"/>
      <c r="H1880" s="68"/>
      <c r="I1880" s="89"/>
      <c r="J1880" s="31" t="str">
        <f aca="false">IF(B1880="","",IFERROR(INDEX(PE_Taux,MATCH(B1880,PE_Mat,0)),0))</f>
        <v/>
      </c>
      <c r="K1880" s="31" t="str">
        <f aca="false">IF(B1880="","",IF(H1880="A",0,IFERROR(N(I1880)/P_Heures*J1880,0)))</f>
        <v/>
      </c>
      <c r="L1880" s="25"/>
    </row>
    <row r="1881" customFormat="false" ht="15" hidden="false" customHeight="false" outlineLevel="0" collapsed="false">
      <c r="A1881" s="69"/>
      <c r="B1881" s="68"/>
      <c r="C1881" s="76" t="str">
        <f aca="false">IF(B1881="","",IFERROR(INDEX(PE_Nom,MATCH(B1881,PE_Mat,0)),"Matricule inconnu"))</f>
        <v/>
      </c>
      <c r="D1881" s="76" t="str">
        <f aca="false">IF(B1881="","",IFERROR(INDEX(PE_Fonction,MATCH(B1881,PE_Mat,0)),""))</f>
        <v/>
      </c>
      <c r="E1881" s="76" t="str">
        <f aca="false">IF(B1881="","",IFERROR(INDEX(PE_Equipe,MATCH(B1881,PE_Mat,0)),""))</f>
        <v/>
      </c>
      <c r="F1881" s="25"/>
      <c r="G1881" s="25"/>
      <c r="H1881" s="68"/>
      <c r="I1881" s="89"/>
      <c r="J1881" s="31" t="str">
        <f aca="false">IF(B1881="","",IFERROR(INDEX(PE_Taux,MATCH(B1881,PE_Mat,0)),0))</f>
        <v/>
      </c>
      <c r="K1881" s="31" t="str">
        <f aca="false">IF(B1881="","",IF(H1881="A",0,IFERROR(N(I1881)/P_Heures*J1881,0)))</f>
        <v/>
      </c>
      <c r="L1881" s="25"/>
    </row>
    <row r="1882" customFormat="false" ht="15" hidden="false" customHeight="false" outlineLevel="0" collapsed="false">
      <c r="A1882" s="69"/>
      <c r="B1882" s="68"/>
      <c r="C1882" s="76" t="str">
        <f aca="false">IF(B1882="","",IFERROR(INDEX(PE_Nom,MATCH(B1882,PE_Mat,0)),"Matricule inconnu"))</f>
        <v/>
      </c>
      <c r="D1882" s="76" t="str">
        <f aca="false">IF(B1882="","",IFERROR(INDEX(PE_Fonction,MATCH(B1882,PE_Mat,0)),""))</f>
        <v/>
      </c>
      <c r="E1882" s="76" t="str">
        <f aca="false">IF(B1882="","",IFERROR(INDEX(PE_Equipe,MATCH(B1882,PE_Mat,0)),""))</f>
        <v/>
      </c>
      <c r="F1882" s="25"/>
      <c r="G1882" s="25"/>
      <c r="H1882" s="68"/>
      <c r="I1882" s="89"/>
      <c r="J1882" s="31" t="str">
        <f aca="false">IF(B1882="","",IFERROR(INDEX(PE_Taux,MATCH(B1882,PE_Mat,0)),0))</f>
        <v/>
      </c>
      <c r="K1882" s="31" t="str">
        <f aca="false">IF(B1882="","",IF(H1882="A",0,IFERROR(N(I1882)/P_Heures*J1882,0)))</f>
        <v/>
      </c>
      <c r="L1882" s="25"/>
    </row>
    <row r="1883" customFormat="false" ht="15" hidden="false" customHeight="false" outlineLevel="0" collapsed="false">
      <c r="A1883" s="69"/>
      <c r="B1883" s="68"/>
      <c r="C1883" s="76" t="str">
        <f aca="false">IF(B1883="","",IFERROR(INDEX(PE_Nom,MATCH(B1883,PE_Mat,0)),"Matricule inconnu"))</f>
        <v/>
      </c>
      <c r="D1883" s="76" t="str">
        <f aca="false">IF(B1883="","",IFERROR(INDEX(PE_Fonction,MATCH(B1883,PE_Mat,0)),""))</f>
        <v/>
      </c>
      <c r="E1883" s="76" t="str">
        <f aca="false">IF(B1883="","",IFERROR(INDEX(PE_Equipe,MATCH(B1883,PE_Mat,0)),""))</f>
        <v/>
      </c>
      <c r="F1883" s="25"/>
      <c r="G1883" s="25"/>
      <c r="H1883" s="68"/>
      <c r="I1883" s="89"/>
      <c r="J1883" s="31" t="str">
        <f aca="false">IF(B1883="","",IFERROR(INDEX(PE_Taux,MATCH(B1883,PE_Mat,0)),0))</f>
        <v/>
      </c>
      <c r="K1883" s="31" t="str">
        <f aca="false">IF(B1883="","",IF(H1883="A",0,IFERROR(N(I1883)/P_Heures*J1883,0)))</f>
        <v/>
      </c>
      <c r="L1883" s="25"/>
    </row>
    <row r="1884" customFormat="false" ht="15" hidden="false" customHeight="false" outlineLevel="0" collapsed="false">
      <c r="A1884" s="69"/>
      <c r="B1884" s="68"/>
      <c r="C1884" s="76" t="str">
        <f aca="false">IF(B1884="","",IFERROR(INDEX(PE_Nom,MATCH(B1884,PE_Mat,0)),"Matricule inconnu"))</f>
        <v/>
      </c>
      <c r="D1884" s="76" t="str">
        <f aca="false">IF(B1884="","",IFERROR(INDEX(PE_Fonction,MATCH(B1884,PE_Mat,0)),""))</f>
        <v/>
      </c>
      <c r="E1884" s="76" t="str">
        <f aca="false">IF(B1884="","",IFERROR(INDEX(PE_Equipe,MATCH(B1884,PE_Mat,0)),""))</f>
        <v/>
      </c>
      <c r="F1884" s="25"/>
      <c r="G1884" s="25"/>
      <c r="H1884" s="68"/>
      <c r="I1884" s="89"/>
      <c r="J1884" s="31" t="str">
        <f aca="false">IF(B1884="","",IFERROR(INDEX(PE_Taux,MATCH(B1884,PE_Mat,0)),0))</f>
        <v/>
      </c>
      <c r="K1884" s="31" t="str">
        <f aca="false">IF(B1884="","",IF(H1884="A",0,IFERROR(N(I1884)/P_Heures*J1884,0)))</f>
        <v/>
      </c>
      <c r="L1884" s="25"/>
    </row>
    <row r="1885" customFormat="false" ht="15" hidden="false" customHeight="false" outlineLevel="0" collapsed="false">
      <c r="A1885" s="69"/>
      <c r="B1885" s="68"/>
      <c r="C1885" s="76" t="str">
        <f aca="false">IF(B1885="","",IFERROR(INDEX(PE_Nom,MATCH(B1885,PE_Mat,0)),"Matricule inconnu"))</f>
        <v/>
      </c>
      <c r="D1885" s="76" t="str">
        <f aca="false">IF(B1885="","",IFERROR(INDEX(PE_Fonction,MATCH(B1885,PE_Mat,0)),""))</f>
        <v/>
      </c>
      <c r="E1885" s="76" t="str">
        <f aca="false">IF(B1885="","",IFERROR(INDEX(PE_Equipe,MATCH(B1885,PE_Mat,0)),""))</f>
        <v/>
      </c>
      <c r="F1885" s="25"/>
      <c r="G1885" s="25"/>
      <c r="H1885" s="68"/>
      <c r="I1885" s="89"/>
      <c r="J1885" s="31" t="str">
        <f aca="false">IF(B1885="","",IFERROR(INDEX(PE_Taux,MATCH(B1885,PE_Mat,0)),0))</f>
        <v/>
      </c>
      <c r="K1885" s="31" t="str">
        <f aca="false">IF(B1885="","",IF(H1885="A",0,IFERROR(N(I1885)/P_Heures*J1885,0)))</f>
        <v/>
      </c>
      <c r="L1885" s="25"/>
    </row>
    <row r="1886" customFormat="false" ht="15" hidden="false" customHeight="false" outlineLevel="0" collapsed="false">
      <c r="A1886" s="69"/>
      <c r="B1886" s="68"/>
      <c r="C1886" s="76" t="str">
        <f aca="false">IF(B1886="","",IFERROR(INDEX(PE_Nom,MATCH(B1886,PE_Mat,0)),"Matricule inconnu"))</f>
        <v/>
      </c>
      <c r="D1886" s="76" t="str">
        <f aca="false">IF(B1886="","",IFERROR(INDEX(PE_Fonction,MATCH(B1886,PE_Mat,0)),""))</f>
        <v/>
      </c>
      <c r="E1886" s="76" t="str">
        <f aca="false">IF(B1886="","",IFERROR(INDEX(PE_Equipe,MATCH(B1886,PE_Mat,0)),""))</f>
        <v/>
      </c>
      <c r="F1886" s="25"/>
      <c r="G1886" s="25"/>
      <c r="H1886" s="68"/>
      <c r="I1886" s="89"/>
      <c r="J1886" s="31" t="str">
        <f aca="false">IF(B1886="","",IFERROR(INDEX(PE_Taux,MATCH(B1886,PE_Mat,0)),0))</f>
        <v/>
      </c>
      <c r="K1886" s="31" t="str">
        <f aca="false">IF(B1886="","",IF(H1886="A",0,IFERROR(N(I1886)/P_Heures*J1886,0)))</f>
        <v/>
      </c>
      <c r="L1886" s="25"/>
    </row>
    <row r="1887" customFormat="false" ht="15" hidden="false" customHeight="false" outlineLevel="0" collapsed="false">
      <c r="A1887" s="69"/>
      <c r="B1887" s="68"/>
      <c r="C1887" s="76" t="str">
        <f aca="false">IF(B1887="","",IFERROR(INDEX(PE_Nom,MATCH(B1887,PE_Mat,0)),"Matricule inconnu"))</f>
        <v/>
      </c>
      <c r="D1887" s="76" t="str">
        <f aca="false">IF(B1887="","",IFERROR(INDEX(PE_Fonction,MATCH(B1887,PE_Mat,0)),""))</f>
        <v/>
      </c>
      <c r="E1887" s="76" t="str">
        <f aca="false">IF(B1887="","",IFERROR(INDEX(PE_Equipe,MATCH(B1887,PE_Mat,0)),""))</f>
        <v/>
      </c>
      <c r="F1887" s="25"/>
      <c r="G1887" s="25"/>
      <c r="H1887" s="68"/>
      <c r="I1887" s="89"/>
      <c r="J1887" s="31" t="str">
        <f aca="false">IF(B1887="","",IFERROR(INDEX(PE_Taux,MATCH(B1887,PE_Mat,0)),0))</f>
        <v/>
      </c>
      <c r="K1887" s="31" t="str">
        <f aca="false">IF(B1887="","",IF(H1887="A",0,IFERROR(N(I1887)/P_Heures*J1887,0)))</f>
        <v/>
      </c>
      <c r="L1887" s="25"/>
    </row>
    <row r="1888" customFormat="false" ht="15" hidden="false" customHeight="false" outlineLevel="0" collapsed="false">
      <c r="A1888" s="69"/>
      <c r="B1888" s="68"/>
      <c r="C1888" s="76" t="str">
        <f aca="false">IF(B1888="","",IFERROR(INDEX(PE_Nom,MATCH(B1888,PE_Mat,0)),"Matricule inconnu"))</f>
        <v/>
      </c>
      <c r="D1888" s="76" t="str">
        <f aca="false">IF(B1888="","",IFERROR(INDEX(PE_Fonction,MATCH(B1888,PE_Mat,0)),""))</f>
        <v/>
      </c>
      <c r="E1888" s="76" t="str">
        <f aca="false">IF(B1888="","",IFERROR(INDEX(PE_Equipe,MATCH(B1888,PE_Mat,0)),""))</f>
        <v/>
      </c>
      <c r="F1888" s="25"/>
      <c r="G1888" s="25"/>
      <c r="H1888" s="68"/>
      <c r="I1888" s="89"/>
      <c r="J1888" s="31" t="str">
        <f aca="false">IF(B1888="","",IFERROR(INDEX(PE_Taux,MATCH(B1888,PE_Mat,0)),0))</f>
        <v/>
      </c>
      <c r="K1888" s="31" t="str">
        <f aca="false">IF(B1888="","",IF(H1888="A",0,IFERROR(N(I1888)/P_Heures*J1888,0)))</f>
        <v/>
      </c>
      <c r="L1888" s="25"/>
    </row>
    <row r="1889" customFormat="false" ht="15" hidden="false" customHeight="false" outlineLevel="0" collapsed="false">
      <c r="A1889" s="69"/>
      <c r="B1889" s="68"/>
      <c r="C1889" s="76" t="str">
        <f aca="false">IF(B1889="","",IFERROR(INDEX(PE_Nom,MATCH(B1889,PE_Mat,0)),"Matricule inconnu"))</f>
        <v/>
      </c>
      <c r="D1889" s="76" t="str">
        <f aca="false">IF(B1889="","",IFERROR(INDEX(PE_Fonction,MATCH(B1889,PE_Mat,0)),""))</f>
        <v/>
      </c>
      <c r="E1889" s="76" t="str">
        <f aca="false">IF(B1889="","",IFERROR(INDEX(PE_Equipe,MATCH(B1889,PE_Mat,0)),""))</f>
        <v/>
      </c>
      <c r="F1889" s="25"/>
      <c r="G1889" s="25"/>
      <c r="H1889" s="68"/>
      <c r="I1889" s="89"/>
      <c r="J1889" s="31" t="str">
        <f aca="false">IF(B1889="","",IFERROR(INDEX(PE_Taux,MATCH(B1889,PE_Mat,0)),0))</f>
        <v/>
      </c>
      <c r="K1889" s="31" t="str">
        <f aca="false">IF(B1889="","",IF(H1889="A",0,IFERROR(N(I1889)/P_Heures*J1889,0)))</f>
        <v/>
      </c>
      <c r="L1889" s="25"/>
    </row>
    <row r="1890" customFormat="false" ht="15" hidden="false" customHeight="false" outlineLevel="0" collapsed="false">
      <c r="A1890" s="69"/>
      <c r="B1890" s="68"/>
      <c r="C1890" s="76" t="str">
        <f aca="false">IF(B1890="","",IFERROR(INDEX(PE_Nom,MATCH(B1890,PE_Mat,0)),"Matricule inconnu"))</f>
        <v/>
      </c>
      <c r="D1890" s="76" t="str">
        <f aca="false">IF(B1890="","",IFERROR(INDEX(PE_Fonction,MATCH(B1890,PE_Mat,0)),""))</f>
        <v/>
      </c>
      <c r="E1890" s="76" t="str">
        <f aca="false">IF(B1890="","",IFERROR(INDEX(PE_Equipe,MATCH(B1890,PE_Mat,0)),""))</f>
        <v/>
      </c>
      <c r="F1890" s="25"/>
      <c r="G1890" s="25"/>
      <c r="H1890" s="68"/>
      <c r="I1890" s="89"/>
      <c r="J1890" s="31" t="str">
        <f aca="false">IF(B1890="","",IFERROR(INDEX(PE_Taux,MATCH(B1890,PE_Mat,0)),0))</f>
        <v/>
      </c>
      <c r="K1890" s="31" t="str">
        <f aca="false">IF(B1890="","",IF(H1890="A",0,IFERROR(N(I1890)/P_Heures*J1890,0)))</f>
        <v/>
      </c>
      <c r="L1890" s="25"/>
    </row>
    <row r="1891" customFormat="false" ht="15" hidden="false" customHeight="false" outlineLevel="0" collapsed="false">
      <c r="A1891" s="69"/>
      <c r="B1891" s="68"/>
      <c r="C1891" s="76" t="str">
        <f aca="false">IF(B1891="","",IFERROR(INDEX(PE_Nom,MATCH(B1891,PE_Mat,0)),"Matricule inconnu"))</f>
        <v/>
      </c>
      <c r="D1891" s="76" t="str">
        <f aca="false">IF(B1891="","",IFERROR(INDEX(PE_Fonction,MATCH(B1891,PE_Mat,0)),""))</f>
        <v/>
      </c>
      <c r="E1891" s="76" t="str">
        <f aca="false">IF(B1891="","",IFERROR(INDEX(PE_Equipe,MATCH(B1891,PE_Mat,0)),""))</f>
        <v/>
      </c>
      <c r="F1891" s="25"/>
      <c r="G1891" s="25"/>
      <c r="H1891" s="68"/>
      <c r="I1891" s="89"/>
      <c r="J1891" s="31" t="str">
        <f aca="false">IF(B1891="","",IFERROR(INDEX(PE_Taux,MATCH(B1891,PE_Mat,0)),0))</f>
        <v/>
      </c>
      <c r="K1891" s="31" t="str">
        <f aca="false">IF(B1891="","",IF(H1891="A",0,IFERROR(N(I1891)/P_Heures*J1891,0)))</f>
        <v/>
      </c>
      <c r="L1891" s="25"/>
    </row>
    <row r="1892" customFormat="false" ht="15" hidden="false" customHeight="false" outlineLevel="0" collapsed="false">
      <c r="A1892" s="69"/>
      <c r="B1892" s="68"/>
      <c r="C1892" s="76" t="str">
        <f aca="false">IF(B1892="","",IFERROR(INDEX(PE_Nom,MATCH(B1892,PE_Mat,0)),"Matricule inconnu"))</f>
        <v/>
      </c>
      <c r="D1892" s="76" t="str">
        <f aca="false">IF(B1892="","",IFERROR(INDEX(PE_Fonction,MATCH(B1892,PE_Mat,0)),""))</f>
        <v/>
      </c>
      <c r="E1892" s="76" t="str">
        <f aca="false">IF(B1892="","",IFERROR(INDEX(PE_Equipe,MATCH(B1892,PE_Mat,0)),""))</f>
        <v/>
      </c>
      <c r="F1892" s="25"/>
      <c r="G1892" s="25"/>
      <c r="H1892" s="68"/>
      <c r="I1892" s="89"/>
      <c r="J1892" s="31" t="str">
        <f aca="false">IF(B1892="","",IFERROR(INDEX(PE_Taux,MATCH(B1892,PE_Mat,0)),0))</f>
        <v/>
      </c>
      <c r="K1892" s="31" t="str">
        <f aca="false">IF(B1892="","",IF(H1892="A",0,IFERROR(N(I1892)/P_Heures*J1892,0)))</f>
        <v/>
      </c>
      <c r="L1892" s="25"/>
    </row>
    <row r="1893" customFormat="false" ht="15" hidden="false" customHeight="false" outlineLevel="0" collapsed="false">
      <c r="A1893" s="69"/>
      <c r="B1893" s="68"/>
      <c r="C1893" s="76" t="str">
        <f aca="false">IF(B1893="","",IFERROR(INDEX(PE_Nom,MATCH(B1893,PE_Mat,0)),"Matricule inconnu"))</f>
        <v/>
      </c>
      <c r="D1893" s="76" t="str">
        <f aca="false">IF(B1893="","",IFERROR(INDEX(PE_Fonction,MATCH(B1893,PE_Mat,0)),""))</f>
        <v/>
      </c>
      <c r="E1893" s="76" t="str">
        <f aca="false">IF(B1893="","",IFERROR(INDEX(PE_Equipe,MATCH(B1893,PE_Mat,0)),""))</f>
        <v/>
      </c>
      <c r="F1893" s="25"/>
      <c r="G1893" s="25"/>
      <c r="H1893" s="68"/>
      <c r="I1893" s="89"/>
      <c r="J1893" s="31" t="str">
        <f aca="false">IF(B1893="","",IFERROR(INDEX(PE_Taux,MATCH(B1893,PE_Mat,0)),0))</f>
        <v/>
      </c>
      <c r="K1893" s="31" t="str">
        <f aca="false">IF(B1893="","",IF(H1893="A",0,IFERROR(N(I1893)/P_Heures*J1893,0)))</f>
        <v/>
      </c>
      <c r="L1893" s="25"/>
    </row>
    <row r="1894" customFormat="false" ht="15" hidden="false" customHeight="false" outlineLevel="0" collapsed="false">
      <c r="A1894" s="69"/>
      <c r="B1894" s="68"/>
      <c r="C1894" s="76" t="str">
        <f aca="false">IF(B1894="","",IFERROR(INDEX(PE_Nom,MATCH(B1894,PE_Mat,0)),"Matricule inconnu"))</f>
        <v/>
      </c>
      <c r="D1894" s="76" t="str">
        <f aca="false">IF(B1894="","",IFERROR(INDEX(PE_Fonction,MATCH(B1894,PE_Mat,0)),""))</f>
        <v/>
      </c>
      <c r="E1894" s="76" t="str">
        <f aca="false">IF(B1894="","",IFERROR(INDEX(PE_Equipe,MATCH(B1894,PE_Mat,0)),""))</f>
        <v/>
      </c>
      <c r="F1894" s="25"/>
      <c r="G1894" s="25"/>
      <c r="H1894" s="68"/>
      <c r="I1894" s="89"/>
      <c r="J1894" s="31" t="str">
        <f aca="false">IF(B1894="","",IFERROR(INDEX(PE_Taux,MATCH(B1894,PE_Mat,0)),0))</f>
        <v/>
      </c>
      <c r="K1894" s="31" t="str">
        <f aca="false">IF(B1894="","",IF(H1894="A",0,IFERROR(N(I1894)/P_Heures*J1894,0)))</f>
        <v/>
      </c>
      <c r="L1894" s="25"/>
    </row>
    <row r="1895" customFormat="false" ht="15" hidden="false" customHeight="false" outlineLevel="0" collapsed="false">
      <c r="A1895" s="69"/>
      <c r="B1895" s="68"/>
      <c r="C1895" s="76" t="str">
        <f aca="false">IF(B1895="","",IFERROR(INDEX(PE_Nom,MATCH(B1895,PE_Mat,0)),"Matricule inconnu"))</f>
        <v/>
      </c>
      <c r="D1895" s="76" t="str">
        <f aca="false">IF(B1895="","",IFERROR(INDEX(PE_Fonction,MATCH(B1895,PE_Mat,0)),""))</f>
        <v/>
      </c>
      <c r="E1895" s="76" t="str">
        <f aca="false">IF(B1895="","",IFERROR(INDEX(PE_Equipe,MATCH(B1895,PE_Mat,0)),""))</f>
        <v/>
      </c>
      <c r="F1895" s="25"/>
      <c r="G1895" s="25"/>
      <c r="H1895" s="68"/>
      <c r="I1895" s="89"/>
      <c r="J1895" s="31" t="str">
        <f aca="false">IF(B1895="","",IFERROR(INDEX(PE_Taux,MATCH(B1895,PE_Mat,0)),0))</f>
        <v/>
      </c>
      <c r="K1895" s="31" t="str">
        <f aca="false">IF(B1895="","",IF(H1895="A",0,IFERROR(N(I1895)/P_Heures*J1895,0)))</f>
        <v/>
      </c>
      <c r="L1895" s="25"/>
    </row>
    <row r="1896" customFormat="false" ht="15" hidden="false" customHeight="false" outlineLevel="0" collapsed="false">
      <c r="A1896" s="69"/>
      <c r="B1896" s="68"/>
      <c r="C1896" s="76" t="str">
        <f aca="false">IF(B1896="","",IFERROR(INDEX(PE_Nom,MATCH(B1896,PE_Mat,0)),"Matricule inconnu"))</f>
        <v/>
      </c>
      <c r="D1896" s="76" t="str">
        <f aca="false">IF(B1896="","",IFERROR(INDEX(PE_Fonction,MATCH(B1896,PE_Mat,0)),""))</f>
        <v/>
      </c>
      <c r="E1896" s="76" t="str">
        <f aca="false">IF(B1896="","",IFERROR(INDEX(PE_Equipe,MATCH(B1896,PE_Mat,0)),""))</f>
        <v/>
      </c>
      <c r="F1896" s="25"/>
      <c r="G1896" s="25"/>
      <c r="H1896" s="68"/>
      <c r="I1896" s="89"/>
      <c r="J1896" s="31" t="str">
        <f aca="false">IF(B1896="","",IFERROR(INDEX(PE_Taux,MATCH(B1896,PE_Mat,0)),0))</f>
        <v/>
      </c>
      <c r="K1896" s="31" t="str">
        <f aca="false">IF(B1896="","",IF(H1896="A",0,IFERROR(N(I1896)/P_Heures*J1896,0)))</f>
        <v/>
      </c>
      <c r="L1896" s="25"/>
    </row>
    <row r="1897" customFormat="false" ht="15" hidden="false" customHeight="false" outlineLevel="0" collapsed="false">
      <c r="A1897" s="69"/>
      <c r="B1897" s="68"/>
      <c r="C1897" s="76" t="str">
        <f aca="false">IF(B1897="","",IFERROR(INDEX(PE_Nom,MATCH(B1897,PE_Mat,0)),"Matricule inconnu"))</f>
        <v/>
      </c>
      <c r="D1897" s="76" t="str">
        <f aca="false">IF(B1897="","",IFERROR(INDEX(PE_Fonction,MATCH(B1897,PE_Mat,0)),""))</f>
        <v/>
      </c>
      <c r="E1897" s="76" t="str">
        <f aca="false">IF(B1897="","",IFERROR(INDEX(PE_Equipe,MATCH(B1897,PE_Mat,0)),""))</f>
        <v/>
      </c>
      <c r="F1897" s="25"/>
      <c r="G1897" s="25"/>
      <c r="H1897" s="68"/>
      <c r="I1897" s="89"/>
      <c r="J1897" s="31" t="str">
        <f aca="false">IF(B1897="","",IFERROR(INDEX(PE_Taux,MATCH(B1897,PE_Mat,0)),0))</f>
        <v/>
      </c>
      <c r="K1897" s="31" t="str">
        <f aca="false">IF(B1897="","",IF(H1897="A",0,IFERROR(N(I1897)/P_Heures*J1897,0)))</f>
        <v/>
      </c>
      <c r="L1897" s="25"/>
    </row>
    <row r="1898" customFormat="false" ht="15" hidden="false" customHeight="false" outlineLevel="0" collapsed="false">
      <c r="A1898" s="69"/>
      <c r="B1898" s="68"/>
      <c r="C1898" s="76" t="str">
        <f aca="false">IF(B1898="","",IFERROR(INDEX(PE_Nom,MATCH(B1898,PE_Mat,0)),"Matricule inconnu"))</f>
        <v/>
      </c>
      <c r="D1898" s="76" t="str">
        <f aca="false">IF(B1898="","",IFERROR(INDEX(PE_Fonction,MATCH(B1898,PE_Mat,0)),""))</f>
        <v/>
      </c>
      <c r="E1898" s="76" t="str">
        <f aca="false">IF(B1898="","",IFERROR(INDEX(PE_Equipe,MATCH(B1898,PE_Mat,0)),""))</f>
        <v/>
      </c>
      <c r="F1898" s="25"/>
      <c r="G1898" s="25"/>
      <c r="H1898" s="68"/>
      <c r="I1898" s="89"/>
      <c r="J1898" s="31" t="str">
        <f aca="false">IF(B1898="","",IFERROR(INDEX(PE_Taux,MATCH(B1898,PE_Mat,0)),0))</f>
        <v/>
      </c>
      <c r="K1898" s="31" t="str">
        <f aca="false">IF(B1898="","",IF(H1898="A",0,IFERROR(N(I1898)/P_Heures*J1898,0)))</f>
        <v/>
      </c>
      <c r="L1898" s="25"/>
    </row>
    <row r="1899" customFormat="false" ht="15" hidden="false" customHeight="false" outlineLevel="0" collapsed="false">
      <c r="A1899" s="69"/>
      <c r="B1899" s="68"/>
      <c r="C1899" s="76" t="str">
        <f aca="false">IF(B1899="","",IFERROR(INDEX(PE_Nom,MATCH(B1899,PE_Mat,0)),"Matricule inconnu"))</f>
        <v/>
      </c>
      <c r="D1899" s="76" t="str">
        <f aca="false">IF(B1899="","",IFERROR(INDEX(PE_Fonction,MATCH(B1899,PE_Mat,0)),""))</f>
        <v/>
      </c>
      <c r="E1899" s="76" t="str">
        <f aca="false">IF(B1899="","",IFERROR(INDEX(PE_Equipe,MATCH(B1899,PE_Mat,0)),""))</f>
        <v/>
      </c>
      <c r="F1899" s="25"/>
      <c r="G1899" s="25"/>
      <c r="H1899" s="68"/>
      <c r="I1899" s="89"/>
      <c r="J1899" s="31" t="str">
        <f aca="false">IF(B1899="","",IFERROR(INDEX(PE_Taux,MATCH(B1899,PE_Mat,0)),0))</f>
        <v/>
      </c>
      <c r="K1899" s="31" t="str">
        <f aca="false">IF(B1899="","",IF(H1899="A",0,IFERROR(N(I1899)/P_Heures*J1899,0)))</f>
        <v/>
      </c>
      <c r="L1899" s="25"/>
    </row>
    <row r="1900" customFormat="false" ht="15" hidden="false" customHeight="false" outlineLevel="0" collapsed="false">
      <c r="A1900" s="69"/>
      <c r="B1900" s="68"/>
      <c r="C1900" s="76" t="str">
        <f aca="false">IF(B1900="","",IFERROR(INDEX(PE_Nom,MATCH(B1900,PE_Mat,0)),"Matricule inconnu"))</f>
        <v/>
      </c>
      <c r="D1900" s="76" t="str">
        <f aca="false">IF(B1900="","",IFERROR(INDEX(PE_Fonction,MATCH(B1900,PE_Mat,0)),""))</f>
        <v/>
      </c>
      <c r="E1900" s="76" t="str">
        <f aca="false">IF(B1900="","",IFERROR(INDEX(PE_Equipe,MATCH(B1900,PE_Mat,0)),""))</f>
        <v/>
      </c>
      <c r="F1900" s="25"/>
      <c r="G1900" s="25"/>
      <c r="H1900" s="68"/>
      <c r="I1900" s="89"/>
      <c r="J1900" s="31" t="str">
        <f aca="false">IF(B1900="","",IFERROR(INDEX(PE_Taux,MATCH(B1900,PE_Mat,0)),0))</f>
        <v/>
      </c>
      <c r="K1900" s="31" t="str">
        <f aca="false">IF(B1900="","",IF(H1900="A",0,IFERROR(N(I1900)/P_Heures*J1900,0)))</f>
        <v/>
      </c>
      <c r="L1900" s="25"/>
    </row>
    <row r="1901" customFormat="false" ht="15" hidden="false" customHeight="false" outlineLevel="0" collapsed="false">
      <c r="A1901" s="69"/>
      <c r="B1901" s="68"/>
      <c r="C1901" s="76" t="str">
        <f aca="false">IF(B1901="","",IFERROR(INDEX(PE_Nom,MATCH(B1901,PE_Mat,0)),"Matricule inconnu"))</f>
        <v/>
      </c>
      <c r="D1901" s="76" t="str">
        <f aca="false">IF(B1901="","",IFERROR(INDEX(PE_Fonction,MATCH(B1901,PE_Mat,0)),""))</f>
        <v/>
      </c>
      <c r="E1901" s="76" t="str">
        <f aca="false">IF(B1901="","",IFERROR(INDEX(PE_Equipe,MATCH(B1901,PE_Mat,0)),""))</f>
        <v/>
      </c>
      <c r="F1901" s="25"/>
      <c r="G1901" s="25"/>
      <c r="H1901" s="68"/>
      <c r="I1901" s="89"/>
      <c r="J1901" s="31" t="str">
        <f aca="false">IF(B1901="","",IFERROR(INDEX(PE_Taux,MATCH(B1901,PE_Mat,0)),0))</f>
        <v/>
      </c>
      <c r="K1901" s="31" t="str">
        <f aca="false">IF(B1901="","",IF(H1901="A",0,IFERROR(N(I1901)/P_Heures*J1901,0)))</f>
        <v/>
      </c>
      <c r="L1901" s="25"/>
    </row>
    <row r="1902" customFormat="false" ht="15" hidden="false" customHeight="false" outlineLevel="0" collapsed="false">
      <c r="A1902" s="69"/>
      <c r="B1902" s="68"/>
      <c r="C1902" s="76" t="str">
        <f aca="false">IF(B1902="","",IFERROR(INDEX(PE_Nom,MATCH(B1902,PE_Mat,0)),"Matricule inconnu"))</f>
        <v/>
      </c>
      <c r="D1902" s="76" t="str">
        <f aca="false">IF(B1902="","",IFERROR(INDEX(PE_Fonction,MATCH(B1902,PE_Mat,0)),""))</f>
        <v/>
      </c>
      <c r="E1902" s="76" t="str">
        <f aca="false">IF(B1902="","",IFERROR(INDEX(PE_Equipe,MATCH(B1902,PE_Mat,0)),""))</f>
        <v/>
      </c>
      <c r="F1902" s="25"/>
      <c r="G1902" s="25"/>
      <c r="H1902" s="68"/>
      <c r="I1902" s="89"/>
      <c r="J1902" s="31" t="str">
        <f aca="false">IF(B1902="","",IFERROR(INDEX(PE_Taux,MATCH(B1902,PE_Mat,0)),0))</f>
        <v/>
      </c>
      <c r="K1902" s="31" t="str">
        <f aca="false">IF(B1902="","",IF(H1902="A",0,IFERROR(N(I1902)/P_Heures*J1902,0)))</f>
        <v/>
      </c>
      <c r="L1902" s="25"/>
    </row>
    <row r="1903" customFormat="false" ht="15" hidden="false" customHeight="false" outlineLevel="0" collapsed="false">
      <c r="A1903" s="69"/>
      <c r="B1903" s="68"/>
      <c r="C1903" s="76" t="str">
        <f aca="false">IF(B1903="","",IFERROR(INDEX(PE_Nom,MATCH(B1903,PE_Mat,0)),"Matricule inconnu"))</f>
        <v/>
      </c>
      <c r="D1903" s="76" t="str">
        <f aca="false">IF(B1903="","",IFERROR(INDEX(PE_Fonction,MATCH(B1903,PE_Mat,0)),""))</f>
        <v/>
      </c>
      <c r="E1903" s="76" t="str">
        <f aca="false">IF(B1903="","",IFERROR(INDEX(PE_Equipe,MATCH(B1903,PE_Mat,0)),""))</f>
        <v/>
      </c>
      <c r="F1903" s="25"/>
      <c r="G1903" s="25"/>
      <c r="H1903" s="68"/>
      <c r="I1903" s="89"/>
      <c r="J1903" s="31" t="str">
        <f aca="false">IF(B1903="","",IFERROR(INDEX(PE_Taux,MATCH(B1903,PE_Mat,0)),0))</f>
        <v/>
      </c>
      <c r="K1903" s="31" t="str">
        <f aca="false">IF(B1903="","",IF(H1903="A",0,IFERROR(N(I1903)/P_Heures*J1903,0)))</f>
        <v/>
      </c>
      <c r="L1903" s="25"/>
    </row>
    <row r="1904" customFormat="false" ht="15" hidden="false" customHeight="false" outlineLevel="0" collapsed="false">
      <c r="A1904" s="69"/>
      <c r="B1904" s="68"/>
      <c r="C1904" s="76" t="str">
        <f aca="false">IF(B1904="","",IFERROR(INDEX(PE_Nom,MATCH(B1904,PE_Mat,0)),"Matricule inconnu"))</f>
        <v/>
      </c>
      <c r="D1904" s="76" t="str">
        <f aca="false">IF(B1904="","",IFERROR(INDEX(PE_Fonction,MATCH(B1904,PE_Mat,0)),""))</f>
        <v/>
      </c>
      <c r="E1904" s="76" t="str">
        <f aca="false">IF(B1904="","",IFERROR(INDEX(PE_Equipe,MATCH(B1904,PE_Mat,0)),""))</f>
        <v/>
      </c>
      <c r="F1904" s="25"/>
      <c r="G1904" s="25"/>
      <c r="H1904" s="68"/>
      <c r="I1904" s="89"/>
      <c r="J1904" s="31" t="str">
        <f aca="false">IF(B1904="","",IFERROR(INDEX(PE_Taux,MATCH(B1904,PE_Mat,0)),0))</f>
        <v/>
      </c>
      <c r="K1904" s="31" t="str">
        <f aca="false">IF(B1904="","",IF(H1904="A",0,IFERROR(N(I1904)/P_Heures*J1904,0)))</f>
        <v/>
      </c>
      <c r="L1904" s="25"/>
    </row>
    <row r="1905" customFormat="false" ht="15" hidden="false" customHeight="false" outlineLevel="0" collapsed="false">
      <c r="A1905" s="69"/>
      <c r="B1905" s="68"/>
      <c r="C1905" s="76" t="str">
        <f aca="false">IF(B1905="","",IFERROR(INDEX(PE_Nom,MATCH(B1905,PE_Mat,0)),"Matricule inconnu"))</f>
        <v/>
      </c>
      <c r="D1905" s="76" t="str">
        <f aca="false">IF(B1905="","",IFERROR(INDEX(PE_Fonction,MATCH(B1905,PE_Mat,0)),""))</f>
        <v/>
      </c>
      <c r="E1905" s="76" t="str">
        <f aca="false">IF(B1905="","",IFERROR(INDEX(PE_Equipe,MATCH(B1905,PE_Mat,0)),""))</f>
        <v/>
      </c>
      <c r="F1905" s="25"/>
      <c r="G1905" s="25"/>
      <c r="H1905" s="68"/>
      <c r="I1905" s="89"/>
      <c r="J1905" s="31" t="str">
        <f aca="false">IF(B1905="","",IFERROR(INDEX(PE_Taux,MATCH(B1905,PE_Mat,0)),0))</f>
        <v/>
      </c>
      <c r="K1905" s="31" t="str">
        <f aca="false">IF(B1905="","",IF(H1905="A",0,IFERROR(N(I1905)/P_Heures*J1905,0)))</f>
        <v/>
      </c>
      <c r="L1905" s="25"/>
    </row>
    <row r="1906" customFormat="false" ht="15" hidden="false" customHeight="false" outlineLevel="0" collapsed="false">
      <c r="A1906" s="69"/>
      <c r="B1906" s="68"/>
      <c r="C1906" s="76" t="str">
        <f aca="false">IF(B1906="","",IFERROR(INDEX(PE_Nom,MATCH(B1906,PE_Mat,0)),"Matricule inconnu"))</f>
        <v/>
      </c>
      <c r="D1906" s="76" t="str">
        <f aca="false">IF(B1906="","",IFERROR(INDEX(PE_Fonction,MATCH(B1906,PE_Mat,0)),""))</f>
        <v/>
      </c>
      <c r="E1906" s="76" t="str">
        <f aca="false">IF(B1906="","",IFERROR(INDEX(PE_Equipe,MATCH(B1906,PE_Mat,0)),""))</f>
        <v/>
      </c>
      <c r="F1906" s="25"/>
      <c r="G1906" s="25"/>
      <c r="H1906" s="68"/>
      <c r="I1906" s="89"/>
      <c r="J1906" s="31" t="str">
        <f aca="false">IF(B1906="","",IFERROR(INDEX(PE_Taux,MATCH(B1906,PE_Mat,0)),0))</f>
        <v/>
      </c>
      <c r="K1906" s="31" t="str">
        <f aca="false">IF(B1906="","",IF(H1906="A",0,IFERROR(N(I1906)/P_Heures*J1906,0)))</f>
        <v/>
      </c>
      <c r="L1906" s="25"/>
    </row>
    <row r="1907" customFormat="false" ht="15" hidden="false" customHeight="false" outlineLevel="0" collapsed="false">
      <c r="A1907" s="69"/>
      <c r="B1907" s="68"/>
      <c r="C1907" s="76" t="str">
        <f aca="false">IF(B1907="","",IFERROR(INDEX(PE_Nom,MATCH(B1907,PE_Mat,0)),"Matricule inconnu"))</f>
        <v/>
      </c>
      <c r="D1907" s="76" t="str">
        <f aca="false">IF(B1907="","",IFERROR(INDEX(PE_Fonction,MATCH(B1907,PE_Mat,0)),""))</f>
        <v/>
      </c>
      <c r="E1907" s="76" t="str">
        <f aca="false">IF(B1907="","",IFERROR(INDEX(PE_Equipe,MATCH(B1907,PE_Mat,0)),""))</f>
        <v/>
      </c>
      <c r="F1907" s="25"/>
      <c r="G1907" s="25"/>
      <c r="H1907" s="68"/>
      <c r="I1907" s="89"/>
      <c r="J1907" s="31" t="str">
        <f aca="false">IF(B1907="","",IFERROR(INDEX(PE_Taux,MATCH(B1907,PE_Mat,0)),0))</f>
        <v/>
      </c>
      <c r="K1907" s="31" t="str">
        <f aca="false">IF(B1907="","",IF(H1907="A",0,IFERROR(N(I1907)/P_Heures*J1907,0)))</f>
        <v/>
      </c>
      <c r="L1907" s="25"/>
    </row>
    <row r="1908" customFormat="false" ht="15" hidden="false" customHeight="false" outlineLevel="0" collapsed="false">
      <c r="A1908" s="69"/>
      <c r="B1908" s="68"/>
      <c r="C1908" s="76" t="str">
        <f aca="false">IF(B1908="","",IFERROR(INDEX(PE_Nom,MATCH(B1908,PE_Mat,0)),"Matricule inconnu"))</f>
        <v/>
      </c>
      <c r="D1908" s="76" t="str">
        <f aca="false">IF(B1908="","",IFERROR(INDEX(PE_Fonction,MATCH(B1908,PE_Mat,0)),""))</f>
        <v/>
      </c>
      <c r="E1908" s="76" t="str">
        <f aca="false">IF(B1908="","",IFERROR(INDEX(PE_Equipe,MATCH(B1908,PE_Mat,0)),""))</f>
        <v/>
      </c>
      <c r="F1908" s="25"/>
      <c r="G1908" s="25"/>
      <c r="H1908" s="68"/>
      <c r="I1908" s="89"/>
      <c r="J1908" s="31" t="str">
        <f aca="false">IF(B1908="","",IFERROR(INDEX(PE_Taux,MATCH(B1908,PE_Mat,0)),0))</f>
        <v/>
      </c>
      <c r="K1908" s="31" t="str">
        <f aca="false">IF(B1908="","",IF(H1908="A",0,IFERROR(N(I1908)/P_Heures*J1908,0)))</f>
        <v/>
      </c>
      <c r="L1908" s="25"/>
    </row>
    <row r="1909" customFormat="false" ht="15" hidden="false" customHeight="false" outlineLevel="0" collapsed="false">
      <c r="A1909" s="69"/>
      <c r="B1909" s="68"/>
      <c r="C1909" s="76" t="str">
        <f aca="false">IF(B1909="","",IFERROR(INDEX(PE_Nom,MATCH(B1909,PE_Mat,0)),"Matricule inconnu"))</f>
        <v/>
      </c>
      <c r="D1909" s="76" t="str">
        <f aca="false">IF(B1909="","",IFERROR(INDEX(PE_Fonction,MATCH(B1909,PE_Mat,0)),""))</f>
        <v/>
      </c>
      <c r="E1909" s="76" t="str">
        <f aca="false">IF(B1909="","",IFERROR(INDEX(PE_Equipe,MATCH(B1909,PE_Mat,0)),""))</f>
        <v/>
      </c>
      <c r="F1909" s="25"/>
      <c r="G1909" s="25"/>
      <c r="H1909" s="68"/>
      <c r="I1909" s="89"/>
      <c r="J1909" s="31" t="str">
        <f aca="false">IF(B1909="","",IFERROR(INDEX(PE_Taux,MATCH(B1909,PE_Mat,0)),0))</f>
        <v/>
      </c>
      <c r="K1909" s="31" t="str">
        <f aca="false">IF(B1909="","",IF(H1909="A",0,IFERROR(N(I1909)/P_Heures*J1909,0)))</f>
        <v/>
      </c>
      <c r="L1909" s="25"/>
    </row>
    <row r="1910" customFormat="false" ht="15" hidden="false" customHeight="false" outlineLevel="0" collapsed="false">
      <c r="A1910" s="69"/>
      <c r="B1910" s="68"/>
      <c r="C1910" s="76" t="str">
        <f aca="false">IF(B1910="","",IFERROR(INDEX(PE_Nom,MATCH(B1910,PE_Mat,0)),"Matricule inconnu"))</f>
        <v/>
      </c>
      <c r="D1910" s="76" t="str">
        <f aca="false">IF(B1910="","",IFERROR(INDEX(PE_Fonction,MATCH(B1910,PE_Mat,0)),""))</f>
        <v/>
      </c>
      <c r="E1910" s="76" t="str">
        <f aca="false">IF(B1910="","",IFERROR(INDEX(PE_Equipe,MATCH(B1910,PE_Mat,0)),""))</f>
        <v/>
      </c>
      <c r="F1910" s="25"/>
      <c r="G1910" s="25"/>
      <c r="H1910" s="68"/>
      <c r="I1910" s="89"/>
      <c r="J1910" s="31" t="str">
        <f aca="false">IF(B1910="","",IFERROR(INDEX(PE_Taux,MATCH(B1910,PE_Mat,0)),0))</f>
        <v/>
      </c>
      <c r="K1910" s="31" t="str">
        <f aca="false">IF(B1910="","",IF(H1910="A",0,IFERROR(N(I1910)/P_Heures*J1910,0)))</f>
        <v/>
      </c>
      <c r="L1910" s="25"/>
    </row>
    <row r="1911" customFormat="false" ht="15" hidden="false" customHeight="false" outlineLevel="0" collapsed="false">
      <c r="A1911" s="69"/>
      <c r="B1911" s="68"/>
      <c r="C1911" s="76" t="str">
        <f aca="false">IF(B1911="","",IFERROR(INDEX(PE_Nom,MATCH(B1911,PE_Mat,0)),"Matricule inconnu"))</f>
        <v/>
      </c>
      <c r="D1911" s="76" t="str">
        <f aca="false">IF(B1911="","",IFERROR(INDEX(PE_Fonction,MATCH(B1911,PE_Mat,0)),""))</f>
        <v/>
      </c>
      <c r="E1911" s="76" t="str">
        <f aca="false">IF(B1911="","",IFERROR(INDEX(PE_Equipe,MATCH(B1911,PE_Mat,0)),""))</f>
        <v/>
      </c>
      <c r="F1911" s="25"/>
      <c r="G1911" s="25"/>
      <c r="H1911" s="68"/>
      <c r="I1911" s="89"/>
      <c r="J1911" s="31" t="str">
        <f aca="false">IF(B1911="","",IFERROR(INDEX(PE_Taux,MATCH(B1911,PE_Mat,0)),0))</f>
        <v/>
      </c>
      <c r="K1911" s="31" t="str">
        <f aca="false">IF(B1911="","",IF(H1911="A",0,IFERROR(N(I1911)/P_Heures*J1911,0)))</f>
        <v/>
      </c>
      <c r="L1911" s="25"/>
    </row>
    <row r="1912" customFormat="false" ht="15" hidden="false" customHeight="false" outlineLevel="0" collapsed="false">
      <c r="A1912" s="69"/>
      <c r="B1912" s="68"/>
      <c r="C1912" s="76" t="str">
        <f aca="false">IF(B1912="","",IFERROR(INDEX(PE_Nom,MATCH(B1912,PE_Mat,0)),"Matricule inconnu"))</f>
        <v/>
      </c>
      <c r="D1912" s="76" t="str">
        <f aca="false">IF(B1912="","",IFERROR(INDEX(PE_Fonction,MATCH(B1912,PE_Mat,0)),""))</f>
        <v/>
      </c>
      <c r="E1912" s="76" t="str">
        <f aca="false">IF(B1912="","",IFERROR(INDEX(PE_Equipe,MATCH(B1912,PE_Mat,0)),""))</f>
        <v/>
      </c>
      <c r="F1912" s="25"/>
      <c r="G1912" s="25"/>
      <c r="H1912" s="68"/>
      <c r="I1912" s="89"/>
      <c r="J1912" s="31" t="str">
        <f aca="false">IF(B1912="","",IFERROR(INDEX(PE_Taux,MATCH(B1912,PE_Mat,0)),0))</f>
        <v/>
      </c>
      <c r="K1912" s="31" t="str">
        <f aca="false">IF(B1912="","",IF(H1912="A",0,IFERROR(N(I1912)/P_Heures*J1912,0)))</f>
        <v/>
      </c>
      <c r="L1912" s="25"/>
    </row>
    <row r="1913" customFormat="false" ht="15" hidden="false" customHeight="false" outlineLevel="0" collapsed="false">
      <c r="A1913" s="69"/>
      <c r="B1913" s="68"/>
      <c r="C1913" s="76" t="str">
        <f aca="false">IF(B1913="","",IFERROR(INDEX(PE_Nom,MATCH(B1913,PE_Mat,0)),"Matricule inconnu"))</f>
        <v/>
      </c>
      <c r="D1913" s="76" t="str">
        <f aca="false">IF(B1913="","",IFERROR(INDEX(PE_Fonction,MATCH(B1913,PE_Mat,0)),""))</f>
        <v/>
      </c>
      <c r="E1913" s="76" t="str">
        <f aca="false">IF(B1913="","",IFERROR(INDEX(PE_Equipe,MATCH(B1913,PE_Mat,0)),""))</f>
        <v/>
      </c>
      <c r="F1913" s="25"/>
      <c r="G1913" s="25"/>
      <c r="H1913" s="68"/>
      <c r="I1913" s="89"/>
      <c r="J1913" s="31" t="str">
        <f aca="false">IF(B1913="","",IFERROR(INDEX(PE_Taux,MATCH(B1913,PE_Mat,0)),0))</f>
        <v/>
      </c>
      <c r="K1913" s="31" t="str">
        <f aca="false">IF(B1913="","",IF(H1913="A",0,IFERROR(N(I1913)/P_Heures*J1913,0)))</f>
        <v/>
      </c>
      <c r="L1913" s="25"/>
    </row>
    <row r="1914" customFormat="false" ht="15" hidden="false" customHeight="false" outlineLevel="0" collapsed="false">
      <c r="A1914" s="69"/>
      <c r="B1914" s="68"/>
      <c r="C1914" s="76" t="str">
        <f aca="false">IF(B1914="","",IFERROR(INDEX(PE_Nom,MATCH(B1914,PE_Mat,0)),"Matricule inconnu"))</f>
        <v/>
      </c>
      <c r="D1914" s="76" t="str">
        <f aca="false">IF(B1914="","",IFERROR(INDEX(PE_Fonction,MATCH(B1914,PE_Mat,0)),""))</f>
        <v/>
      </c>
      <c r="E1914" s="76" t="str">
        <f aca="false">IF(B1914="","",IFERROR(INDEX(PE_Equipe,MATCH(B1914,PE_Mat,0)),""))</f>
        <v/>
      </c>
      <c r="F1914" s="25"/>
      <c r="G1914" s="25"/>
      <c r="H1914" s="68"/>
      <c r="I1914" s="89"/>
      <c r="J1914" s="31" t="str">
        <f aca="false">IF(B1914="","",IFERROR(INDEX(PE_Taux,MATCH(B1914,PE_Mat,0)),0))</f>
        <v/>
      </c>
      <c r="K1914" s="31" t="str">
        <f aca="false">IF(B1914="","",IF(H1914="A",0,IFERROR(N(I1914)/P_Heures*J1914,0)))</f>
        <v/>
      </c>
      <c r="L1914" s="25"/>
    </row>
    <row r="1915" customFormat="false" ht="15" hidden="false" customHeight="false" outlineLevel="0" collapsed="false">
      <c r="A1915" s="69"/>
      <c r="B1915" s="68"/>
      <c r="C1915" s="76" t="str">
        <f aca="false">IF(B1915="","",IFERROR(INDEX(PE_Nom,MATCH(B1915,PE_Mat,0)),"Matricule inconnu"))</f>
        <v/>
      </c>
      <c r="D1915" s="76" t="str">
        <f aca="false">IF(B1915="","",IFERROR(INDEX(PE_Fonction,MATCH(B1915,PE_Mat,0)),""))</f>
        <v/>
      </c>
      <c r="E1915" s="76" t="str">
        <f aca="false">IF(B1915="","",IFERROR(INDEX(PE_Equipe,MATCH(B1915,PE_Mat,0)),""))</f>
        <v/>
      </c>
      <c r="F1915" s="25"/>
      <c r="G1915" s="25"/>
      <c r="H1915" s="68"/>
      <c r="I1915" s="89"/>
      <c r="J1915" s="31" t="str">
        <f aca="false">IF(B1915="","",IFERROR(INDEX(PE_Taux,MATCH(B1915,PE_Mat,0)),0))</f>
        <v/>
      </c>
      <c r="K1915" s="31" t="str">
        <f aca="false">IF(B1915="","",IF(H1915="A",0,IFERROR(N(I1915)/P_Heures*J1915,0)))</f>
        <v/>
      </c>
      <c r="L1915" s="25"/>
    </row>
    <row r="1916" customFormat="false" ht="15" hidden="false" customHeight="false" outlineLevel="0" collapsed="false">
      <c r="A1916" s="69"/>
      <c r="B1916" s="68"/>
      <c r="C1916" s="76" t="str">
        <f aca="false">IF(B1916="","",IFERROR(INDEX(PE_Nom,MATCH(B1916,PE_Mat,0)),"Matricule inconnu"))</f>
        <v/>
      </c>
      <c r="D1916" s="76" t="str">
        <f aca="false">IF(B1916="","",IFERROR(INDEX(PE_Fonction,MATCH(B1916,PE_Mat,0)),""))</f>
        <v/>
      </c>
      <c r="E1916" s="76" t="str">
        <f aca="false">IF(B1916="","",IFERROR(INDEX(PE_Equipe,MATCH(B1916,PE_Mat,0)),""))</f>
        <v/>
      </c>
      <c r="F1916" s="25"/>
      <c r="G1916" s="25"/>
      <c r="H1916" s="68"/>
      <c r="I1916" s="89"/>
      <c r="J1916" s="31" t="str">
        <f aca="false">IF(B1916="","",IFERROR(INDEX(PE_Taux,MATCH(B1916,PE_Mat,0)),0))</f>
        <v/>
      </c>
      <c r="K1916" s="31" t="str">
        <f aca="false">IF(B1916="","",IF(H1916="A",0,IFERROR(N(I1916)/P_Heures*J1916,0)))</f>
        <v/>
      </c>
      <c r="L1916" s="25"/>
    </row>
    <row r="1917" customFormat="false" ht="15" hidden="false" customHeight="false" outlineLevel="0" collapsed="false">
      <c r="A1917" s="69"/>
      <c r="B1917" s="68"/>
      <c r="C1917" s="76" t="str">
        <f aca="false">IF(B1917="","",IFERROR(INDEX(PE_Nom,MATCH(B1917,PE_Mat,0)),"Matricule inconnu"))</f>
        <v/>
      </c>
      <c r="D1917" s="76" t="str">
        <f aca="false">IF(B1917="","",IFERROR(INDEX(PE_Fonction,MATCH(B1917,PE_Mat,0)),""))</f>
        <v/>
      </c>
      <c r="E1917" s="76" t="str">
        <f aca="false">IF(B1917="","",IFERROR(INDEX(PE_Equipe,MATCH(B1917,PE_Mat,0)),""))</f>
        <v/>
      </c>
      <c r="F1917" s="25"/>
      <c r="G1917" s="25"/>
      <c r="H1917" s="68"/>
      <c r="I1917" s="89"/>
      <c r="J1917" s="31" t="str">
        <f aca="false">IF(B1917="","",IFERROR(INDEX(PE_Taux,MATCH(B1917,PE_Mat,0)),0))</f>
        <v/>
      </c>
      <c r="K1917" s="31" t="str">
        <f aca="false">IF(B1917="","",IF(H1917="A",0,IFERROR(N(I1917)/P_Heures*J1917,0)))</f>
        <v/>
      </c>
      <c r="L1917" s="25"/>
    </row>
    <row r="1918" customFormat="false" ht="15" hidden="false" customHeight="false" outlineLevel="0" collapsed="false">
      <c r="A1918" s="69"/>
      <c r="B1918" s="68"/>
      <c r="C1918" s="76" t="str">
        <f aca="false">IF(B1918="","",IFERROR(INDEX(PE_Nom,MATCH(B1918,PE_Mat,0)),"Matricule inconnu"))</f>
        <v/>
      </c>
      <c r="D1918" s="76" t="str">
        <f aca="false">IF(B1918="","",IFERROR(INDEX(PE_Fonction,MATCH(B1918,PE_Mat,0)),""))</f>
        <v/>
      </c>
      <c r="E1918" s="76" t="str">
        <f aca="false">IF(B1918="","",IFERROR(INDEX(PE_Equipe,MATCH(B1918,PE_Mat,0)),""))</f>
        <v/>
      </c>
      <c r="F1918" s="25"/>
      <c r="G1918" s="25"/>
      <c r="H1918" s="68"/>
      <c r="I1918" s="89"/>
      <c r="J1918" s="31" t="str">
        <f aca="false">IF(B1918="","",IFERROR(INDEX(PE_Taux,MATCH(B1918,PE_Mat,0)),0))</f>
        <v/>
      </c>
      <c r="K1918" s="31" t="str">
        <f aca="false">IF(B1918="","",IF(H1918="A",0,IFERROR(N(I1918)/P_Heures*J1918,0)))</f>
        <v/>
      </c>
      <c r="L1918" s="25"/>
    </row>
    <row r="1919" customFormat="false" ht="15" hidden="false" customHeight="false" outlineLevel="0" collapsed="false">
      <c r="A1919" s="69"/>
      <c r="B1919" s="68"/>
      <c r="C1919" s="76" t="str">
        <f aca="false">IF(B1919="","",IFERROR(INDEX(PE_Nom,MATCH(B1919,PE_Mat,0)),"Matricule inconnu"))</f>
        <v/>
      </c>
      <c r="D1919" s="76" t="str">
        <f aca="false">IF(B1919="","",IFERROR(INDEX(PE_Fonction,MATCH(B1919,PE_Mat,0)),""))</f>
        <v/>
      </c>
      <c r="E1919" s="76" t="str">
        <f aca="false">IF(B1919="","",IFERROR(INDEX(PE_Equipe,MATCH(B1919,PE_Mat,0)),""))</f>
        <v/>
      </c>
      <c r="F1919" s="25"/>
      <c r="G1919" s="25"/>
      <c r="H1919" s="68"/>
      <c r="I1919" s="89"/>
      <c r="J1919" s="31" t="str">
        <f aca="false">IF(B1919="","",IFERROR(INDEX(PE_Taux,MATCH(B1919,PE_Mat,0)),0))</f>
        <v/>
      </c>
      <c r="K1919" s="31" t="str">
        <f aca="false">IF(B1919="","",IF(H1919="A",0,IFERROR(N(I1919)/P_Heures*J1919,0)))</f>
        <v/>
      </c>
      <c r="L1919" s="25"/>
    </row>
    <row r="1920" customFormat="false" ht="15" hidden="false" customHeight="false" outlineLevel="0" collapsed="false">
      <c r="A1920" s="69"/>
      <c r="B1920" s="68"/>
      <c r="C1920" s="76" t="str">
        <f aca="false">IF(B1920="","",IFERROR(INDEX(PE_Nom,MATCH(B1920,PE_Mat,0)),"Matricule inconnu"))</f>
        <v/>
      </c>
      <c r="D1920" s="76" t="str">
        <f aca="false">IF(B1920="","",IFERROR(INDEX(PE_Fonction,MATCH(B1920,PE_Mat,0)),""))</f>
        <v/>
      </c>
      <c r="E1920" s="76" t="str">
        <f aca="false">IF(B1920="","",IFERROR(INDEX(PE_Equipe,MATCH(B1920,PE_Mat,0)),""))</f>
        <v/>
      </c>
      <c r="F1920" s="25"/>
      <c r="G1920" s="25"/>
      <c r="H1920" s="68"/>
      <c r="I1920" s="89"/>
      <c r="J1920" s="31" t="str">
        <f aca="false">IF(B1920="","",IFERROR(INDEX(PE_Taux,MATCH(B1920,PE_Mat,0)),0))</f>
        <v/>
      </c>
      <c r="K1920" s="31" t="str">
        <f aca="false">IF(B1920="","",IF(H1920="A",0,IFERROR(N(I1920)/P_Heures*J1920,0)))</f>
        <v/>
      </c>
      <c r="L1920" s="25"/>
    </row>
    <row r="1921" customFormat="false" ht="15" hidden="false" customHeight="false" outlineLevel="0" collapsed="false">
      <c r="A1921" s="69"/>
      <c r="B1921" s="68"/>
      <c r="C1921" s="76" t="str">
        <f aca="false">IF(B1921="","",IFERROR(INDEX(PE_Nom,MATCH(B1921,PE_Mat,0)),"Matricule inconnu"))</f>
        <v/>
      </c>
      <c r="D1921" s="76" t="str">
        <f aca="false">IF(B1921="","",IFERROR(INDEX(PE_Fonction,MATCH(B1921,PE_Mat,0)),""))</f>
        <v/>
      </c>
      <c r="E1921" s="76" t="str">
        <f aca="false">IF(B1921="","",IFERROR(INDEX(PE_Equipe,MATCH(B1921,PE_Mat,0)),""))</f>
        <v/>
      </c>
      <c r="F1921" s="25"/>
      <c r="G1921" s="25"/>
      <c r="H1921" s="68"/>
      <c r="I1921" s="89"/>
      <c r="J1921" s="31" t="str">
        <f aca="false">IF(B1921="","",IFERROR(INDEX(PE_Taux,MATCH(B1921,PE_Mat,0)),0))</f>
        <v/>
      </c>
      <c r="K1921" s="31" t="str">
        <f aca="false">IF(B1921="","",IF(H1921="A",0,IFERROR(N(I1921)/P_Heures*J1921,0)))</f>
        <v/>
      </c>
      <c r="L1921" s="25"/>
    </row>
    <row r="1922" customFormat="false" ht="15" hidden="false" customHeight="false" outlineLevel="0" collapsed="false">
      <c r="A1922" s="69"/>
      <c r="B1922" s="68"/>
      <c r="C1922" s="76" t="str">
        <f aca="false">IF(B1922="","",IFERROR(INDEX(PE_Nom,MATCH(B1922,PE_Mat,0)),"Matricule inconnu"))</f>
        <v/>
      </c>
      <c r="D1922" s="76" t="str">
        <f aca="false">IF(B1922="","",IFERROR(INDEX(PE_Fonction,MATCH(B1922,PE_Mat,0)),""))</f>
        <v/>
      </c>
      <c r="E1922" s="76" t="str">
        <f aca="false">IF(B1922="","",IFERROR(INDEX(PE_Equipe,MATCH(B1922,PE_Mat,0)),""))</f>
        <v/>
      </c>
      <c r="F1922" s="25"/>
      <c r="G1922" s="25"/>
      <c r="H1922" s="68"/>
      <c r="I1922" s="89"/>
      <c r="J1922" s="31" t="str">
        <f aca="false">IF(B1922="","",IFERROR(INDEX(PE_Taux,MATCH(B1922,PE_Mat,0)),0))</f>
        <v/>
      </c>
      <c r="K1922" s="31" t="str">
        <f aca="false">IF(B1922="","",IF(H1922="A",0,IFERROR(N(I1922)/P_Heures*J1922,0)))</f>
        <v/>
      </c>
      <c r="L1922" s="25"/>
    </row>
    <row r="1923" customFormat="false" ht="15" hidden="false" customHeight="false" outlineLevel="0" collapsed="false">
      <c r="A1923" s="69"/>
      <c r="B1923" s="68"/>
      <c r="C1923" s="76" t="str">
        <f aca="false">IF(B1923="","",IFERROR(INDEX(PE_Nom,MATCH(B1923,PE_Mat,0)),"Matricule inconnu"))</f>
        <v/>
      </c>
      <c r="D1923" s="76" t="str">
        <f aca="false">IF(B1923="","",IFERROR(INDEX(PE_Fonction,MATCH(B1923,PE_Mat,0)),""))</f>
        <v/>
      </c>
      <c r="E1923" s="76" t="str">
        <f aca="false">IF(B1923="","",IFERROR(INDEX(PE_Equipe,MATCH(B1923,PE_Mat,0)),""))</f>
        <v/>
      </c>
      <c r="F1923" s="25"/>
      <c r="G1923" s="25"/>
      <c r="H1923" s="68"/>
      <c r="I1923" s="89"/>
      <c r="J1923" s="31" t="str">
        <f aca="false">IF(B1923="","",IFERROR(INDEX(PE_Taux,MATCH(B1923,PE_Mat,0)),0))</f>
        <v/>
      </c>
      <c r="K1923" s="31" t="str">
        <f aca="false">IF(B1923="","",IF(H1923="A",0,IFERROR(N(I1923)/P_Heures*J1923,0)))</f>
        <v/>
      </c>
      <c r="L1923" s="25"/>
    </row>
    <row r="1924" customFormat="false" ht="15" hidden="false" customHeight="false" outlineLevel="0" collapsed="false">
      <c r="A1924" s="69"/>
      <c r="B1924" s="68"/>
      <c r="C1924" s="76" t="str">
        <f aca="false">IF(B1924="","",IFERROR(INDEX(PE_Nom,MATCH(B1924,PE_Mat,0)),"Matricule inconnu"))</f>
        <v/>
      </c>
      <c r="D1924" s="76" t="str">
        <f aca="false">IF(B1924="","",IFERROR(INDEX(PE_Fonction,MATCH(B1924,PE_Mat,0)),""))</f>
        <v/>
      </c>
      <c r="E1924" s="76" t="str">
        <f aca="false">IF(B1924="","",IFERROR(INDEX(PE_Equipe,MATCH(B1924,PE_Mat,0)),""))</f>
        <v/>
      </c>
      <c r="F1924" s="25"/>
      <c r="G1924" s="25"/>
      <c r="H1924" s="68"/>
      <c r="I1924" s="89"/>
      <c r="J1924" s="31" t="str">
        <f aca="false">IF(B1924="","",IFERROR(INDEX(PE_Taux,MATCH(B1924,PE_Mat,0)),0))</f>
        <v/>
      </c>
      <c r="K1924" s="31" t="str">
        <f aca="false">IF(B1924="","",IF(H1924="A",0,IFERROR(N(I1924)/P_Heures*J1924,0)))</f>
        <v/>
      </c>
      <c r="L1924" s="25"/>
    </row>
    <row r="1925" customFormat="false" ht="15" hidden="false" customHeight="false" outlineLevel="0" collapsed="false">
      <c r="A1925" s="69"/>
      <c r="B1925" s="68"/>
      <c r="C1925" s="76" t="str">
        <f aca="false">IF(B1925="","",IFERROR(INDEX(PE_Nom,MATCH(B1925,PE_Mat,0)),"Matricule inconnu"))</f>
        <v/>
      </c>
      <c r="D1925" s="76" t="str">
        <f aca="false">IF(B1925="","",IFERROR(INDEX(PE_Fonction,MATCH(B1925,PE_Mat,0)),""))</f>
        <v/>
      </c>
      <c r="E1925" s="76" t="str">
        <f aca="false">IF(B1925="","",IFERROR(INDEX(PE_Equipe,MATCH(B1925,PE_Mat,0)),""))</f>
        <v/>
      </c>
      <c r="F1925" s="25"/>
      <c r="G1925" s="25"/>
      <c r="H1925" s="68"/>
      <c r="I1925" s="89"/>
      <c r="J1925" s="31" t="str">
        <f aca="false">IF(B1925="","",IFERROR(INDEX(PE_Taux,MATCH(B1925,PE_Mat,0)),0))</f>
        <v/>
      </c>
      <c r="K1925" s="31" t="str">
        <f aca="false">IF(B1925="","",IF(H1925="A",0,IFERROR(N(I1925)/P_Heures*J1925,0)))</f>
        <v/>
      </c>
      <c r="L1925" s="25"/>
    </row>
    <row r="1926" customFormat="false" ht="15" hidden="false" customHeight="false" outlineLevel="0" collapsed="false">
      <c r="A1926" s="69"/>
      <c r="B1926" s="68"/>
      <c r="C1926" s="76" t="str">
        <f aca="false">IF(B1926="","",IFERROR(INDEX(PE_Nom,MATCH(B1926,PE_Mat,0)),"Matricule inconnu"))</f>
        <v/>
      </c>
      <c r="D1926" s="76" t="str">
        <f aca="false">IF(B1926="","",IFERROR(INDEX(PE_Fonction,MATCH(B1926,PE_Mat,0)),""))</f>
        <v/>
      </c>
      <c r="E1926" s="76" t="str">
        <f aca="false">IF(B1926="","",IFERROR(INDEX(PE_Equipe,MATCH(B1926,PE_Mat,0)),""))</f>
        <v/>
      </c>
      <c r="F1926" s="25"/>
      <c r="G1926" s="25"/>
      <c r="H1926" s="68"/>
      <c r="I1926" s="89"/>
      <c r="J1926" s="31" t="str">
        <f aca="false">IF(B1926="","",IFERROR(INDEX(PE_Taux,MATCH(B1926,PE_Mat,0)),0))</f>
        <v/>
      </c>
      <c r="K1926" s="31" t="str">
        <f aca="false">IF(B1926="","",IF(H1926="A",0,IFERROR(N(I1926)/P_Heures*J1926,0)))</f>
        <v/>
      </c>
      <c r="L1926" s="25"/>
    </row>
    <row r="1927" customFormat="false" ht="15" hidden="false" customHeight="false" outlineLevel="0" collapsed="false">
      <c r="A1927" s="69"/>
      <c r="B1927" s="68"/>
      <c r="C1927" s="76" t="str">
        <f aca="false">IF(B1927="","",IFERROR(INDEX(PE_Nom,MATCH(B1927,PE_Mat,0)),"Matricule inconnu"))</f>
        <v/>
      </c>
      <c r="D1927" s="76" t="str">
        <f aca="false">IF(B1927="","",IFERROR(INDEX(PE_Fonction,MATCH(B1927,PE_Mat,0)),""))</f>
        <v/>
      </c>
      <c r="E1927" s="76" t="str">
        <f aca="false">IF(B1927="","",IFERROR(INDEX(PE_Equipe,MATCH(B1927,PE_Mat,0)),""))</f>
        <v/>
      </c>
      <c r="F1927" s="25"/>
      <c r="G1927" s="25"/>
      <c r="H1927" s="68"/>
      <c r="I1927" s="89"/>
      <c r="J1927" s="31" t="str">
        <f aca="false">IF(B1927="","",IFERROR(INDEX(PE_Taux,MATCH(B1927,PE_Mat,0)),0))</f>
        <v/>
      </c>
      <c r="K1927" s="31" t="str">
        <f aca="false">IF(B1927="","",IF(H1927="A",0,IFERROR(N(I1927)/P_Heures*J1927,0)))</f>
        <v/>
      </c>
      <c r="L1927" s="25"/>
    </row>
    <row r="1928" customFormat="false" ht="15" hidden="false" customHeight="false" outlineLevel="0" collapsed="false">
      <c r="A1928" s="69"/>
      <c r="B1928" s="68"/>
      <c r="C1928" s="76" t="str">
        <f aca="false">IF(B1928="","",IFERROR(INDEX(PE_Nom,MATCH(B1928,PE_Mat,0)),"Matricule inconnu"))</f>
        <v/>
      </c>
      <c r="D1928" s="76" t="str">
        <f aca="false">IF(B1928="","",IFERROR(INDEX(PE_Fonction,MATCH(B1928,PE_Mat,0)),""))</f>
        <v/>
      </c>
      <c r="E1928" s="76" t="str">
        <f aca="false">IF(B1928="","",IFERROR(INDEX(PE_Equipe,MATCH(B1928,PE_Mat,0)),""))</f>
        <v/>
      </c>
      <c r="F1928" s="25"/>
      <c r="G1928" s="25"/>
      <c r="H1928" s="68"/>
      <c r="I1928" s="89"/>
      <c r="J1928" s="31" t="str">
        <f aca="false">IF(B1928="","",IFERROR(INDEX(PE_Taux,MATCH(B1928,PE_Mat,0)),0))</f>
        <v/>
      </c>
      <c r="K1928" s="31" t="str">
        <f aca="false">IF(B1928="","",IF(H1928="A",0,IFERROR(N(I1928)/P_Heures*J1928,0)))</f>
        <v/>
      </c>
      <c r="L1928" s="25"/>
    </row>
    <row r="1929" customFormat="false" ht="15" hidden="false" customHeight="false" outlineLevel="0" collapsed="false">
      <c r="A1929" s="69"/>
      <c r="B1929" s="68"/>
      <c r="C1929" s="76" t="str">
        <f aca="false">IF(B1929="","",IFERROR(INDEX(PE_Nom,MATCH(B1929,PE_Mat,0)),"Matricule inconnu"))</f>
        <v/>
      </c>
      <c r="D1929" s="76" t="str">
        <f aca="false">IF(B1929="","",IFERROR(INDEX(PE_Fonction,MATCH(B1929,PE_Mat,0)),""))</f>
        <v/>
      </c>
      <c r="E1929" s="76" t="str">
        <f aca="false">IF(B1929="","",IFERROR(INDEX(PE_Equipe,MATCH(B1929,PE_Mat,0)),""))</f>
        <v/>
      </c>
      <c r="F1929" s="25"/>
      <c r="G1929" s="25"/>
      <c r="H1929" s="68"/>
      <c r="I1929" s="89"/>
      <c r="J1929" s="31" t="str">
        <f aca="false">IF(B1929="","",IFERROR(INDEX(PE_Taux,MATCH(B1929,PE_Mat,0)),0))</f>
        <v/>
      </c>
      <c r="K1929" s="31" t="str">
        <f aca="false">IF(B1929="","",IF(H1929="A",0,IFERROR(N(I1929)/P_Heures*J1929,0)))</f>
        <v/>
      </c>
      <c r="L1929" s="25"/>
    </row>
    <row r="1930" customFormat="false" ht="15" hidden="false" customHeight="false" outlineLevel="0" collapsed="false">
      <c r="A1930" s="69"/>
      <c r="B1930" s="68"/>
      <c r="C1930" s="76" t="str">
        <f aca="false">IF(B1930="","",IFERROR(INDEX(PE_Nom,MATCH(B1930,PE_Mat,0)),"Matricule inconnu"))</f>
        <v/>
      </c>
      <c r="D1930" s="76" t="str">
        <f aca="false">IF(B1930="","",IFERROR(INDEX(PE_Fonction,MATCH(B1930,PE_Mat,0)),""))</f>
        <v/>
      </c>
      <c r="E1930" s="76" t="str">
        <f aca="false">IF(B1930="","",IFERROR(INDEX(PE_Equipe,MATCH(B1930,PE_Mat,0)),""))</f>
        <v/>
      </c>
      <c r="F1930" s="25"/>
      <c r="G1930" s="25"/>
      <c r="H1930" s="68"/>
      <c r="I1930" s="89"/>
      <c r="J1930" s="31" t="str">
        <f aca="false">IF(B1930="","",IFERROR(INDEX(PE_Taux,MATCH(B1930,PE_Mat,0)),0))</f>
        <v/>
      </c>
      <c r="K1930" s="31" t="str">
        <f aca="false">IF(B1930="","",IF(H1930="A",0,IFERROR(N(I1930)/P_Heures*J1930,0)))</f>
        <v/>
      </c>
      <c r="L1930" s="25"/>
    </row>
    <row r="1931" customFormat="false" ht="15" hidden="false" customHeight="false" outlineLevel="0" collapsed="false">
      <c r="A1931" s="69"/>
      <c r="B1931" s="68"/>
      <c r="C1931" s="76" t="str">
        <f aca="false">IF(B1931="","",IFERROR(INDEX(PE_Nom,MATCH(B1931,PE_Mat,0)),"Matricule inconnu"))</f>
        <v/>
      </c>
      <c r="D1931" s="76" t="str">
        <f aca="false">IF(B1931="","",IFERROR(INDEX(PE_Fonction,MATCH(B1931,PE_Mat,0)),""))</f>
        <v/>
      </c>
      <c r="E1931" s="76" t="str">
        <f aca="false">IF(B1931="","",IFERROR(INDEX(PE_Equipe,MATCH(B1931,PE_Mat,0)),""))</f>
        <v/>
      </c>
      <c r="F1931" s="25"/>
      <c r="G1931" s="25"/>
      <c r="H1931" s="68"/>
      <c r="I1931" s="89"/>
      <c r="J1931" s="31" t="str">
        <f aca="false">IF(B1931="","",IFERROR(INDEX(PE_Taux,MATCH(B1931,PE_Mat,0)),0))</f>
        <v/>
      </c>
      <c r="K1931" s="31" t="str">
        <f aca="false">IF(B1931="","",IF(H1931="A",0,IFERROR(N(I1931)/P_Heures*J1931,0)))</f>
        <v/>
      </c>
      <c r="L1931" s="25"/>
    </row>
    <row r="1932" customFormat="false" ht="15" hidden="false" customHeight="false" outlineLevel="0" collapsed="false">
      <c r="A1932" s="69"/>
      <c r="B1932" s="68"/>
      <c r="C1932" s="76" t="str">
        <f aca="false">IF(B1932="","",IFERROR(INDEX(PE_Nom,MATCH(B1932,PE_Mat,0)),"Matricule inconnu"))</f>
        <v/>
      </c>
      <c r="D1932" s="76" t="str">
        <f aca="false">IF(B1932="","",IFERROR(INDEX(PE_Fonction,MATCH(B1932,PE_Mat,0)),""))</f>
        <v/>
      </c>
      <c r="E1932" s="76" t="str">
        <f aca="false">IF(B1932="","",IFERROR(INDEX(PE_Equipe,MATCH(B1932,PE_Mat,0)),""))</f>
        <v/>
      </c>
      <c r="F1932" s="25"/>
      <c r="G1932" s="25"/>
      <c r="H1932" s="68"/>
      <c r="I1932" s="89"/>
      <c r="J1932" s="31" t="str">
        <f aca="false">IF(B1932="","",IFERROR(INDEX(PE_Taux,MATCH(B1932,PE_Mat,0)),0))</f>
        <v/>
      </c>
      <c r="K1932" s="31" t="str">
        <f aca="false">IF(B1932="","",IF(H1932="A",0,IFERROR(N(I1932)/P_Heures*J1932,0)))</f>
        <v/>
      </c>
      <c r="L1932" s="25"/>
    </row>
    <row r="1933" customFormat="false" ht="15" hidden="false" customHeight="false" outlineLevel="0" collapsed="false">
      <c r="A1933" s="69"/>
      <c r="B1933" s="68"/>
      <c r="C1933" s="76" t="str">
        <f aca="false">IF(B1933="","",IFERROR(INDEX(PE_Nom,MATCH(B1933,PE_Mat,0)),"Matricule inconnu"))</f>
        <v/>
      </c>
      <c r="D1933" s="76" t="str">
        <f aca="false">IF(B1933="","",IFERROR(INDEX(PE_Fonction,MATCH(B1933,PE_Mat,0)),""))</f>
        <v/>
      </c>
      <c r="E1933" s="76" t="str">
        <f aca="false">IF(B1933="","",IFERROR(INDEX(PE_Equipe,MATCH(B1933,PE_Mat,0)),""))</f>
        <v/>
      </c>
      <c r="F1933" s="25"/>
      <c r="G1933" s="25"/>
      <c r="H1933" s="68"/>
      <c r="I1933" s="89"/>
      <c r="J1933" s="31" t="str">
        <f aca="false">IF(B1933="","",IFERROR(INDEX(PE_Taux,MATCH(B1933,PE_Mat,0)),0))</f>
        <v/>
      </c>
      <c r="K1933" s="31" t="str">
        <f aca="false">IF(B1933="","",IF(H1933="A",0,IFERROR(N(I1933)/P_Heures*J1933,0)))</f>
        <v/>
      </c>
      <c r="L1933" s="25"/>
    </row>
    <row r="1934" customFormat="false" ht="15" hidden="false" customHeight="false" outlineLevel="0" collapsed="false">
      <c r="A1934" s="69"/>
      <c r="B1934" s="68"/>
      <c r="C1934" s="76" t="str">
        <f aca="false">IF(B1934="","",IFERROR(INDEX(PE_Nom,MATCH(B1934,PE_Mat,0)),"Matricule inconnu"))</f>
        <v/>
      </c>
      <c r="D1934" s="76" t="str">
        <f aca="false">IF(B1934="","",IFERROR(INDEX(PE_Fonction,MATCH(B1934,PE_Mat,0)),""))</f>
        <v/>
      </c>
      <c r="E1934" s="76" t="str">
        <f aca="false">IF(B1934="","",IFERROR(INDEX(PE_Equipe,MATCH(B1934,PE_Mat,0)),""))</f>
        <v/>
      </c>
      <c r="F1934" s="25"/>
      <c r="G1934" s="25"/>
      <c r="H1934" s="68"/>
      <c r="I1934" s="89"/>
      <c r="J1934" s="31" t="str">
        <f aca="false">IF(B1934="","",IFERROR(INDEX(PE_Taux,MATCH(B1934,PE_Mat,0)),0))</f>
        <v/>
      </c>
      <c r="K1934" s="31" t="str">
        <f aca="false">IF(B1934="","",IF(H1934="A",0,IFERROR(N(I1934)/P_Heures*J1934,0)))</f>
        <v/>
      </c>
      <c r="L1934" s="25"/>
    </row>
    <row r="1935" customFormat="false" ht="15" hidden="false" customHeight="false" outlineLevel="0" collapsed="false">
      <c r="A1935" s="69"/>
      <c r="B1935" s="68"/>
      <c r="C1935" s="76" t="str">
        <f aca="false">IF(B1935="","",IFERROR(INDEX(PE_Nom,MATCH(B1935,PE_Mat,0)),"Matricule inconnu"))</f>
        <v/>
      </c>
      <c r="D1935" s="76" t="str">
        <f aca="false">IF(B1935="","",IFERROR(INDEX(PE_Fonction,MATCH(B1935,PE_Mat,0)),""))</f>
        <v/>
      </c>
      <c r="E1935" s="76" t="str">
        <f aca="false">IF(B1935="","",IFERROR(INDEX(PE_Equipe,MATCH(B1935,PE_Mat,0)),""))</f>
        <v/>
      </c>
      <c r="F1935" s="25"/>
      <c r="G1935" s="25"/>
      <c r="H1935" s="68"/>
      <c r="I1935" s="89"/>
      <c r="J1935" s="31" t="str">
        <f aca="false">IF(B1935="","",IFERROR(INDEX(PE_Taux,MATCH(B1935,PE_Mat,0)),0))</f>
        <v/>
      </c>
      <c r="K1935" s="31" t="str">
        <f aca="false">IF(B1935="","",IF(H1935="A",0,IFERROR(N(I1935)/P_Heures*J1935,0)))</f>
        <v/>
      </c>
      <c r="L1935" s="25"/>
    </row>
    <row r="1936" customFormat="false" ht="15" hidden="false" customHeight="false" outlineLevel="0" collapsed="false">
      <c r="A1936" s="69"/>
      <c r="B1936" s="68"/>
      <c r="C1936" s="76" t="str">
        <f aca="false">IF(B1936="","",IFERROR(INDEX(PE_Nom,MATCH(B1936,PE_Mat,0)),"Matricule inconnu"))</f>
        <v/>
      </c>
      <c r="D1936" s="76" t="str">
        <f aca="false">IF(B1936="","",IFERROR(INDEX(PE_Fonction,MATCH(B1936,PE_Mat,0)),""))</f>
        <v/>
      </c>
      <c r="E1936" s="76" t="str">
        <f aca="false">IF(B1936="","",IFERROR(INDEX(PE_Equipe,MATCH(B1936,PE_Mat,0)),""))</f>
        <v/>
      </c>
      <c r="F1936" s="25"/>
      <c r="G1936" s="25"/>
      <c r="H1936" s="68"/>
      <c r="I1936" s="89"/>
      <c r="J1936" s="31" t="str">
        <f aca="false">IF(B1936="","",IFERROR(INDEX(PE_Taux,MATCH(B1936,PE_Mat,0)),0))</f>
        <v/>
      </c>
      <c r="K1936" s="31" t="str">
        <f aca="false">IF(B1936="","",IF(H1936="A",0,IFERROR(N(I1936)/P_Heures*J1936,0)))</f>
        <v/>
      </c>
      <c r="L1936" s="25"/>
    </row>
    <row r="1937" customFormat="false" ht="15" hidden="false" customHeight="false" outlineLevel="0" collapsed="false">
      <c r="A1937" s="69"/>
      <c r="B1937" s="68"/>
      <c r="C1937" s="76" t="str">
        <f aca="false">IF(B1937="","",IFERROR(INDEX(PE_Nom,MATCH(B1937,PE_Mat,0)),"Matricule inconnu"))</f>
        <v/>
      </c>
      <c r="D1937" s="76" t="str">
        <f aca="false">IF(B1937="","",IFERROR(INDEX(PE_Fonction,MATCH(B1937,PE_Mat,0)),""))</f>
        <v/>
      </c>
      <c r="E1937" s="76" t="str">
        <f aca="false">IF(B1937="","",IFERROR(INDEX(PE_Equipe,MATCH(B1937,PE_Mat,0)),""))</f>
        <v/>
      </c>
      <c r="F1937" s="25"/>
      <c r="G1937" s="25"/>
      <c r="H1937" s="68"/>
      <c r="I1937" s="89"/>
      <c r="J1937" s="31" t="str">
        <f aca="false">IF(B1937="","",IFERROR(INDEX(PE_Taux,MATCH(B1937,PE_Mat,0)),0))</f>
        <v/>
      </c>
      <c r="K1937" s="31" t="str">
        <f aca="false">IF(B1937="","",IF(H1937="A",0,IFERROR(N(I1937)/P_Heures*J1937,0)))</f>
        <v/>
      </c>
      <c r="L1937" s="25"/>
    </row>
    <row r="1938" customFormat="false" ht="15" hidden="false" customHeight="false" outlineLevel="0" collapsed="false">
      <c r="A1938" s="69"/>
      <c r="B1938" s="68"/>
      <c r="C1938" s="76" t="str">
        <f aca="false">IF(B1938="","",IFERROR(INDEX(PE_Nom,MATCH(B1938,PE_Mat,0)),"Matricule inconnu"))</f>
        <v/>
      </c>
      <c r="D1938" s="76" t="str">
        <f aca="false">IF(B1938="","",IFERROR(INDEX(PE_Fonction,MATCH(B1938,PE_Mat,0)),""))</f>
        <v/>
      </c>
      <c r="E1938" s="76" t="str">
        <f aca="false">IF(B1938="","",IFERROR(INDEX(PE_Equipe,MATCH(B1938,PE_Mat,0)),""))</f>
        <v/>
      </c>
      <c r="F1938" s="25"/>
      <c r="G1938" s="25"/>
      <c r="H1938" s="68"/>
      <c r="I1938" s="89"/>
      <c r="J1938" s="31" t="str">
        <f aca="false">IF(B1938="","",IFERROR(INDEX(PE_Taux,MATCH(B1938,PE_Mat,0)),0))</f>
        <v/>
      </c>
      <c r="K1938" s="31" t="str">
        <f aca="false">IF(B1938="","",IF(H1938="A",0,IFERROR(N(I1938)/P_Heures*J1938,0)))</f>
        <v/>
      </c>
      <c r="L1938" s="25"/>
    </row>
    <row r="1939" customFormat="false" ht="15" hidden="false" customHeight="false" outlineLevel="0" collapsed="false">
      <c r="A1939" s="69"/>
      <c r="B1939" s="68"/>
      <c r="C1939" s="76" t="str">
        <f aca="false">IF(B1939="","",IFERROR(INDEX(PE_Nom,MATCH(B1939,PE_Mat,0)),"Matricule inconnu"))</f>
        <v/>
      </c>
      <c r="D1939" s="76" t="str">
        <f aca="false">IF(B1939="","",IFERROR(INDEX(PE_Fonction,MATCH(B1939,PE_Mat,0)),""))</f>
        <v/>
      </c>
      <c r="E1939" s="76" t="str">
        <f aca="false">IF(B1939="","",IFERROR(INDEX(PE_Equipe,MATCH(B1939,PE_Mat,0)),""))</f>
        <v/>
      </c>
      <c r="F1939" s="25"/>
      <c r="G1939" s="25"/>
      <c r="H1939" s="68"/>
      <c r="I1939" s="89"/>
      <c r="J1939" s="31" t="str">
        <f aca="false">IF(B1939="","",IFERROR(INDEX(PE_Taux,MATCH(B1939,PE_Mat,0)),0))</f>
        <v/>
      </c>
      <c r="K1939" s="31" t="str">
        <f aca="false">IF(B1939="","",IF(H1939="A",0,IFERROR(N(I1939)/P_Heures*J1939,0)))</f>
        <v/>
      </c>
      <c r="L1939" s="25"/>
    </row>
    <row r="1940" customFormat="false" ht="15" hidden="false" customHeight="false" outlineLevel="0" collapsed="false">
      <c r="A1940" s="69"/>
      <c r="B1940" s="68"/>
      <c r="C1940" s="76" t="str">
        <f aca="false">IF(B1940="","",IFERROR(INDEX(PE_Nom,MATCH(B1940,PE_Mat,0)),"Matricule inconnu"))</f>
        <v/>
      </c>
      <c r="D1940" s="76" t="str">
        <f aca="false">IF(B1940="","",IFERROR(INDEX(PE_Fonction,MATCH(B1940,PE_Mat,0)),""))</f>
        <v/>
      </c>
      <c r="E1940" s="76" t="str">
        <f aca="false">IF(B1940="","",IFERROR(INDEX(PE_Equipe,MATCH(B1940,PE_Mat,0)),""))</f>
        <v/>
      </c>
      <c r="F1940" s="25"/>
      <c r="G1940" s="25"/>
      <c r="H1940" s="68"/>
      <c r="I1940" s="89"/>
      <c r="J1940" s="31" t="str">
        <f aca="false">IF(B1940="","",IFERROR(INDEX(PE_Taux,MATCH(B1940,PE_Mat,0)),0))</f>
        <v/>
      </c>
      <c r="K1940" s="31" t="str">
        <f aca="false">IF(B1940="","",IF(H1940="A",0,IFERROR(N(I1940)/P_Heures*J1940,0)))</f>
        <v/>
      </c>
      <c r="L1940" s="25"/>
    </row>
    <row r="1941" customFormat="false" ht="15" hidden="false" customHeight="false" outlineLevel="0" collapsed="false">
      <c r="A1941" s="69"/>
      <c r="B1941" s="68"/>
      <c r="C1941" s="76" t="str">
        <f aca="false">IF(B1941="","",IFERROR(INDEX(PE_Nom,MATCH(B1941,PE_Mat,0)),"Matricule inconnu"))</f>
        <v/>
      </c>
      <c r="D1941" s="76" t="str">
        <f aca="false">IF(B1941="","",IFERROR(INDEX(PE_Fonction,MATCH(B1941,PE_Mat,0)),""))</f>
        <v/>
      </c>
      <c r="E1941" s="76" t="str">
        <f aca="false">IF(B1941="","",IFERROR(INDEX(PE_Equipe,MATCH(B1941,PE_Mat,0)),""))</f>
        <v/>
      </c>
      <c r="F1941" s="25"/>
      <c r="G1941" s="25"/>
      <c r="H1941" s="68"/>
      <c r="I1941" s="89"/>
      <c r="J1941" s="31" t="str">
        <f aca="false">IF(B1941="","",IFERROR(INDEX(PE_Taux,MATCH(B1941,PE_Mat,0)),0))</f>
        <v/>
      </c>
      <c r="K1941" s="31" t="str">
        <f aca="false">IF(B1941="","",IF(H1941="A",0,IFERROR(N(I1941)/P_Heures*J1941,0)))</f>
        <v/>
      </c>
      <c r="L1941" s="25"/>
    </row>
    <row r="1942" customFormat="false" ht="15" hidden="false" customHeight="false" outlineLevel="0" collapsed="false">
      <c r="A1942" s="69"/>
      <c r="B1942" s="68"/>
      <c r="C1942" s="76" t="str">
        <f aca="false">IF(B1942="","",IFERROR(INDEX(PE_Nom,MATCH(B1942,PE_Mat,0)),"Matricule inconnu"))</f>
        <v/>
      </c>
      <c r="D1942" s="76" t="str">
        <f aca="false">IF(B1942="","",IFERROR(INDEX(PE_Fonction,MATCH(B1942,PE_Mat,0)),""))</f>
        <v/>
      </c>
      <c r="E1942" s="76" t="str">
        <f aca="false">IF(B1942="","",IFERROR(INDEX(PE_Equipe,MATCH(B1942,PE_Mat,0)),""))</f>
        <v/>
      </c>
      <c r="F1942" s="25"/>
      <c r="G1942" s="25"/>
      <c r="H1942" s="68"/>
      <c r="I1942" s="89"/>
      <c r="J1942" s="31" t="str">
        <f aca="false">IF(B1942="","",IFERROR(INDEX(PE_Taux,MATCH(B1942,PE_Mat,0)),0))</f>
        <v/>
      </c>
      <c r="K1942" s="31" t="str">
        <f aca="false">IF(B1942="","",IF(H1942="A",0,IFERROR(N(I1942)/P_Heures*J1942,0)))</f>
        <v/>
      </c>
      <c r="L1942" s="25"/>
    </row>
    <row r="1943" customFormat="false" ht="15" hidden="false" customHeight="false" outlineLevel="0" collapsed="false">
      <c r="A1943" s="69"/>
      <c r="B1943" s="68"/>
      <c r="C1943" s="76" t="str">
        <f aca="false">IF(B1943="","",IFERROR(INDEX(PE_Nom,MATCH(B1943,PE_Mat,0)),"Matricule inconnu"))</f>
        <v/>
      </c>
      <c r="D1943" s="76" t="str">
        <f aca="false">IF(B1943="","",IFERROR(INDEX(PE_Fonction,MATCH(B1943,PE_Mat,0)),""))</f>
        <v/>
      </c>
      <c r="E1943" s="76" t="str">
        <f aca="false">IF(B1943="","",IFERROR(INDEX(PE_Equipe,MATCH(B1943,PE_Mat,0)),""))</f>
        <v/>
      </c>
      <c r="F1943" s="25"/>
      <c r="G1943" s="25"/>
      <c r="H1943" s="68"/>
      <c r="I1943" s="89"/>
      <c r="J1943" s="31" t="str">
        <f aca="false">IF(B1943="","",IFERROR(INDEX(PE_Taux,MATCH(B1943,PE_Mat,0)),0))</f>
        <v/>
      </c>
      <c r="K1943" s="31" t="str">
        <f aca="false">IF(B1943="","",IF(H1943="A",0,IFERROR(N(I1943)/P_Heures*J1943,0)))</f>
        <v/>
      </c>
      <c r="L1943" s="25"/>
    </row>
    <row r="1944" customFormat="false" ht="15" hidden="false" customHeight="false" outlineLevel="0" collapsed="false">
      <c r="A1944" s="69"/>
      <c r="B1944" s="68"/>
      <c r="C1944" s="76" t="str">
        <f aca="false">IF(B1944="","",IFERROR(INDEX(PE_Nom,MATCH(B1944,PE_Mat,0)),"Matricule inconnu"))</f>
        <v/>
      </c>
      <c r="D1944" s="76" t="str">
        <f aca="false">IF(B1944="","",IFERROR(INDEX(PE_Fonction,MATCH(B1944,PE_Mat,0)),""))</f>
        <v/>
      </c>
      <c r="E1944" s="76" t="str">
        <f aca="false">IF(B1944="","",IFERROR(INDEX(PE_Equipe,MATCH(B1944,PE_Mat,0)),""))</f>
        <v/>
      </c>
      <c r="F1944" s="25"/>
      <c r="G1944" s="25"/>
      <c r="H1944" s="68"/>
      <c r="I1944" s="89"/>
      <c r="J1944" s="31" t="str">
        <f aca="false">IF(B1944="","",IFERROR(INDEX(PE_Taux,MATCH(B1944,PE_Mat,0)),0))</f>
        <v/>
      </c>
      <c r="K1944" s="31" t="str">
        <f aca="false">IF(B1944="","",IF(H1944="A",0,IFERROR(N(I1944)/P_Heures*J1944,0)))</f>
        <v/>
      </c>
      <c r="L1944" s="25"/>
    </row>
    <row r="1945" customFormat="false" ht="15" hidden="false" customHeight="false" outlineLevel="0" collapsed="false">
      <c r="A1945" s="69"/>
      <c r="B1945" s="68"/>
      <c r="C1945" s="76" t="str">
        <f aca="false">IF(B1945="","",IFERROR(INDEX(PE_Nom,MATCH(B1945,PE_Mat,0)),"Matricule inconnu"))</f>
        <v/>
      </c>
      <c r="D1945" s="76" t="str">
        <f aca="false">IF(B1945="","",IFERROR(INDEX(PE_Fonction,MATCH(B1945,PE_Mat,0)),""))</f>
        <v/>
      </c>
      <c r="E1945" s="76" t="str">
        <f aca="false">IF(B1945="","",IFERROR(INDEX(PE_Equipe,MATCH(B1945,PE_Mat,0)),""))</f>
        <v/>
      </c>
      <c r="F1945" s="25"/>
      <c r="G1945" s="25"/>
      <c r="H1945" s="68"/>
      <c r="I1945" s="89"/>
      <c r="J1945" s="31" t="str">
        <f aca="false">IF(B1945="","",IFERROR(INDEX(PE_Taux,MATCH(B1945,PE_Mat,0)),0))</f>
        <v/>
      </c>
      <c r="K1945" s="31" t="str">
        <f aca="false">IF(B1945="","",IF(H1945="A",0,IFERROR(N(I1945)/P_Heures*J1945,0)))</f>
        <v/>
      </c>
      <c r="L1945" s="25"/>
    </row>
    <row r="1946" customFormat="false" ht="15" hidden="false" customHeight="false" outlineLevel="0" collapsed="false">
      <c r="A1946" s="69"/>
      <c r="B1946" s="68"/>
      <c r="C1946" s="76" t="str">
        <f aca="false">IF(B1946="","",IFERROR(INDEX(PE_Nom,MATCH(B1946,PE_Mat,0)),"Matricule inconnu"))</f>
        <v/>
      </c>
      <c r="D1946" s="76" t="str">
        <f aca="false">IF(B1946="","",IFERROR(INDEX(PE_Fonction,MATCH(B1946,PE_Mat,0)),""))</f>
        <v/>
      </c>
      <c r="E1946" s="76" t="str">
        <f aca="false">IF(B1946="","",IFERROR(INDEX(PE_Equipe,MATCH(B1946,PE_Mat,0)),""))</f>
        <v/>
      </c>
      <c r="F1946" s="25"/>
      <c r="G1946" s="25"/>
      <c r="H1946" s="68"/>
      <c r="I1946" s="89"/>
      <c r="J1946" s="31" t="str">
        <f aca="false">IF(B1946="","",IFERROR(INDEX(PE_Taux,MATCH(B1946,PE_Mat,0)),0))</f>
        <v/>
      </c>
      <c r="K1946" s="31" t="str">
        <f aca="false">IF(B1946="","",IF(H1946="A",0,IFERROR(N(I1946)/P_Heures*J1946,0)))</f>
        <v/>
      </c>
      <c r="L1946" s="25"/>
    </row>
    <row r="1947" customFormat="false" ht="15" hidden="false" customHeight="false" outlineLevel="0" collapsed="false">
      <c r="A1947" s="69"/>
      <c r="B1947" s="68"/>
      <c r="C1947" s="76" t="str">
        <f aca="false">IF(B1947="","",IFERROR(INDEX(PE_Nom,MATCH(B1947,PE_Mat,0)),"Matricule inconnu"))</f>
        <v/>
      </c>
      <c r="D1947" s="76" t="str">
        <f aca="false">IF(B1947="","",IFERROR(INDEX(PE_Fonction,MATCH(B1947,PE_Mat,0)),""))</f>
        <v/>
      </c>
      <c r="E1947" s="76" t="str">
        <f aca="false">IF(B1947="","",IFERROR(INDEX(PE_Equipe,MATCH(B1947,PE_Mat,0)),""))</f>
        <v/>
      </c>
      <c r="F1947" s="25"/>
      <c r="G1947" s="25"/>
      <c r="H1947" s="68"/>
      <c r="I1947" s="89"/>
      <c r="J1947" s="31" t="str">
        <f aca="false">IF(B1947="","",IFERROR(INDEX(PE_Taux,MATCH(B1947,PE_Mat,0)),0))</f>
        <v/>
      </c>
      <c r="K1947" s="31" t="str">
        <f aca="false">IF(B1947="","",IF(H1947="A",0,IFERROR(N(I1947)/P_Heures*J1947,0)))</f>
        <v/>
      </c>
      <c r="L1947" s="25"/>
    </row>
    <row r="1948" customFormat="false" ht="15" hidden="false" customHeight="false" outlineLevel="0" collapsed="false">
      <c r="A1948" s="69"/>
      <c r="B1948" s="68"/>
      <c r="C1948" s="76" t="str">
        <f aca="false">IF(B1948="","",IFERROR(INDEX(PE_Nom,MATCH(B1948,PE_Mat,0)),"Matricule inconnu"))</f>
        <v/>
      </c>
      <c r="D1948" s="76" t="str">
        <f aca="false">IF(B1948="","",IFERROR(INDEX(PE_Fonction,MATCH(B1948,PE_Mat,0)),""))</f>
        <v/>
      </c>
      <c r="E1948" s="76" t="str">
        <f aca="false">IF(B1948="","",IFERROR(INDEX(PE_Equipe,MATCH(B1948,PE_Mat,0)),""))</f>
        <v/>
      </c>
      <c r="F1948" s="25"/>
      <c r="G1948" s="25"/>
      <c r="H1948" s="68"/>
      <c r="I1948" s="89"/>
      <c r="J1948" s="31" t="str">
        <f aca="false">IF(B1948="","",IFERROR(INDEX(PE_Taux,MATCH(B1948,PE_Mat,0)),0))</f>
        <v/>
      </c>
      <c r="K1948" s="31" t="str">
        <f aca="false">IF(B1948="","",IF(H1948="A",0,IFERROR(N(I1948)/P_Heures*J1948,0)))</f>
        <v/>
      </c>
      <c r="L1948" s="25"/>
    </row>
    <row r="1949" customFormat="false" ht="15" hidden="false" customHeight="false" outlineLevel="0" collapsed="false">
      <c r="A1949" s="69"/>
      <c r="B1949" s="68"/>
      <c r="C1949" s="76" t="str">
        <f aca="false">IF(B1949="","",IFERROR(INDEX(PE_Nom,MATCH(B1949,PE_Mat,0)),"Matricule inconnu"))</f>
        <v/>
      </c>
      <c r="D1949" s="76" t="str">
        <f aca="false">IF(B1949="","",IFERROR(INDEX(PE_Fonction,MATCH(B1949,PE_Mat,0)),""))</f>
        <v/>
      </c>
      <c r="E1949" s="76" t="str">
        <f aca="false">IF(B1949="","",IFERROR(INDEX(PE_Equipe,MATCH(B1949,PE_Mat,0)),""))</f>
        <v/>
      </c>
      <c r="F1949" s="25"/>
      <c r="G1949" s="25"/>
      <c r="H1949" s="68"/>
      <c r="I1949" s="89"/>
      <c r="J1949" s="31" t="str">
        <f aca="false">IF(B1949="","",IFERROR(INDEX(PE_Taux,MATCH(B1949,PE_Mat,0)),0))</f>
        <v/>
      </c>
      <c r="K1949" s="31" t="str">
        <f aca="false">IF(B1949="","",IF(H1949="A",0,IFERROR(N(I1949)/P_Heures*J1949,0)))</f>
        <v/>
      </c>
      <c r="L1949" s="25"/>
    </row>
    <row r="1950" customFormat="false" ht="15" hidden="false" customHeight="false" outlineLevel="0" collapsed="false">
      <c r="A1950" s="69"/>
      <c r="B1950" s="68"/>
      <c r="C1950" s="76" t="str">
        <f aca="false">IF(B1950="","",IFERROR(INDEX(PE_Nom,MATCH(B1950,PE_Mat,0)),"Matricule inconnu"))</f>
        <v/>
      </c>
      <c r="D1950" s="76" t="str">
        <f aca="false">IF(B1950="","",IFERROR(INDEX(PE_Fonction,MATCH(B1950,PE_Mat,0)),""))</f>
        <v/>
      </c>
      <c r="E1950" s="76" t="str">
        <f aca="false">IF(B1950="","",IFERROR(INDEX(PE_Equipe,MATCH(B1950,PE_Mat,0)),""))</f>
        <v/>
      </c>
      <c r="F1950" s="25"/>
      <c r="G1950" s="25"/>
      <c r="H1950" s="68"/>
      <c r="I1950" s="89"/>
      <c r="J1950" s="31" t="str">
        <f aca="false">IF(B1950="","",IFERROR(INDEX(PE_Taux,MATCH(B1950,PE_Mat,0)),0))</f>
        <v/>
      </c>
      <c r="K1950" s="31" t="str">
        <f aca="false">IF(B1950="","",IF(H1950="A",0,IFERROR(N(I1950)/P_Heures*J1950,0)))</f>
        <v/>
      </c>
      <c r="L1950" s="25"/>
    </row>
    <row r="1951" customFormat="false" ht="15" hidden="false" customHeight="false" outlineLevel="0" collapsed="false">
      <c r="A1951" s="69"/>
      <c r="B1951" s="68"/>
      <c r="C1951" s="76" t="str">
        <f aca="false">IF(B1951="","",IFERROR(INDEX(PE_Nom,MATCH(B1951,PE_Mat,0)),"Matricule inconnu"))</f>
        <v/>
      </c>
      <c r="D1951" s="76" t="str">
        <f aca="false">IF(B1951="","",IFERROR(INDEX(PE_Fonction,MATCH(B1951,PE_Mat,0)),""))</f>
        <v/>
      </c>
      <c r="E1951" s="76" t="str">
        <f aca="false">IF(B1951="","",IFERROR(INDEX(PE_Equipe,MATCH(B1951,PE_Mat,0)),""))</f>
        <v/>
      </c>
      <c r="F1951" s="25"/>
      <c r="G1951" s="25"/>
      <c r="H1951" s="68"/>
      <c r="I1951" s="89"/>
      <c r="J1951" s="31" t="str">
        <f aca="false">IF(B1951="","",IFERROR(INDEX(PE_Taux,MATCH(B1951,PE_Mat,0)),0))</f>
        <v/>
      </c>
      <c r="K1951" s="31" t="str">
        <f aca="false">IF(B1951="","",IF(H1951="A",0,IFERROR(N(I1951)/P_Heures*J1951,0)))</f>
        <v/>
      </c>
      <c r="L1951" s="25"/>
    </row>
    <row r="1952" customFormat="false" ht="15" hidden="false" customHeight="false" outlineLevel="0" collapsed="false">
      <c r="A1952" s="69"/>
      <c r="B1952" s="68"/>
      <c r="C1952" s="76" t="str">
        <f aca="false">IF(B1952="","",IFERROR(INDEX(PE_Nom,MATCH(B1952,PE_Mat,0)),"Matricule inconnu"))</f>
        <v/>
      </c>
      <c r="D1952" s="76" t="str">
        <f aca="false">IF(B1952="","",IFERROR(INDEX(PE_Fonction,MATCH(B1952,PE_Mat,0)),""))</f>
        <v/>
      </c>
      <c r="E1952" s="76" t="str">
        <f aca="false">IF(B1952="","",IFERROR(INDEX(PE_Equipe,MATCH(B1952,PE_Mat,0)),""))</f>
        <v/>
      </c>
      <c r="F1952" s="25"/>
      <c r="G1952" s="25"/>
      <c r="H1952" s="68"/>
      <c r="I1952" s="89"/>
      <c r="J1952" s="31" t="str">
        <f aca="false">IF(B1952="","",IFERROR(INDEX(PE_Taux,MATCH(B1952,PE_Mat,0)),0))</f>
        <v/>
      </c>
      <c r="K1952" s="31" t="str">
        <f aca="false">IF(B1952="","",IF(H1952="A",0,IFERROR(N(I1952)/P_Heures*J1952,0)))</f>
        <v/>
      </c>
      <c r="L1952" s="25"/>
    </row>
    <row r="1953" customFormat="false" ht="15" hidden="false" customHeight="false" outlineLevel="0" collapsed="false">
      <c r="A1953" s="69"/>
      <c r="B1953" s="68"/>
      <c r="C1953" s="76" t="str">
        <f aca="false">IF(B1953="","",IFERROR(INDEX(PE_Nom,MATCH(B1953,PE_Mat,0)),"Matricule inconnu"))</f>
        <v/>
      </c>
      <c r="D1953" s="76" t="str">
        <f aca="false">IF(B1953="","",IFERROR(INDEX(PE_Fonction,MATCH(B1953,PE_Mat,0)),""))</f>
        <v/>
      </c>
      <c r="E1953" s="76" t="str">
        <f aca="false">IF(B1953="","",IFERROR(INDEX(PE_Equipe,MATCH(B1953,PE_Mat,0)),""))</f>
        <v/>
      </c>
      <c r="F1953" s="25"/>
      <c r="G1953" s="25"/>
      <c r="H1953" s="68"/>
      <c r="I1953" s="89"/>
      <c r="J1953" s="31" t="str">
        <f aca="false">IF(B1953="","",IFERROR(INDEX(PE_Taux,MATCH(B1953,PE_Mat,0)),0))</f>
        <v/>
      </c>
      <c r="K1953" s="31" t="str">
        <f aca="false">IF(B1953="","",IF(H1953="A",0,IFERROR(N(I1953)/P_Heures*J1953,0)))</f>
        <v/>
      </c>
      <c r="L1953" s="25"/>
    </row>
    <row r="1954" customFormat="false" ht="15" hidden="false" customHeight="false" outlineLevel="0" collapsed="false">
      <c r="A1954" s="69"/>
      <c r="B1954" s="68"/>
      <c r="C1954" s="76" t="str">
        <f aca="false">IF(B1954="","",IFERROR(INDEX(PE_Nom,MATCH(B1954,PE_Mat,0)),"Matricule inconnu"))</f>
        <v/>
      </c>
      <c r="D1954" s="76" t="str">
        <f aca="false">IF(B1954="","",IFERROR(INDEX(PE_Fonction,MATCH(B1954,PE_Mat,0)),""))</f>
        <v/>
      </c>
      <c r="E1954" s="76" t="str">
        <f aca="false">IF(B1954="","",IFERROR(INDEX(PE_Equipe,MATCH(B1954,PE_Mat,0)),""))</f>
        <v/>
      </c>
      <c r="F1954" s="25"/>
      <c r="G1954" s="25"/>
      <c r="H1954" s="68"/>
      <c r="I1954" s="89"/>
      <c r="J1954" s="31" t="str">
        <f aca="false">IF(B1954="","",IFERROR(INDEX(PE_Taux,MATCH(B1954,PE_Mat,0)),0))</f>
        <v/>
      </c>
      <c r="K1954" s="31" t="str">
        <f aca="false">IF(B1954="","",IF(H1954="A",0,IFERROR(N(I1954)/P_Heures*J1954,0)))</f>
        <v/>
      </c>
      <c r="L1954" s="25"/>
    </row>
    <row r="1955" customFormat="false" ht="15" hidden="false" customHeight="false" outlineLevel="0" collapsed="false">
      <c r="A1955" s="69"/>
      <c r="B1955" s="68"/>
      <c r="C1955" s="76" t="str">
        <f aca="false">IF(B1955="","",IFERROR(INDEX(PE_Nom,MATCH(B1955,PE_Mat,0)),"Matricule inconnu"))</f>
        <v/>
      </c>
      <c r="D1955" s="76" t="str">
        <f aca="false">IF(B1955="","",IFERROR(INDEX(PE_Fonction,MATCH(B1955,PE_Mat,0)),""))</f>
        <v/>
      </c>
      <c r="E1955" s="76" t="str">
        <f aca="false">IF(B1955="","",IFERROR(INDEX(PE_Equipe,MATCH(B1955,PE_Mat,0)),""))</f>
        <v/>
      </c>
      <c r="F1955" s="25"/>
      <c r="G1955" s="25"/>
      <c r="H1955" s="68"/>
      <c r="I1955" s="89"/>
      <c r="J1955" s="31" t="str">
        <f aca="false">IF(B1955="","",IFERROR(INDEX(PE_Taux,MATCH(B1955,PE_Mat,0)),0))</f>
        <v/>
      </c>
      <c r="K1955" s="31" t="str">
        <f aca="false">IF(B1955="","",IF(H1955="A",0,IFERROR(N(I1955)/P_Heures*J1955,0)))</f>
        <v/>
      </c>
      <c r="L1955" s="25"/>
    </row>
    <row r="1956" customFormat="false" ht="15" hidden="false" customHeight="false" outlineLevel="0" collapsed="false">
      <c r="A1956" s="69"/>
      <c r="B1956" s="68"/>
      <c r="C1956" s="76" t="str">
        <f aca="false">IF(B1956="","",IFERROR(INDEX(PE_Nom,MATCH(B1956,PE_Mat,0)),"Matricule inconnu"))</f>
        <v/>
      </c>
      <c r="D1956" s="76" t="str">
        <f aca="false">IF(B1956="","",IFERROR(INDEX(PE_Fonction,MATCH(B1956,PE_Mat,0)),""))</f>
        <v/>
      </c>
      <c r="E1956" s="76" t="str">
        <f aca="false">IF(B1956="","",IFERROR(INDEX(PE_Equipe,MATCH(B1956,PE_Mat,0)),""))</f>
        <v/>
      </c>
      <c r="F1956" s="25"/>
      <c r="G1956" s="25"/>
      <c r="H1956" s="68"/>
      <c r="I1956" s="89"/>
      <c r="J1956" s="31" t="str">
        <f aca="false">IF(B1956="","",IFERROR(INDEX(PE_Taux,MATCH(B1956,PE_Mat,0)),0))</f>
        <v/>
      </c>
      <c r="K1956" s="31" t="str">
        <f aca="false">IF(B1956="","",IF(H1956="A",0,IFERROR(N(I1956)/P_Heures*J1956,0)))</f>
        <v/>
      </c>
      <c r="L1956" s="25"/>
    </row>
    <row r="1957" customFormat="false" ht="15" hidden="false" customHeight="false" outlineLevel="0" collapsed="false">
      <c r="A1957" s="69"/>
      <c r="B1957" s="68"/>
      <c r="C1957" s="76" t="str">
        <f aca="false">IF(B1957="","",IFERROR(INDEX(PE_Nom,MATCH(B1957,PE_Mat,0)),"Matricule inconnu"))</f>
        <v/>
      </c>
      <c r="D1957" s="76" t="str">
        <f aca="false">IF(B1957="","",IFERROR(INDEX(PE_Fonction,MATCH(B1957,PE_Mat,0)),""))</f>
        <v/>
      </c>
      <c r="E1957" s="76" t="str">
        <f aca="false">IF(B1957="","",IFERROR(INDEX(PE_Equipe,MATCH(B1957,PE_Mat,0)),""))</f>
        <v/>
      </c>
      <c r="F1957" s="25"/>
      <c r="G1957" s="25"/>
      <c r="H1957" s="68"/>
      <c r="I1957" s="89"/>
      <c r="J1957" s="31" t="str">
        <f aca="false">IF(B1957="","",IFERROR(INDEX(PE_Taux,MATCH(B1957,PE_Mat,0)),0))</f>
        <v/>
      </c>
      <c r="K1957" s="31" t="str">
        <f aca="false">IF(B1957="","",IF(H1957="A",0,IFERROR(N(I1957)/P_Heures*J1957,0)))</f>
        <v/>
      </c>
      <c r="L1957" s="25"/>
    </row>
    <row r="1958" customFormat="false" ht="15" hidden="false" customHeight="false" outlineLevel="0" collapsed="false">
      <c r="A1958" s="69"/>
      <c r="B1958" s="68"/>
      <c r="C1958" s="76" t="str">
        <f aca="false">IF(B1958="","",IFERROR(INDEX(PE_Nom,MATCH(B1958,PE_Mat,0)),"Matricule inconnu"))</f>
        <v/>
      </c>
      <c r="D1958" s="76" t="str">
        <f aca="false">IF(B1958="","",IFERROR(INDEX(PE_Fonction,MATCH(B1958,PE_Mat,0)),""))</f>
        <v/>
      </c>
      <c r="E1958" s="76" t="str">
        <f aca="false">IF(B1958="","",IFERROR(INDEX(PE_Equipe,MATCH(B1958,PE_Mat,0)),""))</f>
        <v/>
      </c>
      <c r="F1958" s="25"/>
      <c r="G1958" s="25"/>
      <c r="H1958" s="68"/>
      <c r="I1958" s="89"/>
      <c r="J1958" s="31" t="str">
        <f aca="false">IF(B1958="","",IFERROR(INDEX(PE_Taux,MATCH(B1958,PE_Mat,0)),0))</f>
        <v/>
      </c>
      <c r="K1958" s="31" t="str">
        <f aca="false">IF(B1958="","",IF(H1958="A",0,IFERROR(N(I1958)/P_Heures*J1958,0)))</f>
        <v/>
      </c>
      <c r="L1958" s="25"/>
    </row>
    <row r="1959" customFormat="false" ht="15" hidden="false" customHeight="false" outlineLevel="0" collapsed="false">
      <c r="A1959" s="69"/>
      <c r="B1959" s="68"/>
      <c r="C1959" s="76" t="str">
        <f aca="false">IF(B1959="","",IFERROR(INDEX(PE_Nom,MATCH(B1959,PE_Mat,0)),"Matricule inconnu"))</f>
        <v/>
      </c>
      <c r="D1959" s="76" t="str">
        <f aca="false">IF(B1959="","",IFERROR(INDEX(PE_Fonction,MATCH(B1959,PE_Mat,0)),""))</f>
        <v/>
      </c>
      <c r="E1959" s="76" t="str">
        <f aca="false">IF(B1959="","",IFERROR(INDEX(PE_Equipe,MATCH(B1959,PE_Mat,0)),""))</f>
        <v/>
      </c>
      <c r="F1959" s="25"/>
      <c r="G1959" s="25"/>
      <c r="H1959" s="68"/>
      <c r="I1959" s="89"/>
      <c r="J1959" s="31" t="str">
        <f aca="false">IF(B1959="","",IFERROR(INDEX(PE_Taux,MATCH(B1959,PE_Mat,0)),0))</f>
        <v/>
      </c>
      <c r="K1959" s="31" t="str">
        <f aca="false">IF(B1959="","",IF(H1959="A",0,IFERROR(N(I1959)/P_Heures*J1959,0)))</f>
        <v/>
      </c>
      <c r="L1959" s="25"/>
    </row>
    <row r="1960" customFormat="false" ht="15" hidden="false" customHeight="false" outlineLevel="0" collapsed="false">
      <c r="A1960" s="69"/>
      <c r="B1960" s="68"/>
      <c r="C1960" s="76" t="str">
        <f aca="false">IF(B1960="","",IFERROR(INDEX(PE_Nom,MATCH(B1960,PE_Mat,0)),"Matricule inconnu"))</f>
        <v/>
      </c>
      <c r="D1960" s="76" t="str">
        <f aca="false">IF(B1960="","",IFERROR(INDEX(PE_Fonction,MATCH(B1960,PE_Mat,0)),""))</f>
        <v/>
      </c>
      <c r="E1960" s="76" t="str">
        <f aca="false">IF(B1960="","",IFERROR(INDEX(PE_Equipe,MATCH(B1960,PE_Mat,0)),""))</f>
        <v/>
      </c>
      <c r="F1960" s="25"/>
      <c r="G1960" s="25"/>
      <c r="H1960" s="68"/>
      <c r="I1960" s="89"/>
      <c r="J1960" s="31" t="str">
        <f aca="false">IF(B1960="","",IFERROR(INDEX(PE_Taux,MATCH(B1960,PE_Mat,0)),0))</f>
        <v/>
      </c>
      <c r="K1960" s="31" t="str">
        <f aca="false">IF(B1960="","",IF(H1960="A",0,IFERROR(N(I1960)/P_Heures*J1960,0)))</f>
        <v/>
      </c>
      <c r="L1960" s="25"/>
    </row>
    <row r="1961" customFormat="false" ht="15" hidden="false" customHeight="false" outlineLevel="0" collapsed="false">
      <c r="A1961" s="69"/>
      <c r="B1961" s="68"/>
      <c r="C1961" s="76" t="str">
        <f aca="false">IF(B1961="","",IFERROR(INDEX(PE_Nom,MATCH(B1961,PE_Mat,0)),"Matricule inconnu"))</f>
        <v/>
      </c>
      <c r="D1961" s="76" t="str">
        <f aca="false">IF(B1961="","",IFERROR(INDEX(PE_Fonction,MATCH(B1961,PE_Mat,0)),""))</f>
        <v/>
      </c>
      <c r="E1961" s="76" t="str">
        <f aca="false">IF(B1961="","",IFERROR(INDEX(PE_Equipe,MATCH(B1961,PE_Mat,0)),""))</f>
        <v/>
      </c>
      <c r="F1961" s="25"/>
      <c r="G1961" s="25"/>
      <c r="H1961" s="68"/>
      <c r="I1961" s="89"/>
      <c r="J1961" s="31" t="str">
        <f aca="false">IF(B1961="","",IFERROR(INDEX(PE_Taux,MATCH(B1961,PE_Mat,0)),0))</f>
        <v/>
      </c>
      <c r="K1961" s="31" t="str">
        <f aca="false">IF(B1961="","",IF(H1961="A",0,IFERROR(N(I1961)/P_Heures*J1961,0)))</f>
        <v/>
      </c>
      <c r="L1961" s="25"/>
    </row>
    <row r="1962" customFormat="false" ht="15" hidden="false" customHeight="false" outlineLevel="0" collapsed="false">
      <c r="A1962" s="69"/>
      <c r="B1962" s="68"/>
      <c r="C1962" s="76" t="str">
        <f aca="false">IF(B1962="","",IFERROR(INDEX(PE_Nom,MATCH(B1962,PE_Mat,0)),"Matricule inconnu"))</f>
        <v/>
      </c>
      <c r="D1962" s="76" t="str">
        <f aca="false">IF(B1962="","",IFERROR(INDEX(PE_Fonction,MATCH(B1962,PE_Mat,0)),""))</f>
        <v/>
      </c>
      <c r="E1962" s="76" t="str">
        <f aca="false">IF(B1962="","",IFERROR(INDEX(PE_Equipe,MATCH(B1962,PE_Mat,0)),""))</f>
        <v/>
      </c>
      <c r="F1962" s="25"/>
      <c r="G1962" s="25"/>
      <c r="H1962" s="68"/>
      <c r="I1962" s="89"/>
      <c r="J1962" s="31" t="str">
        <f aca="false">IF(B1962="","",IFERROR(INDEX(PE_Taux,MATCH(B1962,PE_Mat,0)),0))</f>
        <v/>
      </c>
      <c r="K1962" s="31" t="str">
        <f aca="false">IF(B1962="","",IF(H1962="A",0,IFERROR(N(I1962)/P_Heures*J1962,0)))</f>
        <v/>
      </c>
      <c r="L1962" s="25"/>
    </row>
    <row r="1963" customFormat="false" ht="15" hidden="false" customHeight="false" outlineLevel="0" collapsed="false">
      <c r="A1963" s="69"/>
      <c r="B1963" s="68"/>
      <c r="C1963" s="76" t="str">
        <f aca="false">IF(B1963="","",IFERROR(INDEX(PE_Nom,MATCH(B1963,PE_Mat,0)),"Matricule inconnu"))</f>
        <v/>
      </c>
      <c r="D1963" s="76" t="str">
        <f aca="false">IF(B1963="","",IFERROR(INDEX(PE_Fonction,MATCH(B1963,PE_Mat,0)),""))</f>
        <v/>
      </c>
      <c r="E1963" s="76" t="str">
        <f aca="false">IF(B1963="","",IFERROR(INDEX(PE_Equipe,MATCH(B1963,PE_Mat,0)),""))</f>
        <v/>
      </c>
      <c r="F1963" s="25"/>
      <c r="G1963" s="25"/>
      <c r="H1963" s="68"/>
      <c r="I1963" s="89"/>
      <c r="J1963" s="31" t="str">
        <f aca="false">IF(B1963="","",IFERROR(INDEX(PE_Taux,MATCH(B1963,PE_Mat,0)),0))</f>
        <v/>
      </c>
      <c r="K1963" s="31" t="str">
        <f aca="false">IF(B1963="","",IF(H1963="A",0,IFERROR(N(I1963)/P_Heures*J1963,0)))</f>
        <v/>
      </c>
      <c r="L1963" s="25"/>
    </row>
    <row r="1964" customFormat="false" ht="15" hidden="false" customHeight="false" outlineLevel="0" collapsed="false">
      <c r="A1964" s="69"/>
      <c r="B1964" s="68"/>
      <c r="C1964" s="76" t="str">
        <f aca="false">IF(B1964="","",IFERROR(INDEX(PE_Nom,MATCH(B1964,PE_Mat,0)),"Matricule inconnu"))</f>
        <v/>
      </c>
      <c r="D1964" s="76" t="str">
        <f aca="false">IF(B1964="","",IFERROR(INDEX(PE_Fonction,MATCH(B1964,PE_Mat,0)),""))</f>
        <v/>
      </c>
      <c r="E1964" s="76" t="str">
        <f aca="false">IF(B1964="","",IFERROR(INDEX(PE_Equipe,MATCH(B1964,PE_Mat,0)),""))</f>
        <v/>
      </c>
      <c r="F1964" s="25"/>
      <c r="G1964" s="25"/>
      <c r="H1964" s="68"/>
      <c r="I1964" s="89"/>
      <c r="J1964" s="31" t="str">
        <f aca="false">IF(B1964="","",IFERROR(INDEX(PE_Taux,MATCH(B1964,PE_Mat,0)),0))</f>
        <v/>
      </c>
      <c r="K1964" s="31" t="str">
        <f aca="false">IF(B1964="","",IF(H1964="A",0,IFERROR(N(I1964)/P_Heures*J1964,0)))</f>
        <v/>
      </c>
      <c r="L1964" s="25"/>
    </row>
    <row r="1965" customFormat="false" ht="15" hidden="false" customHeight="false" outlineLevel="0" collapsed="false">
      <c r="A1965" s="69"/>
      <c r="B1965" s="68"/>
      <c r="C1965" s="76" t="str">
        <f aca="false">IF(B1965="","",IFERROR(INDEX(PE_Nom,MATCH(B1965,PE_Mat,0)),"Matricule inconnu"))</f>
        <v/>
      </c>
      <c r="D1965" s="76" t="str">
        <f aca="false">IF(B1965="","",IFERROR(INDEX(PE_Fonction,MATCH(B1965,PE_Mat,0)),""))</f>
        <v/>
      </c>
      <c r="E1965" s="76" t="str">
        <f aca="false">IF(B1965="","",IFERROR(INDEX(PE_Equipe,MATCH(B1965,PE_Mat,0)),""))</f>
        <v/>
      </c>
      <c r="F1965" s="25"/>
      <c r="G1965" s="25"/>
      <c r="H1965" s="68"/>
      <c r="I1965" s="89"/>
      <c r="J1965" s="31" t="str">
        <f aca="false">IF(B1965="","",IFERROR(INDEX(PE_Taux,MATCH(B1965,PE_Mat,0)),0))</f>
        <v/>
      </c>
      <c r="K1965" s="31" t="str">
        <f aca="false">IF(B1965="","",IF(H1965="A",0,IFERROR(N(I1965)/P_Heures*J1965,0)))</f>
        <v/>
      </c>
      <c r="L1965" s="25"/>
    </row>
    <row r="1966" customFormat="false" ht="15" hidden="false" customHeight="false" outlineLevel="0" collapsed="false">
      <c r="A1966" s="69"/>
      <c r="B1966" s="68"/>
      <c r="C1966" s="76" t="str">
        <f aca="false">IF(B1966="","",IFERROR(INDEX(PE_Nom,MATCH(B1966,PE_Mat,0)),"Matricule inconnu"))</f>
        <v/>
      </c>
      <c r="D1966" s="76" t="str">
        <f aca="false">IF(B1966="","",IFERROR(INDEX(PE_Fonction,MATCH(B1966,PE_Mat,0)),""))</f>
        <v/>
      </c>
      <c r="E1966" s="76" t="str">
        <f aca="false">IF(B1966="","",IFERROR(INDEX(PE_Equipe,MATCH(B1966,PE_Mat,0)),""))</f>
        <v/>
      </c>
      <c r="F1966" s="25"/>
      <c r="G1966" s="25"/>
      <c r="H1966" s="68"/>
      <c r="I1966" s="89"/>
      <c r="J1966" s="31" t="str">
        <f aca="false">IF(B1966="","",IFERROR(INDEX(PE_Taux,MATCH(B1966,PE_Mat,0)),0))</f>
        <v/>
      </c>
      <c r="K1966" s="31" t="str">
        <f aca="false">IF(B1966="","",IF(H1966="A",0,IFERROR(N(I1966)/P_Heures*J1966,0)))</f>
        <v/>
      </c>
      <c r="L1966" s="25"/>
    </row>
    <row r="1967" customFormat="false" ht="15" hidden="false" customHeight="false" outlineLevel="0" collapsed="false">
      <c r="A1967" s="69"/>
      <c r="B1967" s="68"/>
      <c r="C1967" s="76" t="str">
        <f aca="false">IF(B1967="","",IFERROR(INDEX(PE_Nom,MATCH(B1967,PE_Mat,0)),"Matricule inconnu"))</f>
        <v/>
      </c>
      <c r="D1967" s="76" t="str">
        <f aca="false">IF(B1967="","",IFERROR(INDEX(PE_Fonction,MATCH(B1967,PE_Mat,0)),""))</f>
        <v/>
      </c>
      <c r="E1967" s="76" t="str">
        <f aca="false">IF(B1967="","",IFERROR(INDEX(PE_Equipe,MATCH(B1967,PE_Mat,0)),""))</f>
        <v/>
      </c>
      <c r="F1967" s="25"/>
      <c r="G1967" s="25"/>
      <c r="H1967" s="68"/>
      <c r="I1967" s="89"/>
      <c r="J1967" s="31" t="str">
        <f aca="false">IF(B1967="","",IFERROR(INDEX(PE_Taux,MATCH(B1967,PE_Mat,0)),0))</f>
        <v/>
      </c>
      <c r="K1967" s="31" t="str">
        <f aca="false">IF(B1967="","",IF(H1967="A",0,IFERROR(N(I1967)/P_Heures*J1967,0)))</f>
        <v/>
      </c>
      <c r="L1967" s="25"/>
    </row>
    <row r="1968" customFormat="false" ht="15" hidden="false" customHeight="false" outlineLevel="0" collapsed="false">
      <c r="A1968" s="69"/>
      <c r="B1968" s="68"/>
      <c r="C1968" s="76" t="str">
        <f aca="false">IF(B1968="","",IFERROR(INDEX(PE_Nom,MATCH(B1968,PE_Mat,0)),"Matricule inconnu"))</f>
        <v/>
      </c>
      <c r="D1968" s="76" t="str">
        <f aca="false">IF(B1968="","",IFERROR(INDEX(PE_Fonction,MATCH(B1968,PE_Mat,0)),""))</f>
        <v/>
      </c>
      <c r="E1968" s="76" t="str">
        <f aca="false">IF(B1968="","",IFERROR(INDEX(PE_Equipe,MATCH(B1968,PE_Mat,0)),""))</f>
        <v/>
      </c>
      <c r="F1968" s="25"/>
      <c r="G1968" s="25"/>
      <c r="H1968" s="68"/>
      <c r="I1968" s="89"/>
      <c r="J1968" s="31" t="str">
        <f aca="false">IF(B1968="","",IFERROR(INDEX(PE_Taux,MATCH(B1968,PE_Mat,0)),0))</f>
        <v/>
      </c>
      <c r="K1968" s="31" t="str">
        <f aca="false">IF(B1968="","",IF(H1968="A",0,IFERROR(N(I1968)/P_Heures*J1968,0)))</f>
        <v/>
      </c>
      <c r="L1968" s="25"/>
    </row>
    <row r="1969" customFormat="false" ht="15" hidden="false" customHeight="false" outlineLevel="0" collapsed="false">
      <c r="A1969" s="69"/>
      <c r="B1969" s="68"/>
      <c r="C1969" s="76" t="str">
        <f aca="false">IF(B1969="","",IFERROR(INDEX(PE_Nom,MATCH(B1969,PE_Mat,0)),"Matricule inconnu"))</f>
        <v/>
      </c>
      <c r="D1969" s="76" t="str">
        <f aca="false">IF(B1969="","",IFERROR(INDEX(PE_Fonction,MATCH(B1969,PE_Mat,0)),""))</f>
        <v/>
      </c>
      <c r="E1969" s="76" t="str">
        <f aca="false">IF(B1969="","",IFERROR(INDEX(PE_Equipe,MATCH(B1969,PE_Mat,0)),""))</f>
        <v/>
      </c>
      <c r="F1969" s="25"/>
      <c r="G1969" s="25"/>
      <c r="H1969" s="68"/>
      <c r="I1969" s="89"/>
      <c r="J1969" s="31" t="str">
        <f aca="false">IF(B1969="","",IFERROR(INDEX(PE_Taux,MATCH(B1969,PE_Mat,0)),0))</f>
        <v/>
      </c>
      <c r="K1969" s="31" t="str">
        <f aca="false">IF(B1969="","",IF(H1969="A",0,IFERROR(N(I1969)/P_Heures*J1969,0)))</f>
        <v/>
      </c>
      <c r="L1969" s="25"/>
    </row>
    <row r="1970" customFormat="false" ht="15" hidden="false" customHeight="false" outlineLevel="0" collapsed="false">
      <c r="A1970" s="69"/>
      <c r="B1970" s="68"/>
      <c r="C1970" s="76" t="str">
        <f aca="false">IF(B1970="","",IFERROR(INDEX(PE_Nom,MATCH(B1970,PE_Mat,0)),"Matricule inconnu"))</f>
        <v/>
      </c>
      <c r="D1970" s="76" t="str">
        <f aca="false">IF(B1970="","",IFERROR(INDEX(PE_Fonction,MATCH(B1970,PE_Mat,0)),""))</f>
        <v/>
      </c>
      <c r="E1970" s="76" t="str">
        <f aca="false">IF(B1970="","",IFERROR(INDEX(PE_Equipe,MATCH(B1970,PE_Mat,0)),""))</f>
        <v/>
      </c>
      <c r="F1970" s="25"/>
      <c r="G1970" s="25"/>
      <c r="H1970" s="68"/>
      <c r="I1970" s="89"/>
      <c r="J1970" s="31" t="str">
        <f aca="false">IF(B1970="","",IFERROR(INDEX(PE_Taux,MATCH(B1970,PE_Mat,0)),0))</f>
        <v/>
      </c>
      <c r="K1970" s="31" t="str">
        <f aca="false">IF(B1970="","",IF(H1970="A",0,IFERROR(N(I1970)/P_Heures*J1970,0)))</f>
        <v/>
      </c>
      <c r="L1970" s="25"/>
    </row>
    <row r="1971" customFormat="false" ht="15" hidden="false" customHeight="false" outlineLevel="0" collapsed="false">
      <c r="A1971" s="69"/>
      <c r="B1971" s="68"/>
      <c r="C1971" s="76" t="str">
        <f aca="false">IF(B1971="","",IFERROR(INDEX(PE_Nom,MATCH(B1971,PE_Mat,0)),"Matricule inconnu"))</f>
        <v/>
      </c>
      <c r="D1971" s="76" t="str">
        <f aca="false">IF(B1971="","",IFERROR(INDEX(PE_Fonction,MATCH(B1971,PE_Mat,0)),""))</f>
        <v/>
      </c>
      <c r="E1971" s="76" t="str">
        <f aca="false">IF(B1971="","",IFERROR(INDEX(PE_Equipe,MATCH(B1971,PE_Mat,0)),""))</f>
        <v/>
      </c>
      <c r="F1971" s="25"/>
      <c r="G1971" s="25"/>
      <c r="H1971" s="68"/>
      <c r="I1971" s="89"/>
      <c r="J1971" s="31" t="str">
        <f aca="false">IF(B1971="","",IFERROR(INDEX(PE_Taux,MATCH(B1971,PE_Mat,0)),0))</f>
        <v/>
      </c>
      <c r="K1971" s="31" t="str">
        <f aca="false">IF(B1971="","",IF(H1971="A",0,IFERROR(N(I1971)/P_Heures*J1971,0)))</f>
        <v/>
      </c>
      <c r="L1971" s="25"/>
    </row>
    <row r="1972" customFormat="false" ht="15" hidden="false" customHeight="false" outlineLevel="0" collapsed="false">
      <c r="A1972" s="69"/>
      <c r="B1972" s="68"/>
      <c r="C1972" s="76" t="str">
        <f aca="false">IF(B1972="","",IFERROR(INDEX(PE_Nom,MATCH(B1972,PE_Mat,0)),"Matricule inconnu"))</f>
        <v/>
      </c>
      <c r="D1972" s="76" t="str">
        <f aca="false">IF(B1972="","",IFERROR(INDEX(PE_Fonction,MATCH(B1972,PE_Mat,0)),""))</f>
        <v/>
      </c>
      <c r="E1972" s="76" t="str">
        <f aca="false">IF(B1972="","",IFERROR(INDEX(PE_Equipe,MATCH(B1972,PE_Mat,0)),""))</f>
        <v/>
      </c>
      <c r="F1972" s="25"/>
      <c r="G1972" s="25"/>
      <c r="H1972" s="68"/>
      <c r="I1972" s="89"/>
      <c r="J1972" s="31" t="str">
        <f aca="false">IF(B1972="","",IFERROR(INDEX(PE_Taux,MATCH(B1972,PE_Mat,0)),0))</f>
        <v/>
      </c>
      <c r="K1972" s="31" t="str">
        <f aca="false">IF(B1972="","",IF(H1972="A",0,IFERROR(N(I1972)/P_Heures*J1972,0)))</f>
        <v/>
      </c>
      <c r="L1972" s="25"/>
    </row>
    <row r="1973" customFormat="false" ht="15" hidden="false" customHeight="false" outlineLevel="0" collapsed="false">
      <c r="A1973" s="69"/>
      <c r="B1973" s="68"/>
      <c r="C1973" s="76" t="str">
        <f aca="false">IF(B1973="","",IFERROR(INDEX(PE_Nom,MATCH(B1973,PE_Mat,0)),"Matricule inconnu"))</f>
        <v/>
      </c>
      <c r="D1973" s="76" t="str">
        <f aca="false">IF(B1973="","",IFERROR(INDEX(PE_Fonction,MATCH(B1973,PE_Mat,0)),""))</f>
        <v/>
      </c>
      <c r="E1973" s="76" t="str">
        <f aca="false">IF(B1973="","",IFERROR(INDEX(PE_Equipe,MATCH(B1973,PE_Mat,0)),""))</f>
        <v/>
      </c>
      <c r="F1973" s="25"/>
      <c r="G1973" s="25"/>
      <c r="H1973" s="68"/>
      <c r="I1973" s="89"/>
      <c r="J1973" s="31" t="str">
        <f aca="false">IF(B1973="","",IFERROR(INDEX(PE_Taux,MATCH(B1973,PE_Mat,0)),0))</f>
        <v/>
      </c>
      <c r="K1973" s="31" t="str">
        <f aca="false">IF(B1973="","",IF(H1973="A",0,IFERROR(N(I1973)/P_Heures*J1973,0)))</f>
        <v/>
      </c>
      <c r="L1973" s="25"/>
    </row>
    <row r="1974" customFormat="false" ht="15" hidden="false" customHeight="false" outlineLevel="0" collapsed="false">
      <c r="A1974" s="69"/>
      <c r="B1974" s="68"/>
      <c r="C1974" s="76" t="str">
        <f aca="false">IF(B1974="","",IFERROR(INDEX(PE_Nom,MATCH(B1974,PE_Mat,0)),"Matricule inconnu"))</f>
        <v/>
      </c>
      <c r="D1974" s="76" t="str">
        <f aca="false">IF(B1974="","",IFERROR(INDEX(PE_Fonction,MATCH(B1974,PE_Mat,0)),""))</f>
        <v/>
      </c>
      <c r="E1974" s="76" t="str">
        <f aca="false">IF(B1974="","",IFERROR(INDEX(PE_Equipe,MATCH(B1974,PE_Mat,0)),""))</f>
        <v/>
      </c>
      <c r="F1974" s="25"/>
      <c r="G1974" s="25"/>
      <c r="H1974" s="68"/>
      <c r="I1974" s="89"/>
      <c r="J1974" s="31" t="str">
        <f aca="false">IF(B1974="","",IFERROR(INDEX(PE_Taux,MATCH(B1974,PE_Mat,0)),0))</f>
        <v/>
      </c>
      <c r="K1974" s="31" t="str">
        <f aca="false">IF(B1974="","",IF(H1974="A",0,IFERROR(N(I1974)/P_Heures*J1974,0)))</f>
        <v/>
      </c>
      <c r="L1974" s="25"/>
    </row>
    <row r="1975" customFormat="false" ht="15" hidden="false" customHeight="false" outlineLevel="0" collapsed="false">
      <c r="A1975" s="69"/>
      <c r="B1975" s="68"/>
      <c r="C1975" s="76" t="str">
        <f aca="false">IF(B1975="","",IFERROR(INDEX(PE_Nom,MATCH(B1975,PE_Mat,0)),"Matricule inconnu"))</f>
        <v/>
      </c>
      <c r="D1975" s="76" t="str">
        <f aca="false">IF(B1975="","",IFERROR(INDEX(PE_Fonction,MATCH(B1975,PE_Mat,0)),""))</f>
        <v/>
      </c>
      <c r="E1975" s="76" t="str">
        <f aca="false">IF(B1975="","",IFERROR(INDEX(PE_Equipe,MATCH(B1975,PE_Mat,0)),""))</f>
        <v/>
      </c>
      <c r="F1975" s="25"/>
      <c r="G1975" s="25"/>
      <c r="H1975" s="68"/>
      <c r="I1975" s="89"/>
      <c r="J1975" s="31" t="str">
        <f aca="false">IF(B1975="","",IFERROR(INDEX(PE_Taux,MATCH(B1975,PE_Mat,0)),0))</f>
        <v/>
      </c>
      <c r="K1975" s="31" t="str">
        <f aca="false">IF(B1975="","",IF(H1975="A",0,IFERROR(N(I1975)/P_Heures*J1975,0)))</f>
        <v/>
      </c>
      <c r="L1975" s="25"/>
    </row>
    <row r="1976" customFormat="false" ht="15" hidden="false" customHeight="false" outlineLevel="0" collapsed="false">
      <c r="A1976" s="69"/>
      <c r="B1976" s="68"/>
      <c r="C1976" s="76" t="str">
        <f aca="false">IF(B1976="","",IFERROR(INDEX(PE_Nom,MATCH(B1976,PE_Mat,0)),"Matricule inconnu"))</f>
        <v/>
      </c>
      <c r="D1976" s="76" t="str">
        <f aca="false">IF(B1976="","",IFERROR(INDEX(PE_Fonction,MATCH(B1976,PE_Mat,0)),""))</f>
        <v/>
      </c>
      <c r="E1976" s="76" t="str">
        <f aca="false">IF(B1976="","",IFERROR(INDEX(PE_Equipe,MATCH(B1976,PE_Mat,0)),""))</f>
        <v/>
      </c>
      <c r="F1976" s="25"/>
      <c r="G1976" s="25"/>
      <c r="H1976" s="68"/>
      <c r="I1976" s="89"/>
      <c r="J1976" s="31" t="str">
        <f aca="false">IF(B1976="","",IFERROR(INDEX(PE_Taux,MATCH(B1976,PE_Mat,0)),0))</f>
        <v/>
      </c>
      <c r="K1976" s="31" t="str">
        <f aca="false">IF(B1976="","",IF(H1976="A",0,IFERROR(N(I1976)/P_Heures*J1976,0)))</f>
        <v/>
      </c>
      <c r="L1976" s="25"/>
    </row>
    <row r="1977" customFormat="false" ht="15" hidden="false" customHeight="false" outlineLevel="0" collapsed="false">
      <c r="A1977" s="69"/>
      <c r="B1977" s="68"/>
      <c r="C1977" s="76" t="str">
        <f aca="false">IF(B1977="","",IFERROR(INDEX(PE_Nom,MATCH(B1977,PE_Mat,0)),"Matricule inconnu"))</f>
        <v/>
      </c>
      <c r="D1977" s="76" t="str">
        <f aca="false">IF(B1977="","",IFERROR(INDEX(PE_Fonction,MATCH(B1977,PE_Mat,0)),""))</f>
        <v/>
      </c>
      <c r="E1977" s="76" t="str">
        <f aca="false">IF(B1977="","",IFERROR(INDEX(PE_Equipe,MATCH(B1977,PE_Mat,0)),""))</f>
        <v/>
      </c>
      <c r="F1977" s="25"/>
      <c r="G1977" s="25"/>
      <c r="H1977" s="68"/>
      <c r="I1977" s="89"/>
      <c r="J1977" s="31" t="str">
        <f aca="false">IF(B1977="","",IFERROR(INDEX(PE_Taux,MATCH(B1977,PE_Mat,0)),0))</f>
        <v/>
      </c>
      <c r="K1977" s="31" t="str">
        <f aca="false">IF(B1977="","",IF(H1977="A",0,IFERROR(N(I1977)/P_Heures*J1977,0)))</f>
        <v/>
      </c>
      <c r="L1977" s="25"/>
    </row>
    <row r="1978" customFormat="false" ht="15" hidden="false" customHeight="false" outlineLevel="0" collapsed="false">
      <c r="A1978" s="69"/>
      <c r="B1978" s="68"/>
      <c r="C1978" s="76" t="str">
        <f aca="false">IF(B1978="","",IFERROR(INDEX(PE_Nom,MATCH(B1978,PE_Mat,0)),"Matricule inconnu"))</f>
        <v/>
      </c>
      <c r="D1978" s="76" t="str">
        <f aca="false">IF(B1978="","",IFERROR(INDEX(PE_Fonction,MATCH(B1978,PE_Mat,0)),""))</f>
        <v/>
      </c>
      <c r="E1978" s="76" t="str">
        <f aca="false">IF(B1978="","",IFERROR(INDEX(PE_Equipe,MATCH(B1978,PE_Mat,0)),""))</f>
        <v/>
      </c>
      <c r="F1978" s="25"/>
      <c r="G1978" s="25"/>
      <c r="H1978" s="68"/>
      <c r="I1978" s="89"/>
      <c r="J1978" s="31" t="str">
        <f aca="false">IF(B1978="","",IFERROR(INDEX(PE_Taux,MATCH(B1978,PE_Mat,0)),0))</f>
        <v/>
      </c>
      <c r="K1978" s="31" t="str">
        <f aca="false">IF(B1978="","",IF(H1978="A",0,IFERROR(N(I1978)/P_Heures*J1978,0)))</f>
        <v/>
      </c>
      <c r="L1978" s="25"/>
    </row>
    <row r="1979" customFormat="false" ht="15" hidden="false" customHeight="false" outlineLevel="0" collapsed="false">
      <c r="A1979" s="69"/>
      <c r="B1979" s="68"/>
      <c r="C1979" s="76" t="str">
        <f aca="false">IF(B1979="","",IFERROR(INDEX(PE_Nom,MATCH(B1979,PE_Mat,0)),"Matricule inconnu"))</f>
        <v/>
      </c>
      <c r="D1979" s="76" t="str">
        <f aca="false">IF(B1979="","",IFERROR(INDEX(PE_Fonction,MATCH(B1979,PE_Mat,0)),""))</f>
        <v/>
      </c>
      <c r="E1979" s="76" t="str">
        <f aca="false">IF(B1979="","",IFERROR(INDEX(PE_Equipe,MATCH(B1979,PE_Mat,0)),""))</f>
        <v/>
      </c>
      <c r="F1979" s="25"/>
      <c r="G1979" s="25"/>
      <c r="H1979" s="68"/>
      <c r="I1979" s="89"/>
      <c r="J1979" s="31" t="str">
        <f aca="false">IF(B1979="","",IFERROR(INDEX(PE_Taux,MATCH(B1979,PE_Mat,0)),0))</f>
        <v/>
      </c>
      <c r="K1979" s="31" t="str">
        <f aca="false">IF(B1979="","",IF(H1979="A",0,IFERROR(N(I1979)/P_Heures*J1979,0)))</f>
        <v/>
      </c>
      <c r="L1979" s="25"/>
    </row>
    <row r="1980" customFormat="false" ht="15" hidden="false" customHeight="false" outlineLevel="0" collapsed="false">
      <c r="A1980" s="69"/>
      <c r="B1980" s="68"/>
      <c r="C1980" s="76" t="str">
        <f aca="false">IF(B1980="","",IFERROR(INDEX(PE_Nom,MATCH(B1980,PE_Mat,0)),"Matricule inconnu"))</f>
        <v/>
      </c>
      <c r="D1980" s="76" t="str">
        <f aca="false">IF(B1980="","",IFERROR(INDEX(PE_Fonction,MATCH(B1980,PE_Mat,0)),""))</f>
        <v/>
      </c>
      <c r="E1980" s="76" t="str">
        <f aca="false">IF(B1980="","",IFERROR(INDEX(PE_Equipe,MATCH(B1980,PE_Mat,0)),""))</f>
        <v/>
      </c>
      <c r="F1980" s="25"/>
      <c r="G1980" s="25"/>
      <c r="H1980" s="68"/>
      <c r="I1980" s="89"/>
      <c r="J1980" s="31" t="str">
        <f aca="false">IF(B1980="","",IFERROR(INDEX(PE_Taux,MATCH(B1980,PE_Mat,0)),0))</f>
        <v/>
      </c>
      <c r="K1980" s="31" t="str">
        <f aca="false">IF(B1980="","",IF(H1980="A",0,IFERROR(N(I1980)/P_Heures*J1980,0)))</f>
        <v/>
      </c>
      <c r="L1980" s="25"/>
    </row>
    <row r="1981" customFormat="false" ht="15" hidden="false" customHeight="false" outlineLevel="0" collapsed="false">
      <c r="A1981" s="69"/>
      <c r="B1981" s="68"/>
      <c r="C1981" s="76" t="str">
        <f aca="false">IF(B1981="","",IFERROR(INDEX(PE_Nom,MATCH(B1981,PE_Mat,0)),"Matricule inconnu"))</f>
        <v/>
      </c>
      <c r="D1981" s="76" t="str">
        <f aca="false">IF(B1981="","",IFERROR(INDEX(PE_Fonction,MATCH(B1981,PE_Mat,0)),""))</f>
        <v/>
      </c>
      <c r="E1981" s="76" t="str">
        <f aca="false">IF(B1981="","",IFERROR(INDEX(PE_Equipe,MATCH(B1981,PE_Mat,0)),""))</f>
        <v/>
      </c>
      <c r="F1981" s="25"/>
      <c r="G1981" s="25"/>
      <c r="H1981" s="68"/>
      <c r="I1981" s="89"/>
      <c r="J1981" s="31" t="str">
        <f aca="false">IF(B1981="","",IFERROR(INDEX(PE_Taux,MATCH(B1981,PE_Mat,0)),0))</f>
        <v/>
      </c>
      <c r="K1981" s="31" t="str">
        <f aca="false">IF(B1981="","",IF(H1981="A",0,IFERROR(N(I1981)/P_Heures*J1981,0)))</f>
        <v/>
      </c>
      <c r="L1981" s="25"/>
    </row>
    <row r="1982" customFormat="false" ht="15" hidden="false" customHeight="false" outlineLevel="0" collapsed="false">
      <c r="A1982" s="69"/>
      <c r="B1982" s="68"/>
      <c r="C1982" s="76" t="str">
        <f aca="false">IF(B1982="","",IFERROR(INDEX(PE_Nom,MATCH(B1982,PE_Mat,0)),"Matricule inconnu"))</f>
        <v/>
      </c>
      <c r="D1982" s="76" t="str">
        <f aca="false">IF(B1982="","",IFERROR(INDEX(PE_Fonction,MATCH(B1982,PE_Mat,0)),""))</f>
        <v/>
      </c>
      <c r="E1982" s="76" t="str">
        <f aca="false">IF(B1982="","",IFERROR(INDEX(PE_Equipe,MATCH(B1982,PE_Mat,0)),""))</f>
        <v/>
      </c>
      <c r="F1982" s="25"/>
      <c r="G1982" s="25"/>
      <c r="H1982" s="68"/>
      <c r="I1982" s="89"/>
      <c r="J1982" s="31" t="str">
        <f aca="false">IF(B1982="","",IFERROR(INDEX(PE_Taux,MATCH(B1982,PE_Mat,0)),0))</f>
        <v/>
      </c>
      <c r="K1982" s="31" t="str">
        <f aca="false">IF(B1982="","",IF(H1982="A",0,IFERROR(N(I1982)/P_Heures*J1982,0)))</f>
        <v/>
      </c>
      <c r="L1982" s="25"/>
    </row>
    <row r="1983" customFormat="false" ht="15" hidden="false" customHeight="false" outlineLevel="0" collapsed="false">
      <c r="A1983" s="69"/>
      <c r="B1983" s="68"/>
      <c r="C1983" s="76" t="str">
        <f aca="false">IF(B1983="","",IFERROR(INDEX(PE_Nom,MATCH(B1983,PE_Mat,0)),"Matricule inconnu"))</f>
        <v/>
      </c>
      <c r="D1983" s="76" t="str">
        <f aca="false">IF(B1983="","",IFERROR(INDEX(PE_Fonction,MATCH(B1983,PE_Mat,0)),""))</f>
        <v/>
      </c>
      <c r="E1983" s="76" t="str">
        <f aca="false">IF(B1983="","",IFERROR(INDEX(PE_Equipe,MATCH(B1983,PE_Mat,0)),""))</f>
        <v/>
      </c>
      <c r="F1983" s="25"/>
      <c r="G1983" s="25"/>
      <c r="H1983" s="68"/>
      <c r="I1983" s="89"/>
      <c r="J1983" s="31" t="str">
        <f aca="false">IF(B1983="","",IFERROR(INDEX(PE_Taux,MATCH(B1983,PE_Mat,0)),0))</f>
        <v/>
      </c>
      <c r="K1983" s="31" t="str">
        <f aca="false">IF(B1983="","",IF(H1983="A",0,IFERROR(N(I1983)/P_Heures*J1983,0)))</f>
        <v/>
      </c>
      <c r="L1983" s="25"/>
    </row>
    <row r="1984" customFormat="false" ht="15" hidden="false" customHeight="false" outlineLevel="0" collapsed="false">
      <c r="A1984" s="69"/>
      <c r="B1984" s="68"/>
      <c r="C1984" s="76" t="str">
        <f aca="false">IF(B1984="","",IFERROR(INDEX(PE_Nom,MATCH(B1984,PE_Mat,0)),"Matricule inconnu"))</f>
        <v/>
      </c>
      <c r="D1984" s="76" t="str">
        <f aca="false">IF(B1984="","",IFERROR(INDEX(PE_Fonction,MATCH(B1984,PE_Mat,0)),""))</f>
        <v/>
      </c>
      <c r="E1984" s="76" t="str">
        <f aca="false">IF(B1984="","",IFERROR(INDEX(PE_Equipe,MATCH(B1984,PE_Mat,0)),""))</f>
        <v/>
      </c>
      <c r="F1984" s="25"/>
      <c r="G1984" s="25"/>
      <c r="H1984" s="68"/>
      <c r="I1984" s="89"/>
      <c r="J1984" s="31" t="str">
        <f aca="false">IF(B1984="","",IFERROR(INDEX(PE_Taux,MATCH(B1984,PE_Mat,0)),0))</f>
        <v/>
      </c>
      <c r="K1984" s="31" t="str">
        <f aca="false">IF(B1984="","",IF(H1984="A",0,IFERROR(N(I1984)/P_Heures*J1984,0)))</f>
        <v/>
      </c>
      <c r="L1984" s="25"/>
    </row>
    <row r="1985" customFormat="false" ht="15" hidden="false" customHeight="false" outlineLevel="0" collapsed="false">
      <c r="A1985" s="69"/>
      <c r="B1985" s="68"/>
      <c r="C1985" s="76" t="str">
        <f aca="false">IF(B1985="","",IFERROR(INDEX(PE_Nom,MATCH(B1985,PE_Mat,0)),"Matricule inconnu"))</f>
        <v/>
      </c>
      <c r="D1985" s="76" t="str">
        <f aca="false">IF(B1985="","",IFERROR(INDEX(PE_Fonction,MATCH(B1985,PE_Mat,0)),""))</f>
        <v/>
      </c>
      <c r="E1985" s="76" t="str">
        <f aca="false">IF(B1985="","",IFERROR(INDEX(PE_Equipe,MATCH(B1985,PE_Mat,0)),""))</f>
        <v/>
      </c>
      <c r="F1985" s="25"/>
      <c r="G1985" s="25"/>
      <c r="H1985" s="68"/>
      <c r="I1985" s="89"/>
      <c r="J1985" s="31" t="str">
        <f aca="false">IF(B1985="","",IFERROR(INDEX(PE_Taux,MATCH(B1985,PE_Mat,0)),0))</f>
        <v/>
      </c>
      <c r="K1985" s="31" t="str">
        <f aca="false">IF(B1985="","",IF(H1985="A",0,IFERROR(N(I1985)/P_Heures*J1985,0)))</f>
        <v/>
      </c>
      <c r="L1985" s="25"/>
    </row>
    <row r="1986" customFormat="false" ht="15" hidden="false" customHeight="false" outlineLevel="0" collapsed="false">
      <c r="A1986" s="69"/>
      <c r="B1986" s="68"/>
      <c r="C1986" s="76" t="str">
        <f aca="false">IF(B1986="","",IFERROR(INDEX(PE_Nom,MATCH(B1986,PE_Mat,0)),"Matricule inconnu"))</f>
        <v/>
      </c>
      <c r="D1986" s="76" t="str">
        <f aca="false">IF(B1986="","",IFERROR(INDEX(PE_Fonction,MATCH(B1986,PE_Mat,0)),""))</f>
        <v/>
      </c>
      <c r="E1986" s="76" t="str">
        <f aca="false">IF(B1986="","",IFERROR(INDEX(PE_Equipe,MATCH(B1986,PE_Mat,0)),""))</f>
        <v/>
      </c>
      <c r="F1986" s="25"/>
      <c r="G1986" s="25"/>
      <c r="H1986" s="68"/>
      <c r="I1986" s="89"/>
      <c r="J1986" s="31" t="str">
        <f aca="false">IF(B1986="","",IFERROR(INDEX(PE_Taux,MATCH(B1986,PE_Mat,0)),0))</f>
        <v/>
      </c>
      <c r="K1986" s="31" t="str">
        <f aca="false">IF(B1986="","",IF(H1986="A",0,IFERROR(N(I1986)/P_Heures*J1986,0)))</f>
        <v/>
      </c>
      <c r="L1986" s="25"/>
    </row>
    <row r="1987" customFormat="false" ht="15" hidden="false" customHeight="false" outlineLevel="0" collapsed="false">
      <c r="A1987" s="69"/>
      <c r="B1987" s="68"/>
      <c r="C1987" s="76" t="str">
        <f aca="false">IF(B1987="","",IFERROR(INDEX(PE_Nom,MATCH(B1987,PE_Mat,0)),"Matricule inconnu"))</f>
        <v/>
      </c>
      <c r="D1987" s="76" t="str">
        <f aca="false">IF(B1987="","",IFERROR(INDEX(PE_Fonction,MATCH(B1987,PE_Mat,0)),""))</f>
        <v/>
      </c>
      <c r="E1987" s="76" t="str">
        <f aca="false">IF(B1987="","",IFERROR(INDEX(PE_Equipe,MATCH(B1987,PE_Mat,0)),""))</f>
        <v/>
      </c>
      <c r="F1987" s="25"/>
      <c r="G1987" s="25"/>
      <c r="H1987" s="68"/>
      <c r="I1987" s="89"/>
      <c r="J1987" s="31" t="str">
        <f aca="false">IF(B1987="","",IFERROR(INDEX(PE_Taux,MATCH(B1987,PE_Mat,0)),0))</f>
        <v/>
      </c>
      <c r="K1987" s="31" t="str">
        <f aca="false">IF(B1987="","",IF(H1987="A",0,IFERROR(N(I1987)/P_Heures*J1987,0)))</f>
        <v/>
      </c>
      <c r="L1987" s="25"/>
    </row>
    <row r="1988" customFormat="false" ht="15" hidden="false" customHeight="false" outlineLevel="0" collapsed="false">
      <c r="A1988" s="69"/>
      <c r="B1988" s="68"/>
      <c r="C1988" s="76" t="str">
        <f aca="false">IF(B1988="","",IFERROR(INDEX(PE_Nom,MATCH(B1988,PE_Mat,0)),"Matricule inconnu"))</f>
        <v/>
      </c>
      <c r="D1988" s="76" t="str">
        <f aca="false">IF(B1988="","",IFERROR(INDEX(PE_Fonction,MATCH(B1988,PE_Mat,0)),""))</f>
        <v/>
      </c>
      <c r="E1988" s="76" t="str">
        <f aca="false">IF(B1988="","",IFERROR(INDEX(PE_Equipe,MATCH(B1988,PE_Mat,0)),""))</f>
        <v/>
      </c>
      <c r="F1988" s="25"/>
      <c r="G1988" s="25"/>
      <c r="H1988" s="68"/>
      <c r="I1988" s="89"/>
      <c r="J1988" s="31" t="str">
        <f aca="false">IF(B1988="","",IFERROR(INDEX(PE_Taux,MATCH(B1988,PE_Mat,0)),0))</f>
        <v/>
      </c>
      <c r="K1988" s="31" t="str">
        <f aca="false">IF(B1988="","",IF(H1988="A",0,IFERROR(N(I1988)/P_Heures*J1988,0)))</f>
        <v/>
      </c>
      <c r="L1988" s="25"/>
    </row>
    <row r="1989" customFormat="false" ht="15" hidden="false" customHeight="false" outlineLevel="0" collapsed="false">
      <c r="A1989" s="69"/>
      <c r="B1989" s="68"/>
      <c r="C1989" s="76" t="str">
        <f aca="false">IF(B1989="","",IFERROR(INDEX(PE_Nom,MATCH(B1989,PE_Mat,0)),"Matricule inconnu"))</f>
        <v/>
      </c>
      <c r="D1989" s="76" t="str">
        <f aca="false">IF(B1989="","",IFERROR(INDEX(PE_Fonction,MATCH(B1989,PE_Mat,0)),""))</f>
        <v/>
      </c>
      <c r="E1989" s="76" t="str">
        <f aca="false">IF(B1989="","",IFERROR(INDEX(PE_Equipe,MATCH(B1989,PE_Mat,0)),""))</f>
        <v/>
      </c>
      <c r="F1989" s="25"/>
      <c r="G1989" s="25"/>
      <c r="H1989" s="68"/>
      <c r="I1989" s="89"/>
      <c r="J1989" s="31" t="str">
        <f aca="false">IF(B1989="","",IFERROR(INDEX(PE_Taux,MATCH(B1989,PE_Mat,0)),0))</f>
        <v/>
      </c>
      <c r="K1989" s="31" t="str">
        <f aca="false">IF(B1989="","",IF(H1989="A",0,IFERROR(N(I1989)/P_Heures*J1989,0)))</f>
        <v/>
      </c>
      <c r="L1989" s="25"/>
    </row>
    <row r="1990" customFormat="false" ht="15" hidden="false" customHeight="false" outlineLevel="0" collapsed="false">
      <c r="A1990" s="69"/>
      <c r="B1990" s="68"/>
      <c r="C1990" s="76" t="str">
        <f aca="false">IF(B1990="","",IFERROR(INDEX(PE_Nom,MATCH(B1990,PE_Mat,0)),"Matricule inconnu"))</f>
        <v/>
      </c>
      <c r="D1990" s="76" t="str">
        <f aca="false">IF(B1990="","",IFERROR(INDEX(PE_Fonction,MATCH(B1990,PE_Mat,0)),""))</f>
        <v/>
      </c>
      <c r="E1990" s="76" t="str">
        <f aca="false">IF(B1990="","",IFERROR(INDEX(PE_Equipe,MATCH(B1990,PE_Mat,0)),""))</f>
        <v/>
      </c>
      <c r="F1990" s="25"/>
      <c r="G1990" s="25"/>
      <c r="H1990" s="68"/>
      <c r="I1990" s="89"/>
      <c r="J1990" s="31" t="str">
        <f aca="false">IF(B1990="","",IFERROR(INDEX(PE_Taux,MATCH(B1990,PE_Mat,0)),0))</f>
        <v/>
      </c>
      <c r="K1990" s="31" t="str">
        <f aca="false">IF(B1990="","",IF(H1990="A",0,IFERROR(N(I1990)/P_Heures*J1990,0)))</f>
        <v/>
      </c>
      <c r="L1990" s="25"/>
    </row>
    <row r="1991" customFormat="false" ht="15" hidden="false" customHeight="false" outlineLevel="0" collapsed="false">
      <c r="A1991" s="69"/>
      <c r="B1991" s="68"/>
      <c r="C1991" s="76" t="str">
        <f aca="false">IF(B1991="","",IFERROR(INDEX(PE_Nom,MATCH(B1991,PE_Mat,0)),"Matricule inconnu"))</f>
        <v/>
      </c>
      <c r="D1991" s="76" t="str">
        <f aca="false">IF(B1991="","",IFERROR(INDEX(PE_Fonction,MATCH(B1991,PE_Mat,0)),""))</f>
        <v/>
      </c>
      <c r="E1991" s="76" t="str">
        <f aca="false">IF(B1991="","",IFERROR(INDEX(PE_Equipe,MATCH(B1991,PE_Mat,0)),""))</f>
        <v/>
      </c>
      <c r="F1991" s="25"/>
      <c r="G1991" s="25"/>
      <c r="H1991" s="68"/>
      <c r="I1991" s="89"/>
      <c r="J1991" s="31" t="str">
        <f aca="false">IF(B1991="","",IFERROR(INDEX(PE_Taux,MATCH(B1991,PE_Mat,0)),0))</f>
        <v/>
      </c>
      <c r="K1991" s="31" t="str">
        <f aca="false">IF(B1991="","",IF(H1991="A",0,IFERROR(N(I1991)/P_Heures*J1991,0)))</f>
        <v/>
      </c>
      <c r="L1991" s="25"/>
    </row>
    <row r="1992" customFormat="false" ht="15" hidden="false" customHeight="false" outlineLevel="0" collapsed="false">
      <c r="A1992" s="69"/>
      <c r="B1992" s="68"/>
      <c r="C1992" s="76" t="str">
        <f aca="false">IF(B1992="","",IFERROR(INDEX(PE_Nom,MATCH(B1992,PE_Mat,0)),"Matricule inconnu"))</f>
        <v/>
      </c>
      <c r="D1992" s="76" t="str">
        <f aca="false">IF(B1992="","",IFERROR(INDEX(PE_Fonction,MATCH(B1992,PE_Mat,0)),""))</f>
        <v/>
      </c>
      <c r="E1992" s="76" t="str">
        <f aca="false">IF(B1992="","",IFERROR(INDEX(PE_Equipe,MATCH(B1992,PE_Mat,0)),""))</f>
        <v/>
      </c>
      <c r="F1992" s="25"/>
      <c r="G1992" s="25"/>
      <c r="H1992" s="68"/>
      <c r="I1992" s="89"/>
      <c r="J1992" s="31" t="str">
        <f aca="false">IF(B1992="","",IFERROR(INDEX(PE_Taux,MATCH(B1992,PE_Mat,0)),0))</f>
        <v/>
      </c>
      <c r="K1992" s="31" t="str">
        <f aca="false">IF(B1992="","",IF(H1992="A",0,IFERROR(N(I1992)/P_Heures*J1992,0)))</f>
        <v/>
      </c>
      <c r="L1992" s="25"/>
    </row>
    <row r="1993" customFormat="false" ht="15" hidden="false" customHeight="false" outlineLevel="0" collapsed="false">
      <c r="A1993" s="69"/>
      <c r="B1993" s="68"/>
      <c r="C1993" s="76" t="str">
        <f aca="false">IF(B1993="","",IFERROR(INDEX(PE_Nom,MATCH(B1993,PE_Mat,0)),"Matricule inconnu"))</f>
        <v/>
      </c>
      <c r="D1993" s="76" t="str">
        <f aca="false">IF(B1993="","",IFERROR(INDEX(PE_Fonction,MATCH(B1993,PE_Mat,0)),""))</f>
        <v/>
      </c>
      <c r="E1993" s="76" t="str">
        <f aca="false">IF(B1993="","",IFERROR(INDEX(PE_Equipe,MATCH(B1993,PE_Mat,0)),""))</f>
        <v/>
      </c>
      <c r="F1993" s="25"/>
      <c r="G1993" s="25"/>
      <c r="H1993" s="68"/>
      <c r="I1993" s="89"/>
      <c r="J1993" s="31" t="str">
        <f aca="false">IF(B1993="","",IFERROR(INDEX(PE_Taux,MATCH(B1993,PE_Mat,0)),0))</f>
        <v/>
      </c>
      <c r="K1993" s="31" t="str">
        <f aca="false">IF(B1993="","",IF(H1993="A",0,IFERROR(N(I1993)/P_Heures*J1993,0)))</f>
        <v/>
      </c>
      <c r="L1993" s="25"/>
    </row>
    <row r="1994" customFormat="false" ht="15" hidden="false" customHeight="false" outlineLevel="0" collapsed="false">
      <c r="A1994" s="69"/>
      <c r="B1994" s="68"/>
      <c r="C1994" s="76" t="str">
        <f aca="false">IF(B1994="","",IFERROR(INDEX(PE_Nom,MATCH(B1994,PE_Mat,0)),"Matricule inconnu"))</f>
        <v/>
      </c>
      <c r="D1994" s="76" t="str">
        <f aca="false">IF(B1994="","",IFERROR(INDEX(PE_Fonction,MATCH(B1994,PE_Mat,0)),""))</f>
        <v/>
      </c>
      <c r="E1994" s="76" t="str">
        <f aca="false">IF(B1994="","",IFERROR(INDEX(PE_Equipe,MATCH(B1994,PE_Mat,0)),""))</f>
        <v/>
      </c>
      <c r="F1994" s="25"/>
      <c r="G1994" s="25"/>
      <c r="H1994" s="68"/>
      <c r="I1994" s="89"/>
      <c r="J1994" s="31" t="str">
        <f aca="false">IF(B1994="","",IFERROR(INDEX(PE_Taux,MATCH(B1994,PE_Mat,0)),0))</f>
        <v/>
      </c>
      <c r="K1994" s="31" t="str">
        <f aca="false">IF(B1994="","",IF(H1994="A",0,IFERROR(N(I1994)/P_Heures*J1994,0)))</f>
        <v/>
      </c>
      <c r="L1994" s="25"/>
    </row>
    <row r="1995" customFormat="false" ht="15" hidden="false" customHeight="false" outlineLevel="0" collapsed="false">
      <c r="A1995" s="69"/>
      <c r="B1995" s="68"/>
      <c r="C1995" s="76" t="str">
        <f aca="false">IF(B1995="","",IFERROR(INDEX(PE_Nom,MATCH(B1995,PE_Mat,0)),"Matricule inconnu"))</f>
        <v/>
      </c>
      <c r="D1995" s="76" t="str">
        <f aca="false">IF(B1995="","",IFERROR(INDEX(PE_Fonction,MATCH(B1995,PE_Mat,0)),""))</f>
        <v/>
      </c>
      <c r="E1995" s="76" t="str">
        <f aca="false">IF(B1995="","",IFERROR(INDEX(PE_Equipe,MATCH(B1995,PE_Mat,0)),""))</f>
        <v/>
      </c>
      <c r="F1995" s="25"/>
      <c r="G1995" s="25"/>
      <c r="H1995" s="68"/>
      <c r="I1995" s="89"/>
      <c r="J1995" s="31" t="str">
        <f aca="false">IF(B1995="","",IFERROR(INDEX(PE_Taux,MATCH(B1995,PE_Mat,0)),0))</f>
        <v/>
      </c>
      <c r="K1995" s="31" t="str">
        <f aca="false">IF(B1995="","",IF(H1995="A",0,IFERROR(N(I1995)/P_Heures*J1995,0)))</f>
        <v/>
      </c>
      <c r="L1995" s="25"/>
    </row>
    <row r="1996" customFormat="false" ht="15" hidden="false" customHeight="false" outlineLevel="0" collapsed="false">
      <c r="A1996" s="69"/>
      <c r="B1996" s="68"/>
      <c r="C1996" s="76" t="str">
        <f aca="false">IF(B1996="","",IFERROR(INDEX(PE_Nom,MATCH(B1996,PE_Mat,0)),"Matricule inconnu"))</f>
        <v/>
      </c>
      <c r="D1996" s="76" t="str">
        <f aca="false">IF(B1996="","",IFERROR(INDEX(PE_Fonction,MATCH(B1996,PE_Mat,0)),""))</f>
        <v/>
      </c>
      <c r="E1996" s="76" t="str">
        <f aca="false">IF(B1996="","",IFERROR(INDEX(PE_Equipe,MATCH(B1996,PE_Mat,0)),""))</f>
        <v/>
      </c>
      <c r="F1996" s="25"/>
      <c r="G1996" s="25"/>
      <c r="H1996" s="68"/>
      <c r="I1996" s="89"/>
      <c r="J1996" s="31" t="str">
        <f aca="false">IF(B1996="","",IFERROR(INDEX(PE_Taux,MATCH(B1996,PE_Mat,0)),0))</f>
        <v/>
      </c>
      <c r="K1996" s="31" t="str">
        <f aca="false">IF(B1996="","",IF(H1996="A",0,IFERROR(N(I1996)/P_Heures*J1996,0)))</f>
        <v/>
      </c>
      <c r="L1996" s="25"/>
    </row>
    <row r="1997" customFormat="false" ht="15" hidden="false" customHeight="false" outlineLevel="0" collapsed="false">
      <c r="A1997" s="69"/>
      <c r="B1997" s="68"/>
      <c r="C1997" s="76" t="str">
        <f aca="false">IF(B1997="","",IFERROR(INDEX(PE_Nom,MATCH(B1997,PE_Mat,0)),"Matricule inconnu"))</f>
        <v/>
      </c>
      <c r="D1997" s="76" t="str">
        <f aca="false">IF(B1997="","",IFERROR(INDEX(PE_Fonction,MATCH(B1997,PE_Mat,0)),""))</f>
        <v/>
      </c>
      <c r="E1997" s="76" t="str">
        <f aca="false">IF(B1997="","",IFERROR(INDEX(PE_Equipe,MATCH(B1997,PE_Mat,0)),""))</f>
        <v/>
      </c>
      <c r="F1997" s="25"/>
      <c r="G1997" s="25"/>
      <c r="H1997" s="68"/>
      <c r="I1997" s="89"/>
      <c r="J1997" s="31" t="str">
        <f aca="false">IF(B1997="","",IFERROR(INDEX(PE_Taux,MATCH(B1997,PE_Mat,0)),0))</f>
        <v/>
      </c>
      <c r="K1997" s="31" t="str">
        <f aca="false">IF(B1997="","",IF(H1997="A",0,IFERROR(N(I1997)/P_Heures*J1997,0)))</f>
        <v/>
      </c>
      <c r="L1997" s="25"/>
    </row>
    <row r="1998" customFormat="false" ht="15" hidden="false" customHeight="false" outlineLevel="0" collapsed="false">
      <c r="A1998" s="69"/>
      <c r="B1998" s="68"/>
      <c r="C1998" s="76" t="str">
        <f aca="false">IF(B1998="","",IFERROR(INDEX(PE_Nom,MATCH(B1998,PE_Mat,0)),"Matricule inconnu"))</f>
        <v/>
      </c>
      <c r="D1998" s="76" t="str">
        <f aca="false">IF(B1998="","",IFERROR(INDEX(PE_Fonction,MATCH(B1998,PE_Mat,0)),""))</f>
        <v/>
      </c>
      <c r="E1998" s="76" t="str">
        <f aca="false">IF(B1998="","",IFERROR(INDEX(PE_Equipe,MATCH(B1998,PE_Mat,0)),""))</f>
        <v/>
      </c>
      <c r="F1998" s="25"/>
      <c r="G1998" s="25"/>
      <c r="H1998" s="68"/>
      <c r="I1998" s="89"/>
      <c r="J1998" s="31" t="str">
        <f aca="false">IF(B1998="","",IFERROR(INDEX(PE_Taux,MATCH(B1998,PE_Mat,0)),0))</f>
        <v/>
      </c>
      <c r="K1998" s="31" t="str">
        <f aca="false">IF(B1998="","",IF(H1998="A",0,IFERROR(N(I1998)/P_Heures*J1998,0)))</f>
        <v/>
      </c>
      <c r="L1998" s="25"/>
    </row>
    <row r="1999" customFormat="false" ht="15" hidden="false" customHeight="false" outlineLevel="0" collapsed="false">
      <c r="A1999" s="69"/>
      <c r="B1999" s="68"/>
      <c r="C1999" s="76" t="str">
        <f aca="false">IF(B1999="","",IFERROR(INDEX(PE_Nom,MATCH(B1999,PE_Mat,0)),"Matricule inconnu"))</f>
        <v/>
      </c>
      <c r="D1999" s="76" t="str">
        <f aca="false">IF(B1999="","",IFERROR(INDEX(PE_Fonction,MATCH(B1999,PE_Mat,0)),""))</f>
        <v/>
      </c>
      <c r="E1999" s="76" t="str">
        <f aca="false">IF(B1999="","",IFERROR(INDEX(PE_Equipe,MATCH(B1999,PE_Mat,0)),""))</f>
        <v/>
      </c>
      <c r="F1999" s="25"/>
      <c r="G1999" s="25"/>
      <c r="H1999" s="68"/>
      <c r="I1999" s="89"/>
      <c r="J1999" s="31" t="str">
        <f aca="false">IF(B1999="","",IFERROR(INDEX(PE_Taux,MATCH(B1999,PE_Mat,0)),0))</f>
        <v/>
      </c>
      <c r="K1999" s="31" t="str">
        <f aca="false">IF(B1999="","",IF(H1999="A",0,IFERROR(N(I1999)/P_Heures*J1999,0)))</f>
        <v/>
      </c>
      <c r="L1999" s="25"/>
    </row>
    <row r="2000" customFormat="false" ht="15" hidden="false" customHeight="false" outlineLevel="0" collapsed="false">
      <c r="A2000" s="69"/>
      <c r="B2000" s="68"/>
      <c r="C2000" s="76" t="str">
        <f aca="false">IF(B2000="","",IFERROR(INDEX(PE_Nom,MATCH(B2000,PE_Mat,0)),"Matricule inconnu"))</f>
        <v/>
      </c>
      <c r="D2000" s="76" t="str">
        <f aca="false">IF(B2000="","",IFERROR(INDEX(PE_Fonction,MATCH(B2000,PE_Mat,0)),""))</f>
        <v/>
      </c>
      <c r="E2000" s="76" t="str">
        <f aca="false">IF(B2000="","",IFERROR(INDEX(PE_Equipe,MATCH(B2000,PE_Mat,0)),""))</f>
        <v/>
      </c>
      <c r="F2000" s="25"/>
      <c r="G2000" s="25"/>
      <c r="H2000" s="68"/>
      <c r="I2000" s="89"/>
      <c r="J2000" s="31" t="str">
        <f aca="false">IF(B2000="","",IFERROR(INDEX(PE_Taux,MATCH(B2000,PE_Mat,0)),0))</f>
        <v/>
      </c>
      <c r="K2000" s="31" t="str">
        <f aca="false">IF(B2000="","",IF(H2000="A",0,IFERROR(N(I2000)/P_Heures*J2000,0)))</f>
        <v/>
      </c>
      <c r="L2000" s="25"/>
    </row>
    <row r="2001" customFormat="false" ht="15" hidden="false" customHeight="false" outlineLevel="0" collapsed="false">
      <c r="A2001" s="69"/>
      <c r="B2001" s="68"/>
      <c r="C2001" s="76" t="str">
        <f aca="false">IF(B2001="","",IFERROR(INDEX(PE_Nom,MATCH(B2001,PE_Mat,0)),"Matricule inconnu"))</f>
        <v/>
      </c>
      <c r="D2001" s="76" t="str">
        <f aca="false">IF(B2001="","",IFERROR(INDEX(PE_Fonction,MATCH(B2001,PE_Mat,0)),""))</f>
        <v/>
      </c>
      <c r="E2001" s="76" t="str">
        <f aca="false">IF(B2001="","",IFERROR(INDEX(PE_Equipe,MATCH(B2001,PE_Mat,0)),""))</f>
        <v/>
      </c>
      <c r="F2001" s="25"/>
      <c r="G2001" s="25"/>
      <c r="H2001" s="68"/>
      <c r="I2001" s="89"/>
      <c r="J2001" s="31" t="str">
        <f aca="false">IF(B2001="","",IFERROR(INDEX(PE_Taux,MATCH(B2001,PE_Mat,0)),0))</f>
        <v/>
      </c>
      <c r="K2001" s="31" t="str">
        <f aca="false">IF(B2001="","",IF(H2001="A",0,IFERROR(N(I2001)/P_Heures*J2001,0)))</f>
        <v/>
      </c>
      <c r="L2001" s="25"/>
    </row>
    <row r="2002" customFormat="false" ht="15" hidden="false" customHeight="false" outlineLevel="0" collapsed="false">
      <c r="A2002" s="69"/>
      <c r="B2002" s="68"/>
      <c r="C2002" s="76" t="str">
        <f aca="false">IF(B2002="","",IFERROR(INDEX(PE_Nom,MATCH(B2002,PE_Mat,0)),"Matricule inconnu"))</f>
        <v/>
      </c>
      <c r="D2002" s="76" t="str">
        <f aca="false">IF(B2002="","",IFERROR(INDEX(PE_Fonction,MATCH(B2002,PE_Mat,0)),""))</f>
        <v/>
      </c>
      <c r="E2002" s="76" t="str">
        <f aca="false">IF(B2002="","",IFERROR(INDEX(PE_Equipe,MATCH(B2002,PE_Mat,0)),""))</f>
        <v/>
      </c>
      <c r="F2002" s="25"/>
      <c r="G2002" s="25"/>
      <c r="H2002" s="68"/>
      <c r="I2002" s="89"/>
      <c r="J2002" s="31" t="str">
        <f aca="false">IF(B2002="","",IFERROR(INDEX(PE_Taux,MATCH(B2002,PE_Mat,0)),0))</f>
        <v/>
      </c>
      <c r="K2002" s="31" t="str">
        <f aca="false">IF(B2002="","",IF(H2002="A",0,IFERROR(N(I2002)/P_Heures*J2002,0)))</f>
        <v/>
      </c>
      <c r="L2002" s="25"/>
    </row>
    <row r="2003" customFormat="false" ht="15" hidden="false" customHeight="false" outlineLevel="0" collapsed="false">
      <c r="A2003" s="69"/>
      <c r="B2003" s="68"/>
      <c r="C2003" s="76" t="str">
        <f aca="false">IF(B2003="","",IFERROR(INDEX(PE_Nom,MATCH(B2003,PE_Mat,0)),"Matricule inconnu"))</f>
        <v/>
      </c>
      <c r="D2003" s="76" t="str">
        <f aca="false">IF(B2003="","",IFERROR(INDEX(PE_Fonction,MATCH(B2003,PE_Mat,0)),""))</f>
        <v/>
      </c>
      <c r="E2003" s="76" t="str">
        <f aca="false">IF(B2003="","",IFERROR(INDEX(PE_Equipe,MATCH(B2003,PE_Mat,0)),""))</f>
        <v/>
      </c>
      <c r="F2003" s="25"/>
      <c r="G2003" s="25"/>
      <c r="H2003" s="68"/>
      <c r="I2003" s="89"/>
      <c r="J2003" s="31" t="str">
        <f aca="false">IF(B2003="","",IFERROR(INDEX(PE_Taux,MATCH(B2003,PE_Mat,0)),0))</f>
        <v/>
      </c>
      <c r="K2003" s="31" t="str">
        <f aca="false">IF(B2003="","",IF(H2003="A",0,IFERROR(N(I2003)/P_Heures*J2003,0)))</f>
        <v/>
      </c>
      <c r="L2003" s="25"/>
    </row>
    <row r="2004" customFormat="false" ht="15" hidden="false" customHeight="false" outlineLevel="0" collapsed="false">
      <c r="A2004" s="69"/>
      <c r="B2004" s="68"/>
      <c r="C2004" s="76" t="str">
        <f aca="false">IF(B2004="","",IFERROR(INDEX(PE_Nom,MATCH(B2004,PE_Mat,0)),"Matricule inconnu"))</f>
        <v/>
      </c>
      <c r="D2004" s="76" t="str">
        <f aca="false">IF(B2004="","",IFERROR(INDEX(PE_Fonction,MATCH(B2004,PE_Mat,0)),""))</f>
        <v/>
      </c>
      <c r="E2004" s="76" t="str">
        <f aca="false">IF(B2004="","",IFERROR(INDEX(PE_Equipe,MATCH(B2004,PE_Mat,0)),""))</f>
        <v/>
      </c>
      <c r="F2004" s="25"/>
      <c r="G2004" s="25"/>
      <c r="H2004" s="68"/>
      <c r="I2004" s="89"/>
      <c r="J2004" s="31" t="str">
        <f aca="false">IF(B2004="","",IFERROR(INDEX(PE_Taux,MATCH(B2004,PE_Mat,0)),0))</f>
        <v/>
      </c>
      <c r="K2004" s="31" t="str">
        <f aca="false">IF(B2004="","",IF(H2004="A",0,IFERROR(N(I2004)/P_Heures*J2004,0)))</f>
        <v/>
      </c>
      <c r="L2004" s="25"/>
    </row>
    <row r="2005" customFormat="false" ht="15" hidden="false" customHeight="false" outlineLevel="0" collapsed="false">
      <c r="A2005" s="69"/>
      <c r="B2005" s="68"/>
      <c r="C2005" s="76" t="str">
        <f aca="false">IF(B2005="","",IFERROR(INDEX(PE_Nom,MATCH(B2005,PE_Mat,0)),"Matricule inconnu"))</f>
        <v/>
      </c>
      <c r="D2005" s="76" t="str">
        <f aca="false">IF(B2005="","",IFERROR(INDEX(PE_Fonction,MATCH(B2005,PE_Mat,0)),""))</f>
        <v/>
      </c>
      <c r="E2005" s="76" t="str">
        <f aca="false">IF(B2005="","",IFERROR(INDEX(PE_Equipe,MATCH(B2005,PE_Mat,0)),""))</f>
        <v/>
      </c>
      <c r="F2005" s="25"/>
      <c r="G2005" s="25"/>
      <c r="H2005" s="68"/>
      <c r="I2005" s="89"/>
      <c r="J2005" s="31" t="str">
        <f aca="false">IF(B2005="","",IFERROR(INDEX(PE_Taux,MATCH(B2005,PE_Mat,0)),0))</f>
        <v/>
      </c>
      <c r="K2005" s="31" t="str">
        <f aca="false">IF(B2005="","",IF(H2005="A",0,IFERROR(N(I2005)/P_Heures*J2005,0)))</f>
        <v/>
      </c>
      <c r="L2005" s="25"/>
    </row>
    <row r="2006" customFormat="false" ht="15" hidden="false" customHeight="false" outlineLevel="0" collapsed="false">
      <c r="A2006" s="69"/>
      <c r="B2006" s="68"/>
      <c r="C2006" s="76" t="str">
        <f aca="false">IF(B2006="","",IFERROR(INDEX(PE_Nom,MATCH(B2006,PE_Mat,0)),"Matricule inconnu"))</f>
        <v/>
      </c>
      <c r="D2006" s="76" t="str">
        <f aca="false">IF(B2006="","",IFERROR(INDEX(PE_Fonction,MATCH(B2006,PE_Mat,0)),""))</f>
        <v/>
      </c>
      <c r="E2006" s="76" t="str">
        <f aca="false">IF(B2006="","",IFERROR(INDEX(PE_Equipe,MATCH(B2006,PE_Mat,0)),""))</f>
        <v/>
      </c>
      <c r="F2006" s="25"/>
      <c r="G2006" s="25"/>
      <c r="H2006" s="68"/>
      <c r="I2006" s="89"/>
      <c r="J2006" s="31" t="str">
        <f aca="false">IF(B2006="","",IFERROR(INDEX(PE_Taux,MATCH(B2006,PE_Mat,0)),0))</f>
        <v/>
      </c>
      <c r="K2006" s="31" t="str">
        <f aca="false">IF(B2006="","",IF(H2006="A",0,IFERROR(N(I2006)/P_Heures*J2006,0)))</f>
        <v/>
      </c>
      <c r="L2006" s="25"/>
    </row>
  </sheetData>
  <autoFilter ref="A6:L2006"/>
  <mergeCells count="4">
    <mergeCell ref="A1:L1"/>
    <mergeCell ref="A2:L2"/>
    <mergeCell ref="A3:L3"/>
    <mergeCell ref="A4:L4"/>
  </mergeCells>
  <conditionalFormatting sqref="H7:H2006">
    <cfRule type="cellIs" priority="2" operator="equal" aboveAverage="0" equalAverage="0" bottom="0" percent="0" rank="0" text="" dxfId="3">
      <formula>"A"</formula>
    </cfRule>
    <cfRule type="cellIs" priority="3" operator="equal" aboveAverage="0" equalAverage="0" bottom="0" percent="0" rank="0" text="" dxfId="2">
      <formula>"1/2"</formula>
    </cfRule>
  </conditionalFormatting>
  <dataValidations count="4">
    <dataValidation allowBlank="true" errorStyle="stop" operator="between" showDropDown="false" showErrorMessage="true" showInputMessage="false" sqref="B7:B2006" type="list">
      <formula1>PE_Mat</formula1>
      <formula2>0</formula2>
    </dataValidation>
    <dataValidation allowBlank="true" errorStyle="stop" operator="between" showDropDown="false" showErrorMessage="true" showInputMessage="false" sqref="F7:F2006" type="list">
      <formula1>L_Lots</formula1>
      <formula2>0</formula2>
    </dataValidation>
    <dataValidation allowBlank="true" errorStyle="stop" operator="between" showDropDown="false" showErrorMessage="false" showInputMessage="false" sqref="G7:G2006" type="list">
      <formula1>PL_Tache</formula1>
      <formula2>0</formula2>
    </dataValidation>
    <dataValidation allowBlank="true" errorStyle="stop" operator="between" showDropDown="false" showErrorMessage="true" showInputMessage="false" sqref="H7:H2006" type="list">
      <formula1>L_Presence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K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30"/>
    <col collapsed="false" customWidth="true" hidden="false" outlineLevel="0" max="11" min="11" style="0" width="8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0" t="s">
        <v>598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0" hidden="false" customHeight="true" outlineLevel="0" collapsed="false">
      <c r="A4" s="21" t="s">
        <v>599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6" customFormat="false" ht="31.5" hidden="false" customHeight="true" outlineLevel="0" collapsed="false">
      <c r="A6" s="23" t="s">
        <v>571</v>
      </c>
      <c r="B6" s="23" t="s">
        <v>328</v>
      </c>
      <c r="C6" s="23" t="s">
        <v>600</v>
      </c>
      <c r="D6" s="23" t="s">
        <v>601</v>
      </c>
      <c r="E6" s="23" t="s">
        <v>319</v>
      </c>
      <c r="F6" s="23" t="s">
        <v>602</v>
      </c>
      <c r="G6" s="23" t="s">
        <v>603</v>
      </c>
      <c r="H6" s="23" t="s">
        <v>604</v>
      </c>
      <c r="I6" s="23" t="s">
        <v>605</v>
      </c>
      <c r="J6" s="23" t="s">
        <v>606</v>
      </c>
      <c r="K6" s="23" t="s">
        <v>527</v>
      </c>
    </row>
    <row r="7" customFormat="false" ht="23.85" hidden="false" customHeight="false" outlineLevel="0" collapsed="false">
      <c r="A7" s="69" t="n">
        <v>46310</v>
      </c>
      <c r="B7" s="25" t="s">
        <v>131</v>
      </c>
      <c r="C7" s="25" t="s">
        <v>607</v>
      </c>
      <c r="D7" s="25" t="s">
        <v>396</v>
      </c>
      <c r="E7" s="25" t="s">
        <v>151</v>
      </c>
      <c r="F7" s="25" t="s">
        <v>608</v>
      </c>
      <c r="G7" s="70" t="n">
        <v>4</v>
      </c>
      <c r="H7" s="90" t="n">
        <f aca="false">IF(OR(A7="",B7=""),"",COUNTIFS(PT_Date,A7,PT_Equipe,B7,PT_Pres,"P")+0.5*COUNTIFS(PT_Date,A7,PT_Equipe,B7,PT_Pres,"1/2"))</f>
        <v>4</v>
      </c>
      <c r="I7" s="90" t="n">
        <f aca="false">IF(H7="","",H7-N(G7))</f>
        <v>0</v>
      </c>
      <c r="J7" s="25"/>
      <c r="K7" s="74" t="str">
        <f aca="false">IF(OR(A7="",A7&lt;&gt;P_DateRef),"",COUNTIF($A$7:A7,P_DateRef))</f>
        <v/>
      </c>
    </row>
    <row r="8" customFormat="false" ht="23.85" hidden="false" customHeight="false" outlineLevel="0" collapsed="false">
      <c r="A8" s="69" t="n">
        <v>46310</v>
      </c>
      <c r="B8" s="25" t="s">
        <v>152</v>
      </c>
      <c r="C8" s="25" t="s">
        <v>609</v>
      </c>
      <c r="D8" s="25" t="s">
        <v>403</v>
      </c>
      <c r="E8" s="25" t="s">
        <v>203</v>
      </c>
      <c r="F8" s="25" t="s">
        <v>610</v>
      </c>
      <c r="G8" s="70" t="n">
        <v>5</v>
      </c>
      <c r="H8" s="90" t="n">
        <f aca="false">IF(OR(A8="",B8=""),"",COUNTIFS(PT_Date,A8,PT_Equipe,B8,PT_Pres,"P")+0.5*COUNTIFS(PT_Date,A8,PT_Equipe,B8,PT_Pres,"1/2"))</f>
        <v>5</v>
      </c>
      <c r="I8" s="90" t="n">
        <f aca="false">IF(H8="","",H8-N(G8))</f>
        <v>0</v>
      </c>
      <c r="J8" s="25"/>
      <c r="K8" s="74" t="str">
        <f aca="false">IF(OR(A8="",A8&lt;&gt;P_DateRef),"",COUNTIF($A$7:A8,P_DateRef))</f>
        <v/>
      </c>
    </row>
    <row r="9" customFormat="false" ht="23.85" hidden="false" customHeight="false" outlineLevel="0" collapsed="false">
      <c r="A9" s="69" t="n">
        <v>46310</v>
      </c>
      <c r="B9" s="25" t="s">
        <v>174</v>
      </c>
      <c r="C9" s="25" t="s">
        <v>611</v>
      </c>
      <c r="D9" s="25" t="s">
        <v>406</v>
      </c>
      <c r="E9" s="25" t="s">
        <v>215</v>
      </c>
      <c r="F9" s="25" t="s">
        <v>612</v>
      </c>
      <c r="G9" s="70" t="n">
        <v>4</v>
      </c>
      <c r="H9" s="90" t="n">
        <f aca="false">IF(OR(A9="",B9=""),"",COUNTIFS(PT_Date,A9,PT_Equipe,B9,PT_Pres,"P")+0.5*COUNTIFS(PT_Date,A9,PT_Equipe,B9,PT_Pres,"1/2"))</f>
        <v>3.5</v>
      </c>
      <c r="I9" s="90" t="n">
        <f aca="false">IF(H9="","",H9-N(G9))</f>
        <v>-0.5</v>
      </c>
      <c r="J9" s="25"/>
      <c r="K9" s="74" t="str">
        <f aca="false">IF(OR(A9="",A9&lt;&gt;P_DateRef),"",COUNTIF($A$7:A9,P_DateRef))</f>
        <v/>
      </c>
    </row>
    <row r="10" customFormat="false" ht="23.85" hidden="false" customHeight="false" outlineLevel="0" collapsed="false">
      <c r="A10" s="69" t="n">
        <v>46310</v>
      </c>
      <c r="B10" s="25" t="s">
        <v>192</v>
      </c>
      <c r="C10" s="25" t="s">
        <v>613</v>
      </c>
      <c r="D10" s="25" t="s">
        <v>416</v>
      </c>
      <c r="E10" s="25" t="s">
        <v>238</v>
      </c>
      <c r="F10" s="25" t="s">
        <v>614</v>
      </c>
      <c r="G10" s="70" t="n">
        <v>2</v>
      </c>
      <c r="H10" s="90" t="n">
        <f aca="false">IF(OR(A10="",B10=""),"",COUNTIFS(PT_Date,A10,PT_Equipe,B10,PT_Pres,"P")+0.5*COUNTIFS(PT_Date,A10,PT_Equipe,B10,PT_Pres,"1/2"))</f>
        <v>2</v>
      </c>
      <c r="I10" s="90" t="n">
        <f aca="false">IF(H10="","",H10-N(G10))</f>
        <v>0</v>
      </c>
      <c r="J10" s="25"/>
      <c r="K10" s="74" t="str">
        <f aca="false">IF(OR(A10="",A10&lt;&gt;P_DateRef),"",COUNTIF($A$7:A10,P_DateRef))</f>
        <v/>
      </c>
    </row>
    <row r="11" customFormat="false" ht="23.85" hidden="false" customHeight="false" outlineLevel="0" collapsed="false">
      <c r="A11" s="69" t="n">
        <v>46310</v>
      </c>
      <c r="B11" s="25" t="s">
        <v>204</v>
      </c>
      <c r="C11" s="25" t="s">
        <v>615</v>
      </c>
      <c r="D11" s="25" t="s">
        <v>392</v>
      </c>
      <c r="E11" s="25" t="s">
        <v>130</v>
      </c>
      <c r="F11" s="25" t="s">
        <v>616</v>
      </c>
      <c r="G11" s="70" t="n">
        <v>2</v>
      </c>
      <c r="H11" s="90" t="n">
        <f aca="false">IF(OR(A11="",B11=""),"",COUNTIFS(PT_Date,A11,PT_Equipe,B11,PT_Pres,"P")+0.5*COUNTIFS(PT_Date,A11,PT_Equipe,B11,PT_Pres,"1/2"))</f>
        <v>2</v>
      </c>
      <c r="I11" s="90" t="n">
        <f aca="false">IF(H11="","",H11-N(G11))</f>
        <v>0</v>
      </c>
      <c r="J11" s="25"/>
      <c r="K11" s="74" t="str">
        <f aca="false">IF(OR(A11="",A11&lt;&gt;P_DateRef),"",COUNTIF($A$7:A11,P_DateRef))</f>
        <v/>
      </c>
    </row>
    <row r="12" customFormat="false" ht="15" hidden="false" customHeight="false" outlineLevel="0" collapsed="false">
      <c r="A12" s="69" t="n">
        <v>46310</v>
      </c>
      <c r="B12" s="25" t="s">
        <v>216</v>
      </c>
      <c r="C12" s="25" t="s">
        <v>617</v>
      </c>
      <c r="D12" s="25" t="s">
        <v>418</v>
      </c>
      <c r="E12" s="25" t="s">
        <v>242</v>
      </c>
      <c r="F12" s="25" t="s">
        <v>618</v>
      </c>
      <c r="G12" s="70" t="n">
        <v>1</v>
      </c>
      <c r="H12" s="90" t="n">
        <f aca="false">IF(OR(A12="",B12=""),"",COUNTIFS(PT_Date,A12,PT_Equipe,B12,PT_Pres,"P")+0.5*COUNTIFS(PT_Date,A12,PT_Equipe,B12,PT_Pres,"1/2"))</f>
        <v>1</v>
      </c>
      <c r="I12" s="90" t="n">
        <f aca="false">IF(H12="","",H12-N(G12))</f>
        <v>0</v>
      </c>
      <c r="J12" s="25"/>
      <c r="K12" s="74" t="str">
        <f aca="false">IF(OR(A12="",A12&lt;&gt;P_DateRef),"",COUNTIF($A$7:A12,P_DateRef))</f>
        <v/>
      </c>
    </row>
    <row r="13" customFormat="false" ht="23.85" hidden="false" customHeight="false" outlineLevel="0" collapsed="false">
      <c r="A13" s="69" t="n">
        <v>46311</v>
      </c>
      <c r="B13" s="25" t="s">
        <v>131</v>
      </c>
      <c r="C13" s="25" t="s">
        <v>607</v>
      </c>
      <c r="D13" s="25" t="s">
        <v>396</v>
      </c>
      <c r="E13" s="25" t="s">
        <v>151</v>
      </c>
      <c r="F13" s="25" t="s">
        <v>608</v>
      </c>
      <c r="G13" s="70" t="n">
        <v>4</v>
      </c>
      <c r="H13" s="90" t="n">
        <f aca="false">IF(OR(A13="",B13=""),"",COUNTIFS(PT_Date,A13,PT_Equipe,B13,PT_Pres,"P")+0.5*COUNTIFS(PT_Date,A13,PT_Equipe,B13,PT_Pres,"1/2"))</f>
        <v>3</v>
      </c>
      <c r="I13" s="90" t="n">
        <f aca="false">IF(H13="","",H13-N(G13))</f>
        <v>-1</v>
      </c>
      <c r="J13" s="25"/>
      <c r="K13" s="74" t="n">
        <f aca="false">IF(OR(A13="",A13&lt;&gt;P_DateRef),"",COUNTIF($A$7:A13,P_DateRef))</f>
        <v>1</v>
      </c>
    </row>
    <row r="14" customFormat="false" ht="23.85" hidden="false" customHeight="false" outlineLevel="0" collapsed="false">
      <c r="A14" s="69" t="n">
        <v>46311</v>
      </c>
      <c r="B14" s="25" t="s">
        <v>152</v>
      </c>
      <c r="C14" s="25" t="s">
        <v>609</v>
      </c>
      <c r="D14" s="25" t="s">
        <v>403</v>
      </c>
      <c r="E14" s="25" t="s">
        <v>203</v>
      </c>
      <c r="F14" s="25" t="s">
        <v>610</v>
      </c>
      <c r="G14" s="70" t="n">
        <v>5</v>
      </c>
      <c r="H14" s="90" t="n">
        <f aca="false">IF(OR(A14="",B14=""),"",COUNTIFS(PT_Date,A14,PT_Equipe,B14,PT_Pres,"P")+0.5*COUNTIFS(PT_Date,A14,PT_Equipe,B14,PT_Pres,"1/2"))</f>
        <v>5</v>
      </c>
      <c r="I14" s="90" t="n">
        <f aca="false">IF(H14="","",H14-N(G14))</f>
        <v>0</v>
      </c>
      <c r="J14" s="25"/>
      <c r="K14" s="74" t="n">
        <f aca="false">IF(OR(A14="",A14&lt;&gt;P_DateRef),"",COUNTIF($A$7:A14,P_DateRef))</f>
        <v>2</v>
      </c>
    </row>
    <row r="15" customFormat="false" ht="23.85" hidden="false" customHeight="false" outlineLevel="0" collapsed="false">
      <c r="A15" s="69" t="n">
        <v>46311</v>
      </c>
      <c r="B15" s="25" t="s">
        <v>174</v>
      </c>
      <c r="C15" s="25" t="s">
        <v>611</v>
      </c>
      <c r="D15" s="25" t="s">
        <v>406</v>
      </c>
      <c r="E15" s="25" t="s">
        <v>215</v>
      </c>
      <c r="F15" s="25" t="s">
        <v>612</v>
      </c>
      <c r="G15" s="70" t="n">
        <v>4</v>
      </c>
      <c r="H15" s="90" t="n">
        <f aca="false">IF(OR(A15="",B15=""),"",COUNTIFS(PT_Date,A15,PT_Equipe,B15,PT_Pres,"P")+0.5*COUNTIFS(PT_Date,A15,PT_Equipe,B15,PT_Pres,"1/2"))</f>
        <v>4</v>
      </c>
      <c r="I15" s="90" t="n">
        <f aca="false">IF(H15="","",H15-N(G15))</f>
        <v>0</v>
      </c>
      <c r="J15" s="25"/>
      <c r="K15" s="74" t="n">
        <f aca="false">IF(OR(A15="",A15&lt;&gt;P_DateRef),"",COUNTIF($A$7:A15,P_DateRef))</f>
        <v>3</v>
      </c>
    </row>
    <row r="16" customFormat="false" ht="23.85" hidden="false" customHeight="false" outlineLevel="0" collapsed="false">
      <c r="A16" s="69" t="n">
        <v>46311</v>
      </c>
      <c r="B16" s="25" t="s">
        <v>192</v>
      </c>
      <c r="C16" s="25" t="s">
        <v>613</v>
      </c>
      <c r="D16" s="25" t="s">
        <v>416</v>
      </c>
      <c r="E16" s="25" t="s">
        <v>238</v>
      </c>
      <c r="F16" s="25" t="s">
        <v>614</v>
      </c>
      <c r="G16" s="70" t="n">
        <v>2</v>
      </c>
      <c r="H16" s="90" t="n">
        <f aca="false">IF(OR(A16="",B16=""),"",COUNTIFS(PT_Date,A16,PT_Equipe,B16,PT_Pres,"P")+0.5*COUNTIFS(PT_Date,A16,PT_Equipe,B16,PT_Pres,"1/2"))</f>
        <v>2</v>
      </c>
      <c r="I16" s="90" t="n">
        <f aca="false">IF(H16="","",H16-N(G16))</f>
        <v>0</v>
      </c>
      <c r="J16" s="25"/>
      <c r="K16" s="74" t="n">
        <f aca="false">IF(OR(A16="",A16&lt;&gt;P_DateRef),"",COUNTIF($A$7:A16,P_DateRef))</f>
        <v>4</v>
      </c>
    </row>
    <row r="17" customFormat="false" ht="23.85" hidden="false" customHeight="false" outlineLevel="0" collapsed="false">
      <c r="A17" s="69" t="n">
        <v>46311</v>
      </c>
      <c r="B17" s="25" t="s">
        <v>204</v>
      </c>
      <c r="C17" s="25" t="s">
        <v>615</v>
      </c>
      <c r="D17" s="25" t="s">
        <v>392</v>
      </c>
      <c r="E17" s="25" t="s">
        <v>130</v>
      </c>
      <c r="F17" s="25" t="s">
        <v>616</v>
      </c>
      <c r="G17" s="70" t="n">
        <v>2</v>
      </c>
      <c r="H17" s="90" t="n">
        <f aca="false">IF(OR(A17="",B17=""),"",COUNTIFS(PT_Date,A17,PT_Equipe,B17,PT_Pres,"P")+0.5*COUNTIFS(PT_Date,A17,PT_Equipe,B17,PT_Pres,"1/2"))</f>
        <v>2</v>
      </c>
      <c r="I17" s="90" t="n">
        <f aca="false">IF(H17="","",H17-N(G17))</f>
        <v>0</v>
      </c>
      <c r="J17" s="25"/>
      <c r="K17" s="74" t="n">
        <f aca="false">IF(OR(A17="",A17&lt;&gt;P_DateRef),"",COUNTIF($A$7:A17,P_DateRef))</f>
        <v>5</v>
      </c>
    </row>
    <row r="18" customFormat="false" ht="15" hidden="false" customHeight="false" outlineLevel="0" collapsed="false">
      <c r="A18" s="69" t="n">
        <v>46311</v>
      </c>
      <c r="B18" s="25" t="s">
        <v>216</v>
      </c>
      <c r="C18" s="25" t="s">
        <v>617</v>
      </c>
      <c r="D18" s="25" t="s">
        <v>418</v>
      </c>
      <c r="E18" s="25" t="s">
        <v>242</v>
      </c>
      <c r="F18" s="25" t="s">
        <v>618</v>
      </c>
      <c r="G18" s="70" t="n">
        <v>1</v>
      </c>
      <c r="H18" s="90" t="n">
        <f aca="false">IF(OR(A18="",B18=""),"",COUNTIFS(PT_Date,A18,PT_Equipe,B18,PT_Pres,"P")+0.5*COUNTIFS(PT_Date,A18,PT_Equipe,B18,PT_Pres,"1/2"))</f>
        <v>1</v>
      </c>
      <c r="I18" s="90" t="n">
        <f aca="false">IF(H18="","",H18-N(G18))</f>
        <v>0</v>
      </c>
      <c r="J18" s="25"/>
      <c r="K18" s="74" t="n">
        <f aca="false">IF(OR(A18="",A18&lt;&gt;P_DateRef),"",COUNTIF($A$7:A18,P_DateRef))</f>
        <v>6</v>
      </c>
    </row>
    <row r="19" customFormat="false" ht="15" hidden="false" customHeight="false" outlineLevel="0" collapsed="false">
      <c r="A19" s="69"/>
      <c r="B19" s="25"/>
      <c r="C19" s="25"/>
      <c r="D19" s="25"/>
      <c r="E19" s="25"/>
      <c r="F19" s="25"/>
      <c r="G19" s="70"/>
      <c r="H19" s="90" t="str">
        <f aca="false">IF(OR(A19="",B19=""),"",COUNTIFS(PT_Date,A19,PT_Equipe,B19,PT_Pres,"P")+0.5*COUNTIFS(PT_Date,A19,PT_Equipe,B19,PT_Pres,"1/2"))</f>
        <v/>
      </c>
      <c r="I19" s="90" t="str">
        <f aca="false">IF(H19="","",H19-N(G19))</f>
        <v/>
      </c>
      <c r="J19" s="25"/>
      <c r="K19" s="74" t="str">
        <f aca="false">IF(OR(A19="",A19&lt;&gt;P_DateRef),"",COUNTIF($A$7:A19,P_DateRef))</f>
        <v/>
      </c>
    </row>
    <row r="20" customFormat="false" ht="15" hidden="false" customHeight="false" outlineLevel="0" collapsed="false">
      <c r="A20" s="69"/>
      <c r="B20" s="25"/>
      <c r="C20" s="25"/>
      <c r="D20" s="25"/>
      <c r="E20" s="25"/>
      <c r="F20" s="25"/>
      <c r="G20" s="70"/>
      <c r="H20" s="90" t="str">
        <f aca="false">IF(OR(A20="",B20=""),"",COUNTIFS(PT_Date,A20,PT_Equipe,B20,PT_Pres,"P")+0.5*COUNTIFS(PT_Date,A20,PT_Equipe,B20,PT_Pres,"1/2"))</f>
        <v/>
      </c>
      <c r="I20" s="90" t="str">
        <f aca="false">IF(H20="","",H20-N(G20))</f>
        <v/>
      </c>
      <c r="J20" s="25"/>
      <c r="K20" s="74" t="str">
        <f aca="false">IF(OR(A20="",A20&lt;&gt;P_DateRef),"",COUNTIF($A$7:A20,P_DateRef))</f>
        <v/>
      </c>
    </row>
    <row r="21" customFormat="false" ht="15" hidden="false" customHeight="false" outlineLevel="0" collapsed="false">
      <c r="A21" s="69"/>
      <c r="B21" s="25"/>
      <c r="C21" s="25"/>
      <c r="D21" s="25"/>
      <c r="E21" s="25"/>
      <c r="F21" s="25"/>
      <c r="G21" s="70"/>
      <c r="H21" s="90" t="str">
        <f aca="false">IF(OR(A21="",B21=""),"",COUNTIFS(PT_Date,A21,PT_Equipe,B21,PT_Pres,"P")+0.5*COUNTIFS(PT_Date,A21,PT_Equipe,B21,PT_Pres,"1/2"))</f>
        <v/>
      </c>
      <c r="I21" s="90" t="str">
        <f aca="false">IF(H21="","",H21-N(G21))</f>
        <v/>
      </c>
      <c r="J21" s="25"/>
      <c r="K21" s="74" t="str">
        <f aca="false">IF(OR(A21="",A21&lt;&gt;P_DateRef),"",COUNTIF($A$7:A21,P_DateRef))</f>
        <v/>
      </c>
    </row>
    <row r="22" customFormat="false" ht="15" hidden="false" customHeight="false" outlineLevel="0" collapsed="false">
      <c r="A22" s="69"/>
      <c r="B22" s="25"/>
      <c r="C22" s="25"/>
      <c r="D22" s="25"/>
      <c r="E22" s="25"/>
      <c r="F22" s="25"/>
      <c r="G22" s="70"/>
      <c r="H22" s="90" t="str">
        <f aca="false">IF(OR(A22="",B22=""),"",COUNTIFS(PT_Date,A22,PT_Equipe,B22,PT_Pres,"P")+0.5*COUNTIFS(PT_Date,A22,PT_Equipe,B22,PT_Pres,"1/2"))</f>
        <v/>
      </c>
      <c r="I22" s="90" t="str">
        <f aca="false">IF(H22="","",H22-N(G22))</f>
        <v/>
      </c>
      <c r="J22" s="25"/>
      <c r="K22" s="74" t="str">
        <f aca="false">IF(OR(A22="",A22&lt;&gt;P_DateRef),"",COUNTIF($A$7:A22,P_DateRef))</f>
        <v/>
      </c>
    </row>
    <row r="23" customFormat="false" ht="15" hidden="false" customHeight="false" outlineLevel="0" collapsed="false">
      <c r="A23" s="69"/>
      <c r="B23" s="25"/>
      <c r="C23" s="25"/>
      <c r="D23" s="25"/>
      <c r="E23" s="25"/>
      <c r="F23" s="25"/>
      <c r="G23" s="70"/>
      <c r="H23" s="90" t="str">
        <f aca="false">IF(OR(A23="",B23=""),"",COUNTIFS(PT_Date,A23,PT_Equipe,B23,PT_Pres,"P")+0.5*COUNTIFS(PT_Date,A23,PT_Equipe,B23,PT_Pres,"1/2"))</f>
        <v/>
      </c>
      <c r="I23" s="90" t="str">
        <f aca="false">IF(H23="","",H23-N(G23))</f>
        <v/>
      </c>
      <c r="J23" s="25"/>
      <c r="K23" s="74" t="str">
        <f aca="false">IF(OR(A23="",A23&lt;&gt;P_DateRef),"",COUNTIF($A$7:A23,P_DateRef))</f>
        <v/>
      </c>
    </row>
    <row r="24" customFormat="false" ht="15" hidden="false" customHeight="false" outlineLevel="0" collapsed="false">
      <c r="A24" s="69"/>
      <c r="B24" s="25"/>
      <c r="C24" s="25"/>
      <c r="D24" s="25"/>
      <c r="E24" s="25"/>
      <c r="F24" s="25"/>
      <c r="G24" s="70"/>
      <c r="H24" s="90" t="str">
        <f aca="false">IF(OR(A24="",B24=""),"",COUNTIFS(PT_Date,A24,PT_Equipe,B24,PT_Pres,"P")+0.5*COUNTIFS(PT_Date,A24,PT_Equipe,B24,PT_Pres,"1/2"))</f>
        <v/>
      </c>
      <c r="I24" s="90" t="str">
        <f aca="false">IF(H24="","",H24-N(G24))</f>
        <v/>
      </c>
      <c r="J24" s="25"/>
      <c r="K24" s="74" t="str">
        <f aca="false">IF(OR(A24="",A24&lt;&gt;P_DateRef),"",COUNTIF($A$7:A24,P_DateRef))</f>
        <v/>
      </c>
    </row>
    <row r="25" customFormat="false" ht="15" hidden="false" customHeight="false" outlineLevel="0" collapsed="false">
      <c r="A25" s="69"/>
      <c r="B25" s="25"/>
      <c r="C25" s="25"/>
      <c r="D25" s="25"/>
      <c r="E25" s="25"/>
      <c r="F25" s="25"/>
      <c r="G25" s="70"/>
      <c r="H25" s="90" t="str">
        <f aca="false">IF(OR(A25="",B25=""),"",COUNTIFS(PT_Date,A25,PT_Equipe,B25,PT_Pres,"P")+0.5*COUNTIFS(PT_Date,A25,PT_Equipe,B25,PT_Pres,"1/2"))</f>
        <v/>
      </c>
      <c r="I25" s="90" t="str">
        <f aca="false">IF(H25="","",H25-N(G25))</f>
        <v/>
      </c>
      <c r="J25" s="25"/>
      <c r="K25" s="74" t="str">
        <f aca="false">IF(OR(A25="",A25&lt;&gt;P_DateRef),"",COUNTIF($A$7:A25,P_DateRef))</f>
        <v/>
      </c>
    </row>
    <row r="26" customFormat="false" ht="15" hidden="false" customHeight="false" outlineLevel="0" collapsed="false">
      <c r="A26" s="69"/>
      <c r="B26" s="25"/>
      <c r="C26" s="25"/>
      <c r="D26" s="25"/>
      <c r="E26" s="25"/>
      <c r="F26" s="25"/>
      <c r="G26" s="70"/>
      <c r="H26" s="90" t="str">
        <f aca="false">IF(OR(A26="",B26=""),"",COUNTIFS(PT_Date,A26,PT_Equipe,B26,PT_Pres,"P")+0.5*COUNTIFS(PT_Date,A26,PT_Equipe,B26,PT_Pres,"1/2"))</f>
        <v/>
      </c>
      <c r="I26" s="90" t="str">
        <f aca="false">IF(H26="","",H26-N(G26))</f>
        <v/>
      </c>
      <c r="J26" s="25"/>
      <c r="K26" s="74" t="str">
        <f aca="false">IF(OR(A26="",A26&lt;&gt;P_DateRef),"",COUNTIF($A$7:A26,P_DateRef))</f>
        <v/>
      </c>
    </row>
    <row r="27" customFormat="false" ht="15" hidden="false" customHeight="false" outlineLevel="0" collapsed="false">
      <c r="A27" s="69"/>
      <c r="B27" s="25"/>
      <c r="C27" s="25"/>
      <c r="D27" s="25"/>
      <c r="E27" s="25"/>
      <c r="F27" s="25"/>
      <c r="G27" s="70"/>
      <c r="H27" s="90" t="str">
        <f aca="false">IF(OR(A27="",B27=""),"",COUNTIFS(PT_Date,A27,PT_Equipe,B27,PT_Pres,"P")+0.5*COUNTIFS(PT_Date,A27,PT_Equipe,B27,PT_Pres,"1/2"))</f>
        <v/>
      </c>
      <c r="I27" s="90" t="str">
        <f aca="false">IF(H27="","",H27-N(G27))</f>
        <v/>
      </c>
      <c r="J27" s="25"/>
      <c r="K27" s="74" t="str">
        <f aca="false">IF(OR(A27="",A27&lt;&gt;P_DateRef),"",COUNTIF($A$7:A27,P_DateRef))</f>
        <v/>
      </c>
    </row>
    <row r="28" customFormat="false" ht="15" hidden="false" customHeight="false" outlineLevel="0" collapsed="false">
      <c r="A28" s="69"/>
      <c r="B28" s="25"/>
      <c r="C28" s="25"/>
      <c r="D28" s="25"/>
      <c r="E28" s="25"/>
      <c r="F28" s="25"/>
      <c r="G28" s="70"/>
      <c r="H28" s="90" t="str">
        <f aca="false">IF(OR(A28="",B28=""),"",COUNTIFS(PT_Date,A28,PT_Equipe,B28,PT_Pres,"P")+0.5*COUNTIFS(PT_Date,A28,PT_Equipe,B28,PT_Pres,"1/2"))</f>
        <v/>
      </c>
      <c r="I28" s="90" t="str">
        <f aca="false">IF(H28="","",H28-N(G28))</f>
        <v/>
      </c>
      <c r="J28" s="25"/>
      <c r="K28" s="74" t="str">
        <f aca="false">IF(OR(A28="",A28&lt;&gt;P_DateRef),"",COUNTIF($A$7:A28,P_DateRef))</f>
        <v/>
      </c>
    </row>
    <row r="29" customFormat="false" ht="15" hidden="false" customHeight="false" outlineLevel="0" collapsed="false">
      <c r="A29" s="69"/>
      <c r="B29" s="25"/>
      <c r="C29" s="25"/>
      <c r="D29" s="25"/>
      <c r="E29" s="25"/>
      <c r="F29" s="25"/>
      <c r="G29" s="70"/>
      <c r="H29" s="90" t="str">
        <f aca="false">IF(OR(A29="",B29=""),"",COUNTIFS(PT_Date,A29,PT_Equipe,B29,PT_Pres,"P")+0.5*COUNTIFS(PT_Date,A29,PT_Equipe,B29,PT_Pres,"1/2"))</f>
        <v/>
      </c>
      <c r="I29" s="90" t="str">
        <f aca="false">IF(H29="","",H29-N(G29))</f>
        <v/>
      </c>
      <c r="J29" s="25"/>
      <c r="K29" s="74" t="str">
        <f aca="false">IF(OR(A29="",A29&lt;&gt;P_DateRef),"",COUNTIF($A$7:A29,P_DateRef))</f>
        <v/>
      </c>
    </row>
    <row r="30" customFormat="false" ht="15" hidden="false" customHeight="false" outlineLevel="0" collapsed="false">
      <c r="A30" s="69"/>
      <c r="B30" s="25"/>
      <c r="C30" s="25"/>
      <c r="D30" s="25"/>
      <c r="E30" s="25"/>
      <c r="F30" s="25"/>
      <c r="G30" s="70"/>
      <c r="H30" s="90" t="str">
        <f aca="false">IF(OR(A30="",B30=""),"",COUNTIFS(PT_Date,A30,PT_Equipe,B30,PT_Pres,"P")+0.5*COUNTIFS(PT_Date,A30,PT_Equipe,B30,PT_Pres,"1/2"))</f>
        <v/>
      </c>
      <c r="I30" s="90" t="str">
        <f aca="false">IF(H30="","",H30-N(G30))</f>
        <v/>
      </c>
      <c r="J30" s="25"/>
      <c r="K30" s="74" t="str">
        <f aca="false">IF(OR(A30="",A30&lt;&gt;P_DateRef),"",COUNTIF($A$7:A30,P_DateRef))</f>
        <v/>
      </c>
    </row>
    <row r="31" customFormat="false" ht="15" hidden="false" customHeight="false" outlineLevel="0" collapsed="false">
      <c r="A31" s="69"/>
      <c r="B31" s="25"/>
      <c r="C31" s="25"/>
      <c r="D31" s="25"/>
      <c r="E31" s="25"/>
      <c r="F31" s="25"/>
      <c r="G31" s="70"/>
      <c r="H31" s="90" t="str">
        <f aca="false">IF(OR(A31="",B31=""),"",COUNTIFS(PT_Date,A31,PT_Equipe,B31,PT_Pres,"P")+0.5*COUNTIFS(PT_Date,A31,PT_Equipe,B31,PT_Pres,"1/2"))</f>
        <v/>
      </c>
      <c r="I31" s="90" t="str">
        <f aca="false">IF(H31="","",H31-N(G31))</f>
        <v/>
      </c>
      <c r="J31" s="25"/>
      <c r="K31" s="74" t="str">
        <f aca="false">IF(OR(A31="",A31&lt;&gt;P_DateRef),"",COUNTIF($A$7:A31,P_DateRef))</f>
        <v/>
      </c>
    </row>
    <row r="32" customFormat="false" ht="15" hidden="false" customHeight="false" outlineLevel="0" collapsed="false">
      <c r="A32" s="69"/>
      <c r="B32" s="25"/>
      <c r="C32" s="25"/>
      <c r="D32" s="25"/>
      <c r="E32" s="25"/>
      <c r="F32" s="25"/>
      <c r="G32" s="70"/>
      <c r="H32" s="90" t="str">
        <f aca="false">IF(OR(A32="",B32=""),"",COUNTIFS(PT_Date,A32,PT_Equipe,B32,PT_Pres,"P")+0.5*COUNTIFS(PT_Date,A32,PT_Equipe,B32,PT_Pres,"1/2"))</f>
        <v/>
      </c>
      <c r="I32" s="90" t="str">
        <f aca="false">IF(H32="","",H32-N(G32))</f>
        <v/>
      </c>
      <c r="J32" s="25"/>
      <c r="K32" s="74" t="str">
        <f aca="false">IF(OR(A32="",A32&lt;&gt;P_DateRef),"",COUNTIF($A$7:A32,P_DateRef))</f>
        <v/>
      </c>
    </row>
    <row r="33" customFormat="false" ht="15" hidden="false" customHeight="false" outlineLevel="0" collapsed="false">
      <c r="A33" s="69"/>
      <c r="B33" s="25"/>
      <c r="C33" s="25"/>
      <c r="D33" s="25"/>
      <c r="E33" s="25"/>
      <c r="F33" s="25"/>
      <c r="G33" s="70"/>
      <c r="H33" s="90" t="str">
        <f aca="false">IF(OR(A33="",B33=""),"",COUNTIFS(PT_Date,A33,PT_Equipe,B33,PT_Pres,"P")+0.5*COUNTIFS(PT_Date,A33,PT_Equipe,B33,PT_Pres,"1/2"))</f>
        <v/>
      </c>
      <c r="I33" s="90" t="str">
        <f aca="false">IF(H33="","",H33-N(G33))</f>
        <v/>
      </c>
      <c r="J33" s="25"/>
      <c r="K33" s="74" t="str">
        <f aca="false">IF(OR(A33="",A33&lt;&gt;P_DateRef),"",COUNTIF($A$7:A33,P_DateRef))</f>
        <v/>
      </c>
    </row>
    <row r="34" customFormat="false" ht="15" hidden="false" customHeight="false" outlineLevel="0" collapsed="false">
      <c r="A34" s="69"/>
      <c r="B34" s="25"/>
      <c r="C34" s="25"/>
      <c r="D34" s="25"/>
      <c r="E34" s="25"/>
      <c r="F34" s="25"/>
      <c r="G34" s="70"/>
      <c r="H34" s="90" t="str">
        <f aca="false">IF(OR(A34="",B34=""),"",COUNTIFS(PT_Date,A34,PT_Equipe,B34,PT_Pres,"P")+0.5*COUNTIFS(PT_Date,A34,PT_Equipe,B34,PT_Pres,"1/2"))</f>
        <v/>
      </c>
      <c r="I34" s="90" t="str">
        <f aca="false">IF(H34="","",H34-N(G34))</f>
        <v/>
      </c>
      <c r="J34" s="25"/>
      <c r="K34" s="74" t="str">
        <f aca="false">IF(OR(A34="",A34&lt;&gt;P_DateRef),"",COUNTIF($A$7:A34,P_DateRef))</f>
        <v/>
      </c>
    </row>
    <row r="35" customFormat="false" ht="15" hidden="false" customHeight="false" outlineLevel="0" collapsed="false">
      <c r="A35" s="69"/>
      <c r="B35" s="25"/>
      <c r="C35" s="25"/>
      <c r="D35" s="25"/>
      <c r="E35" s="25"/>
      <c r="F35" s="25"/>
      <c r="G35" s="70"/>
      <c r="H35" s="90" t="str">
        <f aca="false">IF(OR(A35="",B35=""),"",COUNTIFS(PT_Date,A35,PT_Equipe,B35,PT_Pres,"P")+0.5*COUNTIFS(PT_Date,A35,PT_Equipe,B35,PT_Pres,"1/2"))</f>
        <v/>
      </c>
      <c r="I35" s="90" t="str">
        <f aca="false">IF(H35="","",H35-N(G35))</f>
        <v/>
      </c>
      <c r="J35" s="25"/>
      <c r="K35" s="74" t="str">
        <f aca="false">IF(OR(A35="",A35&lt;&gt;P_DateRef),"",COUNTIF($A$7:A35,P_DateRef))</f>
        <v/>
      </c>
    </row>
    <row r="36" customFormat="false" ht="15" hidden="false" customHeight="false" outlineLevel="0" collapsed="false">
      <c r="A36" s="69"/>
      <c r="B36" s="25"/>
      <c r="C36" s="25"/>
      <c r="D36" s="25"/>
      <c r="E36" s="25"/>
      <c r="F36" s="25"/>
      <c r="G36" s="70"/>
      <c r="H36" s="90" t="str">
        <f aca="false">IF(OR(A36="",B36=""),"",COUNTIFS(PT_Date,A36,PT_Equipe,B36,PT_Pres,"P")+0.5*COUNTIFS(PT_Date,A36,PT_Equipe,B36,PT_Pres,"1/2"))</f>
        <v/>
      </c>
      <c r="I36" s="90" t="str">
        <f aca="false">IF(H36="","",H36-N(G36))</f>
        <v/>
      </c>
      <c r="J36" s="25"/>
      <c r="K36" s="74" t="str">
        <f aca="false">IF(OR(A36="",A36&lt;&gt;P_DateRef),"",COUNTIF($A$7:A36,P_DateRef))</f>
        <v/>
      </c>
    </row>
    <row r="37" customFormat="false" ht="15" hidden="false" customHeight="false" outlineLevel="0" collapsed="false">
      <c r="A37" s="69"/>
      <c r="B37" s="25"/>
      <c r="C37" s="25"/>
      <c r="D37" s="25"/>
      <c r="E37" s="25"/>
      <c r="F37" s="25"/>
      <c r="G37" s="70"/>
      <c r="H37" s="90" t="str">
        <f aca="false">IF(OR(A37="",B37=""),"",COUNTIFS(PT_Date,A37,PT_Equipe,B37,PT_Pres,"P")+0.5*COUNTIFS(PT_Date,A37,PT_Equipe,B37,PT_Pres,"1/2"))</f>
        <v/>
      </c>
      <c r="I37" s="90" t="str">
        <f aca="false">IF(H37="","",H37-N(G37))</f>
        <v/>
      </c>
      <c r="J37" s="25"/>
      <c r="K37" s="74" t="str">
        <f aca="false">IF(OR(A37="",A37&lt;&gt;P_DateRef),"",COUNTIF($A$7:A37,P_DateRef))</f>
        <v/>
      </c>
    </row>
    <row r="38" customFormat="false" ht="15" hidden="false" customHeight="false" outlineLevel="0" collapsed="false">
      <c r="A38" s="69"/>
      <c r="B38" s="25"/>
      <c r="C38" s="25"/>
      <c r="D38" s="25"/>
      <c r="E38" s="25"/>
      <c r="F38" s="25"/>
      <c r="G38" s="70"/>
      <c r="H38" s="90" t="str">
        <f aca="false">IF(OR(A38="",B38=""),"",COUNTIFS(PT_Date,A38,PT_Equipe,B38,PT_Pres,"P")+0.5*COUNTIFS(PT_Date,A38,PT_Equipe,B38,PT_Pres,"1/2"))</f>
        <v/>
      </c>
      <c r="I38" s="90" t="str">
        <f aca="false">IF(H38="","",H38-N(G38))</f>
        <v/>
      </c>
      <c r="J38" s="25"/>
      <c r="K38" s="74" t="str">
        <f aca="false">IF(OR(A38="",A38&lt;&gt;P_DateRef),"",COUNTIF($A$7:A38,P_DateRef))</f>
        <v/>
      </c>
    </row>
    <row r="39" customFormat="false" ht="15" hidden="false" customHeight="false" outlineLevel="0" collapsed="false">
      <c r="A39" s="69"/>
      <c r="B39" s="25"/>
      <c r="C39" s="25"/>
      <c r="D39" s="25"/>
      <c r="E39" s="25"/>
      <c r="F39" s="25"/>
      <c r="G39" s="70"/>
      <c r="H39" s="90" t="str">
        <f aca="false">IF(OR(A39="",B39=""),"",COUNTIFS(PT_Date,A39,PT_Equipe,B39,PT_Pres,"P")+0.5*COUNTIFS(PT_Date,A39,PT_Equipe,B39,PT_Pres,"1/2"))</f>
        <v/>
      </c>
      <c r="I39" s="90" t="str">
        <f aca="false">IF(H39="","",H39-N(G39))</f>
        <v/>
      </c>
      <c r="J39" s="25"/>
      <c r="K39" s="74" t="str">
        <f aca="false">IF(OR(A39="",A39&lt;&gt;P_DateRef),"",COUNTIF($A$7:A39,P_DateRef))</f>
        <v/>
      </c>
    </row>
    <row r="40" customFormat="false" ht="15" hidden="false" customHeight="false" outlineLevel="0" collapsed="false">
      <c r="A40" s="69"/>
      <c r="B40" s="25"/>
      <c r="C40" s="25"/>
      <c r="D40" s="25"/>
      <c r="E40" s="25"/>
      <c r="F40" s="25"/>
      <c r="G40" s="70"/>
      <c r="H40" s="90" t="str">
        <f aca="false">IF(OR(A40="",B40=""),"",COUNTIFS(PT_Date,A40,PT_Equipe,B40,PT_Pres,"P")+0.5*COUNTIFS(PT_Date,A40,PT_Equipe,B40,PT_Pres,"1/2"))</f>
        <v/>
      </c>
      <c r="I40" s="90" t="str">
        <f aca="false">IF(H40="","",H40-N(G40))</f>
        <v/>
      </c>
      <c r="J40" s="25"/>
      <c r="K40" s="74" t="str">
        <f aca="false">IF(OR(A40="",A40&lt;&gt;P_DateRef),"",COUNTIF($A$7:A40,P_DateRef))</f>
        <v/>
      </c>
    </row>
    <row r="41" customFormat="false" ht="15" hidden="false" customHeight="false" outlineLevel="0" collapsed="false">
      <c r="A41" s="69"/>
      <c r="B41" s="25"/>
      <c r="C41" s="25"/>
      <c r="D41" s="25"/>
      <c r="E41" s="25"/>
      <c r="F41" s="25"/>
      <c r="G41" s="70"/>
      <c r="H41" s="90" t="str">
        <f aca="false">IF(OR(A41="",B41=""),"",COUNTIFS(PT_Date,A41,PT_Equipe,B41,PT_Pres,"P")+0.5*COUNTIFS(PT_Date,A41,PT_Equipe,B41,PT_Pres,"1/2"))</f>
        <v/>
      </c>
      <c r="I41" s="90" t="str">
        <f aca="false">IF(H41="","",H41-N(G41))</f>
        <v/>
      </c>
      <c r="J41" s="25"/>
      <c r="K41" s="74" t="str">
        <f aca="false">IF(OR(A41="",A41&lt;&gt;P_DateRef),"",COUNTIF($A$7:A41,P_DateRef))</f>
        <v/>
      </c>
    </row>
    <row r="42" customFormat="false" ht="15" hidden="false" customHeight="false" outlineLevel="0" collapsed="false">
      <c r="A42" s="69"/>
      <c r="B42" s="25"/>
      <c r="C42" s="25"/>
      <c r="D42" s="25"/>
      <c r="E42" s="25"/>
      <c r="F42" s="25"/>
      <c r="G42" s="70"/>
      <c r="H42" s="90" t="str">
        <f aca="false">IF(OR(A42="",B42=""),"",COUNTIFS(PT_Date,A42,PT_Equipe,B42,PT_Pres,"P")+0.5*COUNTIFS(PT_Date,A42,PT_Equipe,B42,PT_Pres,"1/2"))</f>
        <v/>
      </c>
      <c r="I42" s="90" t="str">
        <f aca="false">IF(H42="","",H42-N(G42))</f>
        <v/>
      </c>
      <c r="J42" s="25"/>
      <c r="K42" s="74" t="str">
        <f aca="false">IF(OR(A42="",A42&lt;&gt;P_DateRef),"",COUNTIF($A$7:A42,P_DateRef))</f>
        <v/>
      </c>
    </row>
    <row r="43" customFormat="false" ht="15" hidden="false" customHeight="false" outlineLevel="0" collapsed="false">
      <c r="A43" s="69"/>
      <c r="B43" s="25"/>
      <c r="C43" s="25"/>
      <c r="D43" s="25"/>
      <c r="E43" s="25"/>
      <c r="F43" s="25"/>
      <c r="G43" s="70"/>
      <c r="H43" s="90" t="str">
        <f aca="false">IF(OR(A43="",B43=""),"",COUNTIFS(PT_Date,A43,PT_Equipe,B43,PT_Pres,"P")+0.5*COUNTIFS(PT_Date,A43,PT_Equipe,B43,PT_Pres,"1/2"))</f>
        <v/>
      </c>
      <c r="I43" s="90" t="str">
        <f aca="false">IF(H43="","",H43-N(G43))</f>
        <v/>
      </c>
      <c r="J43" s="25"/>
      <c r="K43" s="74" t="str">
        <f aca="false">IF(OR(A43="",A43&lt;&gt;P_DateRef),"",COUNTIF($A$7:A43,P_DateRef))</f>
        <v/>
      </c>
    </row>
    <row r="44" customFormat="false" ht="15" hidden="false" customHeight="false" outlineLevel="0" collapsed="false">
      <c r="A44" s="69"/>
      <c r="B44" s="25"/>
      <c r="C44" s="25"/>
      <c r="D44" s="25"/>
      <c r="E44" s="25"/>
      <c r="F44" s="25"/>
      <c r="G44" s="70"/>
      <c r="H44" s="90" t="str">
        <f aca="false">IF(OR(A44="",B44=""),"",COUNTIFS(PT_Date,A44,PT_Equipe,B44,PT_Pres,"P")+0.5*COUNTIFS(PT_Date,A44,PT_Equipe,B44,PT_Pres,"1/2"))</f>
        <v/>
      </c>
      <c r="I44" s="90" t="str">
        <f aca="false">IF(H44="","",H44-N(G44))</f>
        <v/>
      </c>
      <c r="J44" s="25"/>
      <c r="K44" s="74" t="str">
        <f aca="false">IF(OR(A44="",A44&lt;&gt;P_DateRef),"",COUNTIF($A$7:A44,P_DateRef))</f>
        <v/>
      </c>
    </row>
    <row r="45" customFormat="false" ht="15" hidden="false" customHeight="false" outlineLevel="0" collapsed="false">
      <c r="A45" s="69"/>
      <c r="B45" s="25"/>
      <c r="C45" s="25"/>
      <c r="D45" s="25"/>
      <c r="E45" s="25"/>
      <c r="F45" s="25"/>
      <c r="G45" s="70"/>
      <c r="H45" s="90" t="str">
        <f aca="false">IF(OR(A45="",B45=""),"",COUNTIFS(PT_Date,A45,PT_Equipe,B45,PT_Pres,"P")+0.5*COUNTIFS(PT_Date,A45,PT_Equipe,B45,PT_Pres,"1/2"))</f>
        <v/>
      </c>
      <c r="I45" s="90" t="str">
        <f aca="false">IF(H45="","",H45-N(G45))</f>
        <v/>
      </c>
      <c r="J45" s="25"/>
      <c r="K45" s="74" t="str">
        <f aca="false">IF(OR(A45="",A45&lt;&gt;P_DateRef),"",COUNTIF($A$7:A45,P_DateRef))</f>
        <v/>
      </c>
    </row>
    <row r="46" customFormat="false" ht="15" hidden="false" customHeight="false" outlineLevel="0" collapsed="false">
      <c r="A46" s="69"/>
      <c r="B46" s="25"/>
      <c r="C46" s="25"/>
      <c r="D46" s="25"/>
      <c r="E46" s="25"/>
      <c r="F46" s="25"/>
      <c r="G46" s="70"/>
      <c r="H46" s="90" t="str">
        <f aca="false">IF(OR(A46="",B46=""),"",COUNTIFS(PT_Date,A46,PT_Equipe,B46,PT_Pres,"P")+0.5*COUNTIFS(PT_Date,A46,PT_Equipe,B46,PT_Pres,"1/2"))</f>
        <v/>
      </c>
      <c r="I46" s="90" t="str">
        <f aca="false">IF(H46="","",H46-N(G46))</f>
        <v/>
      </c>
      <c r="J46" s="25"/>
      <c r="K46" s="74" t="str">
        <f aca="false">IF(OR(A46="",A46&lt;&gt;P_DateRef),"",COUNTIF($A$7:A46,P_DateRef))</f>
        <v/>
      </c>
    </row>
    <row r="47" customFormat="false" ht="15" hidden="false" customHeight="false" outlineLevel="0" collapsed="false">
      <c r="A47" s="69"/>
      <c r="B47" s="25"/>
      <c r="C47" s="25"/>
      <c r="D47" s="25"/>
      <c r="E47" s="25"/>
      <c r="F47" s="25"/>
      <c r="G47" s="70"/>
      <c r="H47" s="90" t="str">
        <f aca="false">IF(OR(A47="",B47=""),"",COUNTIFS(PT_Date,A47,PT_Equipe,B47,PT_Pres,"P")+0.5*COUNTIFS(PT_Date,A47,PT_Equipe,B47,PT_Pres,"1/2"))</f>
        <v/>
      </c>
      <c r="I47" s="90" t="str">
        <f aca="false">IF(H47="","",H47-N(G47))</f>
        <v/>
      </c>
      <c r="J47" s="25"/>
      <c r="K47" s="74" t="str">
        <f aca="false">IF(OR(A47="",A47&lt;&gt;P_DateRef),"",COUNTIF($A$7:A47,P_DateRef))</f>
        <v/>
      </c>
    </row>
    <row r="48" customFormat="false" ht="15" hidden="false" customHeight="false" outlineLevel="0" collapsed="false">
      <c r="A48" s="69"/>
      <c r="B48" s="25"/>
      <c r="C48" s="25"/>
      <c r="D48" s="25"/>
      <c r="E48" s="25"/>
      <c r="F48" s="25"/>
      <c r="G48" s="70"/>
      <c r="H48" s="90" t="str">
        <f aca="false">IF(OR(A48="",B48=""),"",COUNTIFS(PT_Date,A48,PT_Equipe,B48,PT_Pres,"P")+0.5*COUNTIFS(PT_Date,A48,PT_Equipe,B48,PT_Pres,"1/2"))</f>
        <v/>
      </c>
      <c r="I48" s="90" t="str">
        <f aca="false">IF(H48="","",H48-N(G48))</f>
        <v/>
      </c>
      <c r="J48" s="25"/>
      <c r="K48" s="74" t="str">
        <f aca="false">IF(OR(A48="",A48&lt;&gt;P_DateRef),"",COUNTIF($A$7:A48,P_DateRef))</f>
        <v/>
      </c>
    </row>
    <row r="49" customFormat="false" ht="15" hidden="false" customHeight="false" outlineLevel="0" collapsed="false">
      <c r="A49" s="69"/>
      <c r="B49" s="25"/>
      <c r="C49" s="25"/>
      <c r="D49" s="25"/>
      <c r="E49" s="25"/>
      <c r="F49" s="25"/>
      <c r="G49" s="70"/>
      <c r="H49" s="90" t="str">
        <f aca="false">IF(OR(A49="",B49=""),"",COUNTIFS(PT_Date,A49,PT_Equipe,B49,PT_Pres,"P")+0.5*COUNTIFS(PT_Date,A49,PT_Equipe,B49,PT_Pres,"1/2"))</f>
        <v/>
      </c>
      <c r="I49" s="90" t="str">
        <f aca="false">IF(H49="","",H49-N(G49))</f>
        <v/>
      </c>
      <c r="J49" s="25"/>
      <c r="K49" s="74" t="str">
        <f aca="false">IF(OR(A49="",A49&lt;&gt;P_DateRef),"",COUNTIF($A$7:A49,P_DateRef))</f>
        <v/>
      </c>
    </row>
    <row r="50" customFormat="false" ht="15" hidden="false" customHeight="false" outlineLevel="0" collapsed="false">
      <c r="A50" s="69"/>
      <c r="B50" s="25"/>
      <c r="C50" s="25"/>
      <c r="D50" s="25"/>
      <c r="E50" s="25"/>
      <c r="F50" s="25"/>
      <c r="G50" s="70"/>
      <c r="H50" s="90" t="str">
        <f aca="false">IF(OR(A50="",B50=""),"",COUNTIFS(PT_Date,A50,PT_Equipe,B50,PT_Pres,"P")+0.5*COUNTIFS(PT_Date,A50,PT_Equipe,B50,PT_Pres,"1/2"))</f>
        <v/>
      </c>
      <c r="I50" s="90" t="str">
        <f aca="false">IF(H50="","",H50-N(G50))</f>
        <v/>
      </c>
      <c r="J50" s="25"/>
      <c r="K50" s="74" t="str">
        <f aca="false">IF(OR(A50="",A50&lt;&gt;P_DateRef),"",COUNTIF($A$7:A50,P_DateRef))</f>
        <v/>
      </c>
    </row>
    <row r="51" customFormat="false" ht="15" hidden="false" customHeight="false" outlineLevel="0" collapsed="false">
      <c r="A51" s="69"/>
      <c r="B51" s="25"/>
      <c r="C51" s="25"/>
      <c r="D51" s="25"/>
      <c r="E51" s="25"/>
      <c r="F51" s="25"/>
      <c r="G51" s="70"/>
      <c r="H51" s="90" t="str">
        <f aca="false">IF(OR(A51="",B51=""),"",COUNTIFS(PT_Date,A51,PT_Equipe,B51,PT_Pres,"P")+0.5*COUNTIFS(PT_Date,A51,PT_Equipe,B51,PT_Pres,"1/2"))</f>
        <v/>
      </c>
      <c r="I51" s="90" t="str">
        <f aca="false">IF(H51="","",H51-N(G51))</f>
        <v/>
      </c>
      <c r="J51" s="25"/>
      <c r="K51" s="74" t="str">
        <f aca="false">IF(OR(A51="",A51&lt;&gt;P_DateRef),"",COUNTIF($A$7:A51,P_DateRef))</f>
        <v/>
      </c>
    </row>
    <row r="52" customFormat="false" ht="15" hidden="false" customHeight="false" outlineLevel="0" collapsed="false">
      <c r="A52" s="69"/>
      <c r="B52" s="25"/>
      <c r="C52" s="25"/>
      <c r="D52" s="25"/>
      <c r="E52" s="25"/>
      <c r="F52" s="25"/>
      <c r="G52" s="70"/>
      <c r="H52" s="90" t="str">
        <f aca="false">IF(OR(A52="",B52=""),"",COUNTIFS(PT_Date,A52,PT_Equipe,B52,PT_Pres,"P")+0.5*COUNTIFS(PT_Date,A52,PT_Equipe,B52,PT_Pres,"1/2"))</f>
        <v/>
      </c>
      <c r="I52" s="90" t="str">
        <f aca="false">IF(H52="","",H52-N(G52))</f>
        <v/>
      </c>
      <c r="J52" s="25"/>
      <c r="K52" s="74" t="str">
        <f aca="false">IF(OR(A52="",A52&lt;&gt;P_DateRef),"",COUNTIF($A$7:A52,P_DateRef))</f>
        <v/>
      </c>
    </row>
    <row r="53" customFormat="false" ht="15" hidden="false" customHeight="false" outlineLevel="0" collapsed="false">
      <c r="A53" s="69"/>
      <c r="B53" s="25"/>
      <c r="C53" s="25"/>
      <c r="D53" s="25"/>
      <c r="E53" s="25"/>
      <c r="F53" s="25"/>
      <c r="G53" s="70"/>
      <c r="H53" s="90" t="str">
        <f aca="false">IF(OR(A53="",B53=""),"",COUNTIFS(PT_Date,A53,PT_Equipe,B53,PT_Pres,"P")+0.5*COUNTIFS(PT_Date,A53,PT_Equipe,B53,PT_Pres,"1/2"))</f>
        <v/>
      </c>
      <c r="I53" s="90" t="str">
        <f aca="false">IF(H53="","",H53-N(G53))</f>
        <v/>
      </c>
      <c r="J53" s="25"/>
      <c r="K53" s="74" t="str">
        <f aca="false">IF(OR(A53="",A53&lt;&gt;P_DateRef),"",COUNTIF($A$7:A53,P_DateRef))</f>
        <v/>
      </c>
    </row>
    <row r="54" customFormat="false" ht="15" hidden="false" customHeight="false" outlineLevel="0" collapsed="false">
      <c r="A54" s="69"/>
      <c r="B54" s="25"/>
      <c r="C54" s="25"/>
      <c r="D54" s="25"/>
      <c r="E54" s="25"/>
      <c r="F54" s="25"/>
      <c r="G54" s="70"/>
      <c r="H54" s="90" t="str">
        <f aca="false">IF(OR(A54="",B54=""),"",COUNTIFS(PT_Date,A54,PT_Equipe,B54,PT_Pres,"P")+0.5*COUNTIFS(PT_Date,A54,PT_Equipe,B54,PT_Pres,"1/2"))</f>
        <v/>
      </c>
      <c r="I54" s="90" t="str">
        <f aca="false">IF(H54="","",H54-N(G54))</f>
        <v/>
      </c>
      <c r="J54" s="25"/>
      <c r="K54" s="74" t="str">
        <f aca="false">IF(OR(A54="",A54&lt;&gt;P_DateRef),"",COUNTIF($A$7:A54,P_DateRef))</f>
        <v/>
      </c>
    </row>
    <row r="55" customFormat="false" ht="15" hidden="false" customHeight="false" outlineLevel="0" collapsed="false">
      <c r="A55" s="69"/>
      <c r="B55" s="25"/>
      <c r="C55" s="25"/>
      <c r="D55" s="25"/>
      <c r="E55" s="25"/>
      <c r="F55" s="25"/>
      <c r="G55" s="70"/>
      <c r="H55" s="90" t="str">
        <f aca="false">IF(OR(A55="",B55=""),"",COUNTIFS(PT_Date,A55,PT_Equipe,B55,PT_Pres,"P")+0.5*COUNTIFS(PT_Date,A55,PT_Equipe,B55,PT_Pres,"1/2"))</f>
        <v/>
      </c>
      <c r="I55" s="90" t="str">
        <f aca="false">IF(H55="","",H55-N(G55))</f>
        <v/>
      </c>
      <c r="J55" s="25"/>
      <c r="K55" s="74" t="str">
        <f aca="false">IF(OR(A55="",A55&lt;&gt;P_DateRef),"",COUNTIF($A$7:A55,P_DateRef))</f>
        <v/>
      </c>
    </row>
    <row r="56" customFormat="false" ht="15" hidden="false" customHeight="false" outlineLevel="0" collapsed="false">
      <c r="A56" s="69"/>
      <c r="B56" s="25"/>
      <c r="C56" s="25"/>
      <c r="D56" s="25"/>
      <c r="E56" s="25"/>
      <c r="F56" s="25"/>
      <c r="G56" s="70"/>
      <c r="H56" s="90" t="str">
        <f aca="false">IF(OR(A56="",B56=""),"",COUNTIFS(PT_Date,A56,PT_Equipe,B56,PT_Pres,"P")+0.5*COUNTIFS(PT_Date,A56,PT_Equipe,B56,PT_Pres,"1/2"))</f>
        <v/>
      </c>
      <c r="I56" s="90" t="str">
        <f aca="false">IF(H56="","",H56-N(G56))</f>
        <v/>
      </c>
      <c r="J56" s="25"/>
      <c r="K56" s="74" t="str">
        <f aca="false">IF(OR(A56="",A56&lt;&gt;P_DateRef),"",COUNTIF($A$7:A56,P_DateRef))</f>
        <v/>
      </c>
    </row>
    <row r="57" customFormat="false" ht="15" hidden="false" customHeight="false" outlineLevel="0" collapsed="false">
      <c r="A57" s="69"/>
      <c r="B57" s="25"/>
      <c r="C57" s="25"/>
      <c r="D57" s="25"/>
      <c r="E57" s="25"/>
      <c r="F57" s="25"/>
      <c r="G57" s="70"/>
      <c r="H57" s="90" t="str">
        <f aca="false">IF(OR(A57="",B57=""),"",COUNTIFS(PT_Date,A57,PT_Equipe,B57,PT_Pres,"P")+0.5*COUNTIFS(PT_Date,A57,PT_Equipe,B57,PT_Pres,"1/2"))</f>
        <v/>
      </c>
      <c r="I57" s="90" t="str">
        <f aca="false">IF(H57="","",H57-N(G57))</f>
        <v/>
      </c>
      <c r="J57" s="25"/>
      <c r="K57" s="74" t="str">
        <f aca="false">IF(OR(A57="",A57&lt;&gt;P_DateRef),"",COUNTIF($A$7:A57,P_DateRef))</f>
        <v/>
      </c>
    </row>
    <row r="58" customFormat="false" ht="15" hidden="false" customHeight="false" outlineLevel="0" collapsed="false">
      <c r="A58" s="69"/>
      <c r="B58" s="25"/>
      <c r="C58" s="25"/>
      <c r="D58" s="25"/>
      <c r="E58" s="25"/>
      <c r="F58" s="25"/>
      <c r="G58" s="70"/>
      <c r="H58" s="90" t="str">
        <f aca="false">IF(OR(A58="",B58=""),"",COUNTIFS(PT_Date,A58,PT_Equipe,B58,PT_Pres,"P")+0.5*COUNTIFS(PT_Date,A58,PT_Equipe,B58,PT_Pres,"1/2"))</f>
        <v/>
      </c>
      <c r="I58" s="90" t="str">
        <f aca="false">IF(H58="","",H58-N(G58))</f>
        <v/>
      </c>
      <c r="J58" s="25"/>
      <c r="K58" s="74" t="str">
        <f aca="false">IF(OR(A58="",A58&lt;&gt;P_DateRef),"",COUNTIF($A$7:A58,P_DateRef))</f>
        <v/>
      </c>
    </row>
    <row r="59" customFormat="false" ht="15" hidden="false" customHeight="false" outlineLevel="0" collapsed="false">
      <c r="A59" s="69"/>
      <c r="B59" s="25"/>
      <c r="C59" s="25"/>
      <c r="D59" s="25"/>
      <c r="E59" s="25"/>
      <c r="F59" s="25"/>
      <c r="G59" s="70"/>
      <c r="H59" s="90" t="str">
        <f aca="false">IF(OR(A59="",B59=""),"",COUNTIFS(PT_Date,A59,PT_Equipe,B59,PT_Pres,"P")+0.5*COUNTIFS(PT_Date,A59,PT_Equipe,B59,PT_Pres,"1/2"))</f>
        <v/>
      </c>
      <c r="I59" s="90" t="str">
        <f aca="false">IF(H59="","",H59-N(G59))</f>
        <v/>
      </c>
      <c r="J59" s="25"/>
      <c r="K59" s="74" t="str">
        <f aca="false">IF(OR(A59="",A59&lt;&gt;P_DateRef),"",COUNTIF($A$7:A59,P_DateRef))</f>
        <v/>
      </c>
    </row>
    <row r="60" customFormat="false" ht="15" hidden="false" customHeight="false" outlineLevel="0" collapsed="false">
      <c r="A60" s="69"/>
      <c r="B60" s="25"/>
      <c r="C60" s="25"/>
      <c r="D60" s="25"/>
      <c r="E60" s="25"/>
      <c r="F60" s="25"/>
      <c r="G60" s="70"/>
      <c r="H60" s="90" t="str">
        <f aca="false">IF(OR(A60="",B60=""),"",COUNTIFS(PT_Date,A60,PT_Equipe,B60,PT_Pres,"P")+0.5*COUNTIFS(PT_Date,A60,PT_Equipe,B60,PT_Pres,"1/2"))</f>
        <v/>
      </c>
      <c r="I60" s="90" t="str">
        <f aca="false">IF(H60="","",H60-N(G60))</f>
        <v/>
      </c>
      <c r="J60" s="25"/>
      <c r="K60" s="74" t="str">
        <f aca="false">IF(OR(A60="",A60&lt;&gt;P_DateRef),"",COUNTIF($A$7:A60,P_DateRef))</f>
        <v/>
      </c>
    </row>
    <row r="61" customFormat="false" ht="15" hidden="false" customHeight="false" outlineLevel="0" collapsed="false">
      <c r="A61" s="69"/>
      <c r="B61" s="25"/>
      <c r="C61" s="25"/>
      <c r="D61" s="25"/>
      <c r="E61" s="25"/>
      <c r="F61" s="25"/>
      <c r="G61" s="70"/>
      <c r="H61" s="90" t="str">
        <f aca="false">IF(OR(A61="",B61=""),"",COUNTIFS(PT_Date,A61,PT_Equipe,B61,PT_Pres,"P")+0.5*COUNTIFS(PT_Date,A61,PT_Equipe,B61,PT_Pres,"1/2"))</f>
        <v/>
      </c>
      <c r="I61" s="90" t="str">
        <f aca="false">IF(H61="","",H61-N(G61))</f>
        <v/>
      </c>
      <c r="J61" s="25"/>
      <c r="K61" s="74" t="str">
        <f aca="false">IF(OR(A61="",A61&lt;&gt;P_DateRef),"",COUNTIF($A$7:A61,P_DateRef))</f>
        <v/>
      </c>
    </row>
    <row r="62" customFormat="false" ht="15" hidden="false" customHeight="false" outlineLevel="0" collapsed="false">
      <c r="A62" s="69"/>
      <c r="B62" s="25"/>
      <c r="C62" s="25"/>
      <c r="D62" s="25"/>
      <c r="E62" s="25"/>
      <c r="F62" s="25"/>
      <c r="G62" s="70"/>
      <c r="H62" s="90" t="str">
        <f aca="false">IF(OR(A62="",B62=""),"",COUNTIFS(PT_Date,A62,PT_Equipe,B62,PT_Pres,"P")+0.5*COUNTIFS(PT_Date,A62,PT_Equipe,B62,PT_Pres,"1/2"))</f>
        <v/>
      </c>
      <c r="I62" s="90" t="str">
        <f aca="false">IF(H62="","",H62-N(G62))</f>
        <v/>
      </c>
      <c r="J62" s="25"/>
      <c r="K62" s="74" t="str">
        <f aca="false">IF(OR(A62="",A62&lt;&gt;P_DateRef),"",COUNTIF($A$7:A62,P_DateRef))</f>
        <v/>
      </c>
    </row>
    <row r="63" customFormat="false" ht="15" hidden="false" customHeight="false" outlineLevel="0" collapsed="false">
      <c r="A63" s="69"/>
      <c r="B63" s="25"/>
      <c r="C63" s="25"/>
      <c r="D63" s="25"/>
      <c r="E63" s="25"/>
      <c r="F63" s="25"/>
      <c r="G63" s="70"/>
      <c r="H63" s="90" t="str">
        <f aca="false">IF(OR(A63="",B63=""),"",COUNTIFS(PT_Date,A63,PT_Equipe,B63,PT_Pres,"P")+0.5*COUNTIFS(PT_Date,A63,PT_Equipe,B63,PT_Pres,"1/2"))</f>
        <v/>
      </c>
      <c r="I63" s="90" t="str">
        <f aca="false">IF(H63="","",H63-N(G63))</f>
        <v/>
      </c>
      <c r="J63" s="25"/>
      <c r="K63" s="74" t="str">
        <f aca="false">IF(OR(A63="",A63&lt;&gt;P_DateRef),"",COUNTIF($A$7:A63,P_DateRef))</f>
        <v/>
      </c>
    </row>
    <row r="64" customFormat="false" ht="15" hidden="false" customHeight="false" outlineLevel="0" collapsed="false">
      <c r="A64" s="69"/>
      <c r="B64" s="25"/>
      <c r="C64" s="25"/>
      <c r="D64" s="25"/>
      <c r="E64" s="25"/>
      <c r="F64" s="25"/>
      <c r="G64" s="70"/>
      <c r="H64" s="90" t="str">
        <f aca="false">IF(OR(A64="",B64=""),"",COUNTIFS(PT_Date,A64,PT_Equipe,B64,PT_Pres,"P")+0.5*COUNTIFS(PT_Date,A64,PT_Equipe,B64,PT_Pres,"1/2"))</f>
        <v/>
      </c>
      <c r="I64" s="90" t="str">
        <f aca="false">IF(H64="","",H64-N(G64))</f>
        <v/>
      </c>
      <c r="J64" s="25"/>
      <c r="K64" s="74" t="str">
        <f aca="false">IF(OR(A64="",A64&lt;&gt;P_DateRef),"",COUNTIF($A$7:A64,P_DateRef))</f>
        <v/>
      </c>
    </row>
    <row r="65" customFormat="false" ht="15" hidden="false" customHeight="false" outlineLevel="0" collapsed="false">
      <c r="A65" s="69"/>
      <c r="B65" s="25"/>
      <c r="C65" s="25"/>
      <c r="D65" s="25"/>
      <c r="E65" s="25"/>
      <c r="F65" s="25"/>
      <c r="G65" s="70"/>
      <c r="H65" s="90" t="str">
        <f aca="false">IF(OR(A65="",B65=""),"",COUNTIFS(PT_Date,A65,PT_Equipe,B65,PT_Pres,"P")+0.5*COUNTIFS(PT_Date,A65,PT_Equipe,B65,PT_Pres,"1/2"))</f>
        <v/>
      </c>
      <c r="I65" s="90" t="str">
        <f aca="false">IF(H65="","",H65-N(G65))</f>
        <v/>
      </c>
      <c r="J65" s="25"/>
      <c r="K65" s="74" t="str">
        <f aca="false">IF(OR(A65="",A65&lt;&gt;P_DateRef),"",COUNTIF($A$7:A65,P_DateRef))</f>
        <v/>
      </c>
    </row>
    <row r="66" customFormat="false" ht="15" hidden="false" customHeight="false" outlineLevel="0" collapsed="false">
      <c r="A66" s="69"/>
      <c r="B66" s="25"/>
      <c r="C66" s="25"/>
      <c r="D66" s="25"/>
      <c r="E66" s="25"/>
      <c r="F66" s="25"/>
      <c r="G66" s="70"/>
      <c r="H66" s="90" t="str">
        <f aca="false">IF(OR(A66="",B66=""),"",COUNTIFS(PT_Date,A66,PT_Equipe,B66,PT_Pres,"P")+0.5*COUNTIFS(PT_Date,A66,PT_Equipe,B66,PT_Pres,"1/2"))</f>
        <v/>
      </c>
      <c r="I66" s="90" t="str">
        <f aca="false">IF(H66="","",H66-N(G66))</f>
        <v/>
      </c>
      <c r="J66" s="25"/>
      <c r="K66" s="74" t="str">
        <f aca="false">IF(OR(A66="",A66&lt;&gt;P_DateRef),"",COUNTIF($A$7:A66,P_DateRef))</f>
        <v/>
      </c>
    </row>
    <row r="67" customFormat="false" ht="15" hidden="false" customHeight="false" outlineLevel="0" collapsed="false">
      <c r="A67" s="69"/>
      <c r="B67" s="25"/>
      <c r="C67" s="25"/>
      <c r="D67" s="25"/>
      <c r="E67" s="25"/>
      <c r="F67" s="25"/>
      <c r="G67" s="70"/>
      <c r="H67" s="90" t="str">
        <f aca="false">IF(OR(A67="",B67=""),"",COUNTIFS(PT_Date,A67,PT_Equipe,B67,PT_Pres,"P")+0.5*COUNTIFS(PT_Date,A67,PT_Equipe,B67,PT_Pres,"1/2"))</f>
        <v/>
      </c>
      <c r="I67" s="90" t="str">
        <f aca="false">IF(H67="","",H67-N(G67))</f>
        <v/>
      </c>
      <c r="J67" s="25"/>
      <c r="K67" s="74" t="str">
        <f aca="false">IF(OR(A67="",A67&lt;&gt;P_DateRef),"",COUNTIF($A$7:A67,P_DateRef))</f>
        <v/>
      </c>
    </row>
    <row r="68" customFormat="false" ht="15" hidden="false" customHeight="false" outlineLevel="0" collapsed="false">
      <c r="A68" s="69"/>
      <c r="B68" s="25"/>
      <c r="C68" s="25"/>
      <c r="D68" s="25"/>
      <c r="E68" s="25"/>
      <c r="F68" s="25"/>
      <c r="G68" s="70"/>
      <c r="H68" s="90" t="str">
        <f aca="false">IF(OR(A68="",B68=""),"",COUNTIFS(PT_Date,A68,PT_Equipe,B68,PT_Pres,"P")+0.5*COUNTIFS(PT_Date,A68,PT_Equipe,B68,PT_Pres,"1/2"))</f>
        <v/>
      </c>
      <c r="I68" s="90" t="str">
        <f aca="false">IF(H68="","",H68-N(G68))</f>
        <v/>
      </c>
      <c r="J68" s="25"/>
      <c r="K68" s="74" t="str">
        <f aca="false">IF(OR(A68="",A68&lt;&gt;P_DateRef),"",COUNTIF($A$7:A68,P_DateRef))</f>
        <v/>
      </c>
    </row>
    <row r="69" customFormat="false" ht="15" hidden="false" customHeight="false" outlineLevel="0" collapsed="false">
      <c r="A69" s="69"/>
      <c r="B69" s="25"/>
      <c r="C69" s="25"/>
      <c r="D69" s="25"/>
      <c r="E69" s="25"/>
      <c r="F69" s="25"/>
      <c r="G69" s="70"/>
      <c r="H69" s="90" t="str">
        <f aca="false">IF(OR(A69="",B69=""),"",COUNTIFS(PT_Date,A69,PT_Equipe,B69,PT_Pres,"P")+0.5*COUNTIFS(PT_Date,A69,PT_Equipe,B69,PT_Pres,"1/2"))</f>
        <v/>
      </c>
      <c r="I69" s="90" t="str">
        <f aca="false">IF(H69="","",H69-N(G69))</f>
        <v/>
      </c>
      <c r="J69" s="25"/>
      <c r="K69" s="74" t="str">
        <f aca="false">IF(OR(A69="",A69&lt;&gt;P_DateRef),"",COUNTIF($A$7:A69,P_DateRef))</f>
        <v/>
      </c>
    </row>
    <row r="70" customFormat="false" ht="15" hidden="false" customHeight="false" outlineLevel="0" collapsed="false">
      <c r="A70" s="69"/>
      <c r="B70" s="25"/>
      <c r="C70" s="25"/>
      <c r="D70" s="25"/>
      <c r="E70" s="25"/>
      <c r="F70" s="25"/>
      <c r="G70" s="70"/>
      <c r="H70" s="90" t="str">
        <f aca="false">IF(OR(A70="",B70=""),"",COUNTIFS(PT_Date,A70,PT_Equipe,B70,PT_Pres,"P")+0.5*COUNTIFS(PT_Date,A70,PT_Equipe,B70,PT_Pres,"1/2"))</f>
        <v/>
      </c>
      <c r="I70" s="90" t="str">
        <f aca="false">IF(H70="","",H70-N(G70))</f>
        <v/>
      </c>
      <c r="J70" s="25"/>
      <c r="K70" s="74" t="str">
        <f aca="false">IF(OR(A70="",A70&lt;&gt;P_DateRef),"",COUNTIF($A$7:A70,P_DateRef))</f>
        <v/>
      </c>
    </row>
    <row r="71" customFormat="false" ht="15" hidden="false" customHeight="false" outlineLevel="0" collapsed="false">
      <c r="A71" s="69"/>
      <c r="B71" s="25"/>
      <c r="C71" s="25"/>
      <c r="D71" s="25"/>
      <c r="E71" s="25"/>
      <c r="F71" s="25"/>
      <c r="G71" s="70"/>
      <c r="H71" s="90" t="str">
        <f aca="false">IF(OR(A71="",B71=""),"",COUNTIFS(PT_Date,A71,PT_Equipe,B71,PT_Pres,"P")+0.5*COUNTIFS(PT_Date,A71,PT_Equipe,B71,PT_Pres,"1/2"))</f>
        <v/>
      </c>
      <c r="I71" s="90" t="str">
        <f aca="false">IF(H71="","",H71-N(G71))</f>
        <v/>
      </c>
      <c r="J71" s="25"/>
      <c r="K71" s="74" t="str">
        <f aca="false">IF(OR(A71="",A71&lt;&gt;P_DateRef),"",COUNTIF($A$7:A71,P_DateRef))</f>
        <v/>
      </c>
    </row>
    <row r="72" customFormat="false" ht="15" hidden="false" customHeight="false" outlineLevel="0" collapsed="false">
      <c r="A72" s="69"/>
      <c r="B72" s="25"/>
      <c r="C72" s="25"/>
      <c r="D72" s="25"/>
      <c r="E72" s="25"/>
      <c r="F72" s="25"/>
      <c r="G72" s="70"/>
      <c r="H72" s="90" t="str">
        <f aca="false">IF(OR(A72="",B72=""),"",COUNTIFS(PT_Date,A72,PT_Equipe,B72,PT_Pres,"P")+0.5*COUNTIFS(PT_Date,A72,PT_Equipe,B72,PT_Pres,"1/2"))</f>
        <v/>
      </c>
      <c r="I72" s="90" t="str">
        <f aca="false">IF(H72="","",H72-N(G72))</f>
        <v/>
      </c>
      <c r="J72" s="25"/>
      <c r="K72" s="74" t="str">
        <f aca="false">IF(OR(A72="",A72&lt;&gt;P_DateRef),"",COUNTIF($A$7:A72,P_DateRef))</f>
        <v/>
      </c>
    </row>
    <row r="73" customFormat="false" ht="15" hidden="false" customHeight="false" outlineLevel="0" collapsed="false">
      <c r="A73" s="69"/>
      <c r="B73" s="25"/>
      <c r="C73" s="25"/>
      <c r="D73" s="25"/>
      <c r="E73" s="25"/>
      <c r="F73" s="25"/>
      <c r="G73" s="70"/>
      <c r="H73" s="90" t="str">
        <f aca="false">IF(OR(A73="",B73=""),"",COUNTIFS(PT_Date,A73,PT_Equipe,B73,PT_Pres,"P")+0.5*COUNTIFS(PT_Date,A73,PT_Equipe,B73,PT_Pres,"1/2"))</f>
        <v/>
      </c>
      <c r="I73" s="90" t="str">
        <f aca="false">IF(H73="","",H73-N(G73))</f>
        <v/>
      </c>
      <c r="J73" s="25"/>
      <c r="K73" s="74" t="str">
        <f aca="false">IF(OR(A73="",A73&lt;&gt;P_DateRef),"",COUNTIF($A$7:A73,P_DateRef))</f>
        <v/>
      </c>
    </row>
    <row r="74" customFormat="false" ht="15" hidden="false" customHeight="false" outlineLevel="0" collapsed="false">
      <c r="A74" s="69"/>
      <c r="B74" s="25"/>
      <c r="C74" s="25"/>
      <c r="D74" s="25"/>
      <c r="E74" s="25"/>
      <c r="F74" s="25"/>
      <c r="G74" s="70"/>
      <c r="H74" s="90" t="str">
        <f aca="false">IF(OR(A74="",B74=""),"",COUNTIFS(PT_Date,A74,PT_Equipe,B74,PT_Pres,"P")+0.5*COUNTIFS(PT_Date,A74,PT_Equipe,B74,PT_Pres,"1/2"))</f>
        <v/>
      </c>
      <c r="I74" s="90" t="str">
        <f aca="false">IF(H74="","",H74-N(G74))</f>
        <v/>
      </c>
      <c r="J74" s="25"/>
      <c r="K74" s="74" t="str">
        <f aca="false">IF(OR(A74="",A74&lt;&gt;P_DateRef),"",COUNTIF($A$7:A74,P_DateRef))</f>
        <v/>
      </c>
    </row>
    <row r="75" customFormat="false" ht="15" hidden="false" customHeight="false" outlineLevel="0" collapsed="false">
      <c r="A75" s="69"/>
      <c r="B75" s="25"/>
      <c r="C75" s="25"/>
      <c r="D75" s="25"/>
      <c r="E75" s="25"/>
      <c r="F75" s="25"/>
      <c r="G75" s="70"/>
      <c r="H75" s="90" t="str">
        <f aca="false">IF(OR(A75="",B75=""),"",COUNTIFS(PT_Date,A75,PT_Equipe,B75,PT_Pres,"P")+0.5*COUNTIFS(PT_Date,A75,PT_Equipe,B75,PT_Pres,"1/2"))</f>
        <v/>
      </c>
      <c r="I75" s="90" t="str">
        <f aca="false">IF(H75="","",H75-N(G75))</f>
        <v/>
      </c>
      <c r="J75" s="25"/>
      <c r="K75" s="74" t="str">
        <f aca="false">IF(OR(A75="",A75&lt;&gt;P_DateRef),"",COUNTIF($A$7:A75,P_DateRef))</f>
        <v/>
      </c>
    </row>
    <row r="76" customFormat="false" ht="15" hidden="false" customHeight="false" outlineLevel="0" collapsed="false">
      <c r="A76" s="69"/>
      <c r="B76" s="25"/>
      <c r="C76" s="25"/>
      <c r="D76" s="25"/>
      <c r="E76" s="25"/>
      <c r="F76" s="25"/>
      <c r="G76" s="70"/>
      <c r="H76" s="90" t="str">
        <f aca="false">IF(OR(A76="",B76=""),"",COUNTIFS(PT_Date,A76,PT_Equipe,B76,PT_Pres,"P")+0.5*COUNTIFS(PT_Date,A76,PT_Equipe,B76,PT_Pres,"1/2"))</f>
        <v/>
      </c>
      <c r="I76" s="90" t="str">
        <f aca="false">IF(H76="","",H76-N(G76))</f>
        <v/>
      </c>
      <c r="J76" s="25"/>
      <c r="K76" s="74" t="str">
        <f aca="false">IF(OR(A76="",A76&lt;&gt;P_DateRef),"",COUNTIF($A$7:A76,P_DateRef))</f>
        <v/>
      </c>
    </row>
    <row r="77" customFormat="false" ht="15" hidden="false" customHeight="false" outlineLevel="0" collapsed="false">
      <c r="A77" s="69"/>
      <c r="B77" s="25"/>
      <c r="C77" s="25"/>
      <c r="D77" s="25"/>
      <c r="E77" s="25"/>
      <c r="F77" s="25"/>
      <c r="G77" s="70"/>
      <c r="H77" s="90" t="str">
        <f aca="false">IF(OR(A77="",B77=""),"",COUNTIFS(PT_Date,A77,PT_Equipe,B77,PT_Pres,"P")+0.5*COUNTIFS(PT_Date,A77,PT_Equipe,B77,PT_Pres,"1/2"))</f>
        <v/>
      </c>
      <c r="I77" s="90" t="str">
        <f aca="false">IF(H77="","",H77-N(G77))</f>
        <v/>
      </c>
      <c r="J77" s="25"/>
      <c r="K77" s="74" t="str">
        <f aca="false">IF(OR(A77="",A77&lt;&gt;P_DateRef),"",COUNTIF($A$7:A77,P_DateRef))</f>
        <v/>
      </c>
    </row>
    <row r="78" customFormat="false" ht="15" hidden="false" customHeight="false" outlineLevel="0" collapsed="false">
      <c r="A78" s="69"/>
      <c r="B78" s="25"/>
      <c r="C78" s="25"/>
      <c r="D78" s="25"/>
      <c r="E78" s="25"/>
      <c r="F78" s="25"/>
      <c r="G78" s="70"/>
      <c r="H78" s="90" t="str">
        <f aca="false">IF(OR(A78="",B78=""),"",COUNTIFS(PT_Date,A78,PT_Equipe,B78,PT_Pres,"P")+0.5*COUNTIFS(PT_Date,A78,PT_Equipe,B78,PT_Pres,"1/2"))</f>
        <v/>
      </c>
      <c r="I78" s="90" t="str">
        <f aca="false">IF(H78="","",H78-N(G78))</f>
        <v/>
      </c>
      <c r="J78" s="25"/>
      <c r="K78" s="74" t="str">
        <f aca="false">IF(OR(A78="",A78&lt;&gt;P_DateRef),"",COUNTIF($A$7:A78,P_DateRef))</f>
        <v/>
      </c>
    </row>
    <row r="79" customFormat="false" ht="15" hidden="false" customHeight="false" outlineLevel="0" collapsed="false">
      <c r="A79" s="69"/>
      <c r="B79" s="25"/>
      <c r="C79" s="25"/>
      <c r="D79" s="25"/>
      <c r="E79" s="25"/>
      <c r="F79" s="25"/>
      <c r="G79" s="70"/>
      <c r="H79" s="90" t="str">
        <f aca="false">IF(OR(A79="",B79=""),"",COUNTIFS(PT_Date,A79,PT_Equipe,B79,PT_Pres,"P")+0.5*COUNTIFS(PT_Date,A79,PT_Equipe,B79,PT_Pres,"1/2"))</f>
        <v/>
      </c>
      <c r="I79" s="90" t="str">
        <f aca="false">IF(H79="","",H79-N(G79))</f>
        <v/>
      </c>
      <c r="J79" s="25"/>
      <c r="K79" s="74" t="str">
        <f aca="false">IF(OR(A79="",A79&lt;&gt;P_DateRef),"",COUNTIF($A$7:A79,P_DateRef))</f>
        <v/>
      </c>
    </row>
    <row r="80" customFormat="false" ht="15" hidden="false" customHeight="false" outlineLevel="0" collapsed="false">
      <c r="A80" s="69"/>
      <c r="B80" s="25"/>
      <c r="C80" s="25"/>
      <c r="D80" s="25"/>
      <c r="E80" s="25"/>
      <c r="F80" s="25"/>
      <c r="G80" s="70"/>
      <c r="H80" s="90" t="str">
        <f aca="false">IF(OR(A80="",B80=""),"",COUNTIFS(PT_Date,A80,PT_Equipe,B80,PT_Pres,"P")+0.5*COUNTIFS(PT_Date,A80,PT_Equipe,B80,PT_Pres,"1/2"))</f>
        <v/>
      </c>
      <c r="I80" s="90" t="str">
        <f aca="false">IF(H80="","",H80-N(G80))</f>
        <v/>
      </c>
      <c r="J80" s="25"/>
      <c r="K80" s="74" t="str">
        <f aca="false">IF(OR(A80="",A80&lt;&gt;P_DateRef),"",COUNTIF($A$7:A80,P_DateRef))</f>
        <v/>
      </c>
    </row>
    <row r="81" customFormat="false" ht="15" hidden="false" customHeight="false" outlineLevel="0" collapsed="false">
      <c r="A81" s="69"/>
      <c r="B81" s="25"/>
      <c r="C81" s="25"/>
      <c r="D81" s="25"/>
      <c r="E81" s="25"/>
      <c r="F81" s="25"/>
      <c r="G81" s="70"/>
      <c r="H81" s="90" t="str">
        <f aca="false">IF(OR(A81="",B81=""),"",COUNTIFS(PT_Date,A81,PT_Equipe,B81,PT_Pres,"P")+0.5*COUNTIFS(PT_Date,A81,PT_Equipe,B81,PT_Pres,"1/2"))</f>
        <v/>
      </c>
      <c r="I81" s="90" t="str">
        <f aca="false">IF(H81="","",H81-N(G81))</f>
        <v/>
      </c>
      <c r="J81" s="25"/>
      <c r="K81" s="74" t="str">
        <f aca="false">IF(OR(A81="",A81&lt;&gt;P_DateRef),"",COUNTIF($A$7:A81,P_DateRef))</f>
        <v/>
      </c>
    </row>
    <row r="82" customFormat="false" ht="15" hidden="false" customHeight="false" outlineLevel="0" collapsed="false">
      <c r="A82" s="69"/>
      <c r="B82" s="25"/>
      <c r="C82" s="25"/>
      <c r="D82" s="25"/>
      <c r="E82" s="25"/>
      <c r="F82" s="25"/>
      <c r="G82" s="70"/>
      <c r="H82" s="90" t="str">
        <f aca="false">IF(OR(A82="",B82=""),"",COUNTIFS(PT_Date,A82,PT_Equipe,B82,PT_Pres,"P")+0.5*COUNTIFS(PT_Date,A82,PT_Equipe,B82,PT_Pres,"1/2"))</f>
        <v/>
      </c>
      <c r="I82" s="90" t="str">
        <f aca="false">IF(H82="","",H82-N(G82))</f>
        <v/>
      </c>
      <c r="J82" s="25"/>
      <c r="K82" s="74" t="str">
        <f aca="false">IF(OR(A82="",A82&lt;&gt;P_DateRef),"",COUNTIF($A$7:A82,P_DateRef))</f>
        <v/>
      </c>
    </row>
    <row r="83" customFormat="false" ht="15" hidden="false" customHeight="false" outlineLevel="0" collapsed="false">
      <c r="A83" s="69"/>
      <c r="B83" s="25"/>
      <c r="C83" s="25"/>
      <c r="D83" s="25"/>
      <c r="E83" s="25"/>
      <c r="F83" s="25"/>
      <c r="G83" s="70"/>
      <c r="H83" s="90" t="str">
        <f aca="false">IF(OR(A83="",B83=""),"",COUNTIFS(PT_Date,A83,PT_Equipe,B83,PT_Pres,"P")+0.5*COUNTIFS(PT_Date,A83,PT_Equipe,B83,PT_Pres,"1/2"))</f>
        <v/>
      </c>
      <c r="I83" s="90" t="str">
        <f aca="false">IF(H83="","",H83-N(G83))</f>
        <v/>
      </c>
      <c r="J83" s="25"/>
      <c r="K83" s="74" t="str">
        <f aca="false">IF(OR(A83="",A83&lt;&gt;P_DateRef),"",COUNTIF($A$7:A83,P_DateRef))</f>
        <v/>
      </c>
    </row>
    <row r="84" customFormat="false" ht="15" hidden="false" customHeight="false" outlineLevel="0" collapsed="false">
      <c r="A84" s="69"/>
      <c r="B84" s="25"/>
      <c r="C84" s="25"/>
      <c r="D84" s="25"/>
      <c r="E84" s="25"/>
      <c r="F84" s="25"/>
      <c r="G84" s="70"/>
      <c r="H84" s="90" t="str">
        <f aca="false">IF(OR(A84="",B84=""),"",COUNTIFS(PT_Date,A84,PT_Equipe,B84,PT_Pres,"P")+0.5*COUNTIFS(PT_Date,A84,PT_Equipe,B84,PT_Pres,"1/2"))</f>
        <v/>
      </c>
      <c r="I84" s="90" t="str">
        <f aca="false">IF(H84="","",H84-N(G84))</f>
        <v/>
      </c>
      <c r="J84" s="25"/>
      <c r="K84" s="74" t="str">
        <f aca="false">IF(OR(A84="",A84&lt;&gt;P_DateRef),"",COUNTIF($A$7:A84,P_DateRef))</f>
        <v/>
      </c>
    </row>
    <row r="85" customFormat="false" ht="15" hidden="false" customHeight="false" outlineLevel="0" collapsed="false">
      <c r="A85" s="69"/>
      <c r="B85" s="25"/>
      <c r="C85" s="25"/>
      <c r="D85" s="25"/>
      <c r="E85" s="25"/>
      <c r="F85" s="25"/>
      <c r="G85" s="70"/>
      <c r="H85" s="90" t="str">
        <f aca="false">IF(OR(A85="",B85=""),"",COUNTIFS(PT_Date,A85,PT_Equipe,B85,PT_Pres,"P")+0.5*COUNTIFS(PT_Date,A85,PT_Equipe,B85,PT_Pres,"1/2"))</f>
        <v/>
      </c>
      <c r="I85" s="90" t="str">
        <f aca="false">IF(H85="","",H85-N(G85))</f>
        <v/>
      </c>
      <c r="J85" s="25"/>
      <c r="K85" s="74" t="str">
        <f aca="false">IF(OR(A85="",A85&lt;&gt;P_DateRef),"",COUNTIF($A$7:A85,P_DateRef))</f>
        <v/>
      </c>
    </row>
    <row r="86" customFormat="false" ht="15" hidden="false" customHeight="false" outlineLevel="0" collapsed="false">
      <c r="A86" s="69"/>
      <c r="B86" s="25"/>
      <c r="C86" s="25"/>
      <c r="D86" s="25"/>
      <c r="E86" s="25"/>
      <c r="F86" s="25"/>
      <c r="G86" s="70"/>
      <c r="H86" s="90" t="str">
        <f aca="false">IF(OR(A86="",B86=""),"",COUNTIFS(PT_Date,A86,PT_Equipe,B86,PT_Pres,"P")+0.5*COUNTIFS(PT_Date,A86,PT_Equipe,B86,PT_Pres,"1/2"))</f>
        <v/>
      </c>
      <c r="I86" s="90" t="str">
        <f aca="false">IF(H86="","",H86-N(G86))</f>
        <v/>
      </c>
      <c r="J86" s="25"/>
      <c r="K86" s="74" t="str">
        <f aca="false">IF(OR(A86="",A86&lt;&gt;P_DateRef),"",COUNTIF($A$7:A86,P_DateRef))</f>
        <v/>
      </c>
    </row>
    <row r="87" customFormat="false" ht="15" hidden="false" customHeight="false" outlineLevel="0" collapsed="false">
      <c r="A87" s="69"/>
      <c r="B87" s="25"/>
      <c r="C87" s="25"/>
      <c r="D87" s="25"/>
      <c r="E87" s="25"/>
      <c r="F87" s="25"/>
      <c r="G87" s="70"/>
      <c r="H87" s="90" t="str">
        <f aca="false">IF(OR(A87="",B87=""),"",COUNTIFS(PT_Date,A87,PT_Equipe,B87,PT_Pres,"P")+0.5*COUNTIFS(PT_Date,A87,PT_Equipe,B87,PT_Pres,"1/2"))</f>
        <v/>
      </c>
      <c r="I87" s="90" t="str">
        <f aca="false">IF(H87="","",H87-N(G87))</f>
        <v/>
      </c>
      <c r="J87" s="25"/>
      <c r="K87" s="74" t="str">
        <f aca="false">IF(OR(A87="",A87&lt;&gt;P_DateRef),"",COUNTIF($A$7:A87,P_DateRef))</f>
        <v/>
      </c>
    </row>
    <row r="88" customFormat="false" ht="15" hidden="false" customHeight="false" outlineLevel="0" collapsed="false">
      <c r="A88" s="69"/>
      <c r="B88" s="25"/>
      <c r="C88" s="25"/>
      <c r="D88" s="25"/>
      <c r="E88" s="25"/>
      <c r="F88" s="25"/>
      <c r="G88" s="70"/>
      <c r="H88" s="90" t="str">
        <f aca="false">IF(OR(A88="",B88=""),"",COUNTIFS(PT_Date,A88,PT_Equipe,B88,PT_Pres,"P")+0.5*COUNTIFS(PT_Date,A88,PT_Equipe,B88,PT_Pres,"1/2"))</f>
        <v/>
      </c>
      <c r="I88" s="90" t="str">
        <f aca="false">IF(H88="","",H88-N(G88))</f>
        <v/>
      </c>
      <c r="J88" s="25"/>
      <c r="K88" s="74" t="str">
        <f aca="false">IF(OR(A88="",A88&lt;&gt;P_DateRef),"",COUNTIF($A$7:A88,P_DateRef))</f>
        <v/>
      </c>
    </row>
    <row r="89" customFormat="false" ht="15" hidden="false" customHeight="false" outlineLevel="0" collapsed="false">
      <c r="A89" s="69"/>
      <c r="B89" s="25"/>
      <c r="C89" s="25"/>
      <c r="D89" s="25"/>
      <c r="E89" s="25"/>
      <c r="F89" s="25"/>
      <c r="G89" s="70"/>
      <c r="H89" s="90" t="str">
        <f aca="false">IF(OR(A89="",B89=""),"",COUNTIFS(PT_Date,A89,PT_Equipe,B89,PT_Pres,"P")+0.5*COUNTIFS(PT_Date,A89,PT_Equipe,B89,PT_Pres,"1/2"))</f>
        <v/>
      </c>
      <c r="I89" s="90" t="str">
        <f aca="false">IF(H89="","",H89-N(G89))</f>
        <v/>
      </c>
      <c r="J89" s="25"/>
      <c r="K89" s="74" t="str">
        <f aca="false">IF(OR(A89="",A89&lt;&gt;P_DateRef),"",COUNTIF($A$7:A89,P_DateRef))</f>
        <v/>
      </c>
    </row>
    <row r="90" customFormat="false" ht="15" hidden="false" customHeight="false" outlineLevel="0" collapsed="false">
      <c r="A90" s="69"/>
      <c r="B90" s="25"/>
      <c r="C90" s="25"/>
      <c r="D90" s="25"/>
      <c r="E90" s="25"/>
      <c r="F90" s="25"/>
      <c r="G90" s="70"/>
      <c r="H90" s="90" t="str">
        <f aca="false">IF(OR(A90="",B90=""),"",COUNTIFS(PT_Date,A90,PT_Equipe,B90,PT_Pres,"P")+0.5*COUNTIFS(PT_Date,A90,PT_Equipe,B90,PT_Pres,"1/2"))</f>
        <v/>
      </c>
      <c r="I90" s="90" t="str">
        <f aca="false">IF(H90="","",H90-N(G90))</f>
        <v/>
      </c>
      <c r="J90" s="25"/>
      <c r="K90" s="74" t="str">
        <f aca="false">IF(OR(A90="",A90&lt;&gt;P_DateRef),"",COUNTIF($A$7:A90,P_DateRef))</f>
        <v/>
      </c>
    </row>
    <row r="91" customFormat="false" ht="15" hidden="false" customHeight="false" outlineLevel="0" collapsed="false">
      <c r="A91" s="69"/>
      <c r="B91" s="25"/>
      <c r="C91" s="25"/>
      <c r="D91" s="25"/>
      <c r="E91" s="25"/>
      <c r="F91" s="25"/>
      <c r="G91" s="70"/>
      <c r="H91" s="90" t="str">
        <f aca="false">IF(OR(A91="",B91=""),"",COUNTIFS(PT_Date,A91,PT_Equipe,B91,PT_Pres,"P")+0.5*COUNTIFS(PT_Date,A91,PT_Equipe,B91,PT_Pres,"1/2"))</f>
        <v/>
      </c>
      <c r="I91" s="90" t="str">
        <f aca="false">IF(H91="","",H91-N(G91))</f>
        <v/>
      </c>
      <c r="J91" s="25"/>
      <c r="K91" s="74" t="str">
        <f aca="false">IF(OR(A91="",A91&lt;&gt;P_DateRef),"",COUNTIF($A$7:A91,P_DateRef))</f>
        <v/>
      </c>
    </row>
    <row r="92" customFormat="false" ht="15" hidden="false" customHeight="false" outlineLevel="0" collapsed="false">
      <c r="A92" s="69"/>
      <c r="B92" s="25"/>
      <c r="C92" s="25"/>
      <c r="D92" s="25"/>
      <c r="E92" s="25"/>
      <c r="F92" s="25"/>
      <c r="G92" s="70"/>
      <c r="H92" s="90" t="str">
        <f aca="false">IF(OR(A92="",B92=""),"",COUNTIFS(PT_Date,A92,PT_Equipe,B92,PT_Pres,"P")+0.5*COUNTIFS(PT_Date,A92,PT_Equipe,B92,PT_Pres,"1/2"))</f>
        <v/>
      </c>
      <c r="I92" s="90" t="str">
        <f aca="false">IF(H92="","",H92-N(G92))</f>
        <v/>
      </c>
      <c r="J92" s="25"/>
      <c r="K92" s="74" t="str">
        <f aca="false">IF(OR(A92="",A92&lt;&gt;P_DateRef),"",COUNTIF($A$7:A92,P_DateRef))</f>
        <v/>
      </c>
    </row>
    <row r="93" customFormat="false" ht="15" hidden="false" customHeight="false" outlineLevel="0" collapsed="false">
      <c r="A93" s="69"/>
      <c r="B93" s="25"/>
      <c r="C93" s="25"/>
      <c r="D93" s="25"/>
      <c r="E93" s="25"/>
      <c r="F93" s="25"/>
      <c r="G93" s="70"/>
      <c r="H93" s="90" t="str">
        <f aca="false">IF(OR(A93="",B93=""),"",COUNTIFS(PT_Date,A93,PT_Equipe,B93,PT_Pres,"P")+0.5*COUNTIFS(PT_Date,A93,PT_Equipe,B93,PT_Pres,"1/2"))</f>
        <v/>
      </c>
      <c r="I93" s="90" t="str">
        <f aca="false">IF(H93="","",H93-N(G93))</f>
        <v/>
      </c>
      <c r="J93" s="25"/>
      <c r="K93" s="74" t="str">
        <f aca="false">IF(OR(A93="",A93&lt;&gt;P_DateRef),"",COUNTIF($A$7:A93,P_DateRef))</f>
        <v/>
      </c>
    </row>
    <row r="94" customFormat="false" ht="15" hidden="false" customHeight="false" outlineLevel="0" collapsed="false">
      <c r="A94" s="69"/>
      <c r="B94" s="25"/>
      <c r="C94" s="25"/>
      <c r="D94" s="25"/>
      <c r="E94" s="25"/>
      <c r="F94" s="25"/>
      <c r="G94" s="70"/>
      <c r="H94" s="90" t="str">
        <f aca="false">IF(OR(A94="",B94=""),"",COUNTIFS(PT_Date,A94,PT_Equipe,B94,PT_Pres,"P")+0.5*COUNTIFS(PT_Date,A94,PT_Equipe,B94,PT_Pres,"1/2"))</f>
        <v/>
      </c>
      <c r="I94" s="90" t="str">
        <f aca="false">IF(H94="","",H94-N(G94))</f>
        <v/>
      </c>
      <c r="J94" s="25"/>
      <c r="K94" s="74" t="str">
        <f aca="false">IF(OR(A94="",A94&lt;&gt;P_DateRef),"",COUNTIF($A$7:A94,P_DateRef))</f>
        <v/>
      </c>
    </row>
    <row r="95" customFormat="false" ht="15" hidden="false" customHeight="false" outlineLevel="0" collapsed="false">
      <c r="A95" s="69"/>
      <c r="B95" s="25"/>
      <c r="C95" s="25"/>
      <c r="D95" s="25"/>
      <c r="E95" s="25"/>
      <c r="F95" s="25"/>
      <c r="G95" s="70"/>
      <c r="H95" s="90" t="str">
        <f aca="false">IF(OR(A95="",B95=""),"",COUNTIFS(PT_Date,A95,PT_Equipe,B95,PT_Pres,"P")+0.5*COUNTIFS(PT_Date,A95,PT_Equipe,B95,PT_Pres,"1/2"))</f>
        <v/>
      </c>
      <c r="I95" s="90" t="str">
        <f aca="false">IF(H95="","",H95-N(G95))</f>
        <v/>
      </c>
      <c r="J95" s="25"/>
      <c r="K95" s="74" t="str">
        <f aca="false">IF(OR(A95="",A95&lt;&gt;P_DateRef),"",COUNTIF($A$7:A95,P_DateRef))</f>
        <v/>
      </c>
    </row>
    <row r="96" customFormat="false" ht="15" hidden="false" customHeight="false" outlineLevel="0" collapsed="false">
      <c r="A96" s="69"/>
      <c r="B96" s="25"/>
      <c r="C96" s="25"/>
      <c r="D96" s="25"/>
      <c r="E96" s="25"/>
      <c r="F96" s="25"/>
      <c r="G96" s="70"/>
      <c r="H96" s="90" t="str">
        <f aca="false">IF(OR(A96="",B96=""),"",COUNTIFS(PT_Date,A96,PT_Equipe,B96,PT_Pres,"P")+0.5*COUNTIFS(PT_Date,A96,PT_Equipe,B96,PT_Pres,"1/2"))</f>
        <v/>
      </c>
      <c r="I96" s="90" t="str">
        <f aca="false">IF(H96="","",H96-N(G96))</f>
        <v/>
      </c>
      <c r="J96" s="25"/>
      <c r="K96" s="74" t="str">
        <f aca="false">IF(OR(A96="",A96&lt;&gt;P_DateRef),"",COUNTIF($A$7:A96,P_DateRef))</f>
        <v/>
      </c>
    </row>
    <row r="97" customFormat="false" ht="15" hidden="false" customHeight="false" outlineLevel="0" collapsed="false">
      <c r="A97" s="69"/>
      <c r="B97" s="25"/>
      <c r="C97" s="25"/>
      <c r="D97" s="25"/>
      <c r="E97" s="25"/>
      <c r="F97" s="25"/>
      <c r="G97" s="70"/>
      <c r="H97" s="90" t="str">
        <f aca="false">IF(OR(A97="",B97=""),"",COUNTIFS(PT_Date,A97,PT_Equipe,B97,PT_Pres,"P")+0.5*COUNTIFS(PT_Date,A97,PT_Equipe,B97,PT_Pres,"1/2"))</f>
        <v/>
      </c>
      <c r="I97" s="90" t="str">
        <f aca="false">IF(H97="","",H97-N(G97))</f>
        <v/>
      </c>
      <c r="J97" s="25"/>
      <c r="K97" s="74" t="str">
        <f aca="false">IF(OR(A97="",A97&lt;&gt;P_DateRef),"",COUNTIF($A$7:A97,P_DateRef))</f>
        <v/>
      </c>
    </row>
    <row r="98" customFormat="false" ht="15" hidden="false" customHeight="false" outlineLevel="0" collapsed="false">
      <c r="A98" s="69"/>
      <c r="B98" s="25"/>
      <c r="C98" s="25"/>
      <c r="D98" s="25"/>
      <c r="E98" s="25"/>
      <c r="F98" s="25"/>
      <c r="G98" s="70"/>
      <c r="H98" s="90" t="str">
        <f aca="false">IF(OR(A98="",B98=""),"",COUNTIFS(PT_Date,A98,PT_Equipe,B98,PT_Pres,"P")+0.5*COUNTIFS(PT_Date,A98,PT_Equipe,B98,PT_Pres,"1/2"))</f>
        <v/>
      </c>
      <c r="I98" s="90" t="str">
        <f aca="false">IF(H98="","",H98-N(G98))</f>
        <v/>
      </c>
      <c r="J98" s="25"/>
      <c r="K98" s="74" t="str">
        <f aca="false">IF(OR(A98="",A98&lt;&gt;P_DateRef),"",COUNTIF($A$7:A98,P_DateRef))</f>
        <v/>
      </c>
    </row>
    <row r="99" customFormat="false" ht="15" hidden="false" customHeight="false" outlineLevel="0" collapsed="false">
      <c r="A99" s="69"/>
      <c r="B99" s="25"/>
      <c r="C99" s="25"/>
      <c r="D99" s="25"/>
      <c r="E99" s="25"/>
      <c r="F99" s="25"/>
      <c r="G99" s="70"/>
      <c r="H99" s="90" t="str">
        <f aca="false">IF(OR(A99="",B99=""),"",COUNTIFS(PT_Date,A99,PT_Equipe,B99,PT_Pres,"P")+0.5*COUNTIFS(PT_Date,A99,PT_Equipe,B99,PT_Pres,"1/2"))</f>
        <v/>
      </c>
      <c r="I99" s="90" t="str">
        <f aca="false">IF(H99="","",H99-N(G99))</f>
        <v/>
      </c>
      <c r="J99" s="25"/>
      <c r="K99" s="74" t="str">
        <f aca="false">IF(OR(A99="",A99&lt;&gt;P_DateRef),"",COUNTIF($A$7:A99,P_DateRef))</f>
        <v/>
      </c>
    </row>
    <row r="100" customFormat="false" ht="15" hidden="false" customHeight="false" outlineLevel="0" collapsed="false">
      <c r="A100" s="69"/>
      <c r="B100" s="25"/>
      <c r="C100" s="25"/>
      <c r="D100" s="25"/>
      <c r="E100" s="25"/>
      <c r="F100" s="25"/>
      <c r="G100" s="70"/>
      <c r="H100" s="90" t="str">
        <f aca="false">IF(OR(A100="",B100=""),"",COUNTIFS(PT_Date,A100,PT_Equipe,B100,PT_Pres,"P")+0.5*COUNTIFS(PT_Date,A100,PT_Equipe,B100,PT_Pres,"1/2"))</f>
        <v/>
      </c>
      <c r="I100" s="90" t="str">
        <f aca="false">IF(H100="","",H100-N(G100))</f>
        <v/>
      </c>
      <c r="J100" s="25"/>
      <c r="K100" s="74" t="str">
        <f aca="false">IF(OR(A100="",A100&lt;&gt;P_DateRef),"",COUNTIF($A$7:A100,P_DateRef))</f>
        <v/>
      </c>
    </row>
    <row r="101" customFormat="false" ht="15" hidden="false" customHeight="false" outlineLevel="0" collapsed="false">
      <c r="A101" s="69"/>
      <c r="B101" s="25"/>
      <c r="C101" s="25"/>
      <c r="D101" s="25"/>
      <c r="E101" s="25"/>
      <c r="F101" s="25"/>
      <c r="G101" s="70"/>
      <c r="H101" s="90" t="str">
        <f aca="false">IF(OR(A101="",B101=""),"",COUNTIFS(PT_Date,A101,PT_Equipe,B101,PT_Pres,"P")+0.5*COUNTIFS(PT_Date,A101,PT_Equipe,B101,PT_Pres,"1/2"))</f>
        <v/>
      </c>
      <c r="I101" s="90" t="str">
        <f aca="false">IF(H101="","",H101-N(G101))</f>
        <v/>
      </c>
      <c r="J101" s="25"/>
      <c r="K101" s="74" t="str">
        <f aca="false">IF(OR(A101="",A101&lt;&gt;P_DateRef),"",COUNTIF($A$7:A101,P_DateRef))</f>
        <v/>
      </c>
    </row>
    <row r="102" customFormat="false" ht="15" hidden="false" customHeight="false" outlineLevel="0" collapsed="false">
      <c r="A102" s="69"/>
      <c r="B102" s="25"/>
      <c r="C102" s="25"/>
      <c r="D102" s="25"/>
      <c r="E102" s="25"/>
      <c r="F102" s="25"/>
      <c r="G102" s="70"/>
      <c r="H102" s="90" t="str">
        <f aca="false">IF(OR(A102="",B102=""),"",COUNTIFS(PT_Date,A102,PT_Equipe,B102,PT_Pres,"P")+0.5*COUNTIFS(PT_Date,A102,PT_Equipe,B102,PT_Pres,"1/2"))</f>
        <v/>
      </c>
      <c r="I102" s="90" t="str">
        <f aca="false">IF(H102="","",H102-N(G102))</f>
        <v/>
      </c>
      <c r="J102" s="25"/>
      <c r="K102" s="74" t="str">
        <f aca="false">IF(OR(A102="",A102&lt;&gt;P_DateRef),"",COUNTIF($A$7:A102,P_DateRef))</f>
        <v/>
      </c>
    </row>
    <row r="103" customFormat="false" ht="15" hidden="false" customHeight="false" outlineLevel="0" collapsed="false">
      <c r="A103" s="69"/>
      <c r="B103" s="25"/>
      <c r="C103" s="25"/>
      <c r="D103" s="25"/>
      <c r="E103" s="25"/>
      <c r="F103" s="25"/>
      <c r="G103" s="70"/>
      <c r="H103" s="90" t="str">
        <f aca="false">IF(OR(A103="",B103=""),"",COUNTIFS(PT_Date,A103,PT_Equipe,B103,PT_Pres,"P")+0.5*COUNTIFS(PT_Date,A103,PT_Equipe,B103,PT_Pres,"1/2"))</f>
        <v/>
      </c>
      <c r="I103" s="90" t="str">
        <f aca="false">IF(H103="","",H103-N(G103))</f>
        <v/>
      </c>
      <c r="J103" s="25"/>
      <c r="K103" s="74" t="str">
        <f aca="false">IF(OR(A103="",A103&lt;&gt;P_DateRef),"",COUNTIF($A$7:A103,P_DateRef))</f>
        <v/>
      </c>
    </row>
    <row r="104" customFormat="false" ht="15" hidden="false" customHeight="false" outlineLevel="0" collapsed="false">
      <c r="A104" s="69"/>
      <c r="B104" s="25"/>
      <c r="C104" s="25"/>
      <c r="D104" s="25"/>
      <c r="E104" s="25"/>
      <c r="F104" s="25"/>
      <c r="G104" s="70"/>
      <c r="H104" s="90" t="str">
        <f aca="false">IF(OR(A104="",B104=""),"",COUNTIFS(PT_Date,A104,PT_Equipe,B104,PT_Pres,"P")+0.5*COUNTIFS(PT_Date,A104,PT_Equipe,B104,PT_Pres,"1/2"))</f>
        <v/>
      </c>
      <c r="I104" s="90" t="str">
        <f aca="false">IF(H104="","",H104-N(G104))</f>
        <v/>
      </c>
      <c r="J104" s="25"/>
      <c r="K104" s="74" t="str">
        <f aca="false">IF(OR(A104="",A104&lt;&gt;P_DateRef),"",COUNTIF($A$7:A104,P_DateRef))</f>
        <v/>
      </c>
    </row>
    <row r="105" customFormat="false" ht="15" hidden="false" customHeight="false" outlineLevel="0" collapsed="false">
      <c r="A105" s="69"/>
      <c r="B105" s="25"/>
      <c r="C105" s="25"/>
      <c r="D105" s="25"/>
      <c r="E105" s="25"/>
      <c r="F105" s="25"/>
      <c r="G105" s="70"/>
      <c r="H105" s="90" t="str">
        <f aca="false">IF(OR(A105="",B105=""),"",COUNTIFS(PT_Date,A105,PT_Equipe,B105,PT_Pres,"P")+0.5*COUNTIFS(PT_Date,A105,PT_Equipe,B105,PT_Pres,"1/2"))</f>
        <v/>
      </c>
      <c r="I105" s="90" t="str">
        <f aca="false">IF(H105="","",H105-N(G105))</f>
        <v/>
      </c>
      <c r="J105" s="25"/>
      <c r="K105" s="74" t="str">
        <f aca="false">IF(OR(A105="",A105&lt;&gt;P_DateRef),"",COUNTIF($A$7:A105,P_DateRef))</f>
        <v/>
      </c>
    </row>
    <row r="106" customFormat="false" ht="15" hidden="false" customHeight="false" outlineLevel="0" collapsed="false">
      <c r="A106" s="69"/>
      <c r="B106" s="25"/>
      <c r="C106" s="25"/>
      <c r="D106" s="25"/>
      <c r="E106" s="25"/>
      <c r="F106" s="25"/>
      <c r="G106" s="70"/>
      <c r="H106" s="90" t="str">
        <f aca="false">IF(OR(A106="",B106=""),"",COUNTIFS(PT_Date,A106,PT_Equipe,B106,PT_Pres,"P")+0.5*COUNTIFS(PT_Date,A106,PT_Equipe,B106,PT_Pres,"1/2"))</f>
        <v/>
      </c>
      <c r="I106" s="90" t="str">
        <f aca="false">IF(H106="","",H106-N(G106))</f>
        <v/>
      </c>
      <c r="J106" s="25"/>
      <c r="K106" s="74" t="str">
        <f aca="false">IF(OR(A106="",A106&lt;&gt;P_DateRef),"",COUNTIF($A$7:A106,P_DateRef))</f>
        <v/>
      </c>
    </row>
    <row r="107" customFormat="false" ht="15" hidden="false" customHeight="false" outlineLevel="0" collapsed="false">
      <c r="A107" s="69"/>
      <c r="B107" s="25"/>
      <c r="C107" s="25"/>
      <c r="D107" s="25"/>
      <c r="E107" s="25"/>
      <c r="F107" s="25"/>
      <c r="G107" s="70"/>
      <c r="H107" s="90" t="str">
        <f aca="false">IF(OR(A107="",B107=""),"",COUNTIFS(PT_Date,A107,PT_Equipe,B107,PT_Pres,"P")+0.5*COUNTIFS(PT_Date,A107,PT_Equipe,B107,PT_Pres,"1/2"))</f>
        <v/>
      </c>
      <c r="I107" s="90" t="str">
        <f aca="false">IF(H107="","",H107-N(G107))</f>
        <v/>
      </c>
      <c r="J107" s="25"/>
      <c r="K107" s="74" t="str">
        <f aca="false">IF(OR(A107="",A107&lt;&gt;P_DateRef),"",COUNTIF($A$7:A107,P_DateRef))</f>
        <v/>
      </c>
    </row>
    <row r="108" customFormat="false" ht="15" hidden="false" customHeight="false" outlineLevel="0" collapsed="false">
      <c r="A108" s="69"/>
      <c r="B108" s="25"/>
      <c r="C108" s="25"/>
      <c r="D108" s="25"/>
      <c r="E108" s="25"/>
      <c r="F108" s="25"/>
      <c r="G108" s="70"/>
      <c r="H108" s="90" t="str">
        <f aca="false">IF(OR(A108="",B108=""),"",COUNTIFS(PT_Date,A108,PT_Equipe,B108,PT_Pres,"P")+0.5*COUNTIFS(PT_Date,A108,PT_Equipe,B108,PT_Pres,"1/2"))</f>
        <v/>
      </c>
      <c r="I108" s="90" t="str">
        <f aca="false">IF(H108="","",H108-N(G108))</f>
        <v/>
      </c>
      <c r="J108" s="25"/>
      <c r="K108" s="74" t="str">
        <f aca="false">IF(OR(A108="",A108&lt;&gt;P_DateRef),"",COUNTIF($A$7:A108,P_DateRef))</f>
        <v/>
      </c>
    </row>
    <row r="109" customFormat="false" ht="15" hidden="false" customHeight="false" outlineLevel="0" collapsed="false">
      <c r="A109" s="69"/>
      <c r="B109" s="25"/>
      <c r="C109" s="25"/>
      <c r="D109" s="25"/>
      <c r="E109" s="25"/>
      <c r="F109" s="25"/>
      <c r="G109" s="70"/>
      <c r="H109" s="90" t="str">
        <f aca="false">IF(OR(A109="",B109=""),"",COUNTIFS(PT_Date,A109,PT_Equipe,B109,PT_Pres,"P")+0.5*COUNTIFS(PT_Date,A109,PT_Equipe,B109,PT_Pres,"1/2"))</f>
        <v/>
      </c>
      <c r="I109" s="90" t="str">
        <f aca="false">IF(H109="","",H109-N(G109))</f>
        <v/>
      </c>
      <c r="J109" s="25"/>
      <c r="K109" s="74" t="str">
        <f aca="false">IF(OR(A109="",A109&lt;&gt;P_DateRef),"",COUNTIF($A$7:A109,P_DateRef))</f>
        <v/>
      </c>
    </row>
    <row r="110" customFormat="false" ht="15" hidden="false" customHeight="false" outlineLevel="0" collapsed="false">
      <c r="A110" s="69"/>
      <c r="B110" s="25"/>
      <c r="C110" s="25"/>
      <c r="D110" s="25"/>
      <c r="E110" s="25"/>
      <c r="F110" s="25"/>
      <c r="G110" s="70"/>
      <c r="H110" s="90" t="str">
        <f aca="false">IF(OR(A110="",B110=""),"",COUNTIFS(PT_Date,A110,PT_Equipe,B110,PT_Pres,"P")+0.5*COUNTIFS(PT_Date,A110,PT_Equipe,B110,PT_Pres,"1/2"))</f>
        <v/>
      </c>
      <c r="I110" s="90" t="str">
        <f aca="false">IF(H110="","",H110-N(G110))</f>
        <v/>
      </c>
      <c r="J110" s="25"/>
      <c r="K110" s="74" t="str">
        <f aca="false">IF(OR(A110="",A110&lt;&gt;P_DateRef),"",COUNTIF($A$7:A110,P_DateRef))</f>
        <v/>
      </c>
    </row>
    <row r="111" customFormat="false" ht="15" hidden="false" customHeight="false" outlineLevel="0" collapsed="false">
      <c r="A111" s="69"/>
      <c r="B111" s="25"/>
      <c r="C111" s="25"/>
      <c r="D111" s="25"/>
      <c r="E111" s="25"/>
      <c r="F111" s="25"/>
      <c r="G111" s="70"/>
      <c r="H111" s="90" t="str">
        <f aca="false">IF(OR(A111="",B111=""),"",COUNTIFS(PT_Date,A111,PT_Equipe,B111,PT_Pres,"P")+0.5*COUNTIFS(PT_Date,A111,PT_Equipe,B111,PT_Pres,"1/2"))</f>
        <v/>
      </c>
      <c r="I111" s="90" t="str">
        <f aca="false">IF(H111="","",H111-N(G111))</f>
        <v/>
      </c>
      <c r="J111" s="25"/>
      <c r="K111" s="74" t="str">
        <f aca="false">IF(OR(A111="",A111&lt;&gt;P_DateRef),"",COUNTIF($A$7:A111,P_DateRef))</f>
        <v/>
      </c>
    </row>
    <row r="112" customFormat="false" ht="15" hidden="false" customHeight="false" outlineLevel="0" collapsed="false">
      <c r="A112" s="69"/>
      <c r="B112" s="25"/>
      <c r="C112" s="25"/>
      <c r="D112" s="25"/>
      <c r="E112" s="25"/>
      <c r="F112" s="25"/>
      <c r="G112" s="70"/>
      <c r="H112" s="90" t="str">
        <f aca="false">IF(OR(A112="",B112=""),"",COUNTIFS(PT_Date,A112,PT_Equipe,B112,PT_Pres,"P")+0.5*COUNTIFS(PT_Date,A112,PT_Equipe,B112,PT_Pres,"1/2"))</f>
        <v/>
      </c>
      <c r="I112" s="90" t="str">
        <f aca="false">IF(H112="","",H112-N(G112))</f>
        <v/>
      </c>
      <c r="J112" s="25"/>
      <c r="K112" s="74" t="str">
        <f aca="false">IF(OR(A112="",A112&lt;&gt;P_DateRef),"",COUNTIF($A$7:A112,P_DateRef))</f>
        <v/>
      </c>
    </row>
    <row r="113" customFormat="false" ht="15" hidden="false" customHeight="false" outlineLevel="0" collapsed="false">
      <c r="A113" s="69"/>
      <c r="B113" s="25"/>
      <c r="C113" s="25"/>
      <c r="D113" s="25"/>
      <c r="E113" s="25"/>
      <c r="F113" s="25"/>
      <c r="G113" s="70"/>
      <c r="H113" s="90" t="str">
        <f aca="false">IF(OR(A113="",B113=""),"",COUNTIFS(PT_Date,A113,PT_Equipe,B113,PT_Pres,"P")+0.5*COUNTIFS(PT_Date,A113,PT_Equipe,B113,PT_Pres,"1/2"))</f>
        <v/>
      </c>
      <c r="I113" s="90" t="str">
        <f aca="false">IF(H113="","",H113-N(G113))</f>
        <v/>
      </c>
      <c r="J113" s="25"/>
      <c r="K113" s="74" t="str">
        <f aca="false">IF(OR(A113="",A113&lt;&gt;P_DateRef),"",COUNTIF($A$7:A113,P_DateRef))</f>
        <v/>
      </c>
    </row>
    <row r="114" customFormat="false" ht="15" hidden="false" customHeight="false" outlineLevel="0" collapsed="false">
      <c r="A114" s="69"/>
      <c r="B114" s="25"/>
      <c r="C114" s="25"/>
      <c r="D114" s="25"/>
      <c r="E114" s="25"/>
      <c r="F114" s="25"/>
      <c r="G114" s="70"/>
      <c r="H114" s="90" t="str">
        <f aca="false">IF(OR(A114="",B114=""),"",COUNTIFS(PT_Date,A114,PT_Equipe,B114,PT_Pres,"P")+0.5*COUNTIFS(PT_Date,A114,PT_Equipe,B114,PT_Pres,"1/2"))</f>
        <v/>
      </c>
      <c r="I114" s="90" t="str">
        <f aca="false">IF(H114="","",H114-N(G114))</f>
        <v/>
      </c>
      <c r="J114" s="25"/>
      <c r="K114" s="74" t="str">
        <f aca="false">IF(OR(A114="",A114&lt;&gt;P_DateRef),"",COUNTIF($A$7:A114,P_DateRef))</f>
        <v/>
      </c>
    </row>
    <row r="115" customFormat="false" ht="15" hidden="false" customHeight="false" outlineLevel="0" collapsed="false">
      <c r="A115" s="69"/>
      <c r="B115" s="25"/>
      <c r="C115" s="25"/>
      <c r="D115" s="25"/>
      <c r="E115" s="25"/>
      <c r="F115" s="25"/>
      <c r="G115" s="70"/>
      <c r="H115" s="90" t="str">
        <f aca="false">IF(OR(A115="",B115=""),"",COUNTIFS(PT_Date,A115,PT_Equipe,B115,PT_Pres,"P")+0.5*COUNTIFS(PT_Date,A115,PT_Equipe,B115,PT_Pres,"1/2"))</f>
        <v/>
      </c>
      <c r="I115" s="90" t="str">
        <f aca="false">IF(H115="","",H115-N(G115))</f>
        <v/>
      </c>
      <c r="J115" s="25"/>
      <c r="K115" s="74" t="str">
        <f aca="false">IF(OR(A115="",A115&lt;&gt;P_DateRef),"",COUNTIF($A$7:A115,P_DateRef))</f>
        <v/>
      </c>
    </row>
    <row r="116" customFormat="false" ht="15" hidden="false" customHeight="false" outlineLevel="0" collapsed="false">
      <c r="A116" s="69"/>
      <c r="B116" s="25"/>
      <c r="C116" s="25"/>
      <c r="D116" s="25"/>
      <c r="E116" s="25"/>
      <c r="F116" s="25"/>
      <c r="G116" s="70"/>
      <c r="H116" s="90" t="str">
        <f aca="false">IF(OR(A116="",B116=""),"",COUNTIFS(PT_Date,A116,PT_Equipe,B116,PT_Pres,"P")+0.5*COUNTIFS(PT_Date,A116,PT_Equipe,B116,PT_Pres,"1/2"))</f>
        <v/>
      </c>
      <c r="I116" s="90" t="str">
        <f aca="false">IF(H116="","",H116-N(G116))</f>
        <v/>
      </c>
      <c r="J116" s="25"/>
      <c r="K116" s="74" t="str">
        <f aca="false">IF(OR(A116="",A116&lt;&gt;P_DateRef),"",COUNTIF($A$7:A116,P_DateRef))</f>
        <v/>
      </c>
    </row>
    <row r="117" customFormat="false" ht="15" hidden="false" customHeight="false" outlineLevel="0" collapsed="false">
      <c r="A117" s="69"/>
      <c r="B117" s="25"/>
      <c r="C117" s="25"/>
      <c r="D117" s="25"/>
      <c r="E117" s="25"/>
      <c r="F117" s="25"/>
      <c r="G117" s="70"/>
      <c r="H117" s="90" t="str">
        <f aca="false">IF(OR(A117="",B117=""),"",COUNTIFS(PT_Date,A117,PT_Equipe,B117,PT_Pres,"P")+0.5*COUNTIFS(PT_Date,A117,PT_Equipe,B117,PT_Pres,"1/2"))</f>
        <v/>
      </c>
      <c r="I117" s="90" t="str">
        <f aca="false">IF(H117="","",H117-N(G117))</f>
        <v/>
      </c>
      <c r="J117" s="25"/>
      <c r="K117" s="74" t="str">
        <f aca="false">IF(OR(A117="",A117&lt;&gt;P_DateRef),"",COUNTIF($A$7:A117,P_DateRef))</f>
        <v/>
      </c>
    </row>
    <row r="118" customFormat="false" ht="15" hidden="false" customHeight="false" outlineLevel="0" collapsed="false">
      <c r="A118" s="69"/>
      <c r="B118" s="25"/>
      <c r="C118" s="25"/>
      <c r="D118" s="25"/>
      <c r="E118" s="25"/>
      <c r="F118" s="25"/>
      <c r="G118" s="70"/>
      <c r="H118" s="90" t="str">
        <f aca="false">IF(OR(A118="",B118=""),"",COUNTIFS(PT_Date,A118,PT_Equipe,B118,PT_Pres,"P")+0.5*COUNTIFS(PT_Date,A118,PT_Equipe,B118,PT_Pres,"1/2"))</f>
        <v/>
      </c>
      <c r="I118" s="90" t="str">
        <f aca="false">IF(H118="","",H118-N(G118))</f>
        <v/>
      </c>
      <c r="J118" s="25"/>
      <c r="K118" s="74" t="str">
        <f aca="false">IF(OR(A118="",A118&lt;&gt;P_DateRef),"",COUNTIF($A$7:A118,P_DateRef))</f>
        <v/>
      </c>
    </row>
    <row r="119" customFormat="false" ht="15" hidden="false" customHeight="false" outlineLevel="0" collapsed="false">
      <c r="A119" s="69"/>
      <c r="B119" s="25"/>
      <c r="C119" s="25"/>
      <c r="D119" s="25"/>
      <c r="E119" s="25"/>
      <c r="F119" s="25"/>
      <c r="G119" s="70"/>
      <c r="H119" s="90" t="str">
        <f aca="false">IF(OR(A119="",B119=""),"",COUNTIFS(PT_Date,A119,PT_Equipe,B119,PT_Pres,"P")+0.5*COUNTIFS(PT_Date,A119,PT_Equipe,B119,PT_Pres,"1/2"))</f>
        <v/>
      </c>
      <c r="I119" s="90" t="str">
        <f aca="false">IF(H119="","",H119-N(G119))</f>
        <v/>
      </c>
      <c r="J119" s="25"/>
      <c r="K119" s="74" t="str">
        <f aca="false">IF(OR(A119="",A119&lt;&gt;P_DateRef),"",COUNTIF($A$7:A119,P_DateRef))</f>
        <v/>
      </c>
    </row>
    <row r="120" customFormat="false" ht="15" hidden="false" customHeight="false" outlineLevel="0" collapsed="false">
      <c r="A120" s="69"/>
      <c r="B120" s="25"/>
      <c r="C120" s="25"/>
      <c r="D120" s="25"/>
      <c r="E120" s="25"/>
      <c r="F120" s="25"/>
      <c r="G120" s="70"/>
      <c r="H120" s="90" t="str">
        <f aca="false">IF(OR(A120="",B120=""),"",COUNTIFS(PT_Date,A120,PT_Equipe,B120,PT_Pres,"P")+0.5*COUNTIFS(PT_Date,A120,PT_Equipe,B120,PT_Pres,"1/2"))</f>
        <v/>
      </c>
      <c r="I120" s="90" t="str">
        <f aca="false">IF(H120="","",H120-N(G120))</f>
        <v/>
      </c>
      <c r="J120" s="25"/>
      <c r="K120" s="74" t="str">
        <f aca="false">IF(OR(A120="",A120&lt;&gt;P_DateRef),"",COUNTIF($A$7:A120,P_DateRef))</f>
        <v/>
      </c>
    </row>
    <row r="121" customFormat="false" ht="15" hidden="false" customHeight="false" outlineLevel="0" collapsed="false">
      <c r="A121" s="69"/>
      <c r="B121" s="25"/>
      <c r="C121" s="25"/>
      <c r="D121" s="25"/>
      <c r="E121" s="25"/>
      <c r="F121" s="25"/>
      <c r="G121" s="70"/>
      <c r="H121" s="90" t="str">
        <f aca="false">IF(OR(A121="",B121=""),"",COUNTIFS(PT_Date,A121,PT_Equipe,B121,PT_Pres,"P")+0.5*COUNTIFS(PT_Date,A121,PT_Equipe,B121,PT_Pres,"1/2"))</f>
        <v/>
      </c>
      <c r="I121" s="90" t="str">
        <f aca="false">IF(H121="","",H121-N(G121))</f>
        <v/>
      </c>
      <c r="J121" s="25"/>
      <c r="K121" s="74" t="str">
        <f aca="false">IF(OR(A121="",A121&lt;&gt;P_DateRef),"",COUNTIF($A$7:A121,P_DateRef))</f>
        <v/>
      </c>
    </row>
    <row r="122" customFormat="false" ht="15" hidden="false" customHeight="false" outlineLevel="0" collapsed="false">
      <c r="A122" s="69"/>
      <c r="B122" s="25"/>
      <c r="C122" s="25"/>
      <c r="D122" s="25"/>
      <c r="E122" s="25"/>
      <c r="F122" s="25"/>
      <c r="G122" s="70"/>
      <c r="H122" s="90" t="str">
        <f aca="false">IF(OR(A122="",B122=""),"",COUNTIFS(PT_Date,A122,PT_Equipe,B122,PT_Pres,"P")+0.5*COUNTIFS(PT_Date,A122,PT_Equipe,B122,PT_Pres,"1/2"))</f>
        <v/>
      </c>
      <c r="I122" s="90" t="str">
        <f aca="false">IF(H122="","",H122-N(G122))</f>
        <v/>
      </c>
      <c r="J122" s="25"/>
      <c r="K122" s="74" t="str">
        <f aca="false">IF(OR(A122="",A122&lt;&gt;P_DateRef),"",COUNTIF($A$7:A122,P_DateRef))</f>
        <v/>
      </c>
    </row>
    <row r="123" customFormat="false" ht="15" hidden="false" customHeight="false" outlineLevel="0" collapsed="false">
      <c r="A123" s="69"/>
      <c r="B123" s="25"/>
      <c r="C123" s="25"/>
      <c r="D123" s="25"/>
      <c r="E123" s="25"/>
      <c r="F123" s="25"/>
      <c r="G123" s="70"/>
      <c r="H123" s="90" t="str">
        <f aca="false">IF(OR(A123="",B123=""),"",COUNTIFS(PT_Date,A123,PT_Equipe,B123,PT_Pres,"P")+0.5*COUNTIFS(PT_Date,A123,PT_Equipe,B123,PT_Pres,"1/2"))</f>
        <v/>
      </c>
      <c r="I123" s="90" t="str">
        <f aca="false">IF(H123="","",H123-N(G123))</f>
        <v/>
      </c>
      <c r="J123" s="25"/>
      <c r="K123" s="74" t="str">
        <f aca="false">IF(OR(A123="",A123&lt;&gt;P_DateRef),"",COUNTIF($A$7:A123,P_DateRef))</f>
        <v/>
      </c>
    </row>
    <row r="124" customFormat="false" ht="15" hidden="false" customHeight="false" outlineLevel="0" collapsed="false">
      <c r="A124" s="69"/>
      <c r="B124" s="25"/>
      <c r="C124" s="25"/>
      <c r="D124" s="25"/>
      <c r="E124" s="25"/>
      <c r="F124" s="25"/>
      <c r="G124" s="70"/>
      <c r="H124" s="90" t="str">
        <f aca="false">IF(OR(A124="",B124=""),"",COUNTIFS(PT_Date,A124,PT_Equipe,B124,PT_Pres,"P")+0.5*COUNTIFS(PT_Date,A124,PT_Equipe,B124,PT_Pres,"1/2"))</f>
        <v/>
      </c>
      <c r="I124" s="90" t="str">
        <f aca="false">IF(H124="","",H124-N(G124))</f>
        <v/>
      </c>
      <c r="J124" s="25"/>
      <c r="K124" s="74" t="str">
        <f aca="false">IF(OR(A124="",A124&lt;&gt;P_DateRef),"",COUNTIF($A$7:A124,P_DateRef))</f>
        <v/>
      </c>
    </row>
    <row r="125" customFormat="false" ht="15" hidden="false" customHeight="false" outlineLevel="0" collapsed="false">
      <c r="A125" s="69"/>
      <c r="B125" s="25"/>
      <c r="C125" s="25"/>
      <c r="D125" s="25"/>
      <c r="E125" s="25"/>
      <c r="F125" s="25"/>
      <c r="G125" s="70"/>
      <c r="H125" s="90" t="str">
        <f aca="false">IF(OR(A125="",B125=""),"",COUNTIFS(PT_Date,A125,PT_Equipe,B125,PT_Pres,"P")+0.5*COUNTIFS(PT_Date,A125,PT_Equipe,B125,PT_Pres,"1/2"))</f>
        <v/>
      </c>
      <c r="I125" s="90" t="str">
        <f aca="false">IF(H125="","",H125-N(G125))</f>
        <v/>
      </c>
      <c r="J125" s="25"/>
      <c r="K125" s="74" t="str">
        <f aca="false">IF(OR(A125="",A125&lt;&gt;P_DateRef),"",COUNTIF($A$7:A125,P_DateRef))</f>
        <v/>
      </c>
    </row>
    <row r="126" customFormat="false" ht="15" hidden="false" customHeight="false" outlineLevel="0" collapsed="false">
      <c r="A126" s="69"/>
      <c r="B126" s="25"/>
      <c r="C126" s="25"/>
      <c r="D126" s="25"/>
      <c r="E126" s="25"/>
      <c r="F126" s="25"/>
      <c r="G126" s="70"/>
      <c r="H126" s="90" t="str">
        <f aca="false">IF(OR(A126="",B126=""),"",COUNTIFS(PT_Date,A126,PT_Equipe,B126,PT_Pres,"P")+0.5*COUNTIFS(PT_Date,A126,PT_Equipe,B126,PT_Pres,"1/2"))</f>
        <v/>
      </c>
      <c r="I126" s="90" t="str">
        <f aca="false">IF(H126="","",H126-N(G126))</f>
        <v/>
      </c>
      <c r="J126" s="25"/>
      <c r="K126" s="74" t="str">
        <f aca="false">IF(OR(A126="",A126&lt;&gt;P_DateRef),"",COUNTIF($A$7:A126,P_DateRef))</f>
        <v/>
      </c>
    </row>
    <row r="127" customFormat="false" ht="15" hidden="false" customHeight="false" outlineLevel="0" collapsed="false">
      <c r="A127" s="69"/>
      <c r="B127" s="25"/>
      <c r="C127" s="25"/>
      <c r="D127" s="25"/>
      <c r="E127" s="25"/>
      <c r="F127" s="25"/>
      <c r="G127" s="70"/>
      <c r="H127" s="90" t="str">
        <f aca="false">IF(OR(A127="",B127=""),"",COUNTIFS(PT_Date,A127,PT_Equipe,B127,PT_Pres,"P")+0.5*COUNTIFS(PT_Date,A127,PT_Equipe,B127,PT_Pres,"1/2"))</f>
        <v/>
      </c>
      <c r="I127" s="90" t="str">
        <f aca="false">IF(H127="","",H127-N(G127))</f>
        <v/>
      </c>
      <c r="J127" s="25"/>
      <c r="K127" s="74" t="str">
        <f aca="false">IF(OR(A127="",A127&lt;&gt;P_DateRef),"",COUNTIF($A$7:A127,P_DateRef))</f>
        <v/>
      </c>
    </row>
    <row r="128" customFormat="false" ht="15" hidden="false" customHeight="false" outlineLevel="0" collapsed="false">
      <c r="A128" s="69"/>
      <c r="B128" s="25"/>
      <c r="C128" s="25"/>
      <c r="D128" s="25"/>
      <c r="E128" s="25"/>
      <c r="F128" s="25"/>
      <c r="G128" s="70"/>
      <c r="H128" s="90" t="str">
        <f aca="false">IF(OR(A128="",B128=""),"",COUNTIFS(PT_Date,A128,PT_Equipe,B128,PT_Pres,"P")+0.5*COUNTIFS(PT_Date,A128,PT_Equipe,B128,PT_Pres,"1/2"))</f>
        <v/>
      </c>
      <c r="I128" s="90" t="str">
        <f aca="false">IF(H128="","",H128-N(G128))</f>
        <v/>
      </c>
      <c r="J128" s="25"/>
      <c r="K128" s="74" t="str">
        <f aca="false">IF(OR(A128="",A128&lt;&gt;P_DateRef),"",COUNTIF($A$7:A128,P_DateRef))</f>
        <v/>
      </c>
    </row>
    <row r="129" customFormat="false" ht="15" hidden="false" customHeight="false" outlineLevel="0" collapsed="false">
      <c r="A129" s="69"/>
      <c r="B129" s="25"/>
      <c r="C129" s="25"/>
      <c r="D129" s="25"/>
      <c r="E129" s="25"/>
      <c r="F129" s="25"/>
      <c r="G129" s="70"/>
      <c r="H129" s="90" t="str">
        <f aca="false">IF(OR(A129="",B129=""),"",COUNTIFS(PT_Date,A129,PT_Equipe,B129,PT_Pres,"P")+0.5*COUNTIFS(PT_Date,A129,PT_Equipe,B129,PT_Pres,"1/2"))</f>
        <v/>
      </c>
      <c r="I129" s="90" t="str">
        <f aca="false">IF(H129="","",H129-N(G129))</f>
        <v/>
      </c>
      <c r="J129" s="25"/>
      <c r="K129" s="74" t="str">
        <f aca="false">IF(OR(A129="",A129&lt;&gt;P_DateRef),"",COUNTIF($A$7:A129,P_DateRef))</f>
        <v/>
      </c>
    </row>
    <row r="130" customFormat="false" ht="15" hidden="false" customHeight="false" outlineLevel="0" collapsed="false">
      <c r="A130" s="69"/>
      <c r="B130" s="25"/>
      <c r="C130" s="25"/>
      <c r="D130" s="25"/>
      <c r="E130" s="25"/>
      <c r="F130" s="25"/>
      <c r="G130" s="70"/>
      <c r="H130" s="90" t="str">
        <f aca="false">IF(OR(A130="",B130=""),"",COUNTIFS(PT_Date,A130,PT_Equipe,B130,PT_Pres,"P")+0.5*COUNTIFS(PT_Date,A130,PT_Equipe,B130,PT_Pres,"1/2"))</f>
        <v/>
      </c>
      <c r="I130" s="90" t="str">
        <f aca="false">IF(H130="","",H130-N(G130))</f>
        <v/>
      </c>
      <c r="J130" s="25"/>
      <c r="K130" s="74" t="str">
        <f aca="false">IF(OR(A130="",A130&lt;&gt;P_DateRef),"",COUNTIF($A$7:A130,P_DateRef))</f>
        <v/>
      </c>
    </row>
    <row r="131" customFormat="false" ht="15" hidden="false" customHeight="false" outlineLevel="0" collapsed="false">
      <c r="A131" s="69"/>
      <c r="B131" s="25"/>
      <c r="C131" s="25"/>
      <c r="D131" s="25"/>
      <c r="E131" s="25"/>
      <c r="F131" s="25"/>
      <c r="G131" s="70"/>
      <c r="H131" s="90" t="str">
        <f aca="false">IF(OR(A131="",B131=""),"",COUNTIFS(PT_Date,A131,PT_Equipe,B131,PT_Pres,"P")+0.5*COUNTIFS(PT_Date,A131,PT_Equipe,B131,PT_Pres,"1/2"))</f>
        <v/>
      </c>
      <c r="I131" s="90" t="str">
        <f aca="false">IF(H131="","",H131-N(G131))</f>
        <v/>
      </c>
      <c r="J131" s="25"/>
      <c r="K131" s="74" t="str">
        <f aca="false">IF(OR(A131="",A131&lt;&gt;P_DateRef),"",COUNTIF($A$7:A131,P_DateRef))</f>
        <v/>
      </c>
    </row>
    <row r="132" customFormat="false" ht="15" hidden="false" customHeight="false" outlineLevel="0" collapsed="false">
      <c r="A132" s="69"/>
      <c r="B132" s="25"/>
      <c r="C132" s="25"/>
      <c r="D132" s="25"/>
      <c r="E132" s="25"/>
      <c r="F132" s="25"/>
      <c r="G132" s="70"/>
      <c r="H132" s="90" t="str">
        <f aca="false">IF(OR(A132="",B132=""),"",COUNTIFS(PT_Date,A132,PT_Equipe,B132,PT_Pres,"P")+0.5*COUNTIFS(PT_Date,A132,PT_Equipe,B132,PT_Pres,"1/2"))</f>
        <v/>
      </c>
      <c r="I132" s="90" t="str">
        <f aca="false">IF(H132="","",H132-N(G132))</f>
        <v/>
      </c>
      <c r="J132" s="25"/>
      <c r="K132" s="74" t="str">
        <f aca="false">IF(OR(A132="",A132&lt;&gt;P_DateRef),"",COUNTIF($A$7:A132,P_DateRef))</f>
        <v/>
      </c>
    </row>
    <row r="133" customFormat="false" ht="15" hidden="false" customHeight="false" outlineLevel="0" collapsed="false">
      <c r="A133" s="69"/>
      <c r="B133" s="25"/>
      <c r="C133" s="25"/>
      <c r="D133" s="25"/>
      <c r="E133" s="25"/>
      <c r="F133" s="25"/>
      <c r="G133" s="70"/>
      <c r="H133" s="90" t="str">
        <f aca="false">IF(OR(A133="",B133=""),"",COUNTIFS(PT_Date,A133,PT_Equipe,B133,PT_Pres,"P")+0.5*COUNTIFS(PT_Date,A133,PT_Equipe,B133,PT_Pres,"1/2"))</f>
        <v/>
      </c>
      <c r="I133" s="90" t="str">
        <f aca="false">IF(H133="","",H133-N(G133))</f>
        <v/>
      </c>
      <c r="J133" s="25"/>
      <c r="K133" s="74" t="str">
        <f aca="false">IF(OR(A133="",A133&lt;&gt;P_DateRef),"",COUNTIF($A$7:A133,P_DateRef))</f>
        <v/>
      </c>
    </row>
    <row r="134" customFormat="false" ht="15" hidden="false" customHeight="false" outlineLevel="0" collapsed="false">
      <c r="A134" s="69"/>
      <c r="B134" s="25"/>
      <c r="C134" s="25"/>
      <c r="D134" s="25"/>
      <c r="E134" s="25"/>
      <c r="F134" s="25"/>
      <c r="G134" s="70"/>
      <c r="H134" s="90" t="str">
        <f aca="false">IF(OR(A134="",B134=""),"",COUNTIFS(PT_Date,A134,PT_Equipe,B134,PT_Pres,"P")+0.5*COUNTIFS(PT_Date,A134,PT_Equipe,B134,PT_Pres,"1/2"))</f>
        <v/>
      </c>
      <c r="I134" s="90" t="str">
        <f aca="false">IF(H134="","",H134-N(G134))</f>
        <v/>
      </c>
      <c r="J134" s="25"/>
      <c r="K134" s="74" t="str">
        <f aca="false">IF(OR(A134="",A134&lt;&gt;P_DateRef),"",COUNTIF($A$7:A134,P_DateRef))</f>
        <v/>
      </c>
    </row>
    <row r="135" customFormat="false" ht="15" hidden="false" customHeight="false" outlineLevel="0" collapsed="false">
      <c r="A135" s="69"/>
      <c r="B135" s="25"/>
      <c r="C135" s="25"/>
      <c r="D135" s="25"/>
      <c r="E135" s="25"/>
      <c r="F135" s="25"/>
      <c r="G135" s="70"/>
      <c r="H135" s="90" t="str">
        <f aca="false">IF(OR(A135="",B135=""),"",COUNTIFS(PT_Date,A135,PT_Equipe,B135,PT_Pres,"P")+0.5*COUNTIFS(PT_Date,A135,PT_Equipe,B135,PT_Pres,"1/2"))</f>
        <v/>
      </c>
      <c r="I135" s="90" t="str">
        <f aca="false">IF(H135="","",H135-N(G135))</f>
        <v/>
      </c>
      <c r="J135" s="25"/>
      <c r="K135" s="74" t="str">
        <f aca="false">IF(OR(A135="",A135&lt;&gt;P_DateRef),"",COUNTIF($A$7:A135,P_DateRef))</f>
        <v/>
      </c>
    </row>
    <row r="136" customFormat="false" ht="15" hidden="false" customHeight="false" outlineLevel="0" collapsed="false">
      <c r="A136" s="69"/>
      <c r="B136" s="25"/>
      <c r="C136" s="25"/>
      <c r="D136" s="25"/>
      <c r="E136" s="25"/>
      <c r="F136" s="25"/>
      <c r="G136" s="70"/>
      <c r="H136" s="90" t="str">
        <f aca="false">IF(OR(A136="",B136=""),"",COUNTIFS(PT_Date,A136,PT_Equipe,B136,PT_Pres,"P")+0.5*COUNTIFS(PT_Date,A136,PT_Equipe,B136,PT_Pres,"1/2"))</f>
        <v/>
      </c>
      <c r="I136" s="90" t="str">
        <f aca="false">IF(H136="","",H136-N(G136))</f>
        <v/>
      </c>
      <c r="J136" s="25"/>
      <c r="K136" s="74" t="str">
        <f aca="false">IF(OR(A136="",A136&lt;&gt;P_DateRef),"",COUNTIF($A$7:A136,P_DateRef))</f>
        <v/>
      </c>
    </row>
    <row r="137" customFormat="false" ht="15" hidden="false" customHeight="false" outlineLevel="0" collapsed="false">
      <c r="A137" s="69"/>
      <c r="B137" s="25"/>
      <c r="C137" s="25"/>
      <c r="D137" s="25"/>
      <c r="E137" s="25"/>
      <c r="F137" s="25"/>
      <c r="G137" s="70"/>
      <c r="H137" s="90" t="str">
        <f aca="false">IF(OR(A137="",B137=""),"",COUNTIFS(PT_Date,A137,PT_Equipe,B137,PT_Pres,"P")+0.5*COUNTIFS(PT_Date,A137,PT_Equipe,B137,PT_Pres,"1/2"))</f>
        <v/>
      </c>
      <c r="I137" s="90" t="str">
        <f aca="false">IF(H137="","",H137-N(G137))</f>
        <v/>
      </c>
      <c r="J137" s="25"/>
      <c r="K137" s="74" t="str">
        <f aca="false">IF(OR(A137="",A137&lt;&gt;P_DateRef),"",COUNTIF($A$7:A137,P_DateRef))</f>
        <v/>
      </c>
    </row>
    <row r="138" customFormat="false" ht="15" hidden="false" customHeight="false" outlineLevel="0" collapsed="false">
      <c r="A138" s="69"/>
      <c r="B138" s="25"/>
      <c r="C138" s="25"/>
      <c r="D138" s="25"/>
      <c r="E138" s="25"/>
      <c r="F138" s="25"/>
      <c r="G138" s="70"/>
      <c r="H138" s="90" t="str">
        <f aca="false">IF(OR(A138="",B138=""),"",COUNTIFS(PT_Date,A138,PT_Equipe,B138,PT_Pres,"P")+0.5*COUNTIFS(PT_Date,A138,PT_Equipe,B138,PT_Pres,"1/2"))</f>
        <v/>
      </c>
      <c r="I138" s="90" t="str">
        <f aca="false">IF(H138="","",H138-N(G138))</f>
        <v/>
      </c>
      <c r="J138" s="25"/>
      <c r="K138" s="74" t="str">
        <f aca="false">IF(OR(A138="",A138&lt;&gt;P_DateRef),"",COUNTIF($A$7:A138,P_DateRef))</f>
        <v/>
      </c>
    </row>
    <row r="139" customFormat="false" ht="15" hidden="false" customHeight="false" outlineLevel="0" collapsed="false">
      <c r="A139" s="69"/>
      <c r="B139" s="25"/>
      <c r="C139" s="25"/>
      <c r="D139" s="25"/>
      <c r="E139" s="25"/>
      <c r="F139" s="25"/>
      <c r="G139" s="70"/>
      <c r="H139" s="90" t="str">
        <f aca="false">IF(OR(A139="",B139=""),"",COUNTIFS(PT_Date,A139,PT_Equipe,B139,PT_Pres,"P")+0.5*COUNTIFS(PT_Date,A139,PT_Equipe,B139,PT_Pres,"1/2"))</f>
        <v/>
      </c>
      <c r="I139" s="90" t="str">
        <f aca="false">IF(H139="","",H139-N(G139))</f>
        <v/>
      </c>
      <c r="J139" s="25"/>
      <c r="K139" s="74" t="str">
        <f aca="false">IF(OR(A139="",A139&lt;&gt;P_DateRef),"",COUNTIF($A$7:A139,P_DateRef))</f>
        <v/>
      </c>
    </row>
    <row r="140" customFormat="false" ht="15" hidden="false" customHeight="false" outlineLevel="0" collapsed="false">
      <c r="A140" s="69"/>
      <c r="B140" s="25"/>
      <c r="C140" s="25"/>
      <c r="D140" s="25"/>
      <c r="E140" s="25"/>
      <c r="F140" s="25"/>
      <c r="G140" s="70"/>
      <c r="H140" s="90" t="str">
        <f aca="false">IF(OR(A140="",B140=""),"",COUNTIFS(PT_Date,A140,PT_Equipe,B140,PT_Pres,"P")+0.5*COUNTIFS(PT_Date,A140,PT_Equipe,B140,PT_Pres,"1/2"))</f>
        <v/>
      </c>
      <c r="I140" s="90" t="str">
        <f aca="false">IF(H140="","",H140-N(G140))</f>
        <v/>
      </c>
      <c r="J140" s="25"/>
      <c r="K140" s="74" t="str">
        <f aca="false">IF(OR(A140="",A140&lt;&gt;P_DateRef),"",COUNTIF($A$7:A140,P_DateRef))</f>
        <v/>
      </c>
    </row>
    <row r="141" customFormat="false" ht="15" hidden="false" customHeight="false" outlineLevel="0" collapsed="false">
      <c r="A141" s="69"/>
      <c r="B141" s="25"/>
      <c r="C141" s="25"/>
      <c r="D141" s="25"/>
      <c r="E141" s="25"/>
      <c r="F141" s="25"/>
      <c r="G141" s="70"/>
      <c r="H141" s="90" t="str">
        <f aca="false">IF(OR(A141="",B141=""),"",COUNTIFS(PT_Date,A141,PT_Equipe,B141,PT_Pres,"P")+0.5*COUNTIFS(PT_Date,A141,PT_Equipe,B141,PT_Pres,"1/2"))</f>
        <v/>
      </c>
      <c r="I141" s="90" t="str">
        <f aca="false">IF(H141="","",H141-N(G141))</f>
        <v/>
      </c>
      <c r="J141" s="25"/>
      <c r="K141" s="74" t="str">
        <f aca="false">IF(OR(A141="",A141&lt;&gt;P_DateRef),"",COUNTIF($A$7:A141,P_DateRef))</f>
        <v/>
      </c>
    </row>
    <row r="142" customFormat="false" ht="15" hidden="false" customHeight="false" outlineLevel="0" collapsed="false">
      <c r="A142" s="69"/>
      <c r="B142" s="25"/>
      <c r="C142" s="25"/>
      <c r="D142" s="25"/>
      <c r="E142" s="25"/>
      <c r="F142" s="25"/>
      <c r="G142" s="70"/>
      <c r="H142" s="90" t="str">
        <f aca="false">IF(OR(A142="",B142=""),"",COUNTIFS(PT_Date,A142,PT_Equipe,B142,PT_Pres,"P")+0.5*COUNTIFS(PT_Date,A142,PT_Equipe,B142,PT_Pres,"1/2"))</f>
        <v/>
      </c>
      <c r="I142" s="90" t="str">
        <f aca="false">IF(H142="","",H142-N(G142))</f>
        <v/>
      </c>
      <c r="J142" s="25"/>
      <c r="K142" s="74" t="str">
        <f aca="false">IF(OR(A142="",A142&lt;&gt;P_DateRef),"",COUNTIF($A$7:A142,P_DateRef))</f>
        <v/>
      </c>
    </row>
    <row r="143" customFormat="false" ht="15" hidden="false" customHeight="false" outlineLevel="0" collapsed="false">
      <c r="A143" s="69"/>
      <c r="B143" s="25"/>
      <c r="C143" s="25"/>
      <c r="D143" s="25"/>
      <c r="E143" s="25"/>
      <c r="F143" s="25"/>
      <c r="G143" s="70"/>
      <c r="H143" s="90" t="str">
        <f aca="false">IF(OR(A143="",B143=""),"",COUNTIFS(PT_Date,A143,PT_Equipe,B143,PT_Pres,"P")+0.5*COUNTIFS(PT_Date,A143,PT_Equipe,B143,PT_Pres,"1/2"))</f>
        <v/>
      </c>
      <c r="I143" s="90" t="str">
        <f aca="false">IF(H143="","",H143-N(G143))</f>
        <v/>
      </c>
      <c r="J143" s="25"/>
      <c r="K143" s="74" t="str">
        <f aca="false">IF(OR(A143="",A143&lt;&gt;P_DateRef),"",COUNTIF($A$7:A143,P_DateRef))</f>
        <v/>
      </c>
    </row>
    <row r="144" customFormat="false" ht="15" hidden="false" customHeight="false" outlineLevel="0" collapsed="false">
      <c r="A144" s="69"/>
      <c r="B144" s="25"/>
      <c r="C144" s="25"/>
      <c r="D144" s="25"/>
      <c r="E144" s="25"/>
      <c r="F144" s="25"/>
      <c r="G144" s="70"/>
      <c r="H144" s="90" t="str">
        <f aca="false">IF(OR(A144="",B144=""),"",COUNTIFS(PT_Date,A144,PT_Equipe,B144,PT_Pres,"P")+0.5*COUNTIFS(PT_Date,A144,PT_Equipe,B144,PT_Pres,"1/2"))</f>
        <v/>
      </c>
      <c r="I144" s="90" t="str">
        <f aca="false">IF(H144="","",H144-N(G144))</f>
        <v/>
      </c>
      <c r="J144" s="25"/>
      <c r="K144" s="74" t="str">
        <f aca="false">IF(OR(A144="",A144&lt;&gt;P_DateRef),"",COUNTIF($A$7:A144,P_DateRef))</f>
        <v/>
      </c>
    </row>
    <row r="145" customFormat="false" ht="15" hidden="false" customHeight="false" outlineLevel="0" collapsed="false">
      <c r="A145" s="69"/>
      <c r="B145" s="25"/>
      <c r="C145" s="25"/>
      <c r="D145" s="25"/>
      <c r="E145" s="25"/>
      <c r="F145" s="25"/>
      <c r="G145" s="70"/>
      <c r="H145" s="90" t="str">
        <f aca="false">IF(OR(A145="",B145=""),"",COUNTIFS(PT_Date,A145,PT_Equipe,B145,PT_Pres,"P")+0.5*COUNTIFS(PT_Date,A145,PT_Equipe,B145,PT_Pres,"1/2"))</f>
        <v/>
      </c>
      <c r="I145" s="90" t="str">
        <f aca="false">IF(H145="","",H145-N(G145))</f>
        <v/>
      </c>
      <c r="J145" s="25"/>
      <c r="K145" s="74" t="str">
        <f aca="false">IF(OR(A145="",A145&lt;&gt;P_DateRef),"",COUNTIF($A$7:A145,P_DateRef))</f>
        <v/>
      </c>
    </row>
    <row r="146" customFormat="false" ht="15" hidden="false" customHeight="false" outlineLevel="0" collapsed="false">
      <c r="A146" s="69"/>
      <c r="B146" s="25"/>
      <c r="C146" s="25"/>
      <c r="D146" s="25"/>
      <c r="E146" s="25"/>
      <c r="F146" s="25"/>
      <c r="G146" s="70"/>
      <c r="H146" s="90" t="str">
        <f aca="false">IF(OR(A146="",B146=""),"",COUNTIFS(PT_Date,A146,PT_Equipe,B146,PT_Pres,"P")+0.5*COUNTIFS(PT_Date,A146,PT_Equipe,B146,PT_Pres,"1/2"))</f>
        <v/>
      </c>
      <c r="I146" s="90" t="str">
        <f aca="false">IF(H146="","",H146-N(G146))</f>
        <v/>
      </c>
      <c r="J146" s="25"/>
      <c r="K146" s="74" t="str">
        <f aca="false">IF(OR(A146="",A146&lt;&gt;P_DateRef),"",COUNTIF($A$7:A146,P_DateRef))</f>
        <v/>
      </c>
    </row>
    <row r="147" customFormat="false" ht="15" hidden="false" customHeight="false" outlineLevel="0" collapsed="false">
      <c r="A147" s="69"/>
      <c r="B147" s="25"/>
      <c r="C147" s="25"/>
      <c r="D147" s="25"/>
      <c r="E147" s="25"/>
      <c r="F147" s="25"/>
      <c r="G147" s="70"/>
      <c r="H147" s="90" t="str">
        <f aca="false">IF(OR(A147="",B147=""),"",COUNTIFS(PT_Date,A147,PT_Equipe,B147,PT_Pres,"P")+0.5*COUNTIFS(PT_Date,A147,PT_Equipe,B147,PT_Pres,"1/2"))</f>
        <v/>
      </c>
      <c r="I147" s="90" t="str">
        <f aca="false">IF(H147="","",H147-N(G147))</f>
        <v/>
      </c>
      <c r="J147" s="25"/>
      <c r="K147" s="74" t="str">
        <f aca="false">IF(OR(A147="",A147&lt;&gt;P_DateRef),"",COUNTIF($A$7:A147,P_DateRef))</f>
        <v/>
      </c>
    </row>
    <row r="148" customFormat="false" ht="15" hidden="false" customHeight="false" outlineLevel="0" collapsed="false">
      <c r="A148" s="69"/>
      <c r="B148" s="25"/>
      <c r="C148" s="25"/>
      <c r="D148" s="25"/>
      <c r="E148" s="25"/>
      <c r="F148" s="25"/>
      <c r="G148" s="70"/>
      <c r="H148" s="90" t="str">
        <f aca="false">IF(OR(A148="",B148=""),"",COUNTIFS(PT_Date,A148,PT_Equipe,B148,PT_Pres,"P")+0.5*COUNTIFS(PT_Date,A148,PT_Equipe,B148,PT_Pres,"1/2"))</f>
        <v/>
      </c>
      <c r="I148" s="90" t="str">
        <f aca="false">IF(H148="","",H148-N(G148))</f>
        <v/>
      </c>
      <c r="J148" s="25"/>
      <c r="K148" s="74" t="str">
        <f aca="false">IF(OR(A148="",A148&lt;&gt;P_DateRef),"",COUNTIF($A$7:A148,P_DateRef))</f>
        <v/>
      </c>
    </row>
    <row r="149" customFormat="false" ht="15" hidden="false" customHeight="false" outlineLevel="0" collapsed="false">
      <c r="A149" s="69"/>
      <c r="B149" s="25"/>
      <c r="C149" s="25"/>
      <c r="D149" s="25"/>
      <c r="E149" s="25"/>
      <c r="F149" s="25"/>
      <c r="G149" s="70"/>
      <c r="H149" s="90" t="str">
        <f aca="false">IF(OR(A149="",B149=""),"",COUNTIFS(PT_Date,A149,PT_Equipe,B149,PT_Pres,"P")+0.5*COUNTIFS(PT_Date,A149,PT_Equipe,B149,PT_Pres,"1/2"))</f>
        <v/>
      </c>
      <c r="I149" s="90" t="str">
        <f aca="false">IF(H149="","",H149-N(G149))</f>
        <v/>
      </c>
      <c r="J149" s="25"/>
      <c r="K149" s="74" t="str">
        <f aca="false">IF(OR(A149="",A149&lt;&gt;P_DateRef),"",COUNTIF($A$7:A149,P_DateRef))</f>
        <v/>
      </c>
    </row>
    <row r="150" customFormat="false" ht="15" hidden="false" customHeight="false" outlineLevel="0" collapsed="false">
      <c r="A150" s="69"/>
      <c r="B150" s="25"/>
      <c r="C150" s="25"/>
      <c r="D150" s="25"/>
      <c r="E150" s="25"/>
      <c r="F150" s="25"/>
      <c r="G150" s="70"/>
      <c r="H150" s="90" t="str">
        <f aca="false">IF(OR(A150="",B150=""),"",COUNTIFS(PT_Date,A150,PT_Equipe,B150,PT_Pres,"P")+0.5*COUNTIFS(PT_Date,A150,PT_Equipe,B150,PT_Pres,"1/2"))</f>
        <v/>
      </c>
      <c r="I150" s="90" t="str">
        <f aca="false">IF(H150="","",H150-N(G150))</f>
        <v/>
      </c>
      <c r="J150" s="25"/>
      <c r="K150" s="74" t="str">
        <f aca="false">IF(OR(A150="",A150&lt;&gt;P_DateRef),"",COUNTIF($A$7:A150,P_DateRef))</f>
        <v/>
      </c>
    </row>
    <row r="151" customFormat="false" ht="15" hidden="false" customHeight="false" outlineLevel="0" collapsed="false">
      <c r="A151" s="69"/>
      <c r="B151" s="25"/>
      <c r="C151" s="25"/>
      <c r="D151" s="25"/>
      <c r="E151" s="25"/>
      <c r="F151" s="25"/>
      <c r="G151" s="70"/>
      <c r="H151" s="90" t="str">
        <f aca="false">IF(OR(A151="",B151=""),"",COUNTIFS(PT_Date,A151,PT_Equipe,B151,PT_Pres,"P")+0.5*COUNTIFS(PT_Date,A151,PT_Equipe,B151,PT_Pres,"1/2"))</f>
        <v/>
      </c>
      <c r="I151" s="90" t="str">
        <f aca="false">IF(H151="","",H151-N(G151))</f>
        <v/>
      </c>
      <c r="J151" s="25"/>
      <c r="K151" s="74" t="str">
        <f aca="false">IF(OR(A151="",A151&lt;&gt;P_DateRef),"",COUNTIF($A$7:A151,P_DateRef))</f>
        <v/>
      </c>
    </row>
    <row r="152" customFormat="false" ht="15" hidden="false" customHeight="false" outlineLevel="0" collapsed="false">
      <c r="A152" s="69"/>
      <c r="B152" s="25"/>
      <c r="C152" s="25"/>
      <c r="D152" s="25"/>
      <c r="E152" s="25"/>
      <c r="F152" s="25"/>
      <c r="G152" s="70"/>
      <c r="H152" s="90" t="str">
        <f aca="false">IF(OR(A152="",B152=""),"",COUNTIFS(PT_Date,A152,PT_Equipe,B152,PT_Pres,"P")+0.5*COUNTIFS(PT_Date,A152,PT_Equipe,B152,PT_Pres,"1/2"))</f>
        <v/>
      </c>
      <c r="I152" s="90" t="str">
        <f aca="false">IF(H152="","",H152-N(G152))</f>
        <v/>
      </c>
      <c r="J152" s="25"/>
      <c r="K152" s="74" t="str">
        <f aca="false">IF(OR(A152="",A152&lt;&gt;P_DateRef),"",COUNTIF($A$7:A152,P_DateRef))</f>
        <v/>
      </c>
    </row>
    <row r="153" customFormat="false" ht="15" hidden="false" customHeight="false" outlineLevel="0" collapsed="false">
      <c r="A153" s="69"/>
      <c r="B153" s="25"/>
      <c r="C153" s="25"/>
      <c r="D153" s="25"/>
      <c r="E153" s="25"/>
      <c r="F153" s="25"/>
      <c r="G153" s="70"/>
      <c r="H153" s="90" t="str">
        <f aca="false">IF(OR(A153="",B153=""),"",COUNTIFS(PT_Date,A153,PT_Equipe,B153,PT_Pres,"P")+0.5*COUNTIFS(PT_Date,A153,PT_Equipe,B153,PT_Pres,"1/2"))</f>
        <v/>
      </c>
      <c r="I153" s="90" t="str">
        <f aca="false">IF(H153="","",H153-N(G153))</f>
        <v/>
      </c>
      <c r="J153" s="25"/>
      <c r="K153" s="74" t="str">
        <f aca="false">IF(OR(A153="",A153&lt;&gt;P_DateRef),"",COUNTIF($A$7:A153,P_DateRef))</f>
        <v/>
      </c>
    </row>
    <row r="154" customFormat="false" ht="15" hidden="false" customHeight="false" outlineLevel="0" collapsed="false">
      <c r="A154" s="69"/>
      <c r="B154" s="25"/>
      <c r="C154" s="25"/>
      <c r="D154" s="25"/>
      <c r="E154" s="25"/>
      <c r="F154" s="25"/>
      <c r="G154" s="70"/>
      <c r="H154" s="90" t="str">
        <f aca="false">IF(OR(A154="",B154=""),"",COUNTIFS(PT_Date,A154,PT_Equipe,B154,PT_Pres,"P")+0.5*COUNTIFS(PT_Date,A154,PT_Equipe,B154,PT_Pres,"1/2"))</f>
        <v/>
      </c>
      <c r="I154" s="90" t="str">
        <f aca="false">IF(H154="","",H154-N(G154))</f>
        <v/>
      </c>
      <c r="J154" s="25"/>
      <c r="K154" s="74" t="str">
        <f aca="false">IF(OR(A154="",A154&lt;&gt;P_DateRef),"",COUNTIF($A$7:A154,P_DateRef))</f>
        <v/>
      </c>
    </row>
    <row r="155" customFormat="false" ht="15" hidden="false" customHeight="false" outlineLevel="0" collapsed="false">
      <c r="A155" s="69"/>
      <c r="B155" s="25"/>
      <c r="C155" s="25"/>
      <c r="D155" s="25"/>
      <c r="E155" s="25"/>
      <c r="F155" s="25"/>
      <c r="G155" s="70"/>
      <c r="H155" s="90" t="str">
        <f aca="false">IF(OR(A155="",B155=""),"",COUNTIFS(PT_Date,A155,PT_Equipe,B155,PT_Pres,"P")+0.5*COUNTIFS(PT_Date,A155,PT_Equipe,B155,PT_Pres,"1/2"))</f>
        <v/>
      </c>
      <c r="I155" s="90" t="str">
        <f aca="false">IF(H155="","",H155-N(G155))</f>
        <v/>
      </c>
      <c r="J155" s="25"/>
      <c r="K155" s="74" t="str">
        <f aca="false">IF(OR(A155="",A155&lt;&gt;P_DateRef),"",COUNTIF($A$7:A155,P_DateRef))</f>
        <v/>
      </c>
    </row>
    <row r="156" customFormat="false" ht="15" hidden="false" customHeight="false" outlineLevel="0" collapsed="false">
      <c r="A156" s="69"/>
      <c r="B156" s="25"/>
      <c r="C156" s="25"/>
      <c r="D156" s="25"/>
      <c r="E156" s="25"/>
      <c r="F156" s="25"/>
      <c r="G156" s="70"/>
      <c r="H156" s="90" t="str">
        <f aca="false">IF(OR(A156="",B156=""),"",COUNTIFS(PT_Date,A156,PT_Equipe,B156,PT_Pres,"P")+0.5*COUNTIFS(PT_Date,A156,PT_Equipe,B156,PT_Pres,"1/2"))</f>
        <v/>
      </c>
      <c r="I156" s="90" t="str">
        <f aca="false">IF(H156="","",H156-N(G156))</f>
        <v/>
      </c>
      <c r="J156" s="25"/>
      <c r="K156" s="74" t="str">
        <f aca="false">IF(OR(A156="",A156&lt;&gt;P_DateRef),"",COUNTIF($A$7:A156,P_DateRef))</f>
        <v/>
      </c>
    </row>
    <row r="157" customFormat="false" ht="15" hidden="false" customHeight="false" outlineLevel="0" collapsed="false">
      <c r="A157" s="69"/>
      <c r="B157" s="25"/>
      <c r="C157" s="25"/>
      <c r="D157" s="25"/>
      <c r="E157" s="25"/>
      <c r="F157" s="25"/>
      <c r="G157" s="70"/>
      <c r="H157" s="90" t="str">
        <f aca="false">IF(OR(A157="",B157=""),"",COUNTIFS(PT_Date,A157,PT_Equipe,B157,PT_Pres,"P")+0.5*COUNTIFS(PT_Date,A157,PT_Equipe,B157,PT_Pres,"1/2"))</f>
        <v/>
      </c>
      <c r="I157" s="90" t="str">
        <f aca="false">IF(H157="","",H157-N(G157))</f>
        <v/>
      </c>
      <c r="J157" s="25"/>
      <c r="K157" s="74" t="str">
        <f aca="false">IF(OR(A157="",A157&lt;&gt;P_DateRef),"",COUNTIF($A$7:A157,P_DateRef))</f>
        <v/>
      </c>
    </row>
    <row r="158" customFormat="false" ht="15" hidden="false" customHeight="false" outlineLevel="0" collapsed="false">
      <c r="A158" s="69"/>
      <c r="B158" s="25"/>
      <c r="C158" s="25"/>
      <c r="D158" s="25"/>
      <c r="E158" s="25"/>
      <c r="F158" s="25"/>
      <c r="G158" s="70"/>
      <c r="H158" s="90" t="str">
        <f aca="false">IF(OR(A158="",B158=""),"",COUNTIFS(PT_Date,A158,PT_Equipe,B158,PT_Pres,"P")+0.5*COUNTIFS(PT_Date,A158,PT_Equipe,B158,PT_Pres,"1/2"))</f>
        <v/>
      </c>
      <c r="I158" s="90" t="str">
        <f aca="false">IF(H158="","",H158-N(G158))</f>
        <v/>
      </c>
      <c r="J158" s="25"/>
      <c r="K158" s="74" t="str">
        <f aca="false">IF(OR(A158="",A158&lt;&gt;P_DateRef),"",COUNTIF($A$7:A158,P_DateRef))</f>
        <v/>
      </c>
    </row>
    <row r="159" customFormat="false" ht="15" hidden="false" customHeight="false" outlineLevel="0" collapsed="false">
      <c r="A159" s="69"/>
      <c r="B159" s="25"/>
      <c r="C159" s="25"/>
      <c r="D159" s="25"/>
      <c r="E159" s="25"/>
      <c r="F159" s="25"/>
      <c r="G159" s="70"/>
      <c r="H159" s="90" t="str">
        <f aca="false">IF(OR(A159="",B159=""),"",COUNTIFS(PT_Date,A159,PT_Equipe,B159,PT_Pres,"P")+0.5*COUNTIFS(PT_Date,A159,PT_Equipe,B159,PT_Pres,"1/2"))</f>
        <v/>
      </c>
      <c r="I159" s="90" t="str">
        <f aca="false">IF(H159="","",H159-N(G159))</f>
        <v/>
      </c>
      <c r="J159" s="25"/>
      <c r="K159" s="74" t="str">
        <f aca="false">IF(OR(A159="",A159&lt;&gt;P_DateRef),"",COUNTIF($A$7:A159,P_DateRef))</f>
        <v/>
      </c>
    </row>
    <row r="160" customFormat="false" ht="15" hidden="false" customHeight="false" outlineLevel="0" collapsed="false">
      <c r="A160" s="69"/>
      <c r="B160" s="25"/>
      <c r="C160" s="25"/>
      <c r="D160" s="25"/>
      <c r="E160" s="25"/>
      <c r="F160" s="25"/>
      <c r="G160" s="70"/>
      <c r="H160" s="90" t="str">
        <f aca="false">IF(OR(A160="",B160=""),"",COUNTIFS(PT_Date,A160,PT_Equipe,B160,PT_Pres,"P")+0.5*COUNTIFS(PT_Date,A160,PT_Equipe,B160,PT_Pres,"1/2"))</f>
        <v/>
      </c>
      <c r="I160" s="90" t="str">
        <f aca="false">IF(H160="","",H160-N(G160))</f>
        <v/>
      </c>
      <c r="J160" s="25"/>
      <c r="K160" s="74" t="str">
        <f aca="false">IF(OR(A160="",A160&lt;&gt;P_DateRef),"",COUNTIF($A$7:A160,P_DateRef))</f>
        <v/>
      </c>
    </row>
    <row r="161" customFormat="false" ht="15" hidden="false" customHeight="false" outlineLevel="0" collapsed="false">
      <c r="A161" s="69"/>
      <c r="B161" s="25"/>
      <c r="C161" s="25"/>
      <c r="D161" s="25"/>
      <c r="E161" s="25"/>
      <c r="F161" s="25"/>
      <c r="G161" s="70"/>
      <c r="H161" s="90" t="str">
        <f aca="false">IF(OR(A161="",B161=""),"",COUNTIFS(PT_Date,A161,PT_Equipe,B161,PT_Pres,"P")+0.5*COUNTIFS(PT_Date,A161,PT_Equipe,B161,PT_Pres,"1/2"))</f>
        <v/>
      </c>
      <c r="I161" s="90" t="str">
        <f aca="false">IF(H161="","",H161-N(G161))</f>
        <v/>
      </c>
      <c r="J161" s="25"/>
      <c r="K161" s="74" t="str">
        <f aca="false">IF(OR(A161="",A161&lt;&gt;P_DateRef),"",COUNTIF($A$7:A161,P_DateRef))</f>
        <v/>
      </c>
    </row>
    <row r="162" customFormat="false" ht="15" hidden="false" customHeight="false" outlineLevel="0" collapsed="false">
      <c r="A162" s="69"/>
      <c r="B162" s="25"/>
      <c r="C162" s="25"/>
      <c r="D162" s="25"/>
      <c r="E162" s="25"/>
      <c r="F162" s="25"/>
      <c r="G162" s="70"/>
      <c r="H162" s="90" t="str">
        <f aca="false">IF(OR(A162="",B162=""),"",COUNTIFS(PT_Date,A162,PT_Equipe,B162,PT_Pres,"P")+0.5*COUNTIFS(PT_Date,A162,PT_Equipe,B162,PT_Pres,"1/2"))</f>
        <v/>
      </c>
      <c r="I162" s="90" t="str">
        <f aca="false">IF(H162="","",H162-N(G162))</f>
        <v/>
      </c>
      <c r="J162" s="25"/>
      <c r="K162" s="74" t="str">
        <f aca="false">IF(OR(A162="",A162&lt;&gt;P_DateRef),"",COUNTIF($A$7:A162,P_DateRef))</f>
        <v/>
      </c>
    </row>
    <row r="163" customFormat="false" ht="15" hidden="false" customHeight="false" outlineLevel="0" collapsed="false">
      <c r="A163" s="69"/>
      <c r="B163" s="25"/>
      <c r="C163" s="25"/>
      <c r="D163" s="25"/>
      <c r="E163" s="25"/>
      <c r="F163" s="25"/>
      <c r="G163" s="70"/>
      <c r="H163" s="90" t="str">
        <f aca="false">IF(OR(A163="",B163=""),"",COUNTIFS(PT_Date,A163,PT_Equipe,B163,PT_Pres,"P")+0.5*COUNTIFS(PT_Date,A163,PT_Equipe,B163,PT_Pres,"1/2"))</f>
        <v/>
      </c>
      <c r="I163" s="90" t="str">
        <f aca="false">IF(H163="","",H163-N(G163))</f>
        <v/>
      </c>
      <c r="J163" s="25"/>
      <c r="K163" s="74" t="str">
        <f aca="false">IF(OR(A163="",A163&lt;&gt;P_DateRef),"",COUNTIF($A$7:A163,P_DateRef))</f>
        <v/>
      </c>
    </row>
    <row r="164" customFormat="false" ht="15" hidden="false" customHeight="false" outlineLevel="0" collapsed="false">
      <c r="A164" s="69"/>
      <c r="B164" s="25"/>
      <c r="C164" s="25"/>
      <c r="D164" s="25"/>
      <c r="E164" s="25"/>
      <c r="F164" s="25"/>
      <c r="G164" s="70"/>
      <c r="H164" s="90" t="str">
        <f aca="false">IF(OR(A164="",B164=""),"",COUNTIFS(PT_Date,A164,PT_Equipe,B164,PT_Pres,"P")+0.5*COUNTIFS(PT_Date,A164,PT_Equipe,B164,PT_Pres,"1/2"))</f>
        <v/>
      </c>
      <c r="I164" s="90" t="str">
        <f aca="false">IF(H164="","",H164-N(G164))</f>
        <v/>
      </c>
      <c r="J164" s="25"/>
      <c r="K164" s="74" t="str">
        <f aca="false">IF(OR(A164="",A164&lt;&gt;P_DateRef),"",COUNTIF($A$7:A164,P_DateRef))</f>
        <v/>
      </c>
    </row>
    <row r="165" customFormat="false" ht="15" hidden="false" customHeight="false" outlineLevel="0" collapsed="false">
      <c r="A165" s="69"/>
      <c r="B165" s="25"/>
      <c r="C165" s="25"/>
      <c r="D165" s="25"/>
      <c r="E165" s="25"/>
      <c r="F165" s="25"/>
      <c r="G165" s="70"/>
      <c r="H165" s="90" t="str">
        <f aca="false">IF(OR(A165="",B165=""),"",COUNTIFS(PT_Date,A165,PT_Equipe,B165,PT_Pres,"P")+0.5*COUNTIFS(PT_Date,A165,PT_Equipe,B165,PT_Pres,"1/2"))</f>
        <v/>
      </c>
      <c r="I165" s="90" t="str">
        <f aca="false">IF(H165="","",H165-N(G165))</f>
        <v/>
      </c>
      <c r="J165" s="25"/>
      <c r="K165" s="74" t="str">
        <f aca="false">IF(OR(A165="",A165&lt;&gt;P_DateRef),"",COUNTIF($A$7:A165,P_DateRef))</f>
        <v/>
      </c>
    </row>
    <row r="166" customFormat="false" ht="15" hidden="false" customHeight="false" outlineLevel="0" collapsed="false">
      <c r="A166" s="69"/>
      <c r="B166" s="25"/>
      <c r="C166" s="25"/>
      <c r="D166" s="25"/>
      <c r="E166" s="25"/>
      <c r="F166" s="25"/>
      <c r="G166" s="70"/>
      <c r="H166" s="90" t="str">
        <f aca="false">IF(OR(A166="",B166=""),"",COUNTIFS(PT_Date,A166,PT_Equipe,B166,PT_Pres,"P")+0.5*COUNTIFS(PT_Date,A166,PT_Equipe,B166,PT_Pres,"1/2"))</f>
        <v/>
      </c>
      <c r="I166" s="90" t="str">
        <f aca="false">IF(H166="","",H166-N(G166))</f>
        <v/>
      </c>
      <c r="J166" s="25"/>
      <c r="K166" s="74" t="str">
        <f aca="false">IF(OR(A166="",A166&lt;&gt;P_DateRef),"",COUNTIF($A$7:A166,P_DateRef))</f>
        <v/>
      </c>
    </row>
    <row r="167" customFormat="false" ht="15" hidden="false" customHeight="false" outlineLevel="0" collapsed="false">
      <c r="A167" s="69"/>
      <c r="B167" s="25"/>
      <c r="C167" s="25"/>
      <c r="D167" s="25"/>
      <c r="E167" s="25"/>
      <c r="F167" s="25"/>
      <c r="G167" s="70"/>
      <c r="H167" s="90" t="str">
        <f aca="false">IF(OR(A167="",B167=""),"",COUNTIFS(PT_Date,A167,PT_Equipe,B167,PT_Pres,"P")+0.5*COUNTIFS(PT_Date,A167,PT_Equipe,B167,PT_Pres,"1/2"))</f>
        <v/>
      </c>
      <c r="I167" s="90" t="str">
        <f aca="false">IF(H167="","",H167-N(G167))</f>
        <v/>
      </c>
      <c r="J167" s="25"/>
      <c r="K167" s="74" t="str">
        <f aca="false">IF(OR(A167="",A167&lt;&gt;P_DateRef),"",COUNTIF($A$7:A167,P_DateRef))</f>
        <v/>
      </c>
    </row>
    <row r="168" customFormat="false" ht="15" hidden="false" customHeight="false" outlineLevel="0" collapsed="false">
      <c r="A168" s="69"/>
      <c r="B168" s="25"/>
      <c r="C168" s="25"/>
      <c r="D168" s="25"/>
      <c r="E168" s="25"/>
      <c r="F168" s="25"/>
      <c r="G168" s="70"/>
      <c r="H168" s="90" t="str">
        <f aca="false">IF(OR(A168="",B168=""),"",COUNTIFS(PT_Date,A168,PT_Equipe,B168,PT_Pres,"P")+0.5*COUNTIFS(PT_Date,A168,PT_Equipe,B168,PT_Pres,"1/2"))</f>
        <v/>
      </c>
      <c r="I168" s="90" t="str">
        <f aca="false">IF(H168="","",H168-N(G168))</f>
        <v/>
      </c>
      <c r="J168" s="25"/>
      <c r="K168" s="74" t="str">
        <f aca="false">IF(OR(A168="",A168&lt;&gt;P_DateRef),"",COUNTIF($A$7:A168,P_DateRef))</f>
        <v/>
      </c>
    </row>
    <row r="169" customFormat="false" ht="15" hidden="false" customHeight="false" outlineLevel="0" collapsed="false">
      <c r="A169" s="69"/>
      <c r="B169" s="25"/>
      <c r="C169" s="25"/>
      <c r="D169" s="25"/>
      <c r="E169" s="25"/>
      <c r="F169" s="25"/>
      <c r="G169" s="70"/>
      <c r="H169" s="90" t="str">
        <f aca="false">IF(OR(A169="",B169=""),"",COUNTIFS(PT_Date,A169,PT_Equipe,B169,PT_Pres,"P")+0.5*COUNTIFS(PT_Date,A169,PT_Equipe,B169,PT_Pres,"1/2"))</f>
        <v/>
      </c>
      <c r="I169" s="90" t="str">
        <f aca="false">IF(H169="","",H169-N(G169))</f>
        <v/>
      </c>
      <c r="J169" s="25"/>
      <c r="K169" s="74" t="str">
        <f aca="false">IF(OR(A169="",A169&lt;&gt;P_DateRef),"",COUNTIF($A$7:A169,P_DateRef))</f>
        <v/>
      </c>
    </row>
    <row r="170" customFormat="false" ht="15" hidden="false" customHeight="false" outlineLevel="0" collapsed="false">
      <c r="A170" s="69"/>
      <c r="B170" s="25"/>
      <c r="C170" s="25"/>
      <c r="D170" s="25"/>
      <c r="E170" s="25"/>
      <c r="F170" s="25"/>
      <c r="G170" s="70"/>
      <c r="H170" s="90" t="str">
        <f aca="false">IF(OR(A170="",B170=""),"",COUNTIFS(PT_Date,A170,PT_Equipe,B170,PT_Pres,"P")+0.5*COUNTIFS(PT_Date,A170,PT_Equipe,B170,PT_Pres,"1/2"))</f>
        <v/>
      </c>
      <c r="I170" s="90" t="str">
        <f aca="false">IF(H170="","",H170-N(G170))</f>
        <v/>
      </c>
      <c r="J170" s="25"/>
      <c r="K170" s="74" t="str">
        <f aca="false">IF(OR(A170="",A170&lt;&gt;P_DateRef),"",COUNTIF($A$7:A170,P_DateRef))</f>
        <v/>
      </c>
    </row>
    <row r="171" customFormat="false" ht="15" hidden="false" customHeight="false" outlineLevel="0" collapsed="false">
      <c r="A171" s="69"/>
      <c r="B171" s="25"/>
      <c r="C171" s="25"/>
      <c r="D171" s="25"/>
      <c r="E171" s="25"/>
      <c r="F171" s="25"/>
      <c r="G171" s="70"/>
      <c r="H171" s="90" t="str">
        <f aca="false">IF(OR(A171="",B171=""),"",COUNTIFS(PT_Date,A171,PT_Equipe,B171,PT_Pres,"P")+0.5*COUNTIFS(PT_Date,A171,PT_Equipe,B171,PT_Pres,"1/2"))</f>
        <v/>
      </c>
      <c r="I171" s="90" t="str">
        <f aca="false">IF(H171="","",H171-N(G171))</f>
        <v/>
      </c>
      <c r="J171" s="25"/>
      <c r="K171" s="74" t="str">
        <f aca="false">IF(OR(A171="",A171&lt;&gt;P_DateRef),"",COUNTIF($A$7:A171,P_DateRef))</f>
        <v/>
      </c>
    </row>
    <row r="172" customFormat="false" ht="15" hidden="false" customHeight="false" outlineLevel="0" collapsed="false">
      <c r="A172" s="69"/>
      <c r="B172" s="25"/>
      <c r="C172" s="25"/>
      <c r="D172" s="25"/>
      <c r="E172" s="25"/>
      <c r="F172" s="25"/>
      <c r="G172" s="70"/>
      <c r="H172" s="90" t="str">
        <f aca="false">IF(OR(A172="",B172=""),"",COUNTIFS(PT_Date,A172,PT_Equipe,B172,PT_Pres,"P")+0.5*COUNTIFS(PT_Date,A172,PT_Equipe,B172,PT_Pres,"1/2"))</f>
        <v/>
      </c>
      <c r="I172" s="90" t="str">
        <f aca="false">IF(H172="","",H172-N(G172))</f>
        <v/>
      </c>
      <c r="J172" s="25"/>
      <c r="K172" s="74" t="str">
        <f aca="false">IF(OR(A172="",A172&lt;&gt;P_DateRef),"",COUNTIF($A$7:A172,P_DateRef))</f>
        <v/>
      </c>
    </row>
    <row r="173" customFormat="false" ht="15" hidden="false" customHeight="false" outlineLevel="0" collapsed="false">
      <c r="A173" s="69"/>
      <c r="B173" s="25"/>
      <c r="C173" s="25"/>
      <c r="D173" s="25"/>
      <c r="E173" s="25"/>
      <c r="F173" s="25"/>
      <c r="G173" s="70"/>
      <c r="H173" s="90" t="str">
        <f aca="false">IF(OR(A173="",B173=""),"",COUNTIFS(PT_Date,A173,PT_Equipe,B173,PT_Pres,"P")+0.5*COUNTIFS(PT_Date,A173,PT_Equipe,B173,PT_Pres,"1/2"))</f>
        <v/>
      </c>
      <c r="I173" s="90" t="str">
        <f aca="false">IF(H173="","",H173-N(G173))</f>
        <v/>
      </c>
      <c r="J173" s="25"/>
      <c r="K173" s="74" t="str">
        <f aca="false">IF(OR(A173="",A173&lt;&gt;P_DateRef),"",COUNTIF($A$7:A173,P_DateRef))</f>
        <v/>
      </c>
    </row>
    <row r="174" customFormat="false" ht="15" hidden="false" customHeight="false" outlineLevel="0" collapsed="false">
      <c r="A174" s="69"/>
      <c r="B174" s="25"/>
      <c r="C174" s="25"/>
      <c r="D174" s="25"/>
      <c r="E174" s="25"/>
      <c r="F174" s="25"/>
      <c r="G174" s="70"/>
      <c r="H174" s="90" t="str">
        <f aca="false">IF(OR(A174="",B174=""),"",COUNTIFS(PT_Date,A174,PT_Equipe,B174,PT_Pres,"P")+0.5*COUNTIFS(PT_Date,A174,PT_Equipe,B174,PT_Pres,"1/2"))</f>
        <v/>
      </c>
      <c r="I174" s="90" t="str">
        <f aca="false">IF(H174="","",H174-N(G174))</f>
        <v/>
      </c>
      <c r="J174" s="25"/>
      <c r="K174" s="74" t="str">
        <f aca="false">IF(OR(A174="",A174&lt;&gt;P_DateRef),"",COUNTIF($A$7:A174,P_DateRef))</f>
        <v/>
      </c>
    </row>
    <row r="175" customFormat="false" ht="15" hidden="false" customHeight="false" outlineLevel="0" collapsed="false">
      <c r="A175" s="69"/>
      <c r="B175" s="25"/>
      <c r="C175" s="25"/>
      <c r="D175" s="25"/>
      <c r="E175" s="25"/>
      <c r="F175" s="25"/>
      <c r="G175" s="70"/>
      <c r="H175" s="90" t="str">
        <f aca="false">IF(OR(A175="",B175=""),"",COUNTIFS(PT_Date,A175,PT_Equipe,B175,PT_Pres,"P")+0.5*COUNTIFS(PT_Date,A175,PT_Equipe,B175,PT_Pres,"1/2"))</f>
        <v/>
      </c>
      <c r="I175" s="90" t="str">
        <f aca="false">IF(H175="","",H175-N(G175))</f>
        <v/>
      </c>
      <c r="J175" s="25"/>
      <c r="K175" s="74" t="str">
        <f aca="false">IF(OR(A175="",A175&lt;&gt;P_DateRef),"",COUNTIF($A$7:A175,P_DateRef))</f>
        <v/>
      </c>
    </row>
    <row r="176" customFormat="false" ht="15" hidden="false" customHeight="false" outlineLevel="0" collapsed="false">
      <c r="A176" s="69"/>
      <c r="B176" s="25"/>
      <c r="C176" s="25"/>
      <c r="D176" s="25"/>
      <c r="E176" s="25"/>
      <c r="F176" s="25"/>
      <c r="G176" s="70"/>
      <c r="H176" s="90" t="str">
        <f aca="false">IF(OR(A176="",B176=""),"",COUNTIFS(PT_Date,A176,PT_Equipe,B176,PT_Pres,"P")+0.5*COUNTIFS(PT_Date,A176,PT_Equipe,B176,PT_Pres,"1/2"))</f>
        <v/>
      </c>
      <c r="I176" s="90" t="str">
        <f aca="false">IF(H176="","",H176-N(G176))</f>
        <v/>
      </c>
      <c r="J176" s="25"/>
      <c r="K176" s="74" t="str">
        <f aca="false">IF(OR(A176="",A176&lt;&gt;P_DateRef),"",COUNTIF($A$7:A176,P_DateRef))</f>
        <v/>
      </c>
    </row>
    <row r="177" customFormat="false" ht="15" hidden="false" customHeight="false" outlineLevel="0" collapsed="false">
      <c r="A177" s="69"/>
      <c r="B177" s="25"/>
      <c r="C177" s="25"/>
      <c r="D177" s="25"/>
      <c r="E177" s="25"/>
      <c r="F177" s="25"/>
      <c r="G177" s="70"/>
      <c r="H177" s="90" t="str">
        <f aca="false">IF(OR(A177="",B177=""),"",COUNTIFS(PT_Date,A177,PT_Equipe,B177,PT_Pres,"P")+0.5*COUNTIFS(PT_Date,A177,PT_Equipe,B177,PT_Pres,"1/2"))</f>
        <v/>
      </c>
      <c r="I177" s="90" t="str">
        <f aca="false">IF(H177="","",H177-N(G177))</f>
        <v/>
      </c>
      <c r="J177" s="25"/>
      <c r="K177" s="74" t="str">
        <f aca="false">IF(OR(A177="",A177&lt;&gt;P_DateRef),"",COUNTIF($A$7:A177,P_DateRef))</f>
        <v/>
      </c>
    </row>
    <row r="178" customFormat="false" ht="15" hidden="false" customHeight="false" outlineLevel="0" collapsed="false">
      <c r="A178" s="69"/>
      <c r="B178" s="25"/>
      <c r="C178" s="25"/>
      <c r="D178" s="25"/>
      <c r="E178" s="25"/>
      <c r="F178" s="25"/>
      <c r="G178" s="70"/>
      <c r="H178" s="90" t="str">
        <f aca="false">IF(OR(A178="",B178=""),"",COUNTIFS(PT_Date,A178,PT_Equipe,B178,PT_Pres,"P")+0.5*COUNTIFS(PT_Date,A178,PT_Equipe,B178,PT_Pres,"1/2"))</f>
        <v/>
      </c>
      <c r="I178" s="90" t="str">
        <f aca="false">IF(H178="","",H178-N(G178))</f>
        <v/>
      </c>
      <c r="J178" s="25"/>
      <c r="K178" s="74" t="str">
        <f aca="false">IF(OR(A178="",A178&lt;&gt;P_DateRef),"",COUNTIF($A$7:A178,P_DateRef))</f>
        <v/>
      </c>
    </row>
    <row r="179" customFormat="false" ht="15" hidden="false" customHeight="false" outlineLevel="0" collapsed="false">
      <c r="A179" s="69"/>
      <c r="B179" s="25"/>
      <c r="C179" s="25"/>
      <c r="D179" s="25"/>
      <c r="E179" s="25"/>
      <c r="F179" s="25"/>
      <c r="G179" s="70"/>
      <c r="H179" s="90" t="str">
        <f aca="false">IF(OR(A179="",B179=""),"",COUNTIFS(PT_Date,A179,PT_Equipe,B179,PT_Pres,"P")+0.5*COUNTIFS(PT_Date,A179,PT_Equipe,B179,PT_Pres,"1/2"))</f>
        <v/>
      </c>
      <c r="I179" s="90" t="str">
        <f aca="false">IF(H179="","",H179-N(G179))</f>
        <v/>
      </c>
      <c r="J179" s="25"/>
      <c r="K179" s="74" t="str">
        <f aca="false">IF(OR(A179="",A179&lt;&gt;P_DateRef),"",COUNTIF($A$7:A179,P_DateRef))</f>
        <v/>
      </c>
    </row>
    <row r="180" customFormat="false" ht="15" hidden="false" customHeight="false" outlineLevel="0" collapsed="false">
      <c r="A180" s="69"/>
      <c r="B180" s="25"/>
      <c r="C180" s="25"/>
      <c r="D180" s="25"/>
      <c r="E180" s="25"/>
      <c r="F180" s="25"/>
      <c r="G180" s="70"/>
      <c r="H180" s="90" t="str">
        <f aca="false">IF(OR(A180="",B180=""),"",COUNTIFS(PT_Date,A180,PT_Equipe,B180,PT_Pres,"P")+0.5*COUNTIFS(PT_Date,A180,PT_Equipe,B180,PT_Pres,"1/2"))</f>
        <v/>
      </c>
      <c r="I180" s="90" t="str">
        <f aca="false">IF(H180="","",H180-N(G180))</f>
        <v/>
      </c>
      <c r="J180" s="25"/>
      <c r="K180" s="74" t="str">
        <f aca="false">IF(OR(A180="",A180&lt;&gt;P_DateRef),"",COUNTIF($A$7:A180,P_DateRef))</f>
        <v/>
      </c>
    </row>
    <row r="181" customFormat="false" ht="15" hidden="false" customHeight="false" outlineLevel="0" collapsed="false">
      <c r="A181" s="69"/>
      <c r="B181" s="25"/>
      <c r="C181" s="25"/>
      <c r="D181" s="25"/>
      <c r="E181" s="25"/>
      <c r="F181" s="25"/>
      <c r="G181" s="70"/>
      <c r="H181" s="90" t="str">
        <f aca="false">IF(OR(A181="",B181=""),"",COUNTIFS(PT_Date,A181,PT_Equipe,B181,PT_Pres,"P")+0.5*COUNTIFS(PT_Date,A181,PT_Equipe,B181,PT_Pres,"1/2"))</f>
        <v/>
      </c>
      <c r="I181" s="90" t="str">
        <f aca="false">IF(H181="","",H181-N(G181))</f>
        <v/>
      </c>
      <c r="J181" s="25"/>
      <c r="K181" s="74" t="str">
        <f aca="false">IF(OR(A181="",A181&lt;&gt;P_DateRef),"",COUNTIF($A$7:A181,P_DateRef))</f>
        <v/>
      </c>
    </row>
    <row r="182" customFormat="false" ht="15" hidden="false" customHeight="false" outlineLevel="0" collapsed="false">
      <c r="A182" s="69"/>
      <c r="B182" s="25"/>
      <c r="C182" s="25"/>
      <c r="D182" s="25"/>
      <c r="E182" s="25"/>
      <c r="F182" s="25"/>
      <c r="G182" s="70"/>
      <c r="H182" s="90" t="str">
        <f aca="false">IF(OR(A182="",B182=""),"",COUNTIFS(PT_Date,A182,PT_Equipe,B182,PT_Pres,"P")+0.5*COUNTIFS(PT_Date,A182,PT_Equipe,B182,PT_Pres,"1/2"))</f>
        <v/>
      </c>
      <c r="I182" s="90" t="str">
        <f aca="false">IF(H182="","",H182-N(G182))</f>
        <v/>
      </c>
      <c r="J182" s="25"/>
      <c r="K182" s="74" t="str">
        <f aca="false">IF(OR(A182="",A182&lt;&gt;P_DateRef),"",COUNTIF($A$7:A182,P_DateRef))</f>
        <v/>
      </c>
    </row>
    <row r="183" customFormat="false" ht="15" hidden="false" customHeight="false" outlineLevel="0" collapsed="false">
      <c r="A183" s="69"/>
      <c r="B183" s="25"/>
      <c r="C183" s="25"/>
      <c r="D183" s="25"/>
      <c r="E183" s="25"/>
      <c r="F183" s="25"/>
      <c r="G183" s="70"/>
      <c r="H183" s="90" t="str">
        <f aca="false">IF(OR(A183="",B183=""),"",COUNTIFS(PT_Date,A183,PT_Equipe,B183,PT_Pres,"P")+0.5*COUNTIFS(PT_Date,A183,PT_Equipe,B183,PT_Pres,"1/2"))</f>
        <v/>
      </c>
      <c r="I183" s="90" t="str">
        <f aca="false">IF(H183="","",H183-N(G183))</f>
        <v/>
      </c>
      <c r="J183" s="25"/>
      <c r="K183" s="74" t="str">
        <f aca="false">IF(OR(A183="",A183&lt;&gt;P_DateRef),"",COUNTIF($A$7:A183,P_DateRef))</f>
        <v/>
      </c>
    </row>
    <row r="184" customFormat="false" ht="15" hidden="false" customHeight="false" outlineLevel="0" collapsed="false">
      <c r="A184" s="69"/>
      <c r="B184" s="25"/>
      <c r="C184" s="25"/>
      <c r="D184" s="25"/>
      <c r="E184" s="25"/>
      <c r="F184" s="25"/>
      <c r="G184" s="70"/>
      <c r="H184" s="90" t="str">
        <f aca="false">IF(OR(A184="",B184=""),"",COUNTIFS(PT_Date,A184,PT_Equipe,B184,PT_Pres,"P")+0.5*COUNTIFS(PT_Date,A184,PT_Equipe,B184,PT_Pres,"1/2"))</f>
        <v/>
      </c>
      <c r="I184" s="90" t="str">
        <f aca="false">IF(H184="","",H184-N(G184))</f>
        <v/>
      </c>
      <c r="J184" s="25"/>
      <c r="K184" s="74" t="str">
        <f aca="false">IF(OR(A184="",A184&lt;&gt;P_DateRef),"",COUNTIF($A$7:A184,P_DateRef))</f>
        <v/>
      </c>
    </row>
    <row r="185" customFormat="false" ht="15" hidden="false" customHeight="false" outlineLevel="0" collapsed="false">
      <c r="A185" s="69"/>
      <c r="B185" s="25"/>
      <c r="C185" s="25"/>
      <c r="D185" s="25"/>
      <c r="E185" s="25"/>
      <c r="F185" s="25"/>
      <c r="G185" s="70"/>
      <c r="H185" s="90" t="str">
        <f aca="false">IF(OR(A185="",B185=""),"",COUNTIFS(PT_Date,A185,PT_Equipe,B185,PT_Pres,"P")+0.5*COUNTIFS(PT_Date,A185,PT_Equipe,B185,PT_Pres,"1/2"))</f>
        <v/>
      </c>
      <c r="I185" s="90" t="str">
        <f aca="false">IF(H185="","",H185-N(G185))</f>
        <v/>
      </c>
      <c r="J185" s="25"/>
      <c r="K185" s="74" t="str">
        <f aca="false">IF(OR(A185="",A185&lt;&gt;P_DateRef),"",COUNTIF($A$7:A185,P_DateRef))</f>
        <v/>
      </c>
    </row>
    <row r="186" customFormat="false" ht="15" hidden="false" customHeight="false" outlineLevel="0" collapsed="false">
      <c r="A186" s="69"/>
      <c r="B186" s="25"/>
      <c r="C186" s="25"/>
      <c r="D186" s="25"/>
      <c r="E186" s="25"/>
      <c r="F186" s="25"/>
      <c r="G186" s="70"/>
      <c r="H186" s="90" t="str">
        <f aca="false">IF(OR(A186="",B186=""),"",COUNTIFS(PT_Date,A186,PT_Equipe,B186,PT_Pres,"P")+0.5*COUNTIFS(PT_Date,A186,PT_Equipe,B186,PT_Pres,"1/2"))</f>
        <v/>
      </c>
      <c r="I186" s="90" t="str">
        <f aca="false">IF(H186="","",H186-N(G186))</f>
        <v/>
      </c>
      <c r="J186" s="25"/>
      <c r="K186" s="74" t="str">
        <f aca="false">IF(OR(A186="",A186&lt;&gt;P_DateRef),"",COUNTIF($A$7:A186,P_DateRef))</f>
        <v/>
      </c>
    </row>
    <row r="187" customFormat="false" ht="15" hidden="false" customHeight="false" outlineLevel="0" collapsed="false">
      <c r="A187" s="69"/>
      <c r="B187" s="25"/>
      <c r="C187" s="25"/>
      <c r="D187" s="25"/>
      <c r="E187" s="25"/>
      <c r="F187" s="25"/>
      <c r="G187" s="70"/>
      <c r="H187" s="90" t="str">
        <f aca="false">IF(OR(A187="",B187=""),"",COUNTIFS(PT_Date,A187,PT_Equipe,B187,PT_Pres,"P")+0.5*COUNTIFS(PT_Date,A187,PT_Equipe,B187,PT_Pres,"1/2"))</f>
        <v/>
      </c>
      <c r="I187" s="90" t="str">
        <f aca="false">IF(H187="","",H187-N(G187))</f>
        <v/>
      </c>
      <c r="J187" s="25"/>
      <c r="K187" s="74" t="str">
        <f aca="false">IF(OR(A187="",A187&lt;&gt;P_DateRef),"",COUNTIF($A$7:A187,P_DateRef))</f>
        <v/>
      </c>
    </row>
    <row r="188" customFormat="false" ht="15" hidden="false" customHeight="false" outlineLevel="0" collapsed="false">
      <c r="A188" s="69"/>
      <c r="B188" s="25"/>
      <c r="C188" s="25"/>
      <c r="D188" s="25"/>
      <c r="E188" s="25"/>
      <c r="F188" s="25"/>
      <c r="G188" s="70"/>
      <c r="H188" s="90" t="str">
        <f aca="false">IF(OR(A188="",B188=""),"",COUNTIFS(PT_Date,A188,PT_Equipe,B188,PT_Pres,"P")+0.5*COUNTIFS(PT_Date,A188,PT_Equipe,B188,PT_Pres,"1/2"))</f>
        <v/>
      </c>
      <c r="I188" s="90" t="str">
        <f aca="false">IF(H188="","",H188-N(G188))</f>
        <v/>
      </c>
      <c r="J188" s="25"/>
      <c r="K188" s="74" t="str">
        <f aca="false">IF(OR(A188="",A188&lt;&gt;P_DateRef),"",COUNTIF($A$7:A188,P_DateRef))</f>
        <v/>
      </c>
    </row>
    <row r="189" customFormat="false" ht="15" hidden="false" customHeight="false" outlineLevel="0" collapsed="false">
      <c r="A189" s="69"/>
      <c r="B189" s="25"/>
      <c r="C189" s="25"/>
      <c r="D189" s="25"/>
      <c r="E189" s="25"/>
      <c r="F189" s="25"/>
      <c r="G189" s="70"/>
      <c r="H189" s="90" t="str">
        <f aca="false">IF(OR(A189="",B189=""),"",COUNTIFS(PT_Date,A189,PT_Equipe,B189,PT_Pres,"P")+0.5*COUNTIFS(PT_Date,A189,PT_Equipe,B189,PT_Pres,"1/2"))</f>
        <v/>
      </c>
      <c r="I189" s="90" t="str">
        <f aca="false">IF(H189="","",H189-N(G189))</f>
        <v/>
      </c>
      <c r="J189" s="25"/>
      <c r="K189" s="74" t="str">
        <f aca="false">IF(OR(A189="",A189&lt;&gt;P_DateRef),"",COUNTIF($A$7:A189,P_DateRef))</f>
        <v/>
      </c>
    </row>
    <row r="190" customFormat="false" ht="15" hidden="false" customHeight="false" outlineLevel="0" collapsed="false">
      <c r="A190" s="69"/>
      <c r="B190" s="25"/>
      <c r="C190" s="25"/>
      <c r="D190" s="25"/>
      <c r="E190" s="25"/>
      <c r="F190" s="25"/>
      <c r="G190" s="70"/>
      <c r="H190" s="90" t="str">
        <f aca="false">IF(OR(A190="",B190=""),"",COUNTIFS(PT_Date,A190,PT_Equipe,B190,PT_Pres,"P")+0.5*COUNTIFS(PT_Date,A190,PT_Equipe,B190,PT_Pres,"1/2"))</f>
        <v/>
      </c>
      <c r="I190" s="90" t="str">
        <f aca="false">IF(H190="","",H190-N(G190))</f>
        <v/>
      </c>
      <c r="J190" s="25"/>
      <c r="K190" s="74" t="str">
        <f aca="false">IF(OR(A190="",A190&lt;&gt;P_DateRef),"",COUNTIF($A$7:A190,P_DateRef))</f>
        <v/>
      </c>
    </row>
    <row r="191" customFormat="false" ht="15" hidden="false" customHeight="false" outlineLevel="0" collapsed="false">
      <c r="A191" s="69"/>
      <c r="B191" s="25"/>
      <c r="C191" s="25"/>
      <c r="D191" s="25"/>
      <c r="E191" s="25"/>
      <c r="F191" s="25"/>
      <c r="G191" s="70"/>
      <c r="H191" s="90" t="str">
        <f aca="false">IF(OR(A191="",B191=""),"",COUNTIFS(PT_Date,A191,PT_Equipe,B191,PT_Pres,"P")+0.5*COUNTIFS(PT_Date,A191,PT_Equipe,B191,PT_Pres,"1/2"))</f>
        <v/>
      </c>
      <c r="I191" s="90" t="str">
        <f aca="false">IF(H191="","",H191-N(G191))</f>
        <v/>
      </c>
      <c r="J191" s="25"/>
      <c r="K191" s="74" t="str">
        <f aca="false">IF(OR(A191="",A191&lt;&gt;P_DateRef),"",COUNTIF($A$7:A191,P_DateRef))</f>
        <v/>
      </c>
    </row>
    <row r="192" customFormat="false" ht="15" hidden="false" customHeight="false" outlineLevel="0" collapsed="false">
      <c r="A192" s="69"/>
      <c r="B192" s="25"/>
      <c r="C192" s="25"/>
      <c r="D192" s="25"/>
      <c r="E192" s="25"/>
      <c r="F192" s="25"/>
      <c r="G192" s="70"/>
      <c r="H192" s="90" t="str">
        <f aca="false">IF(OR(A192="",B192=""),"",COUNTIFS(PT_Date,A192,PT_Equipe,B192,PT_Pres,"P")+0.5*COUNTIFS(PT_Date,A192,PT_Equipe,B192,PT_Pres,"1/2"))</f>
        <v/>
      </c>
      <c r="I192" s="90" t="str">
        <f aca="false">IF(H192="","",H192-N(G192))</f>
        <v/>
      </c>
      <c r="J192" s="25"/>
      <c r="K192" s="74" t="str">
        <f aca="false">IF(OR(A192="",A192&lt;&gt;P_DateRef),"",COUNTIF($A$7:A192,P_DateRef))</f>
        <v/>
      </c>
    </row>
    <row r="193" customFormat="false" ht="15" hidden="false" customHeight="false" outlineLevel="0" collapsed="false">
      <c r="A193" s="69"/>
      <c r="B193" s="25"/>
      <c r="C193" s="25"/>
      <c r="D193" s="25"/>
      <c r="E193" s="25"/>
      <c r="F193" s="25"/>
      <c r="G193" s="70"/>
      <c r="H193" s="90" t="str">
        <f aca="false">IF(OR(A193="",B193=""),"",COUNTIFS(PT_Date,A193,PT_Equipe,B193,PT_Pres,"P")+0.5*COUNTIFS(PT_Date,A193,PT_Equipe,B193,PT_Pres,"1/2"))</f>
        <v/>
      </c>
      <c r="I193" s="90" t="str">
        <f aca="false">IF(H193="","",H193-N(G193))</f>
        <v/>
      </c>
      <c r="J193" s="25"/>
      <c r="K193" s="74" t="str">
        <f aca="false">IF(OR(A193="",A193&lt;&gt;P_DateRef),"",COUNTIF($A$7:A193,P_DateRef))</f>
        <v/>
      </c>
    </row>
    <row r="194" customFormat="false" ht="15" hidden="false" customHeight="false" outlineLevel="0" collapsed="false">
      <c r="A194" s="69"/>
      <c r="B194" s="25"/>
      <c r="C194" s="25"/>
      <c r="D194" s="25"/>
      <c r="E194" s="25"/>
      <c r="F194" s="25"/>
      <c r="G194" s="70"/>
      <c r="H194" s="90" t="str">
        <f aca="false">IF(OR(A194="",B194=""),"",COUNTIFS(PT_Date,A194,PT_Equipe,B194,PT_Pres,"P")+0.5*COUNTIFS(PT_Date,A194,PT_Equipe,B194,PT_Pres,"1/2"))</f>
        <v/>
      </c>
      <c r="I194" s="90" t="str">
        <f aca="false">IF(H194="","",H194-N(G194))</f>
        <v/>
      </c>
      <c r="J194" s="25"/>
      <c r="K194" s="74" t="str">
        <f aca="false">IF(OR(A194="",A194&lt;&gt;P_DateRef),"",COUNTIF($A$7:A194,P_DateRef))</f>
        <v/>
      </c>
    </row>
    <row r="195" customFormat="false" ht="15" hidden="false" customHeight="false" outlineLevel="0" collapsed="false">
      <c r="A195" s="69"/>
      <c r="B195" s="25"/>
      <c r="C195" s="25"/>
      <c r="D195" s="25"/>
      <c r="E195" s="25"/>
      <c r="F195" s="25"/>
      <c r="G195" s="70"/>
      <c r="H195" s="90" t="str">
        <f aca="false">IF(OR(A195="",B195=""),"",COUNTIFS(PT_Date,A195,PT_Equipe,B195,PT_Pres,"P")+0.5*COUNTIFS(PT_Date,A195,PT_Equipe,B195,PT_Pres,"1/2"))</f>
        <v/>
      </c>
      <c r="I195" s="90" t="str">
        <f aca="false">IF(H195="","",H195-N(G195))</f>
        <v/>
      </c>
      <c r="J195" s="25"/>
      <c r="K195" s="74" t="str">
        <f aca="false">IF(OR(A195="",A195&lt;&gt;P_DateRef),"",COUNTIF($A$7:A195,P_DateRef))</f>
        <v/>
      </c>
    </row>
    <row r="196" customFormat="false" ht="15" hidden="false" customHeight="false" outlineLevel="0" collapsed="false">
      <c r="A196" s="69"/>
      <c r="B196" s="25"/>
      <c r="C196" s="25"/>
      <c r="D196" s="25"/>
      <c r="E196" s="25"/>
      <c r="F196" s="25"/>
      <c r="G196" s="70"/>
      <c r="H196" s="90" t="str">
        <f aca="false">IF(OR(A196="",B196=""),"",COUNTIFS(PT_Date,A196,PT_Equipe,B196,PT_Pres,"P")+0.5*COUNTIFS(PT_Date,A196,PT_Equipe,B196,PT_Pres,"1/2"))</f>
        <v/>
      </c>
      <c r="I196" s="90" t="str">
        <f aca="false">IF(H196="","",H196-N(G196))</f>
        <v/>
      </c>
      <c r="J196" s="25"/>
      <c r="K196" s="74" t="str">
        <f aca="false">IF(OR(A196="",A196&lt;&gt;P_DateRef),"",COUNTIF($A$7:A196,P_DateRef))</f>
        <v/>
      </c>
    </row>
    <row r="197" customFormat="false" ht="15" hidden="false" customHeight="false" outlineLevel="0" collapsed="false">
      <c r="A197" s="69"/>
      <c r="B197" s="25"/>
      <c r="C197" s="25"/>
      <c r="D197" s="25"/>
      <c r="E197" s="25"/>
      <c r="F197" s="25"/>
      <c r="G197" s="70"/>
      <c r="H197" s="90" t="str">
        <f aca="false">IF(OR(A197="",B197=""),"",COUNTIFS(PT_Date,A197,PT_Equipe,B197,PT_Pres,"P")+0.5*COUNTIFS(PT_Date,A197,PT_Equipe,B197,PT_Pres,"1/2"))</f>
        <v/>
      </c>
      <c r="I197" s="90" t="str">
        <f aca="false">IF(H197="","",H197-N(G197))</f>
        <v/>
      </c>
      <c r="J197" s="25"/>
      <c r="K197" s="74" t="str">
        <f aca="false">IF(OR(A197="",A197&lt;&gt;P_DateRef),"",COUNTIF($A$7:A197,P_DateRef))</f>
        <v/>
      </c>
    </row>
    <row r="198" customFormat="false" ht="15" hidden="false" customHeight="false" outlineLevel="0" collapsed="false">
      <c r="A198" s="69"/>
      <c r="B198" s="25"/>
      <c r="C198" s="25"/>
      <c r="D198" s="25"/>
      <c r="E198" s="25"/>
      <c r="F198" s="25"/>
      <c r="G198" s="70"/>
      <c r="H198" s="90" t="str">
        <f aca="false">IF(OR(A198="",B198=""),"",COUNTIFS(PT_Date,A198,PT_Equipe,B198,PT_Pres,"P")+0.5*COUNTIFS(PT_Date,A198,PT_Equipe,B198,PT_Pres,"1/2"))</f>
        <v/>
      </c>
      <c r="I198" s="90" t="str">
        <f aca="false">IF(H198="","",H198-N(G198))</f>
        <v/>
      </c>
      <c r="J198" s="25"/>
      <c r="K198" s="74" t="str">
        <f aca="false">IF(OR(A198="",A198&lt;&gt;P_DateRef),"",COUNTIF($A$7:A198,P_DateRef))</f>
        <v/>
      </c>
    </row>
    <row r="199" customFormat="false" ht="15" hidden="false" customHeight="false" outlineLevel="0" collapsed="false">
      <c r="A199" s="69"/>
      <c r="B199" s="25"/>
      <c r="C199" s="25"/>
      <c r="D199" s="25"/>
      <c r="E199" s="25"/>
      <c r="F199" s="25"/>
      <c r="G199" s="70"/>
      <c r="H199" s="90" t="str">
        <f aca="false">IF(OR(A199="",B199=""),"",COUNTIFS(PT_Date,A199,PT_Equipe,B199,PT_Pres,"P")+0.5*COUNTIFS(PT_Date,A199,PT_Equipe,B199,PT_Pres,"1/2"))</f>
        <v/>
      </c>
      <c r="I199" s="90" t="str">
        <f aca="false">IF(H199="","",H199-N(G199))</f>
        <v/>
      </c>
      <c r="J199" s="25"/>
      <c r="K199" s="74" t="str">
        <f aca="false">IF(OR(A199="",A199&lt;&gt;P_DateRef),"",COUNTIF($A$7:A199,P_DateRef))</f>
        <v/>
      </c>
    </row>
    <row r="200" customFormat="false" ht="15" hidden="false" customHeight="false" outlineLevel="0" collapsed="false">
      <c r="A200" s="69"/>
      <c r="B200" s="25"/>
      <c r="C200" s="25"/>
      <c r="D200" s="25"/>
      <c r="E200" s="25"/>
      <c r="F200" s="25"/>
      <c r="G200" s="70"/>
      <c r="H200" s="90" t="str">
        <f aca="false">IF(OR(A200="",B200=""),"",COUNTIFS(PT_Date,A200,PT_Equipe,B200,PT_Pres,"P")+0.5*COUNTIFS(PT_Date,A200,PT_Equipe,B200,PT_Pres,"1/2"))</f>
        <v/>
      </c>
      <c r="I200" s="90" t="str">
        <f aca="false">IF(H200="","",H200-N(G200))</f>
        <v/>
      </c>
      <c r="J200" s="25"/>
      <c r="K200" s="74" t="str">
        <f aca="false">IF(OR(A200="",A200&lt;&gt;P_DateRef),"",COUNTIF($A$7:A200,P_DateRef))</f>
        <v/>
      </c>
    </row>
    <row r="201" customFormat="false" ht="15" hidden="false" customHeight="false" outlineLevel="0" collapsed="false">
      <c r="A201" s="69"/>
      <c r="B201" s="25"/>
      <c r="C201" s="25"/>
      <c r="D201" s="25"/>
      <c r="E201" s="25"/>
      <c r="F201" s="25"/>
      <c r="G201" s="70"/>
      <c r="H201" s="90" t="str">
        <f aca="false">IF(OR(A201="",B201=""),"",COUNTIFS(PT_Date,A201,PT_Equipe,B201,PT_Pres,"P")+0.5*COUNTIFS(PT_Date,A201,PT_Equipe,B201,PT_Pres,"1/2"))</f>
        <v/>
      </c>
      <c r="I201" s="90" t="str">
        <f aca="false">IF(H201="","",H201-N(G201))</f>
        <v/>
      </c>
      <c r="J201" s="25"/>
      <c r="K201" s="74" t="str">
        <f aca="false">IF(OR(A201="",A201&lt;&gt;P_DateRef),"",COUNTIF($A$7:A201,P_DateRef))</f>
        <v/>
      </c>
    </row>
    <row r="202" customFormat="false" ht="15" hidden="false" customHeight="false" outlineLevel="0" collapsed="false">
      <c r="A202" s="69"/>
      <c r="B202" s="25"/>
      <c r="C202" s="25"/>
      <c r="D202" s="25"/>
      <c r="E202" s="25"/>
      <c r="F202" s="25"/>
      <c r="G202" s="70"/>
      <c r="H202" s="90" t="str">
        <f aca="false">IF(OR(A202="",B202=""),"",COUNTIFS(PT_Date,A202,PT_Equipe,B202,PT_Pres,"P")+0.5*COUNTIFS(PT_Date,A202,PT_Equipe,B202,PT_Pres,"1/2"))</f>
        <v/>
      </c>
      <c r="I202" s="90" t="str">
        <f aca="false">IF(H202="","",H202-N(G202))</f>
        <v/>
      </c>
      <c r="J202" s="25"/>
      <c r="K202" s="74" t="str">
        <f aca="false">IF(OR(A202="",A202&lt;&gt;P_DateRef),"",COUNTIF($A$7:A202,P_DateRef))</f>
        <v/>
      </c>
    </row>
    <row r="203" customFormat="false" ht="15" hidden="false" customHeight="false" outlineLevel="0" collapsed="false">
      <c r="A203" s="69"/>
      <c r="B203" s="25"/>
      <c r="C203" s="25"/>
      <c r="D203" s="25"/>
      <c r="E203" s="25"/>
      <c r="F203" s="25"/>
      <c r="G203" s="70"/>
      <c r="H203" s="90" t="str">
        <f aca="false">IF(OR(A203="",B203=""),"",COUNTIFS(PT_Date,A203,PT_Equipe,B203,PT_Pres,"P")+0.5*COUNTIFS(PT_Date,A203,PT_Equipe,B203,PT_Pres,"1/2"))</f>
        <v/>
      </c>
      <c r="I203" s="90" t="str">
        <f aca="false">IF(H203="","",H203-N(G203))</f>
        <v/>
      </c>
      <c r="J203" s="25"/>
      <c r="K203" s="74" t="str">
        <f aca="false">IF(OR(A203="",A203&lt;&gt;P_DateRef),"",COUNTIF($A$7:A203,P_DateRef))</f>
        <v/>
      </c>
    </row>
    <row r="204" customFormat="false" ht="15" hidden="false" customHeight="false" outlineLevel="0" collapsed="false">
      <c r="A204" s="69"/>
      <c r="B204" s="25"/>
      <c r="C204" s="25"/>
      <c r="D204" s="25"/>
      <c r="E204" s="25"/>
      <c r="F204" s="25"/>
      <c r="G204" s="70"/>
      <c r="H204" s="90" t="str">
        <f aca="false">IF(OR(A204="",B204=""),"",COUNTIFS(PT_Date,A204,PT_Equipe,B204,PT_Pres,"P")+0.5*COUNTIFS(PT_Date,A204,PT_Equipe,B204,PT_Pres,"1/2"))</f>
        <v/>
      </c>
      <c r="I204" s="90" t="str">
        <f aca="false">IF(H204="","",H204-N(G204))</f>
        <v/>
      </c>
      <c r="J204" s="25"/>
      <c r="K204" s="74" t="str">
        <f aca="false">IF(OR(A204="",A204&lt;&gt;P_DateRef),"",COUNTIF($A$7:A204,P_DateRef))</f>
        <v/>
      </c>
    </row>
    <row r="205" customFormat="false" ht="15" hidden="false" customHeight="false" outlineLevel="0" collapsed="false">
      <c r="A205" s="69"/>
      <c r="B205" s="25"/>
      <c r="C205" s="25"/>
      <c r="D205" s="25"/>
      <c r="E205" s="25"/>
      <c r="F205" s="25"/>
      <c r="G205" s="70"/>
      <c r="H205" s="90" t="str">
        <f aca="false">IF(OR(A205="",B205=""),"",COUNTIFS(PT_Date,A205,PT_Equipe,B205,PT_Pres,"P")+0.5*COUNTIFS(PT_Date,A205,PT_Equipe,B205,PT_Pres,"1/2"))</f>
        <v/>
      </c>
      <c r="I205" s="90" t="str">
        <f aca="false">IF(H205="","",H205-N(G205))</f>
        <v/>
      </c>
      <c r="J205" s="25"/>
      <c r="K205" s="74" t="str">
        <f aca="false">IF(OR(A205="",A205&lt;&gt;P_DateRef),"",COUNTIF($A$7:A205,P_DateRef))</f>
        <v/>
      </c>
    </row>
    <row r="206" customFormat="false" ht="15" hidden="false" customHeight="false" outlineLevel="0" collapsed="false">
      <c r="A206" s="69"/>
      <c r="B206" s="25"/>
      <c r="C206" s="25"/>
      <c r="D206" s="25"/>
      <c r="E206" s="25"/>
      <c r="F206" s="25"/>
      <c r="G206" s="70"/>
      <c r="H206" s="90" t="str">
        <f aca="false">IF(OR(A206="",B206=""),"",COUNTIFS(PT_Date,A206,PT_Equipe,B206,PT_Pres,"P")+0.5*COUNTIFS(PT_Date,A206,PT_Equipe,B206,PT_Pres,"1/2"))</f>
        <v/>
      </c>
      <c r="I206" s="90" t="str">
        <f aca="false">IF(H206="","",H206-N(G206))</f>
        <v/>
      </c>
      <c r="J206" s="25"/>
      <c r="K206" s="74" t="str">
        <f aca="false">IF(OR(A206="",A206&lt;&gt;P_DateRef),"",COUNTIF($A$7:A206,P_DateRef))</f>
        <v/>
      </c>
    </row>
    <row r="207" customFormat="false" ht="15" hidden="false" customHeight="false" outlineLevel="0" collapsed="false">
      <c r="A207" s="69"/>
      <c r="B207" s="25"/>
      <c r="C207" s="25"/>
      <c r="D207" s="25"/>
      <c r="E207" s="25"/>
      <c r="F207" s="25"/>
      <c r="G207" s="70"/>
      <c r="H207" s="90" t="str">
        <f aca="false">IF(OR(A207="",B207=""),"",COUNTIFS(PT_Date,A207,PT_Equipe,B207,PT_Pres,"P")+0.5*COUNTIFS(PT_Date,A207,PT_Equipe,B207,PT_Pres,"1/2"))</f>
        <v/>
      </c>
      <c r="I207" s="90" t="str">
        <f aca="false">IF(H207="","",H207-N(G207))</f>
        <v/>
      </c>
      <c r="J207" s="25"/>
      <c r="K207" s="74" t="str">
        <f aca="false">IF(OR(A207="",A207&lt;&gt;P_DateRef),"",COUNTIF($A$7:A207,P_DateRef))</f>
        <v/>
      </c>
    </row>
    <row r="208" customFormat="false" ht="15" hidden="false" customHeight="false" outlineLevel="0" collapsed="false">
      <c r="A208" s="69"/>
      <c r="B208" s="25"/>
      <c r="C208" s="25"/>
      <c r="D208" s="25"/>
      <c r="E208" s="25"/>
      <c r="F208" s="25"/>
      <c r="G208" s="70"/>
      <c r="H208" s="90" t="str">
        <f aca="false">IF(OR(A208="",B208=""),"",COUNTIFS(PT_Date,A208,PT_Equipe,B208,PT_Pres,"P")+0.5*COUNTIFS(PT_Date,A208,PT_Equipe,B208,PT_Pres,"1/2"))</f>
        <v/>
      </c>
      <c r="I208" s="90" t="str">
        <f aca="false">IF(H208="","",H208-N(G208))</f>
        <v/>
      </c>
      <c r="J208" s="25"/>
      <c r="K208" s="74" t="str">
        <f aca="false">IF(OR(A208="",A208&lt;&gt;P_DateRef),"",COUNTIF($A$7:A208,P_DateRef))</f>
        <v/>
      </c>
    </row>
    <row r="209" customFormat="false" ht="15" hidden="false" customHeight="false" outlineLevel="0" collapsed="false">
      <c r="A209" s="69"/>
      <c r="B209" s="25"/>
      <c r="C209" s="25"/>
      <c r="D209" s="25"/>
      <c r="E209" s="25"/>
      <c r="F209" s="25"/>
      <c r="G209" s="70"/>
      <c r="H209" s="90" t="str">
        <f aca="false">IF(OR(A209="",B209=""),"",COUNTIFS(PT_Date,A209,PT_Equipe,B209,PT_Pres,"P")+0.5*COUNTIFS(PT_Date,A209,PT_Equipe,B209,PT_Pres,"1/2"))</f>
        <v/>
      </c>
      <c r="I209" s="90" t="str">
        <f aca="false">IF(H209="","",H209-N(G209))</f>
        <v/>
      </c>
      <c r="J209" s="25"/>
      <c r="K209" s="74" t="str">
        <f aca="false">IF(OR(A209="",A209&lt;&gt;P_DateRef),"",COUNTIF($A$7:A209,P_DateRef))</f>
        <v/>
      </c>
    </row>
    <row r="210" customFormat="false" ht="15" hidden="false" customHeight="false" outlineLevel="0" collapsed="false">
      <c r="A210" s="69"/>
      <c r="B210" s="25"/>
      <c r="C210" s="25"/>
      <c r="D210" s="25"/>
      <c r="E210" s="25"/>
      <c r="F210" s="25"/>
      <c r="G210" s="70"/>
      <c r="H210" s="90" t="str">
        <f aca="false">IF(OR(A210="",B210=""),"",COUNTIFS(PT_Date,A210,PT_Equipe,B210,PT_Pres,"P")+0.5*COUNTIFS(PT_Date,A210,PT_Equipe,B210,PT_Pres,"1/2"))</f>
        <v/>
      </c>
      <c r="I210" s="90" t="str">
        <f aca="false">IF(H210="","",H210-N(G210))</f>
        <v/>
      </c>
      <c r="J210" s="25"/>
      <c r="K210" s="74" t="str">
        <f aca="false">IF(OR(A210="",A210&lt;&gt;P_DateRef),"",COUNTIF($A$7:A210,P_DateRef))</f>
        <v/>
      </c>
    </row>
    <row r="211" customFormat="false" ht="15" hidden="false" customHeight="false" outlineLevel="0" collapsed="false">
      <c r="A211" s="69"/>
      <c r="B211" s="25"/>
      <c r="C211" s="25"/>
      <c r="D211" s="25"/>
      <c r="E211" s="25"/>
      <c r="F211" s="25"/>
      <c r="G211" s="70"/>
      <c r="H211" s="90" t="str">
        <f aca="false">IF(OR(A211="",B211=""),"",COUNTIFS(PT_Date,A211,PT_Equipe,B211,PT_Pres,"P")+0.5*COUNTIFS(PT_Date,A211,PT_Equipe,B211,PT_Pres,"1/2"))</f>
        <v/>
      </c>
      <c r="I211" s="90" t="str">
        <f aca="false">IF(H211="","",H211-N(G211))</f>
        <v/>
      </c>
      <c r="J211" s="25"/>
      <c r="K211" s="74" t="str">
        <f aca="false">IF(OR(A211="",A211&lt;&gt;P_DateRef),"",COUNTIF($A$7:A211,P_DateRef))</f>
        <v/>
      </c>
    </row>
    <row r="212" customFormat="false" ht="15" hidden="false" customHeight="false" outlineLevel="0" collapsed="false">
      <c r="A212" s="69"/>
      <c r="B212" s="25"/>
      <c r="C212" s="25"/>
      <c r="D212" s="25"/>
      <c r="E212" s="25"/>
      <c r="F212" s="25"/>
      <c r="G212" s="70"/>
      <c r="H212" s="90" t="str">
        <f aca="false">IF(OR(A212="",B212=""),"",COUNTIFS(PT_Date,A212,PT_Equipe,B212,PT_Pres,"P")+0.5*COUNTIFS(PT_Date,A212,PT_Equipe,B212,PT_Pres,"1/2"))</f>
        <v/>
      </c>
      <c r="I212" s="90" t="str">
        <f aca="false">IF(H212="","",H212-N(G212))</f>
        <v/>
      </c>
      <c r="J212" s="25"/>
      <c r="K212" s="74" t="str">
        <f aca="false">IF(OR(A212="",A212&lt;&gt;P_DateRef),"",COUNTIF($A$7:A212,P_DateRef))</f>
        <v/>
      </c>
    </row>
    <row r="213" customFormat="false" ht="15" hidden="false" customHeight="false" outlineLevel="0" collapsed="false">
      <c r="A213" s="69"/>
      <c r="B213" s="25"/>
      <c r="C213" s="25"/>
      <c r="D213" s="25"/>
      <c r="E213" s="25"/>
      <c r="F213" s="25"/>
      <c r="G213" s="70"/>
      <c r="H213" s="90" t="str">
        <f aca="false">IF(OR(A213="",B213=""),"",COUNTIFS(PT_Date,A213,PT_Equipe,B213,PT_Pres,"P")+0.5*COUNTIFS(PT_Date,A213,PT_Equipe,B213,PT_Pres,"1/2"))</f>
        <v/>
      </c>
      <c r="I213" s="90" t="str">
        <f aca="false">IF(H213="","",H213-N(G213))</f>
        <v/>
      </c>
      <c r="J213" s="25"/>
      <c r="K213" s="74" t="str">
        <f aca="false">IF(OR(A213="",A213&lt;&gt;P_DateRef),"",COUNTIF($A$7:A213,P_DateRef))</f>
        <v/>
      </c>
    </row>
    <row r="214" customFormat="false" ht="15" hidden="false" customHeight="false" outlineLevel="0" collapsed="false">
      <c r="A214" s="69"/>
      <c r="B214" s="25"/>
      <c r="C214" s="25"/>
      <c r="D214" s="25"/>
      <c r="E214" s="25"/>
      <c r="F214" s="25"/>
      <c r="G214" s="70"/>
      <c r="H214" s="90" t="str">
        <f aca="false">IF(OR(A214="",B214=""),"",COUNTIFS(PT_Date,A214,PT_Equipe,B214,PT_Pres,"P")+0.5*COUNTIFS(PT_Date,A214,PT_Equipe,B214,PT_Pres,"1/2"))</f>
        <v/>
      </c>
      <c r="I214" s="90" t="str">
        <f aca="false">IF(H214="","",H214-N(G214))</f>
        <v/>
      </c>
      <c r="J214" s="25"/>
      <c r="K214" s="74" t="str">
        <f aca="false">IF(OR(A214="",A214&lt;&gt;P_DateRef),"",COUNTIF($A$7:A214,P_DateRef))</f>
        <v/>
      </c>
    </row>
    <row r="215" customFormat="false" ht="15" hidden="false" customHeight="false" outlineLevel="0" collapsed="false">
      <c r="A215" s="69"/>
      <c r="B215" s="25"/>
      <c r="C215" s="25"/>
      <c r="D215" s="25"/>
      <c r="E215" s="25"/>
      <c r="F215" s="25"/>
      <c r="G215" s="70"/>
      <c r="H215" s="90" t="str">
        <f aca="false">IF(OR(A215="",B215=""),"",COUNTIFS(PT_Date,A215,PT_Equipe,B215,PT_Pres,"P")+0.5*COUNTIFS(PT_Date,A215,PT_Equipe,B215,PT_Pres,"1/2"))</f>
        <v/>
      </c>
      <c r="I215" s="90" t="str">
        <f aca="false">IF(H215="","",H215-N(G215))</f>
        <v/>
      </c>
      <c r="J215" s="25"/>
      <c r="K215" s="74" t="str">
        <f aca="false">IF(OR(A215="",A215&lt;&gt;P_DateRef),"",COUNTIF($A$7:A215,P_DateRef))</f>
        <v/>
      </c>
    </row>
    <row r="216" customFormat="false" ht="15" hidden="false" customHeight="false" outlineLevel="0" collapsed="false">
      <c r="A216" s="69"/>
      <c r="B216" s="25"/>
      <c r="C216" s="25"/>
      <c r="D216" s="25"/>
      <c r="E216" s="25"/>
      <c r="F216" s="25"/>
      <c r="G216" s="70"/>
      <c r="H216" s="90" t="str">
        <f aca="false">IF(OR(A216="",B216=""),"",COUNTIFS(PT_Date,A216,PT_Equipe,B216,PT_Pres,"P")+0.5*COUNTIFS(PT_Date,A216,PT_Equipe,B216,PT_Pres,"1/2"))</f>
        <v/>
      </c>
      <c r="I216" s="90" t="str">
        <f aca="false">IF(H216="","",H216-N(G216))</f>
        <v/>
      </c>
      <c r="J216" s="25"/>
      <c r="K216" s="74" t="str">
        <f aca="false">IF(OR(A216="",A216&lt;&gt;P_DateRef),"",COUNTIF($A$7:A216,P_DateRef))</f>
        <v/>
      </c>
    </row>
    <row r="217" customFormat="false" ht="15" hidden="false" customHeight="false" outlineLevel="0" collapsed="false">
      <c r="A217" s="69"/>
      <c r="B217" s="25"/>
      <c r="C217" s="25"/>
      <c r="D217" s="25"/>
      <c r="E217" s="25"/>
      <c r="F217" s="25"/>
      <c r="G217" s="70"/>
      <c r="H217" s="90" t="str">
        <f aca="false">IF(OR(A217="",B217=""),"",COUNTIFS(PT_Date,A217,PT_Equipe,B217,PT_Pres,"P")+0.5*COUNTIFS(PT_Date,A217,PT_Equipe,B217,PT_Pres,"1/2"))</f>
        <v/>
      </c>
      <c r="I217" s="90" t="str">
        <f aca="false">IF(H217="","",H217-N(G217))</f>
        <v/>
      </c>
      <c r="J217" s="25"/>
      <c r="K217" s="74" t="str">
        <f aca="false">IF(OR(A217="",A217&lt;&gt;P_DateRef),"",COUNTIF($A$7:A217,P_DateRef))</f>
        <v/>
      </c>
    </row>
    <row r="218" customFormat="false" ht="15" hidden="false" customHeight="false" outlineLevel="0" collapsed="false">
      <c r="A218" s="69"/>
      <c r="B218" s="25"/>
      <c r="C218" s="25"/>
      <c r="D218" s="25"/>
      <c r="E218" s="25"/>
      <c r="F218" s="25"/>
      <c r="G218" s="70"/>
      <c r="H218" s="90" t="str">
        <f aca="false">IF(OR(A218="",B218=""),"",COUNTIFS(PT_Date,A218,PT_Equipe,B218,PT_Pres,"P")+0.5*COUNTIFS(PT_Date,A218,PT_Equipe,B218,PT_Pres,"1/2"))</f>
        <v/>
      </c>
      <c r="I218" s="90" t="str">
        <f aca="false">IF(H218="","",H218-N(G218))</f>
        <v/>
      </c>
      <c r="J218" s="25"/>
      <c r="K218" s="74" t="str">
        <f aca="false">IF(OR(A218="",A218&lt;&gt;P_DateRef),"",COUNTIF($A$7:A218,P_DateRef))</f>
        <v/>
      </c>
    </row>
    <row r="219" customFormat="false" ht="15" hidden="false" customHeight="false" outlineLevel="0" collapsed="false">
      <c r="A219" s="69"/>
      <c r="B219" s="25"/>
      <c r="C219" s="25"/>
      <c r="D219" s="25"/>
      <c r="E219" s="25"/>
      <c r="F219" s="25"/>
      <c r="G219" s="70"/>
      <c r="H219" s="90" t="str">
        <f aca="false">IF(OR(A219="",B219=""),"",COUNTIFS(PT_Date,A219,PT_Equipe,B219,PT_Pres,"P")+0.5*COUNTIFS(PT_Date,A219,PT_Equipe,B219,PT_Pres,"1/2"))</f>
        <v/>
      </c>
      <c r="I219" s="90" t="str">
        <f aca="false">IF(H219="","",H219-N(G219))</f>
        <v/>
      </c>
      <c r="J219" s="25"/>
      <c r="K219" s="74" t="str">
        <f aca="false">IF(OR(A219="",A219&lt;&gt;P_DateRef),"",COUNTIF($A$7:A219,P_DateRef))</f>
        <v/>
      </c>
    </row>
    <row r="220" customFormat="false" ht="15" hidden="false" customHeight="false" outlineLevel="0" collapsed="false">
      <c r="A220" s="69"/>
      <c r="B220" s="25"/>
      <c r="C220" s="25"/>
      <c r="D220" s="25"/>
      <c r="E220" s="25"/>
      <c r="F220" s="25"/>
      <c r="G220" s="70"/>
      <c r="H220" s="90" t="str">
        <f aca="false">IF(OR(A220="",B220=""),"",COUNTIFS(PT_Date,A220,PT_Equipe,B220,PT_Pres,"P")+0.5*COUNTIFS(PT_Date,A220,PT_Equipe,B220,PT_Pres,"1/2"))</f>
        <v/>
      </c>
      <c r="I220" s="90" t="str">
        <f aca="false">IF(H220="","",H220-N(G220))</f>
        <v/>
      </c>
      <c r="J220" s="25"/>
      <c r="K220" s="74" t="str">
        <f aca="false">IF(OR(A220="",A220&lt;&gt;P_DateRef),"",COUNTIF($A$7:A220,P_DateRef))</f>
        <v/>
      </c>
    </row>
    <row r="221" customFormat="false" ht="15" hidden="false" customHeight="false" outlineLevel="0" collapsed="false">
      <c r="A221" s="69"/>
      <c r="B221" s="25"/>
      <c r="C221" s="25"/>
      <c r="D221" s="25"/>
      <c r="E221" s="25"/>
      <c r="F221" s="25"/>
      <c r="G221" s="70"/>
      <c r="H221" s="90" t="str">
        <f aca="false">IF(OR(A221="",B221=""),"",COUNTIFS(PT_Date,A221,PT_Equipe,B221,PT_Pres,"P")+0.5*COUNTIFS(PT_Date,A221,PT_Equipe,B221,PT_Pres,"1/2"))</f>
        <v/>
      </c>
      <c r="I221" s="90" t="str">
        <f aca="false">IF(H221="","",H221-N(G221))</f>
        <v/>
      </c>
      <c r="J221" s="25"/>
      <c r="K221" s="74" t="str">
        <f aca="false">IF(OR(A221="",A221&lt;&gt;P_DateRef),"",COUNTIF($A$7:A221,P_DateRef))</f>
        <v/>
      </c>
    </row>
    <row r="222" customFormat="false" ht="15" hidden="false" customHeight="false" outlineLevel="0" collapsed="false">
      <c r="A222" s="69"/>
      <c r="B222" s="25"/>
      <c r="C222" s="25"/>
      <c r="D222" s="25"/>
      <c r="E222" s="25"/>
      <c r="F222" s="25"/>
      <c r="G222" s="70"/>
      <c r="H222" s="90" t="str">
        <f aca="false">IF(OR(A222="",B222=""),"",COUNTIFS(PT_Date,A222,PT_Equipe,B222,PT_Pres,"P")+0.5*COUNTIFS(PT_Date,A222,PT_Equipe,B222,PT_Pres,"1/2"))</f>
        <v/>
      </c>
      <c r="I222" s="90" t="str">
        <f aca="false">IF(H222="","",H222-N(G222))</f>
        <v/>
      </c>
      <c r="J222" s="25"/>
      <c r="K222" s="74" t="str">
        <f aca="false">IF(OR(A222="",A222&lt;&gt;P_DateRef),"",COUNTIF($A$7:A222,P_DateRef))</f>
        <v/>
      </c>
    </row>
    <row r="223" customFormat="false" ht="15" hidden="false" customHeight="false" outlineLevel="0" collapsed="false">
      <c r="A223" s="69"/>
      <c r="B223" s="25"/>
      <c r="C223" s="25"/>
      <c r="D223" s="25"/>
      <c r="E223" s="25"/>
      <c r="F223" s="25"/>
      <c r="G223" s="70"/>
      <c r="H223" s="90" t="str">
        <f aca="false">IF(OR(A223="",B223=""),"",COUNTIFS(PT_Date,A223,PT_Equipe,B223,PT_Pres,"P")+0.5*COUNTIFS(PT_Date,A223,PT_Equipe,B223,PT_Pres,"1/2"))</f>
        <v/>
      </c>
      <c r="I223" s="90" t="str">
        <f aca="false">IF(H223="","",H223-N(G223))</f>
        <v/>
      </c>
      <c r="J223" s="25"/>
      <c r="K223" s="74" t="str">
        <f aca="false">IF(OR(A223="",A223&lt;&gt;P_DateRef),"",COUNTIF($A$7:A223,P_DateRef))</f>
        <v/>
      </c>
    </row>
    <row r="224" customFormat="false" ht="15" hidden="false" customHeight="false" outlineLevel="0" collapsed="false">
      <c r="A224" s="69"/>
      <c r="B224" s="25"/>
      <c r="C224" s="25"/>
      <c r="D224" s="25"/>
      <c r="E224" s="25"/>
      <c r="F224" s="25"/>
      <c r="G224" s="70"/>
      <c r="H224" s="90" t="str">
        <f aca="false">IF(OR(A224="",B224=""),"",COUNTIFS(PT_Date,A224,PT_Equipe,B224,PT_Pres,"P")+0.5*COUNTIFS(PT_Date,A224,PT_Equipe,B224,PT_Pres,"1/2"))</f>
        <v/>
      </c>
      <c r="I224" s="90" t="str">
        <f aca="false">IF(H224="","",H224-N(G224))</f>
        <v/>
      </c>
      <c r="J224" s="25"/>
      <c r="K224" s="74" t="str">
        <f aca="false">IF(OR(A224="",A224&lt;&gt;P_DateRef),"",COUNTIF($A$7:A224,P_DateRef))</f>
        <v/>
      </c>
    </row>
    <row r="225" customFormat="false" ht="15" hidden="false" customHeight="false" outlineLevel="0" collapsed="false">
      <c r="A225" s="69"/>
      <c r="B225" s="25"/>
      <c r="C225" s="25"/>
      <c r="D225" s="25"/>
      <c r="E225" s="25"/>
      <c r="F225" s="25"/>
      <c r="G225" s="70"/>
      <c r="H225" s="90" t="str">
        <f aca="false">IF(OR(A225="",B225=""),"",COUNTIFS(PT_Date,A225,PT_Equipe,B225,PT_Pres,"P")+0.5*COUNTIFS(PT_Date,A225,PT_Equipe,B225,PT_Pres,"1/2"))</f>
        <v/>
      </c>
      <c r="I225" s="90" t="str">
        <f aca="false">IF(H225="","",H225-N(G225))</f>
        <v/>
      </c>
      <c r="J225" s="25"/>
      <c r="K225" s="74" t="str">
        <f aca="false">IF(OR(A225="",A225&lt;&gt;P_DateRef),"",COUNTIF($A$7:A225,P_DateRef))</f>
        <v/>
      </c>
    </row>
    <row r="226" customFormat="false" ht="15" hidden="false" customHeight="false" outlineLevel="0" collapsed="false">
      <c r="A226" s="69"/>
      <c r="B226" s="25"/>
      <c r="C226" s="25"/>
      <c r="D226" s="25"/>
      <c r="E226" s="25"/>
      <c r="F226" s="25"/>
      <c r="G226" s="70"/>
      <c r="H226" s="90" t="str">
        <f aca="false">IF(OR(A226="",B226=""),"",COUNTIFS(PT_Date,A226,PT_Equipe,B226,PT_Pres,"P")+0.5*COUNTIFS(PT_Date,A226,PT_Equipe,B226,PT_Pres,"1/2"))</f>
        <v/>
      </c>
      <c r="I226" s="90" t="str">
        <f aca="false">IF(H226="","",H226-N(G226))</f>
        <v/>
      </c>
      <c r="J226" s="25"/>
      <c r="K226" s="74" t="str">
        <f aca="false">IF(OR(A226="",A226&lt;&gt;P_DateRef),"",COUNTIF($A$7:A226,P_DateRef))</f>
        <v/>
      </c>
    </row>
    <row r="227" customFormat="false" ht="15" hidden="false" customHeight="false" outlineLevel="0" collapsed="false">
      <c r="A227" s="69"/>
      <c r="B227" s="25"/>
      <c r="C227" s="25"/>
      <c r="D227" s="25"/>
      <c r="E227" s="25"/>
      <c r="F227" s="25"/>
      <c r="G227" s="70"/>
      <c r="H227" s="90" t="str">
        <f aca="false">IF(OR(A227="",B227=""),"",COUNTIFS(PT_Date,A227,PT_Equipe,B227,PT_Pres,"P")+0.5*COUNTIFS(PT_Date,A227,PT_Equipe,B227,PT_Pres,"1/2"))</f>
        <v/>
      </c>
      <c r="I227" s="90" t="str">
        <f aca="false">IF(H227="","",H227-N(G227))</f>
        <v/>
      </c>
      <c r="J227" s="25"/>
      <c r="K227" s="74" t="str">
        <f aca="false">IF(OR(A227="",A227&lt;&gt;P_DateRef),"",COUNTIF($A$7:A227,P_DateRef))</f>
        <v/>
      </c>
    </row>
    <row r="228" customFormat="false" ht="15" hidden="false" customHeight="false" outlineLevel="0" collapsed="false">
      <c r="A228" s="69"/>
      <c r="B228" s="25"/>
      <c r="C228" s="25"/>
      <c r="D228" s="25"/>
      <c r="E228" s="25"/>
      <c r="F228" s="25"/>
      <c r="G228" s="70"/>
      <c r="H228" s="90" t="str">
        <f aca="false">IF(OR(A228="",B228=""),"",COUNTIFS(PT_Date,A228,PT_Equipe,B228,PT_Pres,"P")+0.5*COUNTIFS(PT_Date,A228,PT_Equipe,B228,PT_Pres,"1/2"))</f>
        <v/>
      </c>
      <c r="I228" s="90" t="str">
        <f aca="false">IF(H228="","",H228-N(G228))</f>
        <v/>
      </c>
      <c r="J228" s="25"/>
      <c r="K228" s="74" t="str">
        <f aca="false">IF(OR(A228="",A228&lt;&gt;P_DateRef),"",COUNTIF($A$7:A228,P_DateRef))</f>
        <v/>
      </c>
    </row>
    <row r="229" customFormat="false" ht="15" hidden="false" customHeight="false" outlineLevel="0" collapsed="false">
      <c r="A229" s="69"/>
      <c r="B229" s="25"/>
      <c r="C229" s="25"/>
      <c r="D229" s="25"/>
      <c r="E229" s="25"/>
      <c r="F229" s="25"/>
      <c r="G229" s="70"/>
      <c r="H229" s="90" t="str">
        <f aca="false">IF(OR(A229="",B229=""),"",COUNTIFS(PT_Date,A229,PT_Equipe,B229,PT_Pres,"P")+0.5*COUNTIFS(PT_Date,A229,PT_Equipe,B229,PT_Pres,"1/2"))</f>
        <v/>
      </c>
      <c r="I229" s="90" t="str">
        <f aca="false">IF(H229="","",H229-N(G229))</f>
        <v/>
      </c>
      <c r="J229" s="25"/>
      <c r="K229" s="74" t="str">
        <f aca="false">IF(OR(A229="",A229&lt;&gt;P_DateRef),"",COUNTIF($A$7:A229,P_DateRef))</f>
        <v/>
      </c>
    </row>
    <row r="230" customFormat="false" ht="15" hidden="false" customHeight="false" outlineLevel="0" collapsed="false">
      <c r="A230" s="69"/>
      <c r="B230" s="25"/>
      <c r="C230" s="25"/>
      <c r="D230" s="25"/>
      <c r="E230" s="25"/>
      <c r="F230" s="25"/>
      <c r="G230" s="70"/>
      <c r="H230" s="90" t="str">
        <f aca="false">IF(OR(A230="",B230=""),"",COUNTIFS(PT_Date,A230,PT_Equipe,B230,PT_Pres,"P")+0.5*COUNTIFS(PT_Date,A230,PT_Equipe,B230,PT_Pres,"1/2"))</f>
        <v/>
      </c>
      <c r="I230" s="90" t="str">
        <f aca="false">IF(H230="","",H230-N(G230))</f>
        <v/>
      </c>
      <c r="J230" s="25"/>
      <c r="K230" s="74" t="str">
        <f aca="false">IF(OR(A230="",A230&lt;&gt;P_DateRef),"",COUNTIF($A$7:A230,P_DateRef))</f>
        <v/>
      </c>
    </row>
    <row r="231" customFormat="false" ht="15" hidden="false" customHeight="false" outlineLevel="0" collapsed="false">
      <c r="A231" s="69"/>
      <c r="B231" s="25"/>
      <c r="C231" s="25"/>
      <c r="D231" s="25"/>
      <c r="E231" s="25"/>
      <c r="F231" s="25"/>
      <c r="G231" s="70"/>
      <c r="H231" s="90" t="str">
        <f aca="false">IF(OR(A231="",B231=""),"",COUNTIFS(PT_Date,A231,PT_Equipe,B231,PT_Pres,"P")+0.5*COUNTIFS(PT_Date,A231,PT_Equipe,B231,PT_Pres,"1/2"))</f>
        <v/>
      </c>
      <c r="I231" s="90" t="str">
        <f aca="false">IF(H231="","",H231-N(G231))</f>
        <v/>
      </c>
      <c r="J231" s="25"/>
      <c r="K231" s="74" t="str">
        <f aca="false">IF(OR(A231="",A231&lt;&gt;P_DateRef),"",COUNTIF($A$7:A231,P_DateRef))</f>
        <v/>
      </c>
    </row>
    <row r="232" customFormat="false" ht="15" hidden="false" customHeight="false" outlineLevel="0" collapsed="false">
      <c r="A232" s="69"/>
      <c r="B232" s="25"/>
      <c r="C232" s="25"/>
      <c r="D232" s="25"/>
      <c r="E232" s="25"/>
      <c r="F232" s="25"/>
      <c r="G232" s="70"/>
      <c r="H232" s="90" t="str">
        <f aca="false">IF(OR(A232="",B232=""),"",COUNTIFS(PT_Date,A232,PT_Equipe,B232,PT_Pres,"P")+0.5*COUNTIFS(PT_Date,A232,PT_Equipe,B232,PT_Pres,"1/2"))</f>
        <v/>
      </c>
      <c r="I232" s="90" t="str">
        <f aca="false">IF(H232="","",H232-N(G232))</f>
        <v/>
      </c>
      <c r="J232" s="25"/>
      <c r="K232" s="74" t="str">
        <f aca="false">IF(OR(A232="",A232&lt;&gt;P_DateRef),"",COUNTIF($A$7:A232,P_DateRef))</f>
        <v/>
      </c>
    </row>
    <row r="233" customFormat="false" ht="15" hidden="false" customHeight="false" outlineLevel="0" collapsed="false">
      <c r="A233" s="69"/>
      <c r="B233" s="25"/>
      <c r="C233" s="25"/>
      <c r="D233" s="25"/>
      <c r="E233" s="25"/>
      <c r="F233" s="25"/>
      <c r="G233" s="70"/>
      <c r="H233" s="90" t="str">
        <f aca="false">IF(OR(A233="",B233=""),"",COUNTIFS(PT_Date,A233,PT_Equipe,B233,PT_Pres,"P")+0.5*COUNTIFS(PT_Date,A233,PT_Equipe,B233,PT_Pres,"1/2"))</f>
        <v/>
      </c>
      <c r="I233" s="90" t="str">
        <f aca="false">IF(H233="","",H233-N(G233))</f>
        <v/>
      </c>
      <c r="J233" s="25"/>
      <c r="K233" s="74" t="str">
        <f aca="false">IF(OR(A233="",A233&lt;&gt;P_DateRef),"",COUNTIF($A$7:A233,P_DateRef))</f>
        <v/>
      </c>
    </row>
    <row r="234" customFormat="false" ht="15" hidden="false" customHeight="false" outlineLevel="0" collapsed="false">
      <c r="A234" s="69"/>
      <c r="B234" s="25"/>
      <c r="C234" s="25"/>
      <c r="D234" s="25"/>
      <c r="E234" s="25"/>
      <c r="F234" s="25"/>
      <c r="G234" s="70"/>
      <c r="H234" s="90" t="str">
        <f aca="false">IF(OR(A234="",B234=""),"",COUNTIFS(PT_Date,A234,PT_Equipe,B234,PT_Pres,"P")+0.5*COUNTIFS(PT_Date,A234,PT_Equipe,B234,PT_Pres,"1/2"))</f>
        <v/>
      </c>
      <c r="I234" s="90" t="str">
        <f aca="false">IF(H234="","",H234-N(G234))</f>
        <v/>
      </c>
      <c r="J234" s="25"/>
      <c r="K234" s="74" t="str">
        <f aca="false">IF(OR(A234="",A234&lt;&gt;P_DateRef),"",COUNTIF($A$7:A234,P_DateRef))</f>
        <v/>
      </c>
    </row>
    <row r="235" customFormat="false" ht="15" hidden="false" customHeight="false" outlineLevel="0" collapsed="false">
      <c r="A235" s="69"/>
      <c r="B235" s="25"/>
      <c r="C235" s="25"/>
      <c r="D235" s="25"/>
      <c r="E235" s="25"/>
      <c r="F235" s="25"/>
      <c r="G235" s="70"/>
      <c r="H235" s="90" t="str">
        <f aca="false">IF(OR(A235="",B235=""),"",COUNTIFS(PT_Date,A235,PT_Equipe,B235,PT_Pres,"P")+0.5*COUNTIFS(PT_Date,A235,PT_Equipe,B235,PT_Pres,"1/2"))</f>
        <v/>
      </c>
      <c r="I235" s="90" t="str">
        <f aca="false">IF(H235="","",H235-N(G235))</f>
        <v/>
      </c>
      <c r="J235" s="25"/>
      <c r="K235" s="74" t="str">
        <f aca="false">IF(OR(A235="",A235&lt;&gt;P_DateRef),"",COUNTIF($A$7:A235,P_DateRef))</f>
        <v/>
      </c>
    </row>
    <row r="236" customFormat="false" ht="15" hidden="false" customHeight="false" outlineLevel="0" collapsed="false">
      <c r="A236" s="69"/>
      <c r="B236" s="25"/>
      <c r="C236" s="25"/>
      <c r="D236" s="25"/>
      <c r="E236" s="25"/>
      <c r="F236" s="25"/>
      <c r="G236" s="70"/>
      <c r="H236" s="90" t="str">
        <f aca="false">IF(OR(A236="",B236=""),"",COUNTIFS(PT_Date,A236,PT_Equipe,B236,PT_Pres,"P")+0.5*COUNTIFS(PT_Date,A236,PT_Equipe,B236,PT_Pres,"1/2"))</f>
        <v/>
      </c>
      <c r="I236" s="90" t="str">
        <f aca="false">IF(H236="","",H236-N(G236))</f>
        <v/>
      </c>
      <c r="J236" s="25"/>
      <c r="K236" s="74" t="str">
        <f aca="false">IF(OR(A236="",A236&lt;&gt;P_DateRef),"",COUNTIF($A$7:A236,P_DateRef))</f>
        <v/>
      </c>
    </row>
    <row r="237" customFormat="false" ht="15" hidden="false" customHeight="false" outlineLevel="0" collapsed="false">
      <c r="A237" s="69"/>
      <c r="B237" s="25"/>
      <c r="C237" s="25"/>
      <c r="D237" s="25"/>
      <c r="E237" s="25"/>
      <c r="F237" s="25"/>
      <c r="G237" s="70"/>
      <c r="H237" s="90" t="str">
        <f aca="false">IF(OR(A237="",B237=""),"",COUNTIFS(PT_Date,A237,PT_Equipe,B237,PT_Pres,"P")+0.5*COUNTIFS(PT_Date,A237,PT_Equipe,B237,PT_Pres,"1/2"))</f>
        <v/>
      </c>
      <c r="I237" s="90" t="str">
        <f aca="false">IF(H237="","",H237-N(G237))</f>
        <v/>
      </c>
      <c r="J237" s="25"/>
      <c r="K237" s="74" t="str">
        <f aca="false">IF(OR(A237="",A237&lt;&gt;P_DateRef),"",COUNTIF($A$7:A237,P_DateRef))</f>
        <v/>
      </c>
    </row>
    <row r="238" customFormat="false" ht="15" hidden="false" customHeight="false" outlineLevel="0" collapsed="false">
      <c r="A238" s="69"/>
      <c r="B238" s="25"/>
      <c r="C238" s="25"/>
      <c r="D238" s="25"/>
      <c r="E238" s="25"/>
      <c r="F238" s="25"/>
      <c r="G238" s="70"/>
      <c r="H238" s="90" t="str">
        <f aca="false">IF(OR(A238="",B238=""),"",COUNTIFS(PT_Date,A238,PT_Equipe,B238,PT_Pres,"P")+0.5*COUNTIFS(PT_Date,A238,PT_Equipe,B238,PT_Pres,"1/2"))</f>
        <v/>
      </c>
      <c r="I238" s="90" t="str">
        <f aca="false">IF(H238="","",H238-N(G238))</f>
        <v/>
      </c>
      <c r="J238" s="25"/>
      <c r="K238" s="74" t="str">
        <f aca="false">IF(OR(A238="",A238&lt;&gt;P_DateRef),"",COUNTIF($A$7:A238,P_DateRef))</f>
        <v/>
      </c>
    </row>
    <row r="239" customFormat="false" ht="15" hidden="false" customHeight="false" outlineLevel="0" collapsed="false">
      <c r="A239" s="69"/>
      <c r="B239" s="25"/>
      <c r="C239" s="25"/>
      <c r="D239" s="25"/>
      <c r="E239" s="25"/>
      <c r="F239" s="25"/>
      <c r="G239" s="70"/>
      <c r="H239" s="90" t="str">
        <f aca="false">IF(OR(A239="",B239=""),"",COUNTIFS(PT_Date,A239,PT_Equipe,B239,PT_Pres,"P")+0.5*COUNTIFS(PT_Date,A239,PT_Equipe,B239,PT_Pres,"1/2"))</f>
        <v/>
      </c>
      <c r="I239" s="90" t="str">
        <f aca="false">IF(H239="","",H239-N(G239))</f>
        <v/>
      </c>
      <c r="J239" s="25"/>
      <c r="K239" s="74" t="str">
        <f aca="false">IF(OR(A239="",A239&lt;&gt;P_DateRef),"",COUNTIF($A$7:A239,P_DateRef))</f>
        <v/>
      </c>
    </row>
    <row r="240" customFormat="false" ht="15" hidden="false" customHeight="false" outlineLevel="0" collapsed="false">
      <c r="A240" s="69"/>
      <c r="B240" s="25"/>
      <c r="C240" s="25"/>
      <c r="D240" s="25"/>
      <c r="E240" s="25"/>
      <c r="F240" s="25"/>
      <c r="G240" s="70"/>
      <c r="H240" s="90" t="str">
        <f aca="false">IF(OR(A240="",B240=""),"",COUNTIFS(PT_Date,A240,PT_Equipe,B240,PT_Pres,"P")+0.5*COUNTIFS(PT_Date,A240,PT_Equipe,B240,PT_Pres,"1/2"))</f>
        <v/>
      </c>
      <c r="I240" s="90" t="str">
        <f aca="false">IF(H240="","",H240-N(G240))</f>
        <v/>
      </c>
      <c r="J240" s="25"/>
      <c r="K240" s="74" t="str">
        <f aca="false">IF(OR(A240="",A240&lt;&gt;P_DateRef),"",COUNTIF($A$7:A240,P_DateRef))</f>
        <v/>
      </c>
    </row>
    <row r="241" customFormat="false" ht="15" hidden="false" customHeight="false" outlineLevel="0" collapsed="false">
      <c r="A241" s="69"/>
      <c r="B241" s="25"/>
      <c r="C241" s="25"/>
      <c r="D241" s="25"/>
      <c r="E241" s="25"/>
      <c r="F241" s="25"/>
      <c r="G241" s="70"/>
      <c r="H241" s="90" t="str">
        <f aca="false">IF(OR(A241="",B241=""),"",COUNTIFS(PT_Date,A241,PT_Equipe,B241,PT_Pres,"P")+0.5*COUNTIFS(PT_Date,A241,PT_Equipe,B241,PT_Pres,"1/2"))</f>
        <v/>
      </c>
      <c r="I241" s="90" t="str">
        <f aca="false">IF(H241="","",H241-N(G241))</f>
        <v/>
      </c>
      <c r="J241" s="25"/>
      <c r="K241" s="74" t="str">
        <f aca="false">IF(OR(A241="",A241&lt;&gt;P_DateRef),"",COUNTIF($A$7:A241,P_DateRef))</f>
        <v/>
      </c>
    </row>
    <row r="242" customFormat="false" ht="15" hidden="false" customHeight="false" outlineLevel="0" collapsed="false">
      <c r="A242" s="69"/>
      <c r="B242" s="25"/>
      <c r="C242" s="25"/>
      <c r="D242" s="25"/>
      <c r="E242" s="25"/>
      <c r="F242" s="25"/>
      <c r="G242" s="70"/>
      <c r="H242" s="90" t="str">
        <f aca="false">IF(OR(A242="",B242=""),"",COUNTIFS(PT_Date,A242,PT_Equipe,B242,PT_Pres,"P")+0.5*COUNTIFS(PT_Date,A242,PT_Equipe,B242,PT_Pres,"1/2"))</f>
        <v/>
      </c>
      <c r="I242" s="90" t="str">
        <f aca="false">IF(H242="","",H242-N(G242))</f>
        <v/>
      </c>
      <c r="J242" s="25"/>
      <c r="K242" s="74" t="str">
        <f aca="false">IF(OR(A242="",A242&lt;&gt;P_DateRef),"",COUNTIF($A$7:A242,P_DateRef))</f>
        <v/>
      </c>
    </row>
    <row r="243" customFormat="false" ht="15" hidden="false" customHeight="false" outlineLevel="0" collapsed="false">
      <c r="A243" s="69"/>
      <c r="B243" s="25"/>
      <c r="C243" s="25"/>
      <c r="D243" s="25"/>
      <c r="E243" s="25"/>
      <c r="F243" s="25"/>
      <c r="G243" s="70"/>
      <c r="H243" s="90" t="str">
        <f aca="false">IF(OR(A243="",B243=""),"",COUNTIFS(PT_Date,A243,PT_Equipe,B243,PT_Pres,"P")+0.5*COUNTIFS(PT_Date,A243,PT_Equipe,B243,PT_Pres,"1/2"))</f>
        <v/>
      </c>
      <c r="I243" s="90" t="str">
        <f aca="false">IF(H243="","",H243-N(G243))</f>
        <v/>
      </c>
      <c r="J243" s="25"/>
      <c r="K243" s="74" t="str">
        <f aca="false">IF(OR(A243="",A243&lt;&gt;P_DateRef),"",COUNTIF($A$7:A243,P_DateRef))</f>
        <v/>
      </c>
    </row>
    <row r="244" customFormat="false" ht="15" hidden="false" customHeight="false" outlineLevel="0" collapsed="false">
      <c r="A244" s="69"/>
      <c r="B244" s="25"/>
      <c r="C244" s="25"/>
      <c r="D244" s="25"/>
      <c r="E244" s="25"/>
      <c r="F244" s="25"/>
      <c r="G244" s="70"/>
      <c r="H244" s="90" t="str">
        <f aca="false">IF(OR(A244="",B244=""),"",COUNTIFS(PT_Date,A244,PT_Equipe,B244,PT_Pres,"P")+0.5*COUNTIFS(PT_Date,A244,PT_Equipe,B244,PT_Pres,"1/2"))</f>
        <v/>
      </c>
      <c r="I244" s="90" t="str">
        <f aca="false">IF(H244="","",H244-N(G244))</f>
        <v/>
      </c>
      <c r="J244" s="25"/>
      <c r="K244" s="74" t="str">
        <f aca="false">IF(OR(A244="",A244&lt;&gt;P_DateRef),"",COUNTIF($A$7:A244,P_DateRef))</f>
        <v/>
      </c>
    </row>
    <row r="245" customFormat="false" ht="15" hidden="false" customHeight="false" outlineLevel="0" collapsed="false">
      <c r="A245" s="69"/>
      <c r="B245" s="25"/>
      <c r="C245" s="25"/>
      <c r="D245" s="25"/>
      <c r="E245" s="25"/>
      <c r="F245" s="25"/>
      <c r="G245" s="70"/>
      <c r="H245" s="90" t="str">
        <f aca="false">IF(OR(A245="",B245=""),"",COUNTIFS(PT_Date,A245,PT_Equipe,B245,PT_Pres,"P")+0.5*COUNTIFS(PT_Date,A245,PT_Equipe,B245,PT_Pres,"1/2"))</f>
        <v/>
      </c>
      <c r="I245" s="90" t="str">
        <f aca="false">IF(H245="","",H245-N(G245))</f>
        <v/>
      </c>
      <c r="J245" s="25"/>
      <c r="K245" s="74" t="str">
        <f aca="false">IF(OR(A245="",A245&lt;&gt;P_DateRef),"",COUNTIF($A$7:A245,P_DateRef))</f>
        <v/>
      </c>
    </row>
    <row r="246" customFormat="false" ht="15" hidden="false" customHeight="false" outlineLevel="0" collapsed="false">
      <c r="A246" s="69"/>
      <c r="B246" s="25"/>
      <c r="C246" s="25"/>
      <c r="D246" s="25"/>
      <c r="E246" s="25"/>
      <c r="F246" s="25"/>
      <c r="G246" s="70"/>
      <c r="H246" s="90" t="str">
        <f aca="false">IF(OR(A246="",B246=""),"",COUNTIFS(PT_Date,A246,PT_Equipe,B246,PT_Pres,"P")+0.5*COUNTIFS(PT_Date,A246,PT_Equipe,B246,PT_Pres,"1/2"))</f>
        <v/>
      </c>
      <c r="I246" s="90" t="str">
        <f aca="false">IF(H246="","",H246-N(G246))</f>
        <v/>
      </c>
      <c r="J246" s="25"/>
      <c r="K246" s="74" t="str">
        <f aca="false">IF(OR(A246="",A246&lt;&gt;P_DateRef),"",COUNTIF($A$7:A246,P_DateRef))</f>
        <v/>
      </c>
    </row>
    <row r="247" customFormat="false" ht="15" hidden="false" customHeight="false" outlineLevel="0" collapsed="false">
      <c r="A247" s="69"/>
      <c r="B247" s="25"/>
      <c r="C247" s="25"/>
      <c r="D247" s="25"/>
      <c r="E247" s="25"/>
      <c r="F247" s="25"/>
      <c r="G247" s="70"/>
      <c r="H247" s="90" t="str">
        <f aca="false">IF(OR(A247="",B247=""),"",COUNTIFS(PT_Date,A247,PT_Equipe,B247,PT_Pres,"P")+0.5*COUNTIFS(PT_Date,A247,PT_Equipe,B247,PT_Pres,"1/2"))</f>
        <v/>
      </c>
      <c r="I247" s="90" t="str">
        <f aca="false">IF(H247="","",H247-N(G247))</f>
        <v/>
      </c>
      <c r="J247" s="25"/>
      <c r="K247" s="74" t="str">
        <f aca="false">IF(OR(A247="",A247&lt;&gt;P_DateRef),"",COUNTIF($A$7:A247,P_DateRef))</f>
        <v/>
      </c>
    </row>
    <row r="248" customFormat="false" ht="15" hidden="false" customHeight="false" outlineLevel="0" collapsed="false">
      <c r="A248" s="69"/>
      <c r="B248" s="25"/>
      <c r="C248" s="25"/>
      <c r="D248" s="25"/>
      <c r="E248" s="25"/>
      <c r="F248" s="25"/>
      <c r="G248" s="70"/>
      <c r="H248" s="90" t="str">
        <f aca="false">IF(OR(A248="",B248=""),"",COUNTIFS(PT_Date,A248,PT_Equipe,B248,PT_Pres,"P")+0.5*COUNTIFS(PT_Date,A248,PT_Equipe,B248,PT_Pres,"1/2"))</f>
        <v/>
      </c>
      <c r="I248" s="90" t="str">
        <f aca="false">IF(H248="","",H248-N(G248))</f>
        <v/>
      </c>
      <c r="J248" s="25"/>
      <c r="K248" s="74" t="str">
        <f aca="false">IF(OR(A248="",A248&lt;&gt;P_DateRef),"",COUNTIF($A$7:A248,P_DateRef))</f>
        <v/>
      </c>
    </row>
    <row r="249" customFormat="false" ht="15" hidden="false" customHeight="false" outlineLevel="0" collapsed="false">
      <c r="A249" s="69"/>
      <c r="B249" s="25"/>
      <c r="C249" s="25"/>
      <c r="D249" s="25"/>
      <c r="E249" s="25"/>
      <c r="F249" s="25"/>
      <c r="G249" s="70"/>
      <c r="H249" s="90" t="str">
        <f aca="false">IF(OR(A249="",B249=""),"",COUNTIFS(PT_Date,A249,PT_Equipe,B249,PT_Pres,"P")+0.5*COUNTIFS(PT_Date,A249,PT_Equipe,B249,PT_Pres,"1/2"))</f>
        <v/>
      </c>
      <c r="I249" s="90" t="str">
        <f aca="false">IF(H249="","",H249-N(G249))</f>
        <v/>
      </c>
      <c r="J249" s="25"/>
      <c r="K249" s="74" t="str">
        <f aca="false">IF(OR(A249="",A249&lt;&gt;P_DateRef),"",COUNTIF($A$7:A249,P_DateRef))</f>
        <v/>
      </c>
    </row>
    <row r="250" customFormat="false" ht="15" hidden="false" customHeight="false" outlineLevel="0" collapsed="false">
      <c r="A250" s="69"/>
      <c r="B250" s="25"/>
      <c r="C250" s="25"/>
      <c r="D250" s="25"/>
      <c r="E250" s="25"/>
      <c r="F250" s="25"/>
      <c r="G250" s="70"/>
      <c r="H250" s="90" t="str">
        <f aca="false">IF(OR(A250="",B250=""),"",COUNTIFS(PT_Date,A250,PT_Equipe,B250,PT_Pres,"P")+0.5*COUNTIFS(PT_Date,A250,PT_Equipe,B250,PT_Pres,"1/2"))</f>
        <v/>
      </c>
      <c r="I250" s="90" t="str">
        <f aca="false">IF(H250="","",H250-N(G250))</f>
        <v/>
      </c>
      <c r="J250" s="25"/>
      <c r="K250" s="74" t="str">
        <f aca="false">IF(OR(A250="",A250&lt;&gt;P_DateRef),"",COUNTIF($A$7:A250,P_DateRef))</f>
        <v/>
      </c>
    </row>
    <row r="251" customFormat="false" ht="15" hidden="false" customHeight="false" outlineLevel="0" collapsed="false">
      <c r="A251" s="69"/>
      <c r="B251" s="25"/>
      <c r="C251" s="25"/>
      <c r="D251" s="25"/>
      <c r="E251" s="25"/>
      <c r="F251" s="25"/>
      <c r="G251" s="70"/>
      <c r="H251" s="90" t="str">
        <f aca="false">IF(OR(A251="",B251=""),"",COUNTIFS(PT_Date,A251,PT_Equipe,B251,PT_Pres,"P")+0.5*COUNTIFS(PT_Date,A251,PT_Equipe,B251,PT_Pres,"1/2"))</f>
        <v/>
      </c>
      <c r="I251" s="90" t="str">
        <f aca="false">IF(H251="","",H251-N(G251))</f>
        <v/>
      </c>
      <c r="J251" s="25"/>
      <c r="K251" s="74" t="str">
        <f aca="false">IF(OR(A251="",A251&lt;&gt;P_DateRef),"",COUNTIF($A$7:A251,P_DateRef))</f>
        <v/>
      </c>
    </row>
    <row r="252" customFormat="false" ht="15" hidden="false" customHeight="false" outlineLevel="0" collapsed="false">
      <c r="A252" s="69"/>
      <c r="B252" s="25"/>
      <c r="C252" s="25"/>
      <c r="D252" s="25"/>
      <c r="E252" s="25"/>
      <c r="F252" s="25"/>
      <c r="G252" s="70"/>
      <c r="H252" s="90" t="str">
        <f aca="false">IF(OR(A252="",B252=""),"",COUNTIFS(PT_Date,A252,PT_Equipe,B252,PT_Pres,"P")+0.5*COUNTIFS(PT_Date,A252,PT_Equipe,B252,PT_Pres,"1/2"))</f>
        <v/>
      </c>
      <c r="I252" s="90" t="str">
        <f aca="false">IF(H252="","",H252-N(G252))</f>
        <v/>
      </c>
      <c r="J252" s="25"/>
      <c r="K252" s="74" t="str">
        <f aca="false">IF(OR(A252="",A252&lt;&gt;P_DateRef),"",COUNTIF($A$7:A252,P_DateRef))</f>
        <v/>
      </c>
    </row>
    <row r="253" customFormat="false" ht="15" hidden="false" customHeight="false" outlineLevel="0" collapsed="false">
      <c r="A253" s="69"/>
      <c r="B253" s="25"/>
      <c r="C253" s="25"/>
      <c r="D253" s="25"/>
      <c r="E253" s="25"/>
      <c r="F253" s="25"/>
      <c r="G253" s="70"/>
      <c r="H253" s="90" t="str">
        <f aca="false">IF(OR(A253="",B253=""),"",COUNTIFS(PT_Date,A253,PT_Equipe,B253,PT_Pres,"P")+0.5*COUNTIFS(PT_Date,A253,PT_Equipe,B253,PT_Pres,"1/2"))</f>
        <v/>
      </c>
      <c r="I253" s="90" t="str">
        <f aca="false">IF(H253="","",H253-N(G253))</f>
        <v/>
      </c>
      <c r="J253" s="25"/>
      <c r="K253" s="74" t="str">
        <f aca="false">IF(OR(A253="",A253&lt;&gt;P_DateRef),"",COUNTIF($A$7:A253,P_DateRef))</f>
        <v/>
      </c>
    </row>
    <row r="254" customFormat="false" ht="15" hidden="false" customHeight="false" outlineLevel="0" collapsed="false">
      <c r="A254" s="69"/>
      <c r="B254" s="25"/>
      <c r="C254" s="25"/>
      <c r="D254" s="25"/>
      <c r="E254" s="25"/>
      <c r="F254" s="25"/>
      <c r="G254" s="70"/>
      <c r="H254" s="90" t="str">
        <f aca="false">IF(OR(A254="",B254=""),"",COUNTIFS(PT_Date,A254,PT_Equipe,B254,PT_Pres,"P")+0.5*COUNTIFS(PT_Date,A254,PT_Equipe,B254,PT_Pres,"1/2"))</f>
        <v/>
      </c>
      <c r="I254" s="90" t="str">
        <f aca="false">IF(H254="","",H254-N(G254))</f>
        <v/>
      </c>
      <c r="J254" s="25"/>
      <c r="K254" s="74" t="str">
        <f aca="false">IF(OR(A254="",A254&lt;&gt;P_DateRef),"",COUNTIF($A$7:A254,P_DateRef))</f>
        <v/>
      </c>
    </row>
    <row r="255" customFormat="false" ht="15" hidden="false" customHeight="false" outlineLevel="0" collapsed="false">
      <c r="A255" s="69"/>
      <c r="B255" s="25"/>
      <c r="C255" s="25"/>
      <c r="D255" s="25"/>
      <c r="E255" s="25"/>
      <c r="F255" s="25"/>
      <c r="G255" s="70"/>
      <c r="H255" s="90" t="str">
        <f aca="false">IF(OR(A255="",B255=""),"",COUNTIFS(PT_Date,A255,PT_Equipe,B255,PT_Pres,"P")+0.5*COUNTIFS(PT_Date,A255,PT_Equipe,B255,PT_Pres,"1/2"))</f>
        <v/>
      </c>
      <c r="I255" s="90" t="str">
        <f aca="false">IF(H255="","",H255-N(G255))</f>
        <v/>
      </c>
      <c r="J255" s="25"/>
      <c r="K255" s="74" t="str">
        <f aca="false">IF(OR(A255="",A255&lt;&gt;P_DateRef),"",COUNTIF($A$7:A255,P_DateRef))</f>
        <v/>
      </c>
    </row>
    <row r="256" customFormat="false" ht="15" hidden="false" customHeight="false" outlineLevel="0" collapsed="false">
      <c r="A256" s="69"/>
      <c r="B256" s="25"/>
      <c r="C256" s="25"/>
      <c r="D256" s="25"/>
      <c r="E256" s="25"/>
      <c r="F256" s="25"/>
      <c r="G256" s="70"/>
      <c r="H256" s="90" t="str">
        <f aca="false">IF(OR(A256="",B256=""),"",COUNTIFS(PT_Date,A256,PT_Equipe,B256,PT_Pres,"P")+0.5*COUNTIFS(PT_Date,A256,PT_Equipe,B256,PT_Pres,"1/2"))</f>
        <v/>
      </c>
      <c r="I256" s="90" t="str">
        <f aca="false">IF(H256="","",H256-N(G256))</f>
        <v/>
      </c>
      <c r="J256" s="25"/>
      <c r="K256" s="74" t="str">
        <f aca="false">IF(OR(A256="",A256&lt;&gt;P_DateRef),"",COUNTIF($A$7:A256,P_DateRef))</f>
        <v/>
      </c>
    </row>
    <row r="257" customFormat="false" ht="15" hidden="false" customHeight="false" outlineLevel="0" collapsed="false">
      <c r="A257" s="69"/>
      <c r="B257" s="25"/>
      <c r="C257" s="25"/>
      <c r="D257" s="25"/>
      <c r="E257" s="25"/>
      <c r="F257" s="25"/>
      <c r="G257" s="70"/>
      <c r="H257" s="90" t="str">
        <f aca="false">IF(OR(A257="",B257=""),"",COUNTIFS(PT_Date,A257,PT_Equipe,B257,PT_Pres,"P")+0.5*COUNTIFS(PT_Date,A257,PT_Equipe,B257,PT_Pres,"1/2"))</f>
        <v/>
      </c>
      <c r="I257" s="90" t="str">
        <f aca="false">IF(H257="","",H257-N(G257))</f>
        <v/>
      </c>
      <c r="J257" s="25"/>
      <c r="K257" s="74" t="str">
        <f aca="false">IF(OR(A257="",A257&lt;&gt;P_DateRef),"",COUNTIF($A$7:A257,P_DateRef))</f>
        <v/>
      </c>
    </row>
    <row r="258" customFormat="false" ht="15" hidden="false" customHeight="false" outlineLevel="0" collapsed="false">
      <c r="A258" s="69"/>
      <c r="B258" s="25"/>
      <c r="C258" s="25"/>
      <c r="D258" s="25"/>
      <c r="E258" s="25"/>
      <c r="F258" s="25"/>
      <c r="G258" s="70"/>
      <c r="H258" s="90" t="str">
        <f aca="false">IF(OR(A258="",B258=""),"",COUNTIFS(PT_Date,A258,PT_Equipe,B258,PT_Pres,"P")+0.5*COUNTIFS(PT_Date,A258,PT_Equipe,B258,PT_Pres,"1/2"))</f>
        <v/>
      </c>
      <c r="I258" s="90" t="str">
        <f aca="false">IF(H258="","",H258-N(G258))</f>
        <v/>
      </c>
      <c r="J258" s="25"/>
      <c r="K258" s="74" t="str">
        <f aca="false">IF(OR(A258="",A258&lt;&gt;P_DateRef),"",COUNTIF($A$7:A258,P_DateRef))</f>
        <v/>
      </c>
    </row>
    <row r="259" customFormat="false" ht="15" hidden="false" customHeight="false" outlineLevel="0" collapsed="false">
      <c r="A259" s="69"/>
      <c r="B259" s="25"/>
      <c r="C259" s="25"/>
      <c r="D259" s="25"/>
      <c r="E259" s="25"/>
      <c r="F259" s="25"/>
      <c r="G259" s="70"/>
      <c r="H259" s="90" t="str">
        <f aca="false">IF(OR(A259="",B259=""),"",COUNTIFS(PT_Date,A259,PT_Equipe,B259,PT_Pres,"P")+0.5*COUNTIFS(PT_Date,A259,PT_Equipe,B259,PT_Pres,"1/2"))</f>
        <v/>
      </c>
      <c r="I259" s="90" t="str">
        <f aca="false">IF(H259="","",H259-N(G259))</f>
        <v/>
      </c>
      <c r="J259" s="25"/>
      <c r="K259" s="74" t="str">
        <f aca="false">IF(OR(A259="",A259&lt;&gt;P_DateRef),"",COUNTIF($A$7:A259,P_DateRef))</f>
        <v/>
      </c>
    </row>
    <row r="260" customFormat="false" ht="15" hidden="false" customHeight="false" outlineLevel="0" collapsed="false">
      <c r="A260" s="69"/>
      <c r="B260" s="25"/>
      <c r="C260" s="25"/>
      <c r="D260" s="25"/>
      <c r="E260" s="25"/>
      <c r="F260" s="25"/>
      <c r="G260" s="70"/>
      <c r="H260" s="90" t="str">
        <f aca="false">IF(OR(A260="",B260=""),"",COUNTIFS(PT_Date,A260,PT_Equipe,B260,PT_Pres,"P")+0.5*COUNTIFS(PT_Date,A260,PT_Equipe,B260,PT_Pres,"1/2"))</f>
        <v/>
      </c>
      <c r="I260" s="90" t="str">
        <f aca="false">IF(H260="","",H260-N(G260))</f>
        <v/>
      </c>
      <c r="J260" s="25"/>
      <c r="K260" s="74" t="str">
        <f aca="false">IF(OR(A260="",A260&lt;&gt;P_DateRef),"",COUNTIF($A$7:A260,P_DateRef))</f>
        <v/>
      </c>
    </row>
    <row r="261" customFormat="false" ht="15" hidden="false" customHeight="false" outlineLevel="0" collapsed="false">
      <c r="A261" s="69"/>
      <c r="B261" s="25"/>
      <c r="C261" s="25"/>
      <c r="D261" s="25"/>
      <c r="E261" s="25"/>
      <c r="F261" s="25"/>
      <c r="G261" s="70"/>
      <c r="H261" s="90" t="str">
        <f aca="false">IF(OR(A261="",B261=""),"",COUNTIFS(PT_Date,A261,PT_Equipe,B261,PT_Pres,"P")+0.5*COUNTIFS(PT_Date,A261,PT_Equipe,B261,PT_Pres,"1/2"))</f>
        <v/>
      </c>
      <c r="I261" s="90" t="str">
        <f aca="false">IF(H261="","",H261-N(G261))</f>
        <v/>
      </c>
      <c r="J261" s="25"/>
      <c r="K261" s="74" t="str">
        <f aca="false">IF(OR(A261="",A261&lt;&gt;P_DateRef),"",COUNTIF($A$7:A261,P_DateRef))</f>
        <v/>
      </c>
    </row>
    <row r="262" customFormat="false" ht="15" hidden="false" customHeight="false" outlineLevel="0" collapsed="false">
      <c r="A262" s="69"/>
      <c r="B262" s="25"/>
      <c r="C262" s="25"/>
      <c r="D262" s="25"/>
      <c r="E262" s="25"/>
      <c r="F262" s="25"/>
      <c r="G262" s="70"/>
      <c r="H262" s="90" t="str">
        <f aca="false">IF(OR(A262="",B262=""),"",COUNTIFS(PT_Date,A262,PT_Equipe,B262,PT_Pres,"P")+0.5*COUNTIFS(PT_Date,A262,PT_Equipe,B262,PT_Pres,"1/2"))</f>
        <v/>
      </c>
      <c r="I262" s="90" t="str">
        <f aca="false">IF(H262="","",H262-N(G262))</f>
        <v/>
      </c>
      <c r="J262" s="25"/>
      <c r="K262" s="74" t="str">
        <f aca="false">IF(OR(A262="",A262&lt;&gt;P_DateRef),"",COUNTIF($A$7:A262,P_DateRef))</f>
        <v/>
      </c>
    </row>
    <row r="263" customFormat="false" ht="15" hidden="false" customHeight="false" outlineLevel="0" collapsed="false">
      <c r="A263" s="69"/>
      <c r="B263" s="25"/>
      <c r="C263" s="25"/>
      <c r="D263" s="25"/>
      <c r="E263" s="25"/>
      <c r="F263" s="25"/>
      <c r="G263" s="70"/>
      <c r="H263" s="90" t="str">
        <f aca="false">IF(OR(A263="",B263=""),"",COUNTIFS(PT_Date,A263,PT_Equipe,B263,PT_Pres,"P")+0.5*COUNTIFS(PT_Date,A263,PT_Equipe,B263,PT_Pres,"1/2"))</f>
        <v/>
      </c>
      <c r="I263" s="90" t="str">
        <f aca="false">IF(H263="","",H263-N(G263))</f>
        <v/>
      </c>
      <c r="J263" s="25"/>
      <c r="K263" s="74" t="str">
        <f aca="false">IF(OR(A263="",A263&lt;&gt;P_DateRef),"",COUNTIF($A$7:A263,P_DateRef))</f>
        <v/>
      </c>
    </row>
    <row r="264" customFormat="false" ht="15" hidden="false" customHeight="false" outlineLevel="0" collapsed="false">
      <c r="A264" s="69"/>
      <c r="B264" s="25"/>
      <c r="C264" s="25"/>
      <c r="D264" s="25"/>
      <c r="E264" s="25"/>
      <c r="F264" s="25"/>
      <c r="G264" s="70"/>
      <c r="H264" s="90" t="str">
        <f aca="false">IF(OR(A264="",B264=""),"",COUNTIFS(PT_Date,A264,PT_Equipe,B264,PT_Pres,"P")+0.5*COUNTIFS(PT_Date,A264,PT_Equipe,B264,PT_Pres,"1/2"))</f>
        <v/>
      </c>
      <c r="I264" s="90" t="str">
        <f aca="false">IF(H264="","",H264-N(G264))</f>
        <v/>
      </c>
      <c r="J264" s="25"/>
      <c r="K264" s="74" t="str">
        <f aca="false">IF(OR(A264="",A264&lt;&gt;P_DateRef),"",COUNTIF($A$7:A264,P_DateRef))</f>
        <v/>
      </c>
    </row>
    <row r="265" customFormat="false" ht="15" hidden="false" customHeight="false" outlineLevel="0" collapsed="false">
      <c r="A265" s="69"/>
      <c r="B265" s="25"/>
      <c r="C265" s="25"/>
      <c r="D265" s="25"/>
      <c r="E265" s="25"/>
      <c r="F265" s="25"/>
      <c r="G265" s="70"/>
      <c r="H265" s="90" t="str">
        <f aca="false">IF(OR(A265="",B265=""),"",COUNTIFS(PT_Date,A265,PT_Equipe,B265,PT_Pres,"P")+0.5*COUNTIFS(PT_Date,A265,PT_Equipe,B265,PT_Pres,"1/2"))</f>
        <v/>
      </c>
      <c r="I265" s="90" t="str">
        <f aca="false">IF(H265="","",H265-N(G265))</f>
        <v/>
      </c>
      <c r="J265" s="25"/>
      <c r="K265" s="74" t="str">
        <f aca="false">IF(OR(A265="",A265&lt;&gt;P_DateRef),"",COUNTIF($A$7:A265,P_DateRef))</f>
        <v/>
      </c>
    </row>
    <row r="266" customFormat="false" ht="15" hidden="false" customHeight="false" outlineLevel="0" collapsed="false">
      <c r="A266" s="69"/>
      <c r="B266" s="25"/>
      <c r="C266" s="25"/>
      <c r="D266" s="25"/>
      <c r="E266" s="25"/>
      <c r="F266" s="25"/>
      <c r="G266" s="70"/>
      <c r="H266" s="90" t="str">
        <f aca="false">IF(OR(A266="",B266=""),"",COUNTIFS(PT_Date,A266,PT_Equipe,B266,PT_Pres,"P")+0.5*COUNTIFS(PT_Date,A266,PT_Equipe,B266,PT_Pres,"1/2"))</f>
        <v/>
      </c>
      <c r="I266" s="90" t="str">
        <f aca="false">IF(H266="","",H266-N(G266))</f>
        <v/>
      </c>
      <c r="J266" s="25"/>
      <c r="K266" s="74" t="str">
        <f aca="false">IF(OR(A266="",A266&lt;&gt;P_DateRef),"",COUNTIF($A$7:A266,P_DateRef))</f>
        <v/>
      </c>
    </row>
    <row r="267" customFormat="false" ht="15" hidden="false" customHeight="false" outlineLevel="0" collapsed="false">
      <c r="A267" s="69"/>
      <c r="B267" s="25"/>
      <c r="C267" s="25"/>
      <c r="D267" s="25"/>
      <c r="E267" s="25"/>
      <c r="F267" s="25"/>
      <c r="G267" s="70"/>
      <c r="H267" s="90" t="str">
        <f aca="false">IF(OR(A267="",B267=""),"",COUNTIFS(PT_Date,A267,PT_Equipe,B267,PT_Pres,"P")+0.5*COUNTIFS(PT_Date,A267,PT_Equipe,B267,PT_Pres,"1/2"))</f>
        <v/>
      </c>
      <c r="I267" s="90" t="str">
        <f aca="false">IF(H267="","",H267-N(G267))</f>
        <v/>
      </c>
      <c r="J267" s="25"/>
      <c r="K267" s="74" t="str">
        <f aca="false">IF(OR(A267="",A267&lt;&gt;P_DateRef),"",COUNTIF($A$7:A267,P_DateRef))</f>
        <v/>
      </c>
    </row>
    <row r="268" customFormat="false" ht="15" hidden="false" customHeight="false" outlineLevel="0" collapsed="false">
      <c r="A268" s="69"/>
      <c r="B268" s="25"/>
      <c r="C268" s="25"/>
      <c r="D268" s="25"/>
      <c r="E268" s="25"/>
      <c r="F268" s="25"/>
      <c r="G268" s="70"/>
      <c r="H268" s="90" t="str">
        <f aca="false">IF(OR(A268="",B268=""),"",COUNTIFS(PT_Date,A268,PT_Equipe,B268,PT_Pres,"P")+0.5*COUNTIFS(PT_Date,A268,PT_Equipe,B268,PT_Pres,"1/2"))</f>
        <v/>
      </c>
      <c r="I268" s="90" t="str">
        <f aca="false">IF(H268="","",H268-N(G268))</f>
        <v/>
      </c>
      <c r="J268" s="25"/>
      <c r="K268" s="74" t="str">
        <f aca="false">IF(OR(A268="",A268&lt;&gt;P_DateRef),"",COUNTIF($A$7:A268,P_DateRef))</f>
        <v/>
      </c>
    </row>
    <row r="269" customFormat="false" ht="15" hidden="false" customHeight="false" outlineLevel="0" collapsed="false">
      <c r="A269" s="69"/>
      <c r="B269" s="25"/>
      <c r="C269" s="25"/>
      <c r="D269" s="25"/>
      <c r="E269" s="25"/>
      <c r="F269" s="25"/>
      <c r="G269" s="70"/>
      <c r="H269" s="90" t="str">
        <f aca="false">IF(OR(A269="",B269=""),"",COUNTIFS(PT_Date,A269,PT_Equipe,B269,PT_Pres,"P")+0.5*COUNTIFS(PT_Date,A269,PT_Equipe,B269,PT_Pres,"1/2"))</f>
        <v/>
      </c>
      <c r="I269" s="90" t="str">
        <f aca="false">IF(H269="","",H269-N(G269))</f>
        <v/>
      </c>
      <c r="J269" s="25"/>
      <c r="K269" s="74" t="str">
        <f aca="false">IF(OR(A269="",A269&lt;&gt;P_DateRef),"",COUNTIF($A$7:A269,P_DateRef))</f>
        <v/>
      </c>
    </row>
    <row r="270" customFormat="false" ht="15" hidden="false" customHeight="false" outlineLevel="0" collapsed="false">
      <c r="A270" s="69"/>
      <c r="B270" s="25"/>
      <c r="C270" s="25"/>
      <c r="D270" s="25"/>
      <c r="E270" s="25"/>
      <c r="F270" s="25"/>
      <c r="G270" s="70"/>
      <c r="H270" s="90" t="str">
        <f aca="false">IF(OR(A270="",B270=""),"",COUNTIFS(PT_Date,A270,PT_Equipe,B270,PT_Pres,"P")+0.5*COUNTIFS(PT_Date,A270,PT_Equipe,B270,PT_Pres,"1/2"))</f>
        <v/>
      </c>
      <c r="I270" s="90" t="str">
        <f aca="false">IF(H270="","",H270-N(G270))</f>
        <v/>
      </c>
      <c r="J270" s="25"/>
      <c r="K270" s="74" t="str">
        <f aca="false">IF(OR(A270="",A270&lt;&gt;P_DateRef),"",COUNTIF($A$7:A270,P_DateRef))</f>
        <v/>
      </c>
    </row>
    <row r="271" customFormat="false" ht="15" hidden="false" customHeight="false" outlineLevel="0" collapsed="false">
      <c r="A271" s="69"/>
      <c r="B271" s="25"/>
      <c r="C271" s="25"/>
      <c r="D271" s="25"/>
      <c r="E271" s="25"/>
      <c r="F271" s="25"/>
      <c r="G271" s="70"/>
      <c r="H271" s="90" t="str">
        <f aca="false">IF(OR(A271="",B271=""),"",COUNTIFS(PT_Date,A271,PT_Equipe,B271,PT_Pres,"P")+0.5*COUNTIFS(PT_Date,A271,PT_Equipe,B271,PT_Pres,"1/2"))</f>
        <v/>
      </c>
      <c r="I271" s="90" t="str">
        <f aca="false">IF(H271="","",H271-N(G271))</f>
        <v/>
      </c>
      <c r="J271" s="25"/>
      <c r="K271" s="74" t="str">
        <f aca="false">IF(OR(A271="",A271&lt;&gt;P_DateRef),"",COUNTIF($A$7:A271,P_DateRef))</f>
        <v/>
      </c>
    </row>
    <row r="272" customFormat="false" ht="15" hidden="false" customHeight="false" outlineLevel="0" collapsed="false">
      <c r="A272" s="69"/>
      <c r="B272" s="25"/>
      <c r="C272" s="25"/>
      <c r="D272" s="25"/>
      <c r="E272" s="25"/>
      <c r="F272" s="25"/>
      <c r="G272" s="70"/>
      <c r="H272" s="90" t="str">
        <f aca="false">IF(OR(A272="",B272=""),"",COUNTIFS(PT_Date,A272,PT_Equipe,B272,PT_Pres,"P")+0.5*COUNTIFS(PT_Date,A272,PT_Equipe,B272,PT_Pres,"1/2"))</f>
        <v/>
      </c>
      <c r="I272" s="90" t="str">
        <f aca="false">IF(H272="","",H272-N(G272))</f>
        <v/>
      </c>
      <c r="J272" s="25"/>
      <c r="K272" s="74" t="str">
        <f aca="false">IF(OR(A272="",A272&lt;&gt;P_DateRef),"",COUNTIF($A$7:A272,P_DateRef))</f>
        <v/>
      </c>
    </row>
    <row r="273" customFormat="false" ht="15" hidden="false" customHeight="false" outlineLevel="0" collapsed="false">
      <c r="A273" s="69"/>
      <c r="B273" s="25"/>
      <c r="C273" s="25"/>
      <c r="D273" s="25"/>
      <c r="E273" s="25"/>
      <c r="F273" s="25"/>
      <c r="G273" s="70"/>
      <c r="H273" s="90" t="str">
        <f aca="false">IF(OR(A273="",B273=""),"",COUNTIFS(PT_Date,A273,PT_Equipe,B273,PT_Pres,"P")+0.5*COUNTIFS(PT_Date,A273,PT_Equipe,B273,PT_Pres,"1/2"))</f>
        <v/>
      </c>
      <c r="I273" s="90" t="str">
        <f aca="false">IF(H273="","",H273-N(G273))</f>
        <v/>
      </c>
      <c r="J273" s="25"/>
      <c r="K273" s="74" t="str">
        <f aca="false">IF(OR(A273="",A273&lt;&gt;P_DateRef),"",COUNTIF($A$7:A273,P_DateRef))</f>
        <v/>
      </c>
    </row>
    <row r="274" customFormat="false" ht="15" hidden="false" customHeight="false" outlineLevel="0" collapsed="false">
      <c r="A274" s="69"/>
      <c r="B274" s="25"/>
      <c r="C274" s="25"/>
      <c r="D274" s="25"/>
      <c r="E274" s="25"/>
      <c r="F274" s="25"/>
      <c r="G274" s="70"/>
      <c r="H274" s="90" t="str">
        <f aca="false">IF(OR(A274="",B274=""),"",COUNTIFS(PT_Date,A274,PT_Equipe,B274,PT_Pres,"P")+0.5*COUNTIFS(PT_Date,A274,PT_Equipe,B274,PT_Pres,"1/2"))</f>
        <v/>
      </c>
      <c r="I274" s="90" t="str">
        <f aca="false">IF(H274="","",H274-N(G274))</f>
        <v/>
      </c>
      <c r="J274" s="25"/>
      <c r="K274" s="74" t="str">
        <f aca="false">IF(OR(A274="",A274&lt;&gt;P_DateRef),"",COUNTIF($A$7:A274,P_DateRef))</f>
        <v/>
      </c>
    </row>
    <row r="275" customFormat="false" ht="15" hidden="false" customHeight="false" outlineLevel="0" collapsed="false">
      <c r="A275" s="69"/>
      <c r="B275" s="25"/>
      <c r="C275" s="25"/>
      <c r="D275" s="25"/>
      <c r="E275" s="25"/>
      <c r="F275" s="25"/>
      <c r="G275" s="70"/>
      <c r="H275" s="90" t="str">
        <f aca="false">IF(OR(A275="",B275=""),"",COUNTIFS(PT_Date,A275,PT_Equipe,B275,PT_Pres,"P")+0.5*COUNTIFS(PT_Date,A275,PT_Equipe,B275,PT_Pres,"1/2"))</f>
        <v/>
      </c>
      <c r="I275" s="90" t="str">
        <f aca="false">IF(H275="","",H275-N(G275))</f>
        <v/>
      </c>
      <c r="J275" s="25"/>
      <c r="K275" s="74" t="str">
        <f aca="false">IF(OR(A275="",A275&lt;&gt;P_DateRef),"",COUNTIF($A$7:A275,P_DateRef))</f>
        <v/>
      </c>
    </row>
    <row r="276" customFormat="false" ht="15" hidden="false" customHeight="false" outlineLevel="0" collapsed="false">
      <c r="A276" s="69"/>
      <c r="B276" s="25"/>
      <c r="C276" s="25"/>
      <c r="D276" s="25"/>
      <c r="E276" s="25"/>
      <c r="F276" s="25"/>
      <c r="G276" s="70"/>
      <c r="H276" s="90" t="str">
        <f aca="false">IF(OR(A276="",B276=""),"",COUNTIFS(PT_Date,A276,PT_Equipe,B276,PT_Pres,"P")+0.5*COUNTIFS(PT_Date,A276,PT_Equipe,B276,PT_Pres,"1/2"))</f>
        <v/>
      </c>
      <c r="I276" s="90" t="str">
        <f aca="false">IF(H276="","",H276-N(G276))</f>
        <v/>
      </c>
      <c r="J276" s="25"/>
      <c r="K276" s="74" t="str">
        <f aca="false">IF(OR(A276="",A276&lt;&gt;P_DateRef),"",COUNTIF($A$7:A276,P_DateRef))</f>
        <v/>
      </c>
    </row>
    <row r="277" customFormat="false" ht="15" hidden="false" customHeight="false" outlineLevel="0" collapsed="false">
      <c r="A277" s="69"/>
      <c r="B277" s="25"/>
      <c r="C277" s="25"/>
      <c r="D277" s="25"/>
      <c r="E277" s="25"/>
      <c r="F277" s="25"/>
      <c r="G277" s="70"/>
      <c r="H277" s="90" t="str">
        <f aca="false">IF(OR(A277="",B277=""),"",COUNTIFS(PT_Date,A277,PT_Equipe,B277,PT_Pres,"P")+0.5*COUNTIFS(PT_Date,A277,PT_Equipe,B277,PT_Pres,"1/2"))</f>
        <v/>
      </c>
      <c r="I277" s="90" t="str">
        <f aca="false">IF(H277="","",H277-N(G277))</f>
        <v/>
      </c>
      <c r="J277" s="25"/>
      <c r="K277" s="74" t="str">
        <f aca="false">IF(OR(A277="",A277&lt;&gt;P_DateRef),"",COUNTIF($A$7:A277,P_DateRef))</f>
        <v/>
      </c>
    </row>
    <row r="278" customFormat="false" ht="15" hidden="false" customHeight="false" outlineLevel="0" collapsed="false">
      <c r="A278" s="69"/>
      <c r="B278" s="25"/>
      <c r="C278" s="25"/>
      <c r="D278" s="25"/>
      <c r="E278" s="25"/>
      <c r="F278" s="25"/>
      <c r="G278" s="70"/>
      <c r="H278" s="90" t="str">
        <f aca="false">IF(OR(A278="",B278=""),"",COUNTIFS(PT_Date,A278,PT_Equipe,B278,PT_Pres,"P")+0.5*COUNTIFS(PT_Date,A278,PT_Equipe,B278,PT_Pres,"1/2"))</f>
        <v/>
      </c>
      <c r="I278" s="90" t="str">
        <f aca="false">IF(H278="","",H278-N(G278))</f>
        <v/>
      </c>
      <c r="J278" s="25"/>
      <c r="K278" s="74" t="str">
        <f aca="false">IF(OR(A278="",A278&lt;&gt;P_DateRef),"",COUNTIF($A$7:A278,P_DateRef))</f>
        <v/>
      </c>
    </row>
    <row r="279" customFormat="false" ht="15" hidden="false" customHeight="false" outlineLevel="0" collapsed="false">
      <c r="A279" s="69"/>
      <c r="B279" s="25"/>
      <c r="C279" s="25"/>
      <c r="D279" s="25"/>
      <c r="E279" s="25"/>
      <c r="F279" s="25"/>
      <c r="G279" s="70"/>
      <c r="H279" s="90" t="str">
        <f aca="false">IF(OR(A279="",B279=""),"",COUNTIFS(PT_Date,A279,PT_Equipe,B279,PT_Pres,"P")+0.5*COUNTIFS(PT_Date,A279,PT_Equipe,B279,PT_Pres,"1/2"))</f>
        <v/>
      </c>
      <c r="I279" s="90" t="str">
        <f aca="false">IF(H279="","",H279-N(G279))</f>
        <v/>
      </c>
      <c r="J279" s="25"/>
      <c r="K279" s="74" t="str">
        <f aca="false">IF(OR(A279="",A279&lt;&gt;P_DateRef),"",COUNTIF($A$7:A279,P_DateRef))</f>
        <v/>
      </c>
    </row>
    <row r="280" customFormat="false" ht="15" hidden="false" customHeight="false" outlineLevel="0" collapsed="false">
      <c r="A280" s="69"/>
      <c r="B280" s="25"/>
      <c r="C280" s="25"/>
      <c r="D280" s="25"/>
      <c r="E280" s="25"/>
      <c r="F280" s="25"/>
      <c r="G280" s="70"/>
      <c r="H280" s="90" t="str">
        <f aca="false">IF(OR(A280="",B280=""),"",COUNTIFS(PT_Date,A280,PT_Equipe,B280,PT_Pres,"P")+0.5*COUNTIFS(PT_Date,A280,PT_Equipe,B280,PT_Pres,"1/2"))</f>
        <v/>
      </c>
      <c r="I280" s="90" t="str">
        <f aca="false">IF(H280="","",H280-N(G280))</f>
        <v/>
      </c>
      <c r="J280" s="25"/>
      <c r="K280" s="74" t="str">
        <f aca="false">IF(OR(A280="",A280&lt;&gt;P_DateRef),"",COUNTIF($A$7:A280,P_DateRef))</f>
        <v/>
      </c>
    </row>
    <row r="281" customFormat="false" ht="15" hidden="false" customHeight="false" outlineLevel="0" collapsed="false">
      <c r="A281" s="69"/>
      <c r="B281" s="25"/>
      <c r="C281" s="25"/>
      <c r="D281" s="25"/>
      <c r="E281" s="25"/>
      <c r="F281" s="25"/>
      <c r="G281" s="70"/>
      <c r="H281" s="90" t="str">
        <f aca="false">IF(OR(A281="",B281=""),"",COUNTIFS(PT_Date,A281,PT_Equipe,B281,PT_Pres,"P")+0.5*COUNTIFS(PT_Date,A281,PT_Equipe,B281,PT_Pres,"1/2"))</f>
        <v/>
      </c>
      <c r="I281" s="90" t="str">
        <f aca="false">IF(H281="","",H281-N(G281))</f>
        <v/>
      </c>
      <c r="J281" s="25"/>
      <c r="K281" s="74" t="str">
        <f aca="false">IF(OR(A281="",A281&lt;&gt;P_DateRef),"",COUNTIF($A$7:A281,P_DateRef))</f>
        <v/>
      </c>
    </row>
    <row r="282" customFormat="false" ht="15" hidden="false" customHeight="false" outlineLevel="0" collapsed="false">
      <c r="A282" s="69"/>
      <c r="B282" s="25"/>
      <c r="C282" s="25"/>
      <c r="D282" s="25"/>
      <c r="E282" s="25"/>
      <c r="F282" s="25"/>
      <c r="G282" s="70"/>
      <c r="H282" s="90" t="str">
        <f aca="false">IF(OR(A282="",B282=""),"",COUNTIFS(PT_Date,A282,PT_Equipe,B282,PT_Pres,"P")+0.5*COUNTIFS(PT_Date,A282,PT_Equipe,B282,PT_Pres,"1/2"))</f>
        <v/>
      </c>
      <c r="I282" s="90" t="str">
        <f aca="false">IF(H282="","",H282-N(G282))</f>
        <v/>
      </c>
      <c r="J282" s="25"/>
      <c r="K282" s="74" t="str">
        <f aca="false">IF(OR(A282="",A282&lt;&gt;P_DateRef),"",COUNTIF($A$7:A282,P_DateRef))</f>
        <v/>
      </c>
    </row>
    <row r="283" customFormat="false" ht="15" hidden="false" customHeight="false" outlineLevel="0" collapsed="false">
      <c r="A283" s="69"/>
      <c r="B283" s="25"/>
      <c r="C283" s="25"/>
      <c r="D283" s="25"/>
      <c r="E283" s="25"/>
      <c r="F283" s="25"/>
      <c r="G283" s="70"/>
      <c r="H283" s="90" t="str">
        <f aca="false">IF(OR(A283="",B283=""),"",COUNTIFS(PT_Date,A283,PT_Equipe,B283,PT_Pres,"P")+0.5*COUNTIFS(PT_Date,A283,PT_Equipe,B283,PT_Pres,"1/2"))</f>
        <v/>
      </c>
      <c r="I283" s="90" t="str">
        <f aca="false">IF(H283="","",H283-N(G283))</f>
        <v/>
      </c>
      <c r="J283" s="25"/>
      <c r="K283" s="74" t="str">
        <f aca="false">IF(OR(A283="",A283&lt;&gt;P_DateRef),"",COUNTIF($A$7:A283,P_DateRef))</f>
        <v/>
      </c>
    </row>
    <row r="284" customFormat="false" ht="15" hidden="false" customHeight="false" outlineLevel="0" collapsed="false">
      <c r="A284" s="69"/>
      <c r="B284" s="25"/>
      <c r="C284" s="25"/>
      <c r="D284" s="25"/>
      <c r="E284" s="25"/>
      <c r="F284" s="25"/>
      <c r="G284" s="70"/>
      <c r="H284" s="90" t="str">
        <f aca="false">IF(OR(A284="",B284=""),"",COUNTIFS(PT_Date,A284,PT_Equipe,B284,PT_Pres,"P")+0.5*COUNTIFS(PT_Date,A284,PT_Equipe,B284,PT_Pres,"1/2"))</f>
        <v/>
      </c>
      <c r="I284" s="90" t="str">
        <f aca="false">IF(H284="","",H284-N(G284))</f>
        <v/>
      </c>
      <c r="J284" s="25"/>
      <c r="K284" s="74" t="str">
        <f aca="false">IF(OR(A284="",A284&lt;&gt;P_DateRef),"",COUNTIF($A$7:A284,P_DateRef))</f>
        <v/>
      </c>
    </row>
    <row r="285" customFormat="false" ht="15" hidden="false" customHeight="false" outlineLevel="0" collapsed="false">
      <c r="A285" s="69"/>
      <c r="B285" s="25"/>
      <c r="C285" s="25"/>
      <c r="D285" s="25"/>
      <c r="E285" s="25"/>
      <c r="F285" s="25"/>
      <c r="G285" s="70"/>
      <c r="H285" s="90" t="str">
        <f aca="false">IF(OR(A285="",B285=""),"",COUNTIFS(PT_Date,A285,PT_Equipe,B285,PT_Pres,"P")+0.5*COUNTIFS(PT_Date,A285,PT_Equipe,B285,PT_Pres,"1/2"))</f>
        <v/>
      </c>
      <c r="I285" s="90" t="str">
        <f aca="false">IF(H285="","",H285-N(G285))</f>
        <v/>
      </c>
      <c r="J285" s="25"/>
      <c r="K285" s="74" t="str">
        <f aca="false">IF(OR(A285="",A285&lt;&gt;P_DateRef),"",COUNTIF($A$7:A285,P_DateRef))</f>
        <v/>
      </c>
    </row>
    <row r="286" customFormat="false" ht="15" hidden="false" customHeight="false" outlineLevel="0" collapsed="false">
      <c r="A286" s="69"/>
      <c r="B286" s="25"/>
      <c r="C286" s="25"/>
      <c r="D286" s="25"/>
      <c r="E286" s="25"/>
      <c r="F286" s="25"/>
      <c r="G286" s="70"/>
      <c r="H286" s="90" t="str">
        <f aca="false">IF(OR(A286="",B286=""),"",COUNTIFS(PT_Date,A286,PT_Equipe,B286,PT_Pres,"P")+0.5*COUNTIFS(PT_Date,A286,PT_Equipe,B286,PT_Pres,"1/2"))</f>
        <v/>
      </c>
      <c r="I286" s="90" t="str">
        <f aca="false">IF(H286="","",H286-N(G286))</f>
        <v/>
      </c>
      <c r="J286" s="25"/>
      <c r="K286" s="74" t="str">
        <f aca="false">IF(OR(A286="",A286&lt;&gt;P_DateRef),"",COUNTIF($A$7:A286,P_DateRef))</f>
        <v/>
      </c>
    </row>
    <row r="287" customFormat="false" ht="15" hidden="false" customHeight="false" outlineLevel="0" collapsed="false">
      <c r="A287" s="69"/>
      <c r="B287" s="25"/>
      <c r="C287" s="25"/>
      <c r="D287" s="25"/>
      <c r="E287" s="25"/>
      <c r="F287" s="25"/>
      <c r="G287" s="70"/>
      <c r="H287" s="90" t="str">
        <f aca="false">IF(OR(A287="",B287=""),"",COUNTIFS(PT_Date,A287,PT_Equipe,B287,PT_Pres,"P")+0.5*COUNTIFS(PT_Date,A287,PT_Equipe,B287,PT_Pres,"1/2"))</f>
        <v/>
      </c>
      <c r="I287" s="90" t="str">
        <f aca="false">IF(H287="","",H287-N(G287))</f>
        <v/>
      </c>
      <c r="J287" s="25"/>
      <c r="K287" s="74" t="str">
        <f aca="false">IF(OR(A287="",A287&lt;&gt;P_DateRef),"",COUNTIF($A$7:A287,P_DateRef))</f>
        <v/>
      </c>
    </row>
    <row r="288" customFormat="false" ht="15" hidden="false" customHeight="false" outlineLevel="0" collapsed="false">
      <c r="A288" s="69"/>
      <c r="B288" s="25"/>
      <c r="C288" s="25"/>
      <c r="D288" s="25"/>
      <c r="E288" s="25"/>
      <c r="F288" s="25"/>
      <c r="G288" s="70"/>
      <c r="H288" s="90" t="str">
        <f aca="false">IF(OR(A288="",B288=""),"",COUNTIFS(PT_Date,A288,PT_Equipe,B288,PT_Pres,"P")+0.5*COUNTIFS(PT_Date,A288,PT_Equipe,B288,PT_Pres,"1/2"))</f>
        <v/>
      </c>
      <c r="I288" s="90" t="str">
        <f aca="false">IF(H288="","",H288-N(G288))</f>
        <v/>
      </c>
      <c r="J288" s="25"/>
      <c r="K288" s="74" t="str">
        <f aca="false">IF(OR(A288="",A288&lt;&gt;P_DateRef),"",COUNTIF($A$7:A288,P_DateRef))</f>
        <v/>
      </c>
    </row>
    <row r="289" customFormat="false" ht="15" hidden="false" customHeight="false" outlineLevel="0" collapsed="false">
      <c r="A289" s="69"/>
      <c r="B289" s="25"/>
      <c r="C289" s="25"/>
      <c r="D289" s="25"/>
      <c r="E289" s="25"/>
      <c r="F289" s="25"/>
      <c r="G289" s="70"/>
      <c r="H289" s="90" t="str">
        <f aca="false">IF(OR(A289="",B289=""),"",COUNTIFS(PT_Date,A289,PT_Equipe,B289,PT_Pres,"P")+0.5*COUNTIFS(PT_Date,A289,PT_Equipe,B289,PT_Pres,"1/2"))</f>
        <v/>
      </c>
      <c r="I289" s="90" t="str">
        <f aca="false">IF(H289="","",H289-N(G289))</f>
        <v/>
      </c>
      <c r="J289" s="25"/>
      <c r="K289" s="74" t="str">
        <f aca="false">IF(OR(A289="",A289&lt;&gt;P_DateRef),"",COUNTIF($A$7:A289,P_DateRef))</f>
        <v/>
      </c>
    </row>
    <row r="290" customFormat="false" ht="15" hidden="false" customHeight="false" outlineLevel="0" collapsed="false">
      <c r="A290" s="69"/>
      <c r="B290" s="25"/>
      <c r="C290" s="25"/>
      <c r="D290" s="25"/>
      <c r="E290" s="25"/>
      <c r="F290" s="25"/>
      <c r="G290" s="70"/>
      <c r="H290" s="90" t="str">
        <f aca="false">IF(OR(A290="",B290=""),"",COUNTIFS(PT_Date,A290,PT_Equipe,B290,PT_Pres,"P")+0.5*COUNTIFS(PT_Date,A290,PT_Equipe,B290,PT_Pres,"1/2"))</f>
        <v/>
      </c>
      <c r="I290" s="90" t="str">
        <f aca="false">IF(H290="","",H290-N(G290))</f>
        <v/>
      </c>
      <c r="J290" s="25"/>
      <c r="K290" s="74" t="str">
        <f aca="false">IF(OR(A290="",A290&lt;&gt;P_DateRef),"",COUNTIF($A$7:A290,P_DateRef))</f>
        <v/>
      </c>
    </row>
    <row r="291" customFormat="false" ht="15" hidden="false" customHeight="false" outlineLevel="0" collapsed="false">
      <c r="A291" s="69"/>
      <c r="B291" s="25"/>
      <c r="C291" s="25"/>
      <c r="D291" s="25"/>
      <c r="E291" s="25"/>
      <c r="F291" s="25"/>
      <c r="G291" s="70"/>
      <c r="H291" s="90" t="str">
        <f aca="false">IF(OR(A291="",B291=""),"",COUNTIFS(PT_Date,A291,PT_Equipe,B291,PT_Pres,"P")+0.5*COUNTIFS(PT_Date,A291,PT_Equipe,B291,PT_Pres,"1/2"))</f>
        <v/>
      </c>
      <c r="I291" s="90" t="str">
        <f aca="false">IF(H291="","",H291-N(G291))</f>
        <v/>
      </c>
      <c r="J291" s="25"/>
      <c r="K291" s="74" t="str">
        <f aca="false">IF(OR(A291="",A291&lt;&gt;P_DateRef),"",COUNTIF($A$7:A291,P_DateRef))</f>
        <v/>
      </c>
    </row>
    <row r="292" customFormat="false" ht="15" hidden="false" customHeight="false" outlineLevel="0" collapsed="false">
      <c r="A292" s="69"/>
      <c r="B292" s="25"/>
      <c r="C292" s="25"/>
      <c r="D292" s="25"/>
      <c r="E292" s="25"/>
      <c r="F292" s="25"/>
      <c r="G292" s="70"/>
      <c r="H292" s="90" t="str">
        <f aca="false">IF(OR(A292="",B292=""),"",COUNTIFS(PT_Date,A292,PT_Equipe,B292,PT_Pres,"P")+0.5*COUNTIFS(PT_Date,A292,PT_Equipe,B292,PT_Pres,"1/2"))</f>
        <v/>
      </c>
      <c r="I292" s="90" t="str">
        <f aca="false">IF(H292="","",H292-N(G292))</f>
        <v/>
      </c>
      <c r="J292" s="25"/>
      <c r="K292" s="74" t="str">
        <f aca="false">IF(OR(A292="",A292&lt;&gt;P_DateRef),"",COUNTIF($A$7:A292,P_DateRef))</f>
        <v/>
      </c>
    </row>
    <row r="293" customFormat="false" ht="15" hidden="false" customHeight="false" outlineLevel="0" collapsed="false">
      <c r="A293" s="69"/>
      <c r="B293" s="25"/>
      <c r="C293" s="25"/>
      <c r="D293" s="25"/>
      <c r="E293" s="25"/>
      <c r="F293" s="25"/>
      <c r="G293" s="70"/>
      <c r="H293" s="90" t="str">
        <f aca="false">IF(OR(A293="",B293=""),"",COUNTIFS(PT_Date,A293,PT_Equipe,B293,PT_Pres,"P")+0.5*COUNTIFS(PT_Date,A293,PT_Equipe,B293,PT_Pres,"1/2"))</f>
        <v/>
      </c>
      <c r="I293" s="90" t="str">
        <f aca="false">IF(H293="","",H293-N(G293))</f>
        <v/>
      </c>
      <c r="J293" s="25"/>
      <c r="K293" s="74" t="str">
        <f aca="false">IF(OR(A293="",A293&lt;&gt;P_DateRef),"",COUNTIF($A$7:A293,P_DateRef))</f>
        <v/>
      </c>
    </row>
    <row r="294" customFormat="false" ht="15" hidden="false" customHeight="false" outlineLevel="0" collapsed="false">
      <c r="A294" s="69"/>
      <c r="B294" s="25"/>
      <c r="C294" s="25"/>
      <c r="D294" s="25"/>
      <c r="E294" s="25"/>
      <c r="F294" s="25"/>
      <c r="G294" s="70"/>
      <c r="H294" s="90" t="str">
        <f aca="false">IF(OR(A294="",B294=""),"",COUNTIFS(PT_Date,A294,PT_Equipe,B294,PT_Pres,"P")+0.5*COUNTIFS(PT_Date,A294,PT_Equipe,B294,PT_Pres,"1/2"))</f>
        <v/>
      </c>
      <c r="I294" s="90" t="str">
        <f aca="false">IF(H294="","",H294-N(G294))</f>
        <v/>
      </c>
      <c r="J294" s="25"/>
      <c r="K294" s="74" t="str">
        <f aca="false">IF(OR(A294="",A294&lt;&gt;P_DateRef),"",COUNTIF($A$7:A294,P_DateRef))</f>
        <v/>
      </c>
    </row>
    <row r="295" customFormat="false" ht="15" hidden="false" customHeight="false" outlineLevel="0" collapsed="false">
      <c r="A295" s="69"/>
      <c r="B295" s="25"/>
      <c r="C295" s="25"/>
      <c r="D295" s="25"/>
      <c r="E295" s="25"/>
      <c r="F295" s="25"/>
      <c r="G295" s="70"/>
      <c r="H295" s="90" t="str">
        <f aca="false">IF(OR(A295="",B295=""),"",COUNTIFS(PT_Date,A295,PT_Equipe,B295,PT_Pres,"P")+0.5*COUNTIFS(PT_Date,A295,PT_Equipe,B295,PT_Pres,"1/2"))</f>
        <v/>
      </c>
      <c r="I295" s="90" t="str">
        <f aca="false">IF(H295="","",H295-N(G295))</f>
        <v/>
      </c>
      <c r="J295" s="25"/>
      <c r="K295" s="74" t="str">
        <f aca="false">IF(OR(A295="",A295&lt;&gt;P_DateRef),"",COUNTIF($A$7:A295,P_DateRef))</f>
        <v/>
      </c>
    </row>
    <row r="296" customFormat="false" ht="15" hidden="false" customHeight="false" outlineLevel="0" collapsed="false">
      <c r="A296" s="69"/>
      <c r="B296" s="25"/>
      <c r="C296" s="25"/>
      <c r="D296" s="25"/>
      <c r="E296" s="25"/>
      <c r="F296" s="25"/>
      <c r="G296" s="70"/>
      <c r="H296" s="90" t="str">
        <f aca="false">IF(OR(A296="",B296=""),"",COUNTIFS(PT_Date,A296,PT_Equipe,B296,PT_Pres,"P")+0.5*COUNTIFS(PT_Date,A296,PT_Equipe,B296,PT_Pres,"1/2"))</f>
        <v/>
      </c>
      <c r="I296" s="90" t="str">
        <f aca="false">IF(H296="","",H296-N(G296))</f>
        <v/>
      </c>
      <c r="J296" s="25"/>
      <c r="K296" s="74" t="str">
        <f aca="false">IF(OR(A296="",A296&lt;&gt;P_DateRef),"",COUNTIF($A$7:A296,P_DateRef))</f>
        <v/>
      </c>
    </row>
    <row r="297" customFormat="false" ht="15" hidden="false" customHeight="false" outlineLevel="0" collapsed="false">
      <c r="A297" s="69"/>
      <c r="B297" s="25"/>
      <c r="C297" s="25"/>
      <c r="D297" s="25"/>
      <c r="E297" s="25"/>
      <c r="F297" s="25"/>
      <c r="G297" s="70"/>
      <c r="H297" s="90" t="str">
        <f aca="false">IF(OR(A297="",B297=""),"",COUNTIFS(PT_Date,A297,PT_Equipe,B297,PT_Pres,"P")+0.5*COUNTIFS(PT_Date,A297,PT_Equipe,B297,PT_Pres,"1/2"))</f>
        <v/>
      </c>
      <c r="I297" s="90" t="str">
        <f aca="false">IF(H297="","",H297-N(G297))</f>
        <v/>
      </c>
      <c r="J297" s="25"/>
      <c r="K297" s="74" t="str">
        <f aca="false">IF(OR(A297="",A297&lt;&gt;P_DateRef),"",COUNTIF($A$7:A297,P_DateRef))</f>
        <v/>
      </c>
    </row>
    <row r="298" customFormat="false" ht="15" hidden="false" customHeight="false" outlineLevel="0" collapsed="false">
      <c r="A298" s="69"/>
      <c r="B298" s="25"/>
      <c r="C298" s="25"/>
      <c r="D298" s="25"/>
      <c r="E298" s="25"/>
      <c r="F298" s="25"/>
      <c r="G298" s="70"/>
      <c r="H298" s="90" t="str">
        <f aca="false">IF(OR(A298="",B298=""),"",COUNTIFS(PT_Date,A298,PT_Equipe,B298,PT_Pres,"P")+0.5*COUNTIFS(PT_Date,A298,PT_Equipe,B298,PT_Pres,"1/2"))</f>
        <v/>
      </c>
      <c r="I298" s="90" t="str">
        <f aca="false">IF(H298="","",H298-N(G298))</f>
        <v/>
      </c>
      <c r="J298" s="25"/>
      <c r="K298" s="74" t="str">
        <f aca="false">IF(OR(A298="",A298&lt;&gt;P_DateRef),"",COUNTIF($A$7:A298,P_DateRef))</f>
        <v/>
      </c>
    </row>
    <row r="299" customFormat="false" ht="15" hidden="false" customHeight="false" outlineLevel="0" collapsed="false">
      <c r="A299" s="69"/>
      <c r="B299" s="25"/>
      <c r="C299" s="25"/>
      <c r="D299" s="25"/>
      <c r="E299" s="25"/>
      <c r="F299" s="25"/>
      <c r="G299" s="70"/>
      <c r="H299" s="90" t="str">
        <f aca="false">IF(OR(A299="",B299=""),"",COUNTIFS(PT_Date,A299,PT_Equipe,B299,PT_Pres,"P")+0.5*COUNTIFS(PT_Date,A299,PT_Equipe,B299,PT_Pres,"1/2"))</f>
        <v/>
      </c>
      <c r="I299" s="90" t="str">
        <f aca="false">IF(H299="","",H299-N(G299))</f>
        <v/>
      </c>
      <c r="J299" s="25"/>
      <c r="K299" s="74" t="str">
        <f aca="false">IF(OR(A299="",A299&lt;&gt;P_DateRef),"",COUNTIF($A$7:A299,P_DateRef))</f>
        <v/>
      </c>
    </row>
    <row r="300" customFormat="false" ht="15" hidden="false" customHeight="false" outlineLevel="0" collapsed="false">
      <c r="A300" s="69"/>
      <c r="B300" s="25"/>
      <c r="C300" s="25"/>
      <c r="D300" s="25"/>
      <c r="E300" s="25"/>
      <c r="F300" s="25"/>
      <c r="G300" s="70"/>
      <c r="H300" s="90" t="str">
        <f aca="false">IF(OR(A300="",B300=""),"",COUNTIFS(PT_Date,A300,PT_Equipe,B300,PT_Pres,"P")+0.5*COUNTIFS(PT_Date,A300,PT_Equipe,B300,PT_Pres,"1/2"))</f>
        <v/>
      </c>
      <c r="I300" s="90" t="str">
        <f aca="false">IF(H300="","",H300-N(G300))</f>
        <v/>
      </c>
      <c r="J300" s="25"/>
      <c r="K300" s="74" t="str">
        <f aca="false">IF(OR(A300="",A300&lt;&gt;P_DateRef),"",COUNTIF($A$7:A300,P_DateRef))</f>
        <v/>
      </c>
    </row>
    <row r="301" customFormat="false" ht="15" hidden="false" customHeight="false" outlineLevel="0" collapsed="false">
      <c r="A301" s="69"/>
      <c r="B301" s="25"/>
      <c r="C301" s="25"/>
      <c r="D301" s="25"/>
      <c r="E301" s="25"/>
      <c r="F301" s="25"/>
      <c r="G301" s="70"/>
      <c r="H301" s="90" t="str">
        <f aca="false">IF(OR(A301="",B301=""),"",COUNTIFS(PT_Date,A301,PT_Equipe,B301,PT_Pres,"P")+0.5*COUNTIFS(PT_Date,A301,PT_Equipe,B301,PT_Pres,"1/2"))</f>
        <v/>
      </c>
      <c r="I301" s="90" t="str">
        <f aca="false">IF(H301="","",H301-N(G301))</f>
        <v/>
      </c>
      <c r="J301" s="25"/>
      <c r="K301" s="74" t="str">
        <f aca="false">IF(OR(A301="",A301&lt;&gt;P_DateRef),"",COUNTIF($A$7:A301,P_DateRef))</f>
        <v/>
      </c>
    </row>
    <row r="302" customFormat="false" ht="15" hidden="false" customHeight="false" outlineLevel="0" collapsed="false">
      <c r="A302" s="69"/>
      <c r="B302" s="25"/>
      <c r="C302" s="25"/>
      <c r="D302" s="25"/>
      <c r="E302" s="25"/>
      <c r="F302" s="25"/>
      <c r="G302" s="70"/>
      <c r="H302" s="90" t="str">
        <f aca="false">IF(OR(A302="",B302=""),"",COUNTIFS(PT_Date,A302,PT_Equipe,B302,PT_Pres,"P")+0.5*COUNTIFS(PT_Date,A302,PT_Equipe,B302,PT_Pres,"1/2"))</f>
        <v/>
      </c>
      <c r="I302" s="90" t="str">
        <f aca="false">IF(H302="","",H302-N(G302))</f>
        <v/>
      </c>
      <c r="J302" s="25"/>
      <c r="K302" s="74" t="str">
        <f aca="false">IF(OR(A302="",A302&lt;&gt;P_DateRef),"",COUNTIF($A$7:A302,P_DateRef))</f>
        <v/>
      </c>
    </row>
    <row r="303" customFormat="false" ht="15" hidden="false" customHeight="false" outlineLevel="0" collapsed="false">
      <c r="A303" s="69"/>
      <c r="B303" s="25"/>
      <c r="C303" s="25"/>
      <c r="D303" s="25"/>
      <c r="E303" s="25"/>
      <c r="F303" s="25"/>
      <c r="G303" s="70"/>
      <c r="H303" s="90" t="str">
        <f aca="false">IF(OR(A303="",B303=""),"",COUNTIFS(PT_Date,A303,PT_Equipe,B303,PT_Pres,"P")+0.5*COUNTIFS(PT_Date,A303,PT_Equipe,B303,PT_Pres,"1/2"))</f>
        <v/>
      </c>
      <c r="I303" s="90" t="str">
        <f aca="false">IF(H303="","",H303-N(G303))</f>
        <v/>
      </c>
      <c r="J303" s="25"/>
      <c r="K303" s="74" t="str">
        <f aca="false">IF(OR(A303="",A303&lt;&gt;P_DateRef),"",COUNTIF($A$7:A303,P_DateRef))</f>
        <v/>
      </c>
    </row>
    <row r="304" customFormat="false" ht="15" hidden="false" customHeight="false" outlineLevel="0" collapsed="false">
      <c r="A304" s="69"/>
      <c r="B304" s="25"/>
      <c r="C304" s="25"/>
      <c r="D304" s="25"/>
      <c r="E304" s="25"/>
      <c r="F304" s="25"/>
      <c r="G304" s="70"/>
      <c r="H304" s="90" t="str">
        <f aca="false">IF(OR(A304="",B304=""),"",COUNTIFS(PT_Date,A304,PT_Equipe,B304,PT_Pres,"P")+0.5*COUNTIFS(PT_Date,A304,PT_Equipe,B304,PT_Pres,"1/2"))</f>
        <v/>
      </c>
      <c r="I304" s="90" t="str">
        <f aca="false">IF(H304="","",H304-N(G304))</f>
        <v/>
      </c>
      <c r="J304" s="25"/>
      <c r="K304" s="74" t="str">
        <f aca="false">IF(OR(A304="",A304&lt;&gt;P_DateRef),"",COUNTIF($A$7:A304,P_DateRef))</f>
        <v/>
      </c>
    </row>
    <row r="305" customFormat="false" ht="15" hidden="false" customHeight="false" outlineLevel="0" collapsed="false">
      <c r="A305" s="69"/>
      <c r="B305" s="25"/>
      <c r="C305" s="25"/>
      <c r="D305" s="25"/>
      <c r="E305" s="25"/>
      <c r="F305" s="25"/>
      <c r="G305" s="70"/>
      <c r="H305" s="90" t="str">
        <f aca="false">IF(OR(A305="",B305=""),"",COUNTIFS(PT_Date,A305,PT_Equipe,B305,PT_Pres,"P")+0.5*COUNTIFS(PT_Date,A305,PT_Equipe,B305,PT_Pres,"1/2"))</f>
        <v/>
      </c>
      <c r="I305" s="90" t="str">
        <f aca="false">IF(H305="","",H305-N(G305))</f>
        <v/>
      </c>
      <c r="J305" s="25"/>
      <c r="K305" s="74" t="str">
        <f aca="false">IF(OR(A305="",A305&lt;&gt;P_DateRef),"",COUNTIF($A$7:A305,P_DateRef))</f>
        <v/>
      </c>
    </row>
    <row r="306" customFormat="false" ht="15" hidden="false" customHeight="false" outlineLevel="0" collapsed="false">
      <c r="A306" s="69"/>
      <c r="B306" s="25"/>
      <c r="C306" s="25"/>
      <c r="D306" s="25"/>
      <c r="E306" s="25"/>
      <c r="F306" s="25"/>
      <c r="G306" s="70"/>
      <c r="H306" s="90" t="str">
        <f aca="false">IF(OR(A306="",B306=""),"",COUNTIFS(PT_Date,A306,PT_Equipe,B306,PT_Pres,"P")+0.5*COUNTIFS(PT_Date,A306,PT_Equipe,B306,PT_Pres,"1/2"))</f>
        <v/>
      </c>
      <c r="I306" s="90" t="str">
        <f aca="false">IF(H306="","",H306-N(G306))</f>
        <v/>
      </c>
      <c r="J306" s="25"/>
      <c r="K306" s="74" t="str">
        <f aca="false">IF(OR(A306="",A306&lt;&gt;P_DateRef),"",COUNTIF($A$7:A306,P_DateRef))</f>
        <v/>
      </c>
    </row>
    <row r="307" customFormat="false" ht="15" hidden="false" customHeight="false" outlineLevel="0" collapsed="false">
      <c r="A307" s="69"/>
      <c r="B307" s="25"/>
      <c r="C307" s="25"/>
      <c r="D307" s="25"/>
      <c r="E307" s="25"/>
      <c r="F307" s="25"/>
      <c r="G307" s="70"/>
      <c r="H307" s="90" t="str">
        <f aca="false">IF(OR(A307="",B307=""),"",COUNTIFS(PT_Date,A307,PT_Equipe,B307,PT_Pres,"P")+0.5*COUNTIFS(PT_Date,A307,PT_Equipe,B307,PT_Pres,"1/2"))</f>
        <v/>
      </c>
      <c r="I307" s="90" t="str">
        <f aca="false">IF(H307="","",H307-N(G307))</f>
        <v/>
      </c>
      <c r="J307" s="25"/>
      <c r="K307" s="74" t="str">
        <f aca="false">IF(OR(A307="",A307&lt;&gt;P_DateRef),"",COUNTIF($A$7:A307,P_DateRef))</f>
        <v/>
      </c>
    </row>
    <row r="308" customFormat="false" ht="15" hidden="false" customHeight="false" outlineLevel="0" collapsed="false">
      <c r="A308" s="69"/>
      <c r="B308" s="25"/>
      <c r="C308" s="25"/>
      <c r="D308" s="25"/>
      <c r="E308" s="25"/>
      <c r="F308" s="25"/>
      <c r="G308" s="70"/>
      <c r="H308" s="90" t="str">
        <f aca="false">IF(OR(A308="",B308=""),"",COUNTIFS(PT_Date,A308,PT_Equipe,B308,PT_Pres,"P")+0.5*COUNTIFS(PT_Date,A308,PT_Equipe,B308,PT_Pres,"1/2"))</f>
        <v/>
      </c>
      <c r="I308" s="90" t="str">
        <f aca="false">IF(H308="","",H308-N(G308))</f>
        <v/>
      </c>
      <c r="J308" s="25"/>
      <c r="K308" s="74" t="str">
        <f aca="false">IF(OR(A308="",A308&lt;&gt;P_DateRef),"",COUNTIF($A$7:A308,P_DateRef))</f>
        <v/>
      </c>
    </row>
    <row r="309" customFormat="false" ht="15" hidden="false" customHeight="false" outlineLevel="0" collapsed="false">
      <c r="A309" s="69"/>
      <c r="B309" s="25"/>
      <c r="C309" s="25"/>
      <c r="D309" s="25"/>
      <c r="E309" s="25"/>
      <c r="F309" s="25"/>
      <c r="G309" s="70"/>
      <c r="H309" s="90" t="str">
        <f aca="false">IF(OR(A309="",B309=""),"",COUNTIFS(PT_Date,A309,PT_Equipe,B309,PT_Pres,"P")+0.5*COUNTIFS(PT_Date,A309,PT_Equipe,B309,PT_Pres,"1/2"))</f>
        <v/>
      </c>
      <c r="I309" s="90" t="str">
        <f aca="false">IF(H309="","",H309-N(G309))</f>
        <v/>
      </c>
      <c r="J309" s="25"/>
      <c r="K309" s="74" t="str">
        <f aca="false">IF(OR(A309="",A309&lt;&gt;P_DateRef),"",COUNTIF($A$7:A309,P_DateRef))</f>
        <v/>
      </c>
    </row>
    <row r="310" customFormat="false" ht="15" hidden="false" customHeight="false" outlineLevel="0" collapsed="false">
      <c r="A310" s="69"/>
      <c r="B310" s="25"/>
      <c r="C310" s="25"/>
      <c r="D310" s="25"/>
      <c r="E310" s="25"/>
      <c r="F310" s="25"/>
      <c r="G310" s="70"/>
      <c r="H310" s="90" t="str">
        <f aca="false">IF(OR(A310="",B310=""),"",COUNTIFS(PT_Date,A310,PT_Equipe,B310,PT_Pres,"P")+0.5*COUNTIFS(PT_Date,A310,PT_Equipe,B310,PT_Pres,"1/2"))</f>
        <v/>
      </c>
      <c r="I310" s="90" t="str">
        <f aca="false">IF(H310="","",H310-N(G310))</f>
        <v/>
      </c>
      <c r="J310" s="25"/>
      <c r="K310" s="74" t="str">
        <f aca="false">IF(OR(A310="",A310&lt;&gt;P_DateRef),"",COUNTIF($A$7:A310,P_DateRef))</f>
        <v/>
      </c>
    </row>
    <row r="311" customFormat="false" ht="15" hidden="false" customHeight="false" outlineLevel="0" collapsed="false">
      <c r="A311" s="69"/>
      <c r="B311" s="25"/>
      <c r="C311" s="25"/>
      <c r="D311" s="25"/>
      <c r="E311" s="25"/>
      <c r="F311" s="25"/>
      <c r="G311" s="70"/>
      <c r="H311" s="90" t="str">
        <f aca="false">IF(OR(A311="",B311=""),"",COUNTIFS(PT_Date,A311,PT_Equipe,B311,PT_Pres,"P")+0.5*COUNTIFS(PT_Date,A311,PT_Equipe,B311,PT_Pres,"1/2"))</f>
        <v/>
      </c>
      <c r="I311" s="90" t="str">
        <f aca="false">IF(H311="","",H311-N(G311))</f>
        <v/>
      </c>
      <c r="J311" s="25"/>
      <c r="K311" s="74" t="str">
        <f aca="false">IF(OR(A311="",A311&lt;&gt;P_DateRef),"",COUNTIF($A$7:A311,P_DateRef))</f>
        <v/>
      </c>
    </row>
    <row r="312" customFormat="false" ht="15" hidden="false" customHeight="false" outlineLevel="0" collapsed="false">
      <c r="A312" s="69"/>
      <c r="B312" s="25"/>
      <c r="C312" s="25"/>
      <c r="D312" s="25"/>
      <c r="E312" s="25"/>
      <c r="F312" s="25"/>
      <c r="G312" s="70"/>
      <c r="H312" s="90" t="str">
        <f aca="false">IF(OR(A312="",B312=""),"",COUNTIFS(PT_Date,A312,PT_Equipe,B312,PT_Pres,"P")+0.5*COUNTIFS(PT_Date,A312,PT_Equipe,B312,PT_Pres,"1/2"))</f>
        <v/>
      </c>
      <c r="I312" s="90" t="str">
        <f aca="false">IF(H312="","",H312-N(G312))</f>
        <v/>
      </c>
      <c r="J312" s="25"/>
      <c r="K312" s="74" t="str">
        <f aca="false">IF(OR(A312="",A312&lt;&gt;P_DateRef),"",COUNTIF($A$7:A312,P_DateRef))</f>
        <v/>
      </c>
    </row>
    <row r="313" customFormat="false" ht="15" hidden="false" customHeight="false" outlineLevel="0" collapsed="false">
      <c r="A313" s="69"/>
      <c r="B313" s="25"/>
      <c r="C313" s="25"/>
      <c r="D313" s="25"/>
      <c r="E313" s="25"/>
      <c r="F313" s="25"/>
      <c r="G313" s="70"/>
      <c r="H313" s="90" t="str">
        <f aca="false">IF(OR(A313="",B313=""),"",COUNTIFS(PT_Date,A313,PT_Equipe,B313,PT_Pres,"P")+0.5*COUNTIFS(PT_Date,A313,PT_Equipe,B313,PT_Pres,"1/2"))</f>
        <v/>
      </c>
      <c r="I313" s="90" t="str">
        <f aca="false">IF(H313="","",H313-N(G313))</f>
        <v/>
      </c>
      <c r="J313" s="25"/>
      <c r="K313" s="74" t="str">
        <f aca="false">IF(OR(A313="",A313&lt;&gt;P_DateRef),"",COUNTIF($A$7:A313,P_DateRef))</f>
        <v/>
      </c>
    </row>
    <row r="314" customFormat="false" ht="15" hidden="false" customHeight="false" outlineLevel="0" collapsed="false">
      <c r="A314" s="69"/>
      <c r="B314" s="25"/>
      <c r="C314" s="25"/>
      <c r="D314" s="25"/>
      <c r="E314" s="25"/>
      <c r="F314" s="25"/>
      <c r="G314" s="70"/>
      <c r="H314" s="90" t="str">
        <f aca="false">IF(OR(A314="",B314=""),"",COUNTIFS(PT_Date,A314,PT_Equipe,B314,PT_Pres,"P")+0.5*COUNTIFS(PT_Date,A314,PT_Equipe,B314,PT_Pres,"1/2"))</f>
        <v/>
      </c>
      <c r="I314" s="90" t="str">
        <f aca="false">IF(H314="","",H314-N(G314))</f>
        <v/>
      </c>
      <c r="J314" s="25"/>
      <c r="K314" s="74" t="str">
        <f aca="false">IF(OR(A314="",A314&lt;&gt;P_DateRef),"",COUNTIF($A$7:A314,P_DateRef))</f>
        <v/>
      </c>
    </row>
    <row r="315" customFormat="false" ht="15" hidden="false" customHeight="false" outlineLevel="0" collapsed="false">
      <c r="A315" s="69"/>
      <c r="B315" s="25"/>
      <c r="C315" s="25"/>
      <c r="D315" s="25"/>
      <c r="E315" s="25"/>
      <c r="F315" s="25"/>
      <c r="G315" s="70"/>
      <c r="H315" s="90" t="str">
        <f aca="false">IF(OR(A315="",B315=""),"",COUNTIFS(PT_Date,A315,PT_Equipe,B315,PT_Pres,"P")+0.5*COUNTIFS(PT_Date,A315,PT_Equipe,B315,PT_Pres,"1/2"))</f>
        <v/>
      </c>
      <c r="I315" s="90" t="str">
        <f aca="false">IF(H315="","",H315-N(G315))</f>
        <v/>
      </c>
      <c r="J315" s="25"/>
      <c r="K315" s="74" t="str">
        <f aca="false">IF(OR(A315="",A315&lt;&gt;P_DateRef),"",COUNTIF($A$7:A315,P_DateRef))</f>
        <v/>
      </c>
    </row>
    <row r="316" customFormat="false" ht="15" hidden="false" customHeight="false" outlineLevel="0" collapsed="false">
      <c r="A316" s="69"/>
      <c r="B316" s="25"/>
      <c r="C316" s="25"/>
      <c r="D316" s="25"/>
      <c r="E316" s="25"/>
      <c r="F316" s="25"/>
      <c r="G316" s="70"/>
      <c r="H316" s="90" t="str">
        <f aca="false">IF(OR(A316="",B316=""),"",COUNTIFS(PT_Date,A316,PT_Equipe,B316,PT_Pres,"P")+0.5*COUNTIFS(PT_Date,A316,PT_Equipe,B316,PT_Pres,"1/2"))</f>
        <v/>
      </c>
      <c r="I316" s="90" t="str">
        <f aca="false">IF(H316="","",H316-N(G316))</f>
        <v/>
      </c>
      <c r="J316" s="25"/>
      <c r="K316" s="74" t="str">
        <f aca="false">IF(OR(A316="",A316&lt;&gt;P_DateRef),"",COUNTIF($A$7:A316,P_DateRef))</f>
        <v/>
      </c>
    </row>
    <row r="317" customFormat="false" ht="15" hidden="false" customHeight="false" outlineLevel="0" collapsed="false">
      <c r="A317" s="69"/>
      <c r="B317" s="25"/>
      <c r="C317" s="25"/>
      <c r="D317" s="25"/>
      <c r="E317" s="25"/>
      <c r="F317" s="25"/>
      <c r="G317" s="70"/>
      <c r="H317" s="90" t="str">
        <f aca="false">IF(OR(A317="",B317=""),"",COUNTIFS(PT_Date,A317,PT_Equipe,B317,PT_Pres,"P")+0.5*COUNTIFS(PT_Date,A317,PT_Equipe,B317,PT_Pres,"1/2"))</f>
        <v/>
      </c>
      <c r="I317" s="90" t="str">
        <f aca="false">IF(H317="","",H317-N(G317))</f>
        <v/>
      </c>
      <c r="J317" s="25"/>
      <c r="K317" s="74" t="str">
        <f aca="false">IF(OR(A317="",A317&lt;&gt;P_DateRef),"",COUNTIF($A$7:A317,P_DateRef))</f>
        <v/>
      </c>
    </row>
    <row r="318" customFormat="false" ht="15" hidden="false" customHeight="false" outlineLevel="0" collapsed="false">
      <c r="A318" s="69"/>
      <c r="B318" s="25"/>
      <c r="C318" s="25"/>
      <c r="D318" s="25"/>
      <c r="E318" s="25"/>
      <c r="F318" s="25"/>
      <c r="G318" s="70"/>
      <c r="H318" s="90" t="str">
        <f aca="false">IF(OR(A318="",B318=""),"",COUNTIFS(PT_Date,A318,PT_Equipe,B318,PT_Pres,"P")+0.5*COUNTIFS(PT_Date,A318,PT_Equipe,B318,PT_Pres,"1/2"))</f>
        <v/>
      </c>
      <c r="I318" s="90" t="str">
        <f aca="false">IF(H318="","",H318-N(G318))</f>
        <v/>
      </c>
      <c r="J318" s="25"/>
      <c r="K318" s="74" t="str">
        <f aca="false">IF(OR(A318="",A318&lt;&gt;P_DateRef),"",COUNTIF($A$7:A318,P_DateRef))</f>
        <v/>
      </c>
    </row>
    <row r="319" customFormat="false" ht="15" hidden="false" customHeight="false" outlineLevel="0" collapsed="false">
      <c r="A319" s="69"/>
      <c r="B319" s="25"/>
      <c r="C319" s="25"/>
      <c r="D319" s="25"/>
      <c r="E319" s="25"/>
      <c r="F319" s="25"/>
      <c r="G319" s="70"/>
      <c r="H319" s="90" t="str">
        <f aca="false">IF(OR(A319="",B319=""),"",COUNTIFS(PT_Date,A319,PT_Equipe,B319,PT_Pres,"P")+0.5*COUNTIFS(PT_Date,A319,PT_Equipe,B319,PT_Pres,"1/2"))</f>
        <v/>
      </c>
      <c r="I319" s="90" t="str">
        <f aca="false">IF(H319="","",H319-N(G319))</f>
        <v/>
      </c>
      <c r="J319" s="25"/>
      <c r="K319" s="74" t="str">
        <f aca="false">IF(OR(A319="",A319&lt;&gt;P_DateRef),"",COUNTIF($A$7:A319,P_DateRef))</f>
        <v/>
      </c>
    </row>
    <row r="320" customFormat="false" ht="15" hidden="false" customHeight="false" outlineLevel="0" collapsed="false">
      <c r="A320" s="69"/>
      <c r="B320" s="25"/>
      <c r="C320" s="25"/>
      <c r="D320" s="25"/>
      <c r="E320" s="25"/>
      <c r="F320" s="25"/>
      <c r="G320" s="70"/>
      <c r="H320" s="90" t="str">
        <f aca="false">IF(OR(A320="",B320=""),"",COUNTIFS(PT_Date,A320,PT_Equipe,B320,PT_Pres,"P")+0.5*COUNTIFS(PT_Date,A320,PT_Equipe,B320,PT_Pres,"1/2"))</f>
        <v/>
      </c>
      <c r="I320" s="90" t="str">
        <f aca="false">IF(H320="","",H320-N(G320))</f>
        <v/>
      </c>
      <c r="J320" s="25"/>
      <c r="K320" s="74" t="str">
        <f aca="false">IF(OR(A320="",A320&lt;&gt;P_DateRef),"",COUNTIF($A$7:A320,P_DateRef))</f>
        <v/>
      </c>
    </row>
    <row r="321" customFormat="false" ht="15" hidden="false" customHeight="false" outlineLevel="0" collapsed="false">
      <c r="A321" s="69"/>
      <c r="B321" s="25"/>
      <c r="C321" s="25"/>
      <c r="D321" s="25"/>
      <c r="E321" s="25"/>
      <c r="F321" s="25"/>
      <c r="G321" s="70"/>
      <c r="H321" s="90" t="str">
        <f aca="false">IF(OR(A321="",B321=""),"",COUNTIFS(PT_Date,A321,PT_Equipe,B321,PT_Pres,"P")+0.5*COUNTIFS(PT_Date,A321,PT_Equipe,B321,PT_Pres,"1/2"))</f>
        <v/>
      </c>
      <c r="I321" s="90" t="str">
        <f aca="false">IF(H321="","",H321-N(G321))</f>
        <v/>
      </c>
      <c r="J321" s="25"/>
      <c r="K321" s="74" t="str">
        <f aca="false">IF(OR(A321="",A321&lt;&gt;P_DateRef),"",COUNTIF($A$7:A321,P_DateRef))</f>
        <v/>
      </c>
    </row>
    <row r="322" customFormat="false" ht="15" hidden="false" customHeight="false" outlineLevel="0" collapsed="false">
      <c r="A322" s="69"/>
      <c r="B322" s="25"/>
      <c r="C322" s="25"/>
      <c r="D322" s="25"/>
      <c r="E322" s="25"/>
      <c r="F322" s="25"/>
      <c r="G322" s="70"/>
      <c r="H322" s="90" t="str">
        <f aca="false">IF(OR(A322="",B322=""),"",COUNTIFS(PT_Date,A322,PT_Equipe,B322,PT_Pres,"P")+0.5*COUNTIFS(PT_Date,A322,PT_Equipe,B322,PT_Pres,"1/2"))</f>
        <v/>
      </c>
      <c r="I322" s="90" t="str">
        <f aca="false">IF(H322="","",H322-N(G322))</f>
        <v/>
      </c>
      <c r="J322" s="25"/>
      <c r="K322" s="74" t="str">
        <f aca="false">IF(OR(A322="",A322&lt;&gt;P_DateRef),"",COUNTIF($A$7:A322,P_DateRef))</f>
        <v/>
      </c>
    </row>
    <row r="323" customFormat="false" ht="15" hidden="false" customHeight="false" outlineLevel="0" collapsed="false">
      <c r="A323" s="69"/>
      <c r="B323" s="25"/>
      <c r="C323" s="25"/>
      <c r="D323" s="25"/>
      <c r="E323" s="25"/>
      <c r="F323" s="25"/>
      <c r="G323" s="70"/>
      <c r="H323" s="90" t="str">
        <f aca="false">IF(OR(A323="",B323=""),"",COUNTIFS(PT_Date,A323,PT_Equipe,B323,PT_Pres,"P")+0.5*COUNTIFS(PT_Date,A323,PT_Equipe,B323,PT_Pres,"1/2"))</f>
        <v/>
      </c>
      <c r="I323" s="90" t="str">
        <f aca="false">IF(H323="","",H323-N(G323))</f>
        <v/>
      </c>
      <c r="J323" s="25"/>
      <c r="K323" s="74" t="str">
        <f aca="false">IF(OR(A323="",A323&lt;&gt;P_DateRef),"",COUNTIF($A$7:A323,P_DateRef))</f>
        <v/>
      </c>
    </row>
    <row r="324" customFormat="false" ht="15" hidden="false" customHeight="false" outlineLevel="0" collapsed="false">
      <c r="A324" s="69"/>
      <c r="B324" s="25"/>
      <c r="C324" s="25"/>
      <c r="D324" s="25"/>
      <c r="E324" s="25"/>
      <c r="F324" s="25"/>
      <c r="G324" s="70"/>
      <c r="H324" s="90" t="str">
        <f aca="false">IF(OR(A324="",B324=""),"",COUNTIFS(PT_Date,A324,PT_Equipe,B324,PT_Pres,"P")+0.5*COUNTIFS(PT_Date,A324,PT_Equipe,B324,PT_Pres,"1/2"))</f>
        <v/>
      </c>
      <c r="I324" s="90" t="str">
        <f aca="false">IF(H324="","",H324-N(G324))</f>
        <v/>
      </c>
      <c r="J324" s="25"/>
      <c r="K324" s="74" t="str">
        <f aca="false">IF(OR(A324="",A324&lt;&gt;P_DateRef),"",COUNTIF($A$7:A324,P_DateRef))</f>
        <v/>
      </c>
    </row>
    <row r="325" customFormat="false" ht="15" hidden="false" customHeight="false" outlineLevel="0" collapsed="false">
      <c r="A325" s="69"/>
      <c r="B325" s="25"/>
      <c r="C325" s="25"/>
      <c r="D325" s="25"/>
      <c r="E325" s="25"/>
      <c r="F325" s="25"/>
      <c r="G325" s="70"/>
      <c r="H325" s="90" t="str">
        <f aca="false">IF(OR(A325="",B325=""),"",COUNTIFS(PT_Date,A325,PT_Equipe,B325,PT_Pres,"P")+0.5*COUNTIFS(PT_Date,A325,PT_Equipe,B325,PT_Pres,"1/2"))</f>
        <v/>
      </c>
      <c r="I325" s="90" t="str">
        <f aca="false">IF(H325="","",H325-N(G325))</f>
        <v/>
      </c>
      <c r="J325" s="25"/>
      <c r="K325" s="74" t="str">
        <f aca="false">IF(OR(A325="",A325&lt;&gt;P_DateRef),"",COUNTIF($A$7:A325,P_DateRef))</f>
        <v/>
      </c>
    </row>
    <row r="326" customFormat="false" ht="15" hidden="false" customHeight="false" outlineLevel="0" collapsed="false">
      <c r="A326" s="69"/>
      <c r="B326" s="25"/>
      <c r="C326" s="25"/>
      <c r="D326" s="25"/>
      <c r="E326" s="25"/>
      <c r="F326" s="25"/>
      <c r="G326" s="70"/>
      <c r="H326" s="90" t="str">
        <f aca="false">IF(OR(A326="",B326=""),"",COUNTIFS(PT_Date,A326,PT_Equipe,B326,PT_Pres,"P")+0.5*COUNTIFS(PT_Date,A326,PT_Equipe,B326,PT_Pres,"1/2"))</f>
        <v/>
      </c>
      <c r="I326" s="90" t="str">
        <f aca="false">IF(H326="","",H326-N(G326))</f>
        <v/>
      </c>
      <c r="J326" s="25"/>
      <c r="K326" s="74" t="str">
        <f aca="false">IF(OR(A326="",A326&lt;&gt;P_DateRef),"",COUNTIF($A$7:A326,P_DateRef))</f>
        <v/>
      </c>
    </row>
    <row r="327" customFormat="false" ht="15" hidden="false" customHeight="false" outlineLevel="0" collapsed="false">
      <c r="A327" s="69"/>
      <c r="B327" s="25"/>
      <c r="C327" s="25"/>
      <c r="D327" s="25"/>
      <c r="E327" s="25"/>
      <c r="F327" s="25"/>
      <c r="G327" s="70"/>
      <c r="H327" s="90" t="str">
        <f aca="false">IF(OR(A327="",B327=""),"",COUNTIFS(PT_Date,A327,PT_Equipe,B327,PT_Pres,"P")+0.5*COUNTIFS(PT_Date,A327,PT_Equipe,B327,PT_Pres,"1/2"))</f>
        <v/>
      </c>
      <c r="I327" s="90" t="str">
        <f aca="false">IF(H327="","",H327-N(G327))</f>
        <v/>
      </c>
      <c r="J327" s="25"/>
      <c r="K327" s="74" t="str">
        <f aca="false">IF(OR(A327="",A327&lt;&gt;P_DateRef),"",COUNTIF($A$7:A327,P_DateRef))</f>
        <v/>
      </c>
    </row>
    <row r="328" customFormat="false" ht="15" hidden="false" customHeight="false" outlineLevel="0" collapsed="false">
      <c r="A328" s="69"/>
      <c r="B328" s="25"/>
      <c r="C328" s="25"/>
      <c r="D328" s="25"/>
      <c r="E328" s="25"/>
      <c r="F328" s="25"/>
      <c r="G328" s="70"/>
      <c r="H328" s="90" t="str">
        <f aca="false">IF(OR(A328="",B328=""),"",COUNTIFS(PT_Date,A328,PT_Equipe,B328,PT_Pres,"P")+0.5*COUNTIFS(PT_Date,A328,PT_Equipe,B328,PT_Pres,"1/2"))</f>
        <v/>
      </c>
      <c r="I328" s="90" t="str">
        <f aca="false">IF(H328="","",H328-N(G328))</f>
        <v/>
      </c>
      <c r="J328" s="25"/>
      <c r="K328" s="74" t="str">
        <f aca="false">IF(OR(A328="",A328&lt;&gt;P_DateRef),"",COUNTIF($A$7:A328,P_DateRef))</f>
        <v/>
      </c>
    </row>
    <row r="329" customFormat="false" ht="15" hidden="false" customHeight="false" outlineLevel="0" collapsed="false">
      <c r="A329" s="69"/>
      <c r="B329" s="25"/>
      <c r="C329" s="25"/>
      <c r="D329" s="25"/>
      <c r="E329" s="25"/>
      <c r="F329" s="25"/>
      <c r="G329" s="70"/>
      <c r="H329" s="90" t="str">
        <f aca="false">IF(OR(A329="",B329=""),"",COUNTIFS(PT_Date,A329,PT_Equipe,B329,PT_Pres,"P")+0.5*COUNTIFS(PT_Date,A329,PT_Equipe,B329,PT_Pres,"1/2"))</f>
        <v/>
      </c>
      <c r="I329" s="90" t="str">
        <f aca="false">IF(H329="","",H329-N(G329))</f>
        <v/>
      </c>
      <c r="J329" s="25"/>
      <c r="K329" s="74" t="str">
        <f aca="false">IF(OR(A329="",A329&lt;&gt;P_DateRef),"",COUNTIF($A$7:A329,P_DateRef))</f>
        <v/>
      </c>
    </row>
    <row r="330" customFormat="false" ht="15" hidden="false" customHeight="false" outlineLevel="0" collapsed="false">
      <c r="A330" s="69"/>
      <c r="B330" s="25"/>
      <c r="C330" s="25"/>
      <c r="D330" s="25"/>
      <c r="E330" s="25"/>
      <c r="F330" s="25"/>
      <c r="G330" s="70"/>
      <c r="H330" s="90" t="str">
        <f aca="false">IF(OR(A330="",B330=""),"",COUNTIFS(PT_Date,A330,PT_Equipe,B330,PT_Pres,"P")+0.5*COUNTIFS(PT_Date,A330,PT_Equipe,B330,PT_Pres,"1/2"))</f>
        <v/>
      </c>
      <c r="I330" s="90" t="str">
        <f aca="false">IF(H330="","",H330-N(G330))</f>
        <v/>
      </c>
      <c r="J330" s="25"/>
      <c r="K330" s="74" t="str">
        <f aca="false">IF(OR(A330="",A330&lt;&gt;P_DateRef),"",COUNTIF($A$7:A330,P_DateRef))</f>
        <v/>
      </c>
    </row>
    <row r="331" customFormat="false" ht="15" hidden="false" customHeight="false" outlineLevel="0" collapsed="false">
      <c r="A331" s="69"/>
      <c r="B331" s="25"/>
      <c r="C331" s="25"/>
      <c r="D331" s="25"/>
      <c r="E331" s="25"/>
      <c r="F331" s="25"/>
      <c r="G331" s="70"/>
      <c r="H331" s="90" t="str">
        <f aca="false">IF(OR(A331="",B331=""),"",COUNTIFS(PT_Date,A331,PT_Equipe,B331,PT_Pres,"P")+0.5*COUNTIFS(PT_Date,A331,PT_Equipe,B331,PT_Pres,"1/2"))</f>
        <v/>
      </c>
      <c r="I331" s="90" t="str">
        <f aca="false">IF(H331="","",H331-N(G331))</f>
        <v/>
      </c>
      <c r="J331" s="25"/>
      <c r="K331" s="74" t="str">
        <f aca="false">IF(OR(A331="",A331&lt;&gt;P_DateRef),"",COUNTIF($A$7:A331,P_DateRef))</f>
        <v/>
      </c>
    </row>
    <row r="332" customFormat="false" ht="15" hidden="false" customHeight="false" outlineLevel="0" collapsed="false">
      <c r="A332" s="69"/>
      <c r="B332" s="25"/>
      <c r="C332" s="25"/>
      <c r="D332" s="25"/>
      <c r="E332" s="25"/>
      <c r="F332" s="25"/>
      <c r="G332" s="70"/>
      <c r="H332" s="90" t="str">
        <f aca="false">IF(OR(A332="",B332=""),"",COUNTIFS(PT_Date,A332,PT_Equipe,B332,PT_Pres,"P")+0.5*COUNTIFS(PT_Date,A332,PT_Equipe,B332,PT_Pres,"1/2"))</f>
        <v/>
      </c>
      <c r="I332" s="90" t="str">
        <f aca="false">IF(H332="","",H332-N(G332))</f>
        <v/>
      </c>
      <c r="J332" s="25"/>
      <c r="K332" s="74" t="str">
        <f aca="false">IF(OR(A332="",A332&lt;&gt;P_DateRef),"",COUNTIF($A$7:A332,P_DateRef))</f>
        <v/>
      </c>
    </row>
    <row r="333" customFormat="false" ht="15" hidden="false" customHeight="false" outlineLevel="0" collapsed="false">
      <c r="A333" s="69"/>
      <c r="B333" s="25"/>
      <c r="C333" s="25"/>
      <c r="D333" s="25"/>
      <c r="E333" s="25"/>
      <c r="F333" s="25"/>
      <c r="G333" s="70"/>
      <c r="H333" s="90" t="str">
        <f aca="false">IF(OR(A333="",B333=""),"",COUNTIFS(PT_Date,A333,PT_Equipe,B333,PT_Pres,"P")+0.5*COUNTIFS(PT_Date,A333,PT_Equipe,B333,PT_Pres,"1/2"))</f>
        <v/>
      </c>
      <c r="I333" s="90" t="str">
        <f aca="false">IF(H333="","",H333-N(G333))</f>
        <v/>
      </c>
      <c r="J333" s="25"/>
      <c r="K333" s="74" t="str">
        <f aca="false">IF(OR(A333="",A333&lt;&gt;P_DateRef),"",COUNTIF($A$7:A333,P_DateRef))</f>
        <v/>
      </c>
    </row>
    <row r="334" customFormat="false" ht="15" hidden="false" customHeight="false" outlineLevel="0" collapsed="false">
      <c r="A334" s="69"/>
      <c r="B334" s="25"/>
      <c r="C334" s="25"/>
      <c r="D334" s="25"/>
      <c r="E334" s="25"/>
      <c r="F334" s="25"/>
      <c r="G334" s="70"/>
      <c r="H334" s="90" t="str">
        <f aca="false">IF(OR(A334="",B334=""),"",COUNTIFS(PT_Date,A334,PT_Equipe,B334,PT_Pres,"P")+0.5*COUNTIFS(PT_Date,A334,PT_Equipe,B334,PT_Pres,"1/2"))</f>
        <v/>
      </c>
      <c r="I334" s="90" t="str">
        <f aca="false">IF(H334="","",H334-N(G334))</f>
        <v/>
      </c>
      <c r="J334" s="25"/>
      <c r="K334" s="74" t="str">
        <f aca="false">IF(OR(A334="",A334&lt;&gt;P_DateRef),"",COUNTIF($A$7:A334,P_DateRef))</f>
        <v/>
      </c>
    </row>
    <row r="335" customFormat="false" ht="15" hidden="false" customHeight="false" outlineLevel="0" collapsed="false">
      <c r="A335" s="69"/>
      <c r="B335" s="25"/>
      <c r="C335" s="25"/>
      <c r="D335" s="25"/>
      <c r="E335" s="25"/>
      <c r="F335" s="25"/>
      <c r="G335" s="70"/>
      <c r="H335" s="90" t="str">
        <f aca="false">IF(OR(A335="",B335=""),"",COUNTIFS(PT_Date,A335,PT_Equipe,B335,PT_Pres,"P")+0.5*COUNTIFS(PT_Date,A335,PT_Equipe,B335,PT_Pres,"1/2"))</f>
        <v/>
      </c>
      <c r="I335" s="90" t="str">
        <f aca="false">IF(H335="","",H335-N(G335))</f>
        <v/>
      </c>
      <c r="J335" s="25"/>
      <c r="K335" s="74" t="str">
        <f aca="false">IF(OR(A335="",A335&lt;&gt;P_DateRef),"",COUNTIF($A$7:A335,P_DateRef))</f>
        <v/>
      </c>
    </row>
    <row r="336" customFormat="false" ht="15" hidden="false" customHeight="false" outlineLevel="0" collapsed="false">
      <c r="A336" s="69"/>
      <c r="B336" s="25"/>
      <c r="C336" s="25"/>
      <c r="D336" s="25"/>
      <c r="E336" s="25"/>
      <c r="F336" s="25"/>
      <c r="G336" s="70"/>
      <c r="H336" s="90" t="str">
        <f aca="false">IF(OR(A336="",B336=""),"",COUNTIFS(PT_Date,A336,PT_Equipe,B336,PT_Pres,"P")+0.5*COUNTIFS(PT_Date,A336,PT_Equipe,B336,PT_Pres,"1/2"))</f>
        <v/>
      </c>
      <c r="I336" s="90" t="str">
        <f aca="false">IF(H336="","",H336-N(G336))</f>
        <v/>
      </c>
      <c r="J336" s="25"/>
      <c r="K336" s="74" t="str">
        <f aca="false">IF(OR(A336="",A336&lt;&gt;P_DateRef),"",COUNTIF($A$7:A336,P_DateRef))</f>
        <v/>
      </c>
    </row>
    <row r="337" customFormat="false" ht="15" hidden="false" customHeight="false" outlineLevel="0" collapsed="false">
      <c r="A337" s="69"/>
      <c r="B337" s="25"/>
      <c r="C337" s="25"/>
      <c r="D337" s="25"/>
      <c r="E337" s="25"/>
      <c r="F337" s="25"/>
      <c r="G337" s="70"/>
      <c r="H337" s="90" t="str">
        <f aca="false">IF(OR(A337="",B337=""),"",COUNTIFS(PT_Date,A337,PT_Equipe,B337,PT_Pres,"P")+0.5*COUNTIFS(PT_Date,A337,PT_Equipe,B337,PT_Pres,"1/2"))</f>
        <v/>
      </c>
      <c r="I337" s="90" t="str">
        <f aca="false">IF(H337="","",H337-N(G337))</f>
        <v/>
      </c>
      <c r="J337" s="25"/>
      <c r="K337" s="74" t="str">
        <f aca="false">IF(OR(A337="",A337&lt;&gt;P_DateRef),"",COUNTIF($A$7:A337,P_DateRef))</f>
        <v/>
      </c>
    </row>
    <row r="338" customFormat="false" ht="15" hidden="false" customHeight="false" outlineLevel="0" collapsed="false">
      <c r="A338" s="69"/>
      <c r="B338" s="25"/>
      <c r="C338" s="25"/>
      <c r="D338" s="25"/>
      <c r="E338" s="25"/>
      <c r="F338" s="25"/>
      <c r="G338" s="70"/>
      <c r="H338" s="90" t="str">
        <f aca="false">IF(OR(A338="",B338=""),"",COUNTIFS(PT_Date,A338,PT_Equipe,B338,PT_Pres,"P")+0.5*COUNTIFS(PT_Date,A338,PT_Equipe,B338,PT_Pres,"1/2"))</f>
        <v/>
      </c>
      <c r="I338" s="90" t="str">
        <f aca="false">IF(H338="","",H338-N(G338))</f>
        <v/>
      </c>
      <c r="J338" s="25"/>
      <c r="K338" s="74" t="str">
        <f aca="false">IF(OR(A338="",A338&lt;&gt;P_DateRef),"",COUNTIF($A$7:A338,P_DateRef))</f>
        <v/>
      </c>
    </row>
    <row r="339" customFormat="false" ht="15" hidden="false" customHeight="false" outlineLevel="0" collapsed="false">
      <c r="A339" s="69"/>
      <c r="B339" s="25"/>
      <c r="C339" s="25"/>
      <c r="D339" s="25"/>
      <c r="E339" s="25"/>
      <c r="F339" s="25"/>
      <c r="G339" s="70"/>
      <c r="H339" s="90" t="str">
        <f aca="false">IF(OR(A339="",B339=""),"",COUNTIFS(PT_Date,A339,PT_Equipe,B339,PT_Pres,"P")+0.5*COUNTIFS(PT_Date,A339,PT_Equipe,B339,PT_Pres,"1/2"))</f>
        <v/>
      </c>
      <c r="I339" s="90" t="str">
        <f aca="false">IF(H339="","",H339-N(G339))</f>
        <v/>
      </c>
      <c r="J339" s="25"/>
      <c r="K339" s="74" t="str">
        <f aca="false">IF(OR(A339="",A339&lt;&gt;P_DateRef),"",COUNTIF($A$7:A339,P_DateRef))</f>
        <v/>
      </c>
    </row>
    <row r="340" customFormat="false" ht="15" hidden="false" customHeight="false" outlineLevel="0" collapsed="false">
      <c r="A340" s="69"/>
      <c r="B340" s="25"/>
      <c r="C340" s="25"/>
      <c r="D340" s="25"/>
      <c r="E340" s="25"/>
      <c r="F340" s="25"/>
      <c r="G340" s="70"/>
      <c r="H340" s="90" t="str">
        <f aca="false">IF(OR(A340="",B340=""),"",COUNTIFS(PT_Date,A340,PT_Equipe,B340,PT_Pres,"P")+0.5*COUNTIFS(PT_Date,A340,PT_Equipe,B340,PT_Pres,"1/2"))</f>
        <v/>
      </c>
      <c r="I340" s="90" t="str">
        <f aca="false">IF(H340="","",H340-N(G340))</f>
        <v/>
      </c>
      <c r="J340" s="25"/>
      <c r="K340" s="74" t="str">
        <f aca="false">IF(OR(A340="",A340&lt;&gt;P_DateRef),"",COUNTIF($A$7:A340,P_DateRef))</f>
        <v/>
      </c>
    </row>
    <row r="341" customFormat="false" ht="15" hidden="false" customHeight="false" outlineLevel="0" collapsed="false">
      <c r="A341" s="69"/>
      <c r="B341" s="25"/>
      <c r="C341" s="25"/>
      <c r="D341" s="25"/>
      <c r="E341" s="25"/>
      <c r="F341" s="25"/>
      <c r="G341" s="70"/>
      <c r="H341" s="90" t="str">
        <f aca="false">IF(OR(A341="",B341=""),"",COUNTIFS(PT_Date,A341,PT_Equipe,B341,PT_Pres,"P")+0.5*COUNTIFS(PT_Date,A341,PT_Equipe,B341,PT_Pres,"1/2"))</f>
        <v/>
      </c>
      <c r="I341" s="90" t="str">
        <f aca="false">IF(H341="","",H341-N(G341))</f>
        <v/>
      </c>
      <c r="J341" s="25"/>
      <c r="K341" s="74" t="str">
        <f aca="false">IF(OR(A341="",A341&lt;&gt;P_DateRef),"",COUNTIF($A$7:A341,P_DateRef))</f>
        <v/>
      </c>
    </row>
    <row r="342" customFormat="false" ht="15" hidden="false" customHeight="false" outlineLevel="0" collapsed="false">
      <c r="A342" s="69"/>
      <c r="B342" s="25"/>
      <c r="C342" s="25"/>
      <c r="D342" s="25"/>
      <c r="E342" s="25"/>
      <c r="F342" s="25"/>
      <c r="G342" s="70"/>
      <c r="H342" s="90" t="str">
        <f aca="false">IF(OR(A342="",B342=""),"",COUNTIFS(PT_Date,A342,PT_Equipe,B342,PT_Pres,"P")+0.5*COUNTIFS(PT_Date,A342,PT_Equipe,B342,PT_Pres,"1/2"))</f>
        <v/>
      </c>
      <c r="I342" s="90" t="str">
        <f aca="false">IF(H342="","",H342-N(G342))</f>
        <v/>
      </c>
      <c r="J342" s="25"/>
      <c r="K342" s="74" t="str">
        <f aca="false">IF(OR(A342="",A342&lt;&gt;P_DateRef),"",COUNTIF($A$7:A342,P_DateRef))</f>
        <v/>
      </c>
    </row>
    <row r="343" customFormat="false" ht="15" hidden="false" customHeight="false" outlineLevel="0" collapsed="false">
      <c r="A343" s="69"/>
      <c r="B343" s="25"/>
      <c r="C343" s="25"/>
      <c r="D343" s="25"/>
      <c r="E343" s="25"/>
      <c r="F343" s="25"/>
      <c r="G343" s="70"/>
      <c r="H343" s="90" t="str">
        <f aca="false">IF(OR(A343="",B343=""),"",COUNTIFS(PT_Date,A343,PT_Equipe,B343,PT_Pres,"P")+0.5*COUNTIFS(PT_Date,A343,PT_Equipe,B343,PT_Pres,"1/2"))</f>
        <v/>
      </c>
      <c r="I343" s="90" t="str">
        <f aca="false">IF(H343="","",H343-N(G343))</f>
        <v/>
      </c>
      <c r="J343" s="25"/>
      <c r="K343" s="74" t="str">
        <f aca="false">IF(OR(A343="",A343&lt;&gt;P_DateRef),"",COUNTIF($A$7:A343,P_DateRef))</f>
        <v/>
      </c>
    </row>
    <row r="344" customFormat="false" ht="15" hidden="false" customHeight="false" outlineLevel="0" collapsed="false">
      <c r="A344" s="69"/>
      <c r="B344" s="25"/>
      <c r="C344" s="25"/>
      <c r="D344" s="25"/>
      <c r="E344" s="25"/>
      <c r="F344" s="25"/>
      <c r="G344" s="70"/>
      <c r="H344" s="90" t="str">
        <f aca="false">IF(OR(A344="",B344=""),"",COUNTIFS(PT_Date,A344,PT_Equipe,B344,PT_Pres,"P")+0.5*COUNTIFS(PT_Date,A344,PT_Equipe,B344,PT_Pres,"1/2"))</f>
        <v/>
      </c>
      <c r="I344" s="90" t="str">
        <f aca="false">IF(H344="","",H344-N(G344))</f>
        <v/>
      </c>
      <c r="J344" s="25"/>
      <c r="K344" s="74" t="str">
        <f aca="false">IF(OR(A344="",A344&lt;&gt;P_DateRef),"",COUNTIF($A$7:A344,P_DateRef))</f>
        <v/>
      </c>
    </row>
    <row r="345" customFormat="false" ht="15" hidden="false" customHeight="false" outlineLevel="0" collapsed="false">
      <c r="A345" s="69"/>
      <c r="B345" s="25"/>
      <c r="C345" s="25"/>
      <c r="D345" s="25"/>
      <c r="E345" s="25"/>
      <c r="F345" s="25"/>
      <c r="G345" s="70"/>
      <c r="H345" s="90" t="str">
        <f aca="false">IF(OR(A345="",B345=""),"",COUNTIFS(PT_Date,A345,PT_Equipe,B345,PT_Pres,"P")+0.5*COUNTIFS(PT_Date,A345,PT_Equipe,B345,PT_Pres,"1/2"))</f>
        <v/>
      </c>
      <c r="I345" s="90" t="str">
        <f aca="false">IF(H345="","",H345-N(G345))</f>
        <v/>
      </c>
      <c r="J345" s="25"/>
      <c r="K345" s="74" t="str">
        <f aca="false">IF(OR(A345="",A345&lt;&gt;P_DateRef),"",COUNTIF($A$7:A345,P_DateRef))</f>
        <v/>
      </c>
    </row>
    <row r="346" customFormat="false" ht="15" hidden="false" customHeight="false" outlineLevel="0" collapsed="false">
      <c r="A346" s="69"/>
      <c r="B346" s="25"/>
      <c r="C346" s="25"/>
      <c r="D346" s="25"/>
      <c r="E346" s="25"/>
      <c r="F346" s="25"/>
      <c r="G346" s="70"/>
      <c r="H346" s="90" t="str">
        <f aca="false">IF(OR(A346="",B346=""),"",COUNTIFS(PT_Date,A346,PT_Equipe,B346,PT_Pres,"P")+0.5*COUNTIFS(PT_Date,A346,PT_Equipe,B346,PT_Pres,"1/2"))</f>
        <v/>
      </c>
      <c r="I346" s="90" t="str">
        <f aca="false">IF(H346="","",H346-N(G346))</f>
        <v/>
      </c>
      <c r="J346" s="25"/>
      <c r="K346" s="74" t="str">
        <f aca="false">IF(OR(A346="",A346&lt;&gt;P_DateRef),"",COUNTIF($A$7:A346,P_DateRef))</f>
        <v/>
      </c>
    </row>
    <row r="347" customFormat="false" ht="15" hidden="false" customHeight="false" outlineLevel="0" collapsed="false">
      <c r="A347" s="69"/>
      <c r="B347" s="25"/>
      <c r="C347" s="25"/>
      <c r="D347" s="25"/>
      <c r="E347" s="25"/>
      <c r="F347" s="25"/>
      <c r="G347" s="70"/>
      <c r="H347" s="90" t="str">
        <f aca="false">IF(OR(A347="",B347=""),"",COUNTIFS(PT_Date,A347,PT_Equipe,B347,PT_Pres,"P")+0.5*COUNTIFS(PT_Date,A347,PT_Equipe,B347,PT_Pres,"1/2"))</f>
        <v/>
      </c>
      <c r="I347" s="90" t="str">
        <f aca="false">IF(H347="","",H347-N(G347))</f>
        <v/>
      </c>
      <c r="J347" s="25"/>
      <c r="K347" s="74" t="str">
        <f aca="false">IF(OR(A347="",A347&lt;&gt;P_DateRef),"",COUNTIF($A$7:A347,P_DateRef))</f>
        <v/>
      </c>
    </row>
    <row r="348" customFormat="false" ht="15" hidden="false" customHeight="false" outlineLevel="0" collapsed="false">
      <c r="A348" s="69"/>
      <c r="B348" s="25"/>
      <c r="C348" s="25"/>
      <c r="D348" s="25"/>
      <c r="E348" s="25"/>
      <c r="F348" s="25"/>
      <c r="G348" s="70"/>
      <c r="H348" s="90" t="str">
        <f aca="false">IF(OR(A348="",B348=""),"",COUNTIFS(PT_Date,A348,PT_Equipe,B348,PT_Pres,"P")+0.5*COUNTIFS(PT_Date,A348,PT_Equipe,B348,PT_Pres,"1/2"))</f>
        <v/>
      </c>
      <c r="I348" s="90" t="str">
        <f aca="false">IF(H348="","",H348-N(G348))</f>
        <v/>
      </c>
      <c r="J348" s="25"/>
      <c r="K348" s="74" t="str">
        <f aca="false">IF(OR(A348="",A348&lt;&gt;P_DateRef),"",COUNTIF($A$7:A348,P_DateRef))</f>
        <v/>
      </c>
    </row>
    <row r="349" customFormat="false" ht="15" hidden="false" customHeight="false" outlineLevel="0" collapsed="false">
      <c r="A349" s="69"/>
      <c r="B349" s="25"/>
      <c r="C349" s="25"/>
      <c r="D349" s="25"/>
      <c r="E349" s="25"/>
      <c r="F349" s="25"/>
      <c r="G349" s="70"/>
      <c r="H349" s="90" t="str">
        <f aca="false">IF(OR(A349="",B349=""),"",COUNTIFS(PT_Date,A349,PT_Equipe,B349,PT_Pres,"P")+0.5*COUNTIFS(PT_Date,A349,PT_Equipe,B349,PT_Pres,"1/2"))</f>
        <v/>
      </c>
      <c r="I349" s="90" t="str">
        <f aca="false">IF(H349="","",H349-N(G349))</f>
        <v/>
      </c>
      <c r="J349" s="25"/>
      <c r="K349" s="74" t="str">
        <f aca="false">IF(OR(A349="",A349&lt;&gt;P_DateRef),"",COUNTIF($A$7:A349,P_DateRef))</f>
        <v/>
      </c>
    </row>
    <row r="350" customFormat="false" ht="15" hidden="false" customHeight="false" outlineLevel="0" collapsed="false">
      <c r="A350" s="69"/>
      <c r="B350" s="25"/>
      <c r="C350" s="25"/>
      <c r="D350" s="25"/>
      <c r="E350" s="25"/>
      <c r="F350" s="25"/>
      <c r="G350" s="70"/>
      <c r="H350" s="90" t="str">
        <f aca="false">IF(OR(A350="",B350=""),"",COUNTIFS(PT_Date,A350,PT_Equipe,B350,PT_Pres,"P")+0.5*COUNTIFS(PT_Date,A350,PT_Equipe,B350,PT_Pres,"1/2"))</f>
        <v/>
      </c>
      <c r="I350" s="90" t="str">
        <f aca="false">IF(H350="","",H350-N(G350))</f>
        <v/>
      </c>
      <c r="J350" s="25"/>
      <c r="K350" s="74" t="str">
        <f aca="false">IF(OR(A350="",A350&lt;&gt;P_DateRef),"",COUNTIF($A$7:A350,P_DateRef))</f>
        <v/>
      </c>
    </row>
    <row r="351" customFormat="false" ht="15" hidden="false" customHeight="false" outlineLevel="0" collapsed="false">
      <c r="A351" s="69"/>
      <c r="B351" s="25"/>
      <c r="C351" s="25"/>
      <c r="D351" s="25"/>
      <c r="E351" s="25"/>
      <c r="F351" s="25"/>
      <c r="G351" s="70"/>
      <c r="H351" s="90" t="str">
        <f aca="false">IF(OR(A351="",B351=""),"",COUNTIFS(PT_Date,A351,PT_Equipe,B351,PT_Pres,"P")+0.5*COUNTIFS(PT_Date,A351,PT_Equipe,B351,PT_Pres,"1/2"))</f>
        <v/>
      </c>
      <c r="I351" s="90" t="str">
        <f aca="false">IF(H351="","",H351-N(G351))</f>
        <v/>
      </c>
      <c r="J351" s="25"/>
      <c r="K351" s="74" t="str">
        <f aca="false">IF(OR(A351="",A351&lt;&gt;P_DateRef),"",COUNTIF($A$7:A351,P_DateRef))</f>
        <v/>
      </c>
    </row>
    <row r="352" customFormat="false" ht="15" hidden="false" customHeight="false" outlineLevel="0" collapsed="false">
      <c r="A352" s="69"/>
      <c r="B352" s="25"/>
      <c r="C352" s="25"/>
      <c r="D352" s="25"/>
      <c r="E352" s="25"/>
      <c r="F352" s="25"/>
      <c r="G352" s="70"/>
      <c r="H352" s="90" t="str">
        <f aca="false">IF(OR(A352="",B352=""),"",COUNTIFS(PT_Date,A352,PT_Equipe,B352,PT_Pres,"P")+0.5*COUNTIFS(PT_Date,A352,PT_Equipe,B352,PT_Pres,"1/2"))</f>
        <v/>
      </c>
      <c r="I352" s="90" t="str">
        <f aca="false">IF(H352="","",H352-N(G352))</f>
        <v/>
      </c>
      <c r="J352" s="25"/>
      <c r="K352" s="74" t="str">
        <f aca="false">IF(OR(A352="",A352&lt;&gt;P_DateRef),"",COUNTIF($A$7:A352,P_DateRef))</f>
        <v/>
      </c>
    </row>
    <row r="353" customFormat="false" ht="15" hidden="false" customHeight="false" outlineLevel="0" collapsed="false">
      <c r="A353" s="69"/>
      <c r="B353" s="25"/>
      <c r="C353" s="25"/>
      <c r="D353" s="25"/>
      <c r="E353" s="25"/>
      <c r="F353" s="25"/>
      <c r="G353" s="70"/>
      <c r="H353" s="90" t="str">
        <f aca="false">IF(OR(A353="",B353=""),"",COUNTIFS(PT_Date,A353,PT_Equipe,B353,PT_Pres,"P")+0.5*COUNTIFS(PT_Date,A353,PT_Equipe,B353,PT_Pres,"1/2"))</f>
        <v/>
      </c>
      <c r="I353" s="90" t="str">
        <f aca="false">IF(H353="","",H353-N(G353))</f>
        <v/>
      </c>
      <c r="J353" s="25"/>
      <c r="K353" s="74" t="str">
        <f aca="false">IF(OR(A353="",A353&lt;&gt;P_DateRef),"",COUNTIF($A$7:A353,P_DateRef))</f>
        <v/>
      </c>
    </row>
    <row r="354" customFormat="false" ht="15" hidden="false" customHeight="false" outlineLevel="0" collapsed="false">
      <c r="A354" s="69"/>
      <c r="B354" s="25"/>
      <c r="C354" s="25"/>
      <c r="D354" s="25"/>
      <c r="E354" s="25"/>
      <c r="F354" s="25"/>
      <c r="G354" s="70"/>
      <c r="H354" s="90" t="str">
        <f aca="false">IF(OR(A354="",B354=""),"",COUNTIFS(PT_Date,A354,PT_Equipe,B354,PT_Pres,"P")+0.5*COUNTIFS(PT_Date,A354,PT_Equipe,B354,PT_Pres,"1/2"))</f>
        <v/>
      </c>
      <c r="I354" s="90" t="str">
        <f aca="false">IF(H354="","",H354-N(G354))</f>
        <v/>
      </c>
      <c r="J354" s="25"/>
      <c r="K354" s="74" t="str">
        <f aca="false">IF(OR(A354="",A354&lt;&gt;P_DateRef),"",COUNTIF($A$7:A354,P_DateRef))</f>
        <v/>
      </c>
    </row>
    <row r="355" customFormat="false" ht="15" hidden="false" customHeight="false" outlineLevel="0" collapsed="false">
      <c r="A355" s="69"/>
      <c r="B355" s="25"/>
      <c r="C355" s="25"/>
      <c r="D355" s="25"/>
      <c r="E355" s="25"/>
      <c r="F355" s="25"/>
      <c r="G355" s="70"/>
      <c r="H355" s="90" t="str">
        <f aca="false">IF(OR(A355="",B355=""),"",COUNTIFS(PT_Date,A355,PT_Equipe,B355,PT_Pres,"P")+0.5*COUNTIFS(PT_Date,A355,PT_Equipe,B355,PT_Pres,"1/2"))</f>
        <v/>
      </c>
      <c r="I355" s="90" t="str">
        <f aca="false">IF(H355="","",H355-N(G355))</f>
        <v/>
      </c>
      <c r="J355" s="25"/>
      <c r="K355" s="74" t="str">
        <f aca="false">IF(OR(A355="",A355&lt;&gt;P_DateRef),"",COUNTIF($A$7:A355,P_DateRef))</f>
        <v/>
      </c>
    </row>
    <row r="356" customFormat="false" ht="15" hidden="false" customHeight="false" outlineLevel="0" collapsed="false">
      <c r="A356" s="69"/>
      <c r="B356" s="25"/>
      <c r="C356" s="25"/>
      <c r="D356" s="25"/>
      <c r="E356" s="25"/>
      <c r="F356" s="25"/>
      <c r="G356" s="70"/>
      <c r="H356" s="90" t="str">
        <f aca="false">IF(OR(A356="",B356=""),"",COUNTIFS(PT_Date,A356,PT_Equipe,B356,PT_Pres,"P")+0.5*COUNTIFS(PT_Date,A356,PT_Equipe,B356,PT_Pres,"1/2"))</f>
        <v/>
      </c>
      <c r="I356" s="90" t="str">
        <f aca="false">IF(H356="","",H356-N(G356))</f>
        <v/>
      </c>
      <c r="J356" s="25"/>
      <c r="K356" s="74" t="str">
        <f aca="false">IF(OR(A356="",A356&lt;&gt;P_DateRef),"",COUNTIF($A$7:A356,P_DateRef))</f>
        <v/>
      </c>
    </row>
    <row r="357" customFormat="false" ht="15" hidden="false" customHeight="false" outlineLevel="0" collapsed="false">
      <c r="A357" s="69"/>
      <c r="B357" s="25"/>
      <c r="C357" s="25"/>
      <c r="D357" s="25"/>
      <c r="E357" s="25"/>
      <c r="F357" s="25"/>
      <c r="G357" s="70"/>
      <c r="H357" s="90" t="str">
        <f aca="false">IF(OR(A357="",B357=""),"",COUNTIFS(PT_Date,A357,PT_Equipe,B357,PT_Pres,"P")+0.5*COUNTIFS(PT_Date,A357,PT_Equipe,B357,PT_Pres,"1/2"))</f>
        <v/>
      </c>
      <c r="I357" s="90" t="str">
        <f aca="false">IF(H357="","",H357-N(G357))</f>
        <v/>
      </c>
      <c r="J357" s="25"/>
      <c r="K357" s="74" t="str">
        <f aca="false">IF(OR(A357="",A357&lt;&gt;P_DateRef),"",COUNTIF($A$7:A357,P_DateRef))</f>
        <v/>
      </c>
    </row>
    <row r="358" customFormat="false" ht="15" hidden="false" customHeight="false" outlineLevel="0" collapsed="false">
      <c r="A358" s="69"/>
      <c r="B358" s="25"/>
      <c r="C358" s="25"/>
      <c r="D358" s="25"/>
      <c r="E358" s="25"/>
      <c r="F358" s="25"/>
      <c r="G358" s="70"/>
      <c r="H358" s="90" t="str">
        <f aca="false">IF(OR(A358="",B358=""),"",COUNTIFS(PT_Date,A358,PT_Equipe,B358,PT_Pres,"P")+0.5*COUNTIFS(PT_Date,A358,PT_Equipe,B358,PT_Pres,"1/2"))</f>
        <v/>
      </c>
      <c r="I358" s="90" t="str">
        <f aca="false">IF(H358="","",H358-N(G358))</f>
        <v/>
      </c>
      <c r="J358" s="25"/>
      <c r="K358" s="74" t="str">
        <f aca="false">IF(OR(A358="",A358&lt;&gt;P_DateRef),"",COUNTIF($A$7:A358,P_DateRef))</f>
        <v/>
      </c>
    </row>
    <row r="359" customFormat="false" ht="15" hidden="false" customHeight="false" outlineLevel="0" collapsed="false">
      <c r="A359" s="69"/>
      <c r="B359" s="25"/>
      <c r="C359" s="25"/>
      <c r="D359" s="25"/>
      <c r="E359" s="25"/>
      <c r="F359" s="25"/>
      <c r="G359" s="70"/>
      <c r="H359" s="90" t="str">
        <f aca="false">IF(OR(A359="",B359=""),"",COUNTIFS(PT_Date,A359,PT_Equipe,B359,PT_Pres,"P")+0.5*COUNTIFS(PT_Date,A359,PT_Equipe,B359,PT_Pres,"1/2"))</f>
        <v/>
      </c>
      <c r="I359" s="90" t="str">
        <f aca="false">IF(H359="","",H359-N(G359))</f>
        <v/>
      </c>
      <c r="J359" s="25"/>
      <c r="K359" s="74" t="str">
        <f aca="false">IF(OR(A359="",A359&lt;&gt;P_DateRef),"",COUNTIF($A$7:A359,P_DateRef))</f>
        <v/>
      </c>
    </row>
    <row r="360" customFormat="false" ht="15" hidden="false" customHeight="false" outlineLevel="0" collapsed="false">
      <c r="A360" s="69"/>
      <c r="B360" s="25"/>
      <c r="C360" s="25"/>
      <c r="D360" s="25"/>
      <c r="E360" s="25"/>
      <c r="F360" s="25"/>
      <c r="G360" s="70"/>
      <c r="H360" s="90" t="str">
        <f aca="false">IF(OR(A360="",B360=""),"",COUNTIFS(PT_Date,A360,PT_Equipe,B360,PT_Pres,"P")+0.5*COUNTIFS(PT_Date,A360,PT_Equipe,B360,PT_Pres,"1/2"))</f>
        <v/>
      </c>
      <c r="I360" s="90" t="str">
        <f aca="false">IF(H360="","",H360-N(G360))</f>
        <v/>
      </c>
      <c r="J360" s="25"/>
      <c r="K360" s="74" t="str">
        <f aca="false">IF(OR(A360="",A360&lt;&gt;P_DateRef),"",COUNTIF($A$7:A360,P_DateRef))</f>
        <v/>
      </c>
    </row>
    <row r="361" customFormat="false" ht="15" hidden="false" customHeight="false" outlineLevel="0" collapsed="false">
      <c r="A361" s="69"/>
      <c r="B361" s="25"/>
      <c r="C361" s="25"/>
      <c r="D361" s="25"/>
      <c r="E361" s="25"/>
      <c r="F361" s="25"/>
      <c r="G361" s="70"/>
      <c r="H361" s="90" t="str">
        <f aca="false">IF(OR(A361="",B361=""),"",COUNTIFS(PT_Date,A361,PT_Equipe,B361,PT_Pres,"P")+0.5*COUNTIFS(PT_Date,A361,PT_Equipe,B361,PT_Pres,"1/2"))</f>
        <v/>
      </c>
      <c r="I361" s="90" t="str">
        <f aca="false">IF(H361="","",H361-N(G361))</f>
        <v/>
      </c>
      <c r="J361" s="25"/>
      <c r="K361" s="74" t="str">
        <f aca="false">IF(OR(A361="",A361&lt;&gt;P_DateRef),"",COUNTIF($A$7:A361,P_DateRef))</f>
        <v/>
      </c>
    </row>
    <row r="362" customFormat="false" ht="15" hidden="false" customHeight="false" outlineLevel="0" collapsed="false">
      <c r="A362" s="69"/>
      <c r="B362" s="25"/>
      <c r="C362" s="25"/>
      <c r="D362" s="25"/>
      <c r="E362" s="25"/>
      <c r="F362" s="25"/>
      <c r="G362" s="70"/>
      <c r="H362" s="90" t="str">
        <f aca="false">IF(OR(A362="",B362=""),"",COUNTIFS(PT_Date,A362,PT_Equipe,B362,PT_Pres,"P")+0.5*COUNTIFS(PT_Date,A362,PT_Equipe,B362,PT_Pres,"1/2"))</f>
        <v/>
      </c>
      <c r="I362" s="90" t="str">
        <f aca="false">IF(H362="","",H362-N(G362))</f>
        <v/>
      </c>
      <c r="J362" s="25"/>
      <c r="K362" s="74" t="str">
        <f aca="false">IF(OR(A362="",A362&lt;&gt;P_DateRef),"",COUNTIF($A$7:A362,P_DateRef))</f>
        <v/>
      </c>
    </row>
    <row r="363" customFormat="false" ht="15" hidden="false" customHeight="false" outlineLevel="0" collapsed="false">
      <c r="A363" s="69"/>
      <c r="B363" s="25"/>
      <c r="C363" s="25"/>
      <c r="D363" s="25"/>
      <c r="E363" s="25"/>
      <c r="F363" s="25"/>
      <c r="G363" s="70"/>
      <c r="H363" s="90" t="str">
        <f aca="false">IF(OR(A363="",B363=""),"",COUNTIFS(PT_Date,A363,PT_Equipe,B363,PT_Pres,"P")+0.5*COUNTIFS(PT_Date,A363,PT_Equipe,B363,PT_Pres,"1/2"))</f>
        <v/>
      </c>
      <c r="I363" s="90" t="str">
        <f aca="false">IF(H363="","",H363-N(G363))</f>
        <v/>
      </c>
      <c r="J363" s="25"/>
      <c r="K363" s="74" t="str">
        <f aca="false">IF(OR(A363="",A363&lt;&gt;P_DateRef),"",COUNTIF($A$7:A363,P_DateRef))</f>
        <v/>
      </c>
    </row>
    <row r="364" customFormat="false" ht="15" hidden="false" customHeight="false" outlineLevel="0" collapsed="false">
      <c r="A364" s="69"/>
      <c r="B364" s="25"/>
      <c r="C364" s="25"/>
      <c r="D364" s="25"/>
      <c r="E364" s="25"/>
      <c r="F364" s="25"/>
      <c r="G364" s="70"/>
      <c r="H364" s="90" t="str">
        <f aca="false">IF(OR(A364="",B364=""),"",COUNTIFS(PT_Date,A364,PT_Equipe,B364,PT_Pres,"P")+0.5*COUNTIFS(PT_Date,A364,PT_Equipe,B364,PT_Pres,"1/2"))</f>
        <v/>
      </c>
      <c r="I364" s="90" t="str">
        <f aca="false">IF(H364="","",H364-N(G364))</f>
        <v/>
      </c>
      <c r="J364" s="25"/>
      <c r="K364" s="74" t="str">
        <f aca="false">IF(OR(A364="",A364&lt;&gt;P_DateRef),"",COUNTIF($A$7:A364,P_DateRef))</f>
        <v/>
      </c>
    </row>
    <row r="365" customFormat="false" ht="15" hidden="false" customHeight="false" outlineLevel="0" collapsed="false">
      <c r="A365" s="69"/>
      <c r="B365" s="25"/>
      <c r="C365" s="25"/>
      <c r="D365" s="25"/>
      <c r="E365" s="25"/>
      <c r="F365" s="25"/>
      <c r="G365" s="70"/>
      <c r="H365" s="90" t="str">
        <f aca="false">IF(OR(A365="",B365=""),"",COUNTIFS(PT_Date,A365,PT_Equipe,B365,PT_Pres,"P")+0.5*COUNTIFS(PT_Date,A365,PT_Equipe,B365,PT_Pres,"1/2"))</f>
        <v/>
      </c>
      <c r="I365" s="90" t="str">
        <f aca="false">IF(H365="","",H365-N(G365))</f>
        <v/>
      </c>
      <c r="J365" s="25"/>
      <c r="K365" s="74" t="str">
        <f aca="false">IF(OR(A365="",A365&lt;&gt;P_DateRef),"",COUNTIF($A$7:A365,P_DateRef))</f>
        <v/>
      </c>
    </row>
    <row r="366" customFormat="false" ht="15" hidden="false" customHeight="false" outlineLevel="0" collapsed="false">
      <c r="A366" s="69"/>
      <c r="B366" s="25"/>
      <c r="C366" s="25"/>
      <c r="D366" s="25"/>
      <c r="E366" s="25"/>
      <c r="F366" s="25"/>
      <c r="G366" s="70"/>
      <c r="H366" s="90" t="str">
        <f aca="false">IF(OR(A366="",B366=""),"",COUNTIFS(PT_Date,A366,PT_Equipe,B366,PT_Pres,"P")+0.5*COUNTIFS(PT_Date,A366,PT_Equipe,B366,PT_Pres,"1/2"))</f>
        <v/>
      </c>
      <c r="I366" s="90" t="str">
        <f aca="false">IF(H366="","",H366-N(G366))</f>
        <v/>
      </c>
      <c r="J366" s="25"/>
      <c r="K366" s="74" t="str">
        <f aca="false">IF(OR(A366="",A366&lt;&gt;P_DateRef),"",COUNTIF($A$7:A366,P_DateRef))</f>
        <v/>
      </c>
    </row>
    <row r="367" customFormat="false" ht="15" hidden="false" customHeight="false" outlineLevel="0" collapsed="false">
      <c r="A367" s="69"/>
      <c r="B367" s="25"/>
      <c r="C367" s="25"/>
      <c r="D367" s="25"/>
      <c r="E367" s="25"/>
      <c r="F367" s="25"/>
      <c r="G367" s="70"/>
      <c r="H367" s="90" t="str">
        <f aca="false">IF(OR(A367="",B367=""),"",COUNTIFS(PT_Date,A367,PT_Equipe,B367,PT_Pres,"P")+0.5*COUNTIFS(PT_Date,A367,PT_Equipe,B367,PT_Pres,"1/2"))</f>
        <v/>
      </c>
      <c r="I367" s="90" t="str">
        <f aca="false">IF(H367="","",H367-N(G367))</f>
        <v/>
      </c>
      <c r="J367" s="25"/>
      <c r="K367" s="74" t="str">
        <f aca="false">IF(OR(A367="",A367&lt;&gt;P_DateRef),"",COUNTIF($A$7:A367,P_DateRef))</f>
        <v/>
      </c>
    </row>
    <row r="368" customFormat="false" ht="15" hidden="false" customHeight="false" outlineLevel="0" collapsed="false">
      <c r="A368" s="69"/>
      <c r="B368" s="25"/>
      <c r="C368" s="25"/>
      <c r="D368" s="25"/>
      <c r="E368" s="25"/>
      <c r="F368" s="25"/>
      <c r="G368" s="70"/>
      <c r="H368" s="90" t="str">
        <f aca="false">IF(OR(A368="",B368=""),"",COUNTIFS(PT_Date,A368,PT_Equipe,B368,PT_Pres,"P")+0.5*COUNTIFS(PT_Date,A368,PT_Equipe,B368,PT_Pres,"1/2"))</f>
        <v/>
      </c>
      <c r="I368" s="90" t="str">
        <f aca="false">IF(H368="","",H368-N(G368))</f>
        <v/>
      </c>
      <c r="J368" s="25"/>
      <c r="K368" s="74" t="str">
        <f aca="false">IF(OR(A368="",A368&lt;&gt;P_DateRef),"",COUNTIF($A$7:A368,P_DateRef))</f>
        <v/>
      </c>
    </row>
    <row r="369" customFormat="false" ht="15" hidden="false" customHeight="false" outlineLevel="0" collapsed="false">
      <c r="A369" s="69"/>
      <c r="B369" s="25"/>
      <c r="C369" s="25"/>
      <c r="D369" s="25"/>
      <c r="E369" s="25"/>
      <c r="F369" s="25"/>
      <c r="G369" s="70"/>
      <c r="H369" s="90" t="str">
        <f aca="false">IF(OR(A369="",B369=""),"",COUNTIFS(PT_Date,A369,PT_Equipe,B369,PT_Pres,"P")+0.5*COUNTIFS(PT_Date,A369,PT_Equipe,B369,PT_Pres,"1/2"))</f>
        <v/>
      </c>
      <c r="I369" s="90" t="str">
        <f aca="false">IF(H369="","",H369-N(G369))</f>
        <v/>
      </c>
      <c r="J369" s="25"/>
      <c r="K369" s="74" t="str">
        <f aca="false">IF(OR(A369="",A369&lt;&gt;P_DateRef),"",COUNTIF($A$7:A369,P_DateRef))</f>
        <v/>
      </c>
    </row>
    <row r="370" customFormat="false" ht="15" hidden="false" customHeight="false" outlineLevel="0" collapsed="false">
      <c r="A370" s="69"/>
      <c r="B370" s="25"/>
      <c r="C370" s="25"/>
      <c r="D370" s="25"/>
      <c r="E370" s="25"/>
      <c r="F370" s="25"/>
      <c r="G370" s="70"/>
      <c r="H370" s="90" t="str">
        <f aca="false">IF(OR(A370="",B370=""),"",COUNTIFS(PT_Date,A370,PT_Equipe,B370,PT_Pres,"P")+0.5*COUNTIFS(PT_Date,A370,PT_Equipe,B370,PT_Pres,"1/2"))</f>
        <v/>
      </c>
      <c r="I370" s="90" t="str">
        <f aca="false">IF(H370="","",H370-N(G370))</f>
        <v/>
      </c>
      <c r="J370" s="25"/>
      <c r="K370" s="74" t="str">
        <f aca="false">IF(OR(A370="",A370&lt;&gt;P_DateRef),"",COUNTIF($A$7:A370,P_DateRef))</f>
        <v/>
      </c>
    </row>
    <row r="371" customFormat="false" ht="15" hidden="false" customHeight="false" outlineLevel="0" collapsed="false">
      <c r="A371" s="69"/>
      <c r="B371" s="25"/>
      <c r="C371" s="25"/>
      <c r="D371" s="25"/>
      <c r="E371" s="25"/>
      <c r="F371" s="25"/>
      <c r="G371" s="70"/>
      <c r="H371" s="90" t="str">
        <f aca="false">IF(OR(A371="",B371=""),"",COUNTIFS(PT_Date,A371,PT_Equipe,B371,PT_Pres,"P")+0.5*COUNTIFS(PT_Date,A371,PT_Equipe,B371,PT_Pres,"1/2"))</f>
        <v/>
      </c>
      <c r="I371" s="90" t="str">
        <f aca="false">IF(H371="","",H371-N(G371))</f>
        <v/>
      </c>
      <c r="J371" s="25"/>
      <c r="K371" s="74" t="str">
        <f aca="false">IF(OR(A371="",A371&lt;&gt;P_DateRef),"",COUNTIF($A$7:A371,P_DateRef))</f>
        <v/>
      </c>
    </row>
    <row r="372" customFormat="false" ht="15" hidden="false" customHeight="false" outlineLevel="0" collapsed="false">
      <c r="A372" s="69"/>
      <c r="B372" s="25"/>
      <c r="C372" s="25"/>
      <c r="D372" s="25"/>
      <c r="E372" s="25"/>
      <c r="F372" s="25"/>
      <c r="G372" s="70"/>
      <c r="H372" s="90" t="str">
        <f aca="false">IF(OR(A372="",B372=""),"",COUNTIFS(PT_Date,A372,PT_Equipe,B372,PT_Pres,"P")+0.5*COUNTIFS(PT_Date,A372,PT_Equipe,B372,PT_Pres,"1/2"))</f>
        <v/>
      </c>
      <c r="I372" s="90" t="str">
        <f aca="false">IF(H372="","",H372-N(G372))</f>
        <v/>
      </c>
      <c r="J372" s="25"/>
      <c r="K372" s="74" t="str">
        <f aca="false">IF(OR(A372="",A372&lt;&gt;P_DateRef),"",COUNTIF($A$7:A372,P_DateRef))</f>
        <v/>
      </c>
    </row>
    <row r="373" customFormat="false" ht="15" hidden="false" customHeight="false" outlineLevel="0" collapsed="false">
      <c r="A373" s="69"/>
      <c r="B373" s="25"/>
      <c r="C373" s="25"/>
      <c r="D373" s="25"/>
      <c r="E373" s="25"/>
      <c r="F373" s="25"/>
      <c r="G373" s="70"/>
      <c r="H373" s="90" t="str">
        <f aca="false">IF(OR(A373="",B373=""),"",COUNTIFS(PT_Date,A373,PT_Equipe,B373,PT_Pres,"P")+0.5*COUNTIFS(PT_Date,A373,PT_Equipe,B373,PT_Pres,"1/2"))</f>
        <v/>
      </c>
      <c r="I373" s="90" t="str">
        <f aca="false">IF(H373="","",H373-N(G373))</f>
        <v/>
      </c>
      <c r="J373" s="25"/>
      <c r="K373" s="74" t="str">
        <f aca="false">IF(OR(A373="",A373&lt;&gt;P_DateRef),"",COUNTIF($A$7:A373,P_DateRef))</f>
        <v/>
      </c>
    </row>
    <row r="374" customFormat="false" ht="15" hidden="false" customHeight="false" outlineLevel="0" collapsed="false">
      <c r="A374" s="69"/>
      <c r="B374" s="25"/>
      <c r="C374" s="25"/>
      <c r="D374" s="25"/>
      <c r="E374" s="25"/>
      <c r="F374" s="25"/>
      <c r="G374" s="70"/>
      <c r="H374" s="90" t="str">
        <f aca="false">IF(OR(A374="",B374=""),"",COUNTIFS(PT_Date,A374,PT_Equipe,B374,PT_Pres,"P")+0.5*COUNTIFS(PT_Date,A374,PT_Equipe,B374,PT_Pres,"1/2"))</f>
        <v/>
      </c>
      <c r="I374" s="90" t="str">
        <f aca="false">IF(H374="","",H374-N(G374))</f>
        <v/>
      </c>
      <c r="J374" s="25"/>
      <c r="K374" s="74" t="str">
        <f aca="false">IF(OR(A374="",A374&lt;&gt;P_DateRef),"",COUNTIF($A$7:A374,P_DateRef))</f>
        <v/>
      </c>
    </row>
    <row r="375" customFormat="false" ht="15" hidden="false" customHeight="false" outlineLevel="0" collapsed="false">
      <c r="A375" s="69"/>
      <c r="B375" s="25"/>
      <c r="C375" s="25"/>
      <c r="D375" s="25"/>
      <c r="E375" s="25"/>
      <c r="F375" s="25"/>
      <c r="G375" s="70"/>
      <c r="H375" s="90" t="str">
        <f aca="false">IF(OR(A375="",B375=""),"",COUNTIFS(PT_Date,A375,PT_Equipe,B375,PT_Pres,"P")+0.5*COUNTIFS(PT_Date,A375,PT_Equipe,B375,PT_Pres,"1/2"))</f>
        <v/>
      </c>
      <c r="I375" s="90" t="str">
        <f aca="false">IF(H375="","",H375-N(G375))</f>
        <v/>
      </c>
      <c r="J375" s="25"/>
      <c r="K375" s="74" t="str">
        <f aca="false">IF(OR(A375="",A375&lt;&gt;P_DateRef),"",COUNTIF($A$7:A375,P_DateRef))</f>
        <v/>
      </c>
    </row>
    <row r="376" customFormat="false" ht="15" hidden="false" customHeight="false" outlineLevel="0" collapsed="false">
      <c r="A376" s="69"/>
      <c r="B376" s="25"/>
      <c r="C376" s="25"/>
      <c r="D376" s="25"/>
      <c r="E376" s="25"/>
      <c r="F376" s="25"/>
      <c r="G376" s="70"/>
      <c r="H376" s="90" t="str">
        <f aca="false">IF(OR(A376="",B376=""),"",COUNTIFS(PT_Date,A376,PT_Equipe,B376,PT_Pres,"P")+0.5*COUNTIFS(PT_Date,A376,PT_Equipe,B376,PT_Pres,"1/2"))</f>
        <v/>
      </c>
      <c r="I376" s="90" t="str">
        <f aca="false">IF(H376="","",H376-N(G376))</f>
        <v/>
      </c>
      <c r="J376" s="25"/>
      <c r="K376" s="74" t="str">
        <f aca="false">IF(OR(A376="",A376&lt;&gt;P_DateRef),"",COUNTIF($A$7:A376,P_DateRef))</f>
        <v/>
      </c>
    </row>
    <row r="377" customFormat="false" ht="15" hidden="false" customHeight="false" outlineLevel="0" collapsed="false">
      <c r="A377" s="69"/>
      <c r="B377" s="25"/>
      <c r="C377" s="25"/>
      <c r="D377" s="25"/>
      <c r="E377" s="25"/>
      <c r="F377" s="25"/>
      <c r="G377" s="70"/>
      <c r="H377" s="90" t="str">
        <f aca="false">IF(OR(A377="",B377=""),"",COUNTIFS(PT_Date,A377,PT_Equipe,B377,PT_Pres,"P")+0.5*COUNTIFS(PT_Date,A377,PT_Equipe,B377,PT_Pres,"1/2"))</f>
        <v/>
      </c>
      <c r="I377" s="90" t="str">
        <f aca="false">IF(H377="","",H377-N(G377))</f>
        <v/>
      </c>
      <c r="J377" s="25"/>
      <c r="K377" s="74" t="str">
        <f aca="false">IF(OR(A377="",A377&lt;&gt;P_DateRef),"",COUNTIF($A$7:A377,P_DateRef))</f>
        <v/>
      </c>
    </row>
    <row r="378" customFormat="false" ht="15" hidden="false" customHeight="false" outlineLevel="0" collapsed="false">
      <c r="A378" s="69"/>
      <c r="B378" s="25"/>
      <c r="C378" s="25"/>
      <c r="D378" s="25"/>
      <c r="E378" s="25"/>
      <c r="F378" s="25"/>
      <c r="G378" s="70"/>
      <c r="H378" s="90" t="str">
        <f aca="false">IF(OR(A378="",B378=""),"",COUNTIFS(PT_Date,A378,PT_Equipe,B378,PT_Pres,"P")+0.5*COUNTIFS(PT_Date,A378,PT_Equipe,B378,PT_Pres,"1/2"))</f>
        <v/>
      </c>
      <c r="I378" s="90" t="str">
        <f aca="false">IF(H378="","",H378-N(G378))</f>
        <v/>
      </c>
      <c r="J378" s="25"/>
      <c r="K378" s="74" t="str">
        <f aca="false">IF(OR(A378="",A378&lt;&gt;P_DateRef),"",COUNTIF($A$7:A378,P_DateRef))</f>
        <v/>
      </c>
    </row>
    <row r="379" customFormat="false" ht="15" hidden="false" customHeight="false" outlineLevel="0" collapsed="false">
      <c r="A379" s="69"/>
      <c r="B379" s="25"/>
      <c r="C379" s="25"/>
      <c r="D379" s="25"/>
      <c r="E379" s="25"/>
      <c r="F379" s="25"/>
      <c r="G379" s="70"/>
      <c r="H379" s="90" t="str">
        <f aca="false">IF(OR(A379="",B379=""),"",COUNTIFS(PT_Date,A379,PT_Equipe,B379,PT_Pres,"P")+0.5*COUNTIFS(PT_Date,A379,PT_Equipe,B379,PT_Pres,"1/2"))</f>
        <v/>
      </c>
      <c r="I379" s="90" t="str">
        <f aca="false">IF(H379="","",H379-N(G379))</f>
        <v/>
      </c>
      <c r="J379" s="25"/>
      <c r="K379" s="74" t="str">
        <f aca="false">IF(OR(A379="",A379&lt;&gt;P_DateRef),"",COUNTIF($A$7:A379,P_DateRef))</f>
        <v/>
      </c>
    </row>
    <row r="380" customFormat="false" ht="15" hidden="false" customHeight="false" outlineLevel="0" collapsed="false">
      <c r="A380" s="69"/>
      <c r="B380" s="25"/>
      <c r="C380" s="25"/>
      <c r="D380" s="25"/>
      <c r="E380" s="25"/>
      <c r="F380" s="25"/>
      <c r="G380" s="70"/>
      <c r="H380" s="90" t="str">
        <f aca="false">IF(OR(A380="",B380=""),"",COUNTIFS(PT_Date,A380,PT_Equipe,B380,PT_Pres,"P")+0.5*COUNTIFS(PT_Date,A380,PT_Equipe,B380,PT_Pres,"1/2"))</f>
        <v/>
      </c>
      <c r="I380" s="90" t="str">
        <f aca="false">IF(H380="","",H380-N(G380))</f>
        <v/>
      </c>
      <c r="J380" s="25"/>
      <c r="K380" s="74" t="str">
        <f aca="false">IF(OR(A380="",A380&lt;&gt;P_DateRef),"",COUNTIF($A$7:A380,P_DateRef))</f>
        <v/>
      </c>
    </row>
    <row r="381" customFormat="false" ht="15" hidden="false" customHeight="false" outlineLevel="0" collapsed="false">
      <c r="A381" s="69"/>
      <c r="B381" s="25"/>
      <c r="C381" s="25"/>
      <c r="D381" s="25"/>
      <c r="E381" s="25"/>
      <c r="F381" s="25"/>
      <c r="G381" s="70"/>
      <c r="H381" s="90" t="str">
        <f aca="false">IF(OR(A381="",B381=""),"",COUNTIFS(PT_Date,A381,PT_Equipe,B381,PT_Pres,"P")+0.5*COUNTIFS(PT_Date,A381,PT_Equipe,B381,PT_Pres,"1/2"))</f>
        <v/>
      </c>
      <c r="I381" s="90" t="str">
        <f aca="false">IF(H381="","",H381-N(G381))</f>
        <v/>
      </c>
      <c r="J381" s="25"/>
      <c r="K381" s="74" t="str">
        <f aca="false">IF(OR(A381="",A381&lt;&gt;P_DateRef),"",COUNTIF($A$7:A381,P_DateRef))</f>
        <v/>
      </c>
    </row>
    <row r="382" customFormat="false" ht="15" hidden="false" customHeight="false" outlineLevel="0" collapsed="false">
      <c r="A382" s="69"/>
      <c r="B382" s="25"/>
      <c r="C382" s="25"/>
      <c r="D382" s="25"/>
      <c r="E382" s="25"/>
      <c r="F382" s="25"/>
      <c r="G382" s="70"/>
      <c r="H382" s="90" t="str">
        <f aca="false">IF(OR(A382="",B382=""),"",COUNTIFS(PT_Date,A382,PT_Equipe,B382,PT_Pres,"P")+0.5*COUNTIFS(PT_Date,A382,PT_Equipe,B382,PT_Pres,"1/2"))</f>
        <v/>
      </c>
      <c r="I382" s="90" t="str">
        <f aca="false">IF(H382="","",H382-N(G382))</f>
        <v/>
      </c>
      <c r="J382" s="25"/>
      <c r="K382" s="74" t="str">
        <f aca="false">IF(OR(A382="",A382&lt;&gt;P_DateRef),"",COUNTIF($A$7:A382,P_DateRef))</f>
        <v/>
      </c>
    </row>
    <row r="383" customFormat="false" ht="15" hidden="false" customHeight="false" outlineLevel="0" collapsed="false">
      <c r="A383" s="69"/>
      <c r="B383" s="25"/>
      <c r="C383" s="25"/>
      <c r="D383" s="25"/>
      <c r="E383" s="25"/>
      <c r="F383" s="25"/>
      <c r="G383" s="70"/>
      <c r="H383" s="90" t="str">
        <f aca="false">IF(OR(A383="",B383=""),"",COUNTIFS(PT_Date,A383,PT_Equipe,B383,PT_Pres,"P")+0.5*COUNTIFS(PT_Date,A383,PT_Equipe,B383,PT_Pres,"1/2"))</f>
        <v/>
      </c>
      <c r="I383" s="90" t="str">
        <f aca="false">IF(H383="","",H383-N(G383))</f>
        <v/>
      </c>
      <c r="J383" s="25"/>
      <c r="K383" s="74" t="str">
        <f aca="false">IF(OR(A383="",A383&lt;&gt;P_DateRef),"",COUNTIF($A$7:A383,P_DateRef))</f>
        <v/>
      </c>
    </row>
    <row r="384" customFormat="false" ht="15" hidden="false" customHeight="false" outlineLevel="0" collapsed="false">
      <c r="A384" s="69"/>
      <c r="B384" s="25"/>
      <c r="C384" s="25"/>
      <c r="D384" s="25"/>
      <c r="E384" s="25"/>
      <c r="F384" s="25"/>
      <c r="G384" s="70"/>
      <c r="H384" s="90" t="str">
        <f aca="false">IF(OR(A384="",B384=""),"",COUNTIFS(PT_Date,A384,PT_Equipe,B384,PT_Pres,"P")+0.5*COUNTIFS(PT_Date,A384,PT_Equipe,B384,PT_Pres,"1/2"))</f>
        <v/>
      </c>
      <c r="I384" s="90" t="str">
        <f aca="false">IF(H384="","",H384-N(G384))</f>
        <v/>
      </c>
      <c r="J384" s="25"/>
      <c r="K384" s="74" t="str">
        <f aca="false">IF(OR(A384="",A384&lt;&gt;P_DateRef),"",COUNTIF($A$7:A384,P_DateRef))</f>
        <v/>
      </c>
    </row>
    <row r="385" customFormat="false" ht="15" hidden="false" customHeight="false" outlineLevel="0" collapsed="false">
      <c r="A385" s="69"/>
      <c r="B385" s="25"/>
      <c r="C385" s="25"/>
      <c r="D385" s="25"/>
      <c r="E385" s="25"/>
      <c r="F385" s="25"/>
      <c r="G385" s="70"/>
      <c r="H385" s="90" t="str">
        <f aca="false">IF(OR(A385="",B385=""),"",COUNTIFS(PT_Date,A385,PT_Equipe,B385,PT_Pres,"P")+0.5*COUNTIFS(PT_Date,A385,PT_Equipe,B385,PT_Pres,"1/2"))</f>
        <v/>
      </c>
      <c r="I385" s="90" t="str">
        <f aca="false">IF(H385="","",H385-N(G385))</f>
        <v/>
      </c>
      <c r="J385" s="25"/>
      <c r="K385" s="74" t="str">
        <f aca="false">IF(OR(A385="",A385&lt;&gt;P_DateRef),"",COUNTIF($A$7:A385,P_DateRef))</f>
        <v/>
      </c>
    </row>
    <row r="386" customFormat="false" ht="15" hidden="false" customHeight="false" outlineLevel="0" collapsed="false">
      <c r="A386" s="69"/>
      <c r="B386" s="25"/>
      <c r="C386" s="25"/>
      <c r="D386" s="25"/>
      <c r="E386" s="25"/>
      <c r="F386" s="25"/>
      <c r="G386" s="70"/>
      <c r="H386" s="90" t="str">
        <f aca="false">IF(OR(A386="",B386=""),"",COUNTIFS(PT_Date,A386,PT_Equipe,B386,PT_Pres,"P")+0.5*COUNTIFS(PT_Date,A386,PT_Equipe,B386,PT_Pres,"1/2"))</f>
        <v/>
      </c>
      <c r="I386" s="90" t="str">
        <f aca="false">IF(H386="","",H386-N(G386))</f>
        <v/>
      </c>
      <c r="J386" s="25"/>
      <c r="K386" s="74" t="str">
        <f aca="false">IF(OR(A386="",A386&lt;&gt;P_DateRef),"",COUNTIF($A$7:A386,P_DateRef))</f>
        <v/>
      </c>
    </row>
    <row r="387" customFormat="false" ht="15" hidden="false" customHeight="false" outlineLevel="0" collapsed="false">
      <c r="A387" s="69"/>
      <c r="B387" s="25"/>
      <c r="C387" s="25"/>
      <c r="D387" s="25"/>
      <c r="E387" s="25"/>
      <c r="F387" s="25"/>
      <c r="G387" s="70"/>
      <c r="H387" s="90" t="str">
        <f aca="false">IF(OR(A387="",B387=""),"",COUNTIFS(PT_Date,A387,PT_Equipe,B387,PT_Pres,"P")+0.5*COUNTIFS(PT_Date,A387,PT_Equipe,B387,PT_Pres,"1/2"))</f>
        <v/>
      </c>
      <c r="I387" s="90" t="str">
        <f aca="false">IF(H387="","",H387-N(G387))</f>
        <v/>
      </c>
      <c r="J387" s="25"/>
      <c r="K387" s="74" t="str">
        <f aca="false">IF(OR(A387="",A387&lt;&gt;P_DateRef),"",COUNTIF($A$7:A387,P_DateRef))</f>
        <v/>
      </c>
    </row>
    <row r="388" customFormat="false" ht="15" hidden="false" customHeight="false" outlineLevel="0" collapsed="false">
      <c r="A388" s="69"/>
      <c r="B388" s="25"/>
      <c r="C388" s="25"/>
      <c r="D388" s="25"/>
      <c r="E388" s="25"/>
      <c r="F388" s="25"/>
      <c r="G388" s="70"/>
      <c r="H388" s="90" t="str">
        <f aca="false">IF(OR(A388="",B388=""),"",COUNTIFS(PT_Date,A388,PT_Equipe,B388,PT_Pres,"P")+0.5*COUNTIFS(PT_Date,A388,PT_Equipe,B388,PT_Pres,"1/2"))</f>
        <v/>
      </c>
      <c r="I388" s="90" t="str">
        <f aca="false">IF(H388="","",H388-N(G388))</f>
        <v/>
      </c>
      <c r="J388" s="25"/>
      <c r="K388" s="74" t="str">
        <f aca="false">IF(OR(A388="",A388&lt;&gt;P_DateRef),"",COUNTIF($A$7:A388,P_DateRef))</f>
        <v/>
      </c>
    </row>
    <row r="389" customFormat="false" ht="15" hidden="false" customHeight="false" outlineLevel="0" collapsed="false">
      <c r="A389" s="69"/>
      <c r="B389" s="25"/>
      <c r="C389" s="25"/>
      <c r="D389" s="25"/>
      <c r="E389" s="25"/>
      <c r="F389" s="25"/>
      <c r="G389" s="70"/>
      <c r="H389" s="90" t="str">
        <f aca="false">IF(OR(A389="",B389=""),"",COUNTIFS(PT_Date,A389,PT_Equipe,B389,PT_Pres,"P")+0.5*COUNTIFS(PT_Date,A389,PT_Equipe,B389,PT_Pres,"1/2"))</f>
        <v/>
      </c>
      <c r="I389" s="90" t="str">
        <f aca="false">IF(H389="","",H389-N(G389))</f>
        <v/>
      </c>
      <c r="J389" s="25"/>
      <c r="K389" s="74" t="str">
        <f aca="false">IF(OR(A389="",A389&lt;&gt;P_DateRef),"",COUNTIF($A$7:A389,P_DateRef))</f>
        <v/>
      </c>
    </row>
    <row r="390" customFormat="false" ht="15" hidden="false" customHeight="false" outlineLevel="0" collapsed="false">
      <c r="A390" s="69"/>
      <c r="B390" s="25"/>
      <c r="C390" s="25"/>
      <c r="D390" s="25"/>
      <c r="E390" s="25"/>
      <c r="F390" s="25"/>
      <c r="G390" s="70"/>
      <c r="H390" s="90" t="str">
        <f aca="false">IF(OR(A390="",B390=""),"",COUNTIFS(PT_Date,A390,PT_Equipe,B390,PT_Pres,"P")+0.5*COUNTIFS(PT_Date,A390,PT_Equipe,B390,PT_Pres,"1/2"))</f>
        <v/>
      </c>
      <c r="I390" s="90" t="str">
        <f aca="false">IF(H390="","",H390-N(G390))</f>
        <v/>
      </c>
      <c r="J390" s="25"/>
      <c r="K390" s="74" t="str">
        <f aca="false">IF(OR(A390="",A390&lt;&gt;P_DateRef),"",COUNTIF($A$7:A390,P_DateRef))</f>
        <v/>
      </c>
    </row>
    <row r="391" customFormat="false" ht="15" hidden="false" customHeight="false" outlineLevel="0" collapsed="false">
      <c r="A391" s="69"/>
      <c r="B391" s="25"/>
      <c r="C391" s="25"/>
      <c r="D391" s="25"/>
      <c r="E391" s="25"/>
      <c r="F391" s="25"/>
      <c r="G391" s="70"/>
      <c r="H391" s="90" t="str">
        <f aca="false">IF(OR(A391="",B391=""),"",COUNTIFS(PT_Date,A391,PT_Equipe,B391,PT_Pres,"P")+0.5*COUNTIFS(PT_Date,A391,PT_Equipe,B391,PT_Pres,"1/2"))</f>
        <v/>
      </c>
      <c r="I391" s="90" t="str">
        <f aca="false">IF(H391="","",H391-N(G391))</f>
        <v/>
      </c>
      <c r="J391" s="25"/>
      <c r="K391" s="74" t="str">
        <f aca="false">IF(OR(A391="",A391&lt;&gt;P_DateRef),"",COUNTIF($A$7:A391,P_DateRef))</f>
        <v/>
      </c>
    </row>
    <row r="392" customFormat="false" ht="15" hidden="false" customHeight="false" outlineLevel="0" collapsed="false">
      <c r="A392" s="69"/>
      <c r="B392" s="25"/>
      <c r="C392" s="25"/>
      <c r="D392" s="25"/>
      <c r="E392" s="25"/>
      <c r="F392" s="25"/>
      <c r="G392" s="70"/>
      <c r="H392" s="90" t="str">
        <f aca="false">IF(OR(A392="",B392=""),"",COUNTIFS(PT_Date,A392,PT_Equipe,B392,PT_Pres,"P")+0.5*COUNTIFS(PT_Date,A392,PT_Equipe,B392,PT_Pres,"1/2"))</f>
        <v/>
      </c>
      <c r="I392" s="90" t="str">
        <f aca="false">IF(H392="","",H392-N(G392))</f>
        <v/>
      </c>
      <c r="J392" s="25"/>
      <c r="K392" s="74" t="str">
        <f aca="false">IF(OR(A392="",A392&lt;&gt;P_DateRef),"",COUNTIF($A$7:A392,P_DateRef))</f>
        <v/>
      </c>
    </row>
    <row r="393" customFormat="false" ht="15" hidden="false" customHeight="false" outlineLevel="0" collapsed="false">
      <c r="A393" s="69"/>
      <c r="B393" s="25"/>
      <c r="C393" s="25"/>
      <c r="D393" s="25"/>
      <c r="E393" s="25"/>
      <c r="F393" s="25"/>
      <c r="G393" s="70"/>
      <c r="H393" s="90" t="str">
        <f aca="false">IF(OR(A393="",B393=""),"",COUNTIFS(PT_Date,A393,PT_Equipe,B393,PT_Pres,"P")+0.5*COUNTIFS(PT_Date,A393,PT_Equipe,B393,PT_Pres,"1/2"))</f>
        <v/>
      </c>
      <c r="I393" s="90" t="str">
        <f aca="false">IF(H393="","",H393-N(G393))</f>
        <v/>
      </c>
      <c r="J393" s="25"/>
      <c r="K393" s="74" t="str">
        <f aca="false">IF(OR(A393="",A393&lt;&gt;P_DateRef),"",COUNTIF($A$7:A393,P_DateRef))</f>
        <v/>
      </c>
    </row>
    <row r="394" customFormat="false" ht="15" hidden="false" customHeight="false" outlineLevel="0" collapsed="false">
      <c r="A394" s="69"/>
      <c r="B394" s="25"/>
      <c r="C394" s="25"/>
      <c r="D394" s="25"/>
      <c r="E394" s="25"/>
      <c r="F394" s="25"/>
      <c r="G394" s="70"/>
      <c r="H394" s="90" t="str">
        <f aca="false">IF(OR(A394="",B394=""),"",COUNTIFS(PT_Date,A394,PT_Equipe,B394,PT_Pres,"P")+0.5*COUNTIFS(PT_Date,A394,PT_Equipe,B394,PT_Pres,"1/2"))</f>
        <v/>
      </c>
      <c r="I394" s="90" t="str">
        <f aca="false">IF(H394="","",H394-N(G394))</f>
        <v/>
      </c>
      <c r="J394" s="25"/>
      <c r="K394" s="74" t="str">
        <f aca="false">IF(OR(A394="",A394&lt;&gt;P_DateRef),"",COUNTIF($A$7:A394,P_DateRef))</f>
        <v/>
      </c>
    </row>
    <row r="395" customFormat="false" ht="15" hidden="false" customHeight="false" outlineLevel="0" collapsed="false">
      <c r="A395" s="69"/>
      <c r="B395" s="25"/>
      <c r="C395" s="25"/>
      <c r="D395" s="25"/>
      <c r="E395" s="25"/>
      <c r="F395" s="25"/>
      <c r="G395" s="70"/>
      <c r="H395" s="90" t="str">
        <f aca="false">IF(OR(A395="",B395=""),"",COUNTIFS(PT_Date,A395,PT_Equipe,B395,PT_Pres,"P")+0.5*COUNTIFS(PT_Date,A395,PT_Equipe,B395,PT_Pres,"1/2"))</f>
        <v/>
      </c>
      <c r="I395" s="90" t="str">
        <f aca="false">IF(H395="","",H395-N(G395))</f>
        <v/>
      </c>
      <c r="J395" s="25"/>
      <c r="K395" s="74" t="str">
        <f aca="false">IF(OR(A395="",A395&lt;&gt;P_DateRef),"",COUNTIF($A$7:A395,P_DateRef))</f>
        <v/>
      </c>
    </row>
    <row r="396" customFormat="false" ht="15" hidden="false" customHeight="false" outlineLevel="0" collapsed="false">
      <c r="A396" s="69"/>
      <c r="B396" s="25"/>
      <c r="C396" s="25"/>
      <c r="D396" s="25"/>
      <c r="E396" s="25"/>
      <c r="F396" s="25"/>
      <c r="G396" s="70"/>
      <c r="H396" s="90" t="str">
        <f aca="false">IF(OR(A396="",B396=""),"",COUNTIFS(PT_Date,A396,PT_Equipe,B396,PT_Pres,"P")+0.5*COUNTIFS(PT_Date,A396,PT_Equipe,B396,PT_Pres,"1/2"))</f>
        <v/>
      </c>
      <c r="I396" s="90" t="str">
        <f aca="false">IF(H396="","",H396-N(G396))</f>
        <v/>
      </c>
      <c r="J396" s="25"/>
      <c r="K396" s="74" t="str">
        <f aca="false">IF(OR(A396="",A396&lt;&gt;P_DateRef),"",COUNTIF($A$7:A396,P_DateRef))</f>
        <v/>
      </c>
    </row>
    <row r="397" customFormat="false" ht="15" hidden="false" customHeight="false" outlineLevel="0" collapsed="false">
      <c r="A397" s="69"/>
      <c r="B397" s="25"/>
      <c r="C397" s="25"/>
      <c r="D397" s="25"/>
      <c r="E397" s="25"/>
      <c r="F397" s="25"/>
      <c r="G397" s="70"/>
      <c r="H397" s="90" t="str">
        <f aca="false">IF(OR(A397="",B397=""),"",COUNTIFS(PT_Date,A397,PT_Equipe,B397,PT_Pres,"P")+0.5*COUNTIFS(PT_Date,A397,PT_Equipe,B397,PT_Pres,"1/2"))</f>
        <v/>
      </c>
      <c r="I397" s="90" t="str">
        <f aca="false">IF(H397="","",H397-N(G397))</f>
        <v/>
      </c>
      <c r="J397" s="25"/>
      <c r="K397" s="74" t="str">
        <f aca="false">IF(OR(A397="",A397&lt;&gt;P_DateRef),"",COUNTIF($A$7:A397,P_DateRef))</f>
        <v/>
      </c>
    </row>
    <row r="398" customFormat="false" ht="15" hidden="false" customHeight="false" outlineLevel="0" collapsed="false">
      <c r="A398" s="69"/>
      <c r="B398" s="25"/>
      <c r="C398" s="25"/>
      <c r="D398" s="25"/>
      <c r="E398" s="25"/>
      <c r="F398" s="25"/>
      <c r="G398" s="70"/>
      <c r="H398" s="90" t="str">
        <f aca="false">IF(OR(A398="",B398=""),"",COUNTIFS(PT_Date,A398,PT_Equipe,B398,PT_Pres,"P")+0.5*COUNTIFS(PT_Date,A398,PT_Equipe,B398,PT_Pres,"1/2"))</f>
        <v/>
      </c>
      <c r="I398" s="90" t="str">
        <f aca="false">IF(H398="","",H398-N(G398))</f>
        <v/>
      </c>
      <c r="J398" s="25"/>
      <c r="K398" s="74" t="str">
        <f aca="false">IF(OR(A398="",A398&lt;&gt;P_DateRef),"",COUNTIF($A$7:A398,P_DateRef))</f>
        <v/>
      </c>
    </row>
    <row r="399" customFormat="false" ht="15" hidden="false" customHeight="false" outlineLevel="0" collapsed="false">
      <c r="A399" s="69"/>
      <c r="B399" s="25"/>
      <c r="C399" s="25"/>
      <c r="D399" s="25"/>
      <c r="E399" s="25"/>
      <c r="F399" s="25"/>
      <c r="G399" s="70"/>
      <c r="H399" s="90" t="str">
        <f aca="false">IF(OR(A399="",B399=""),"",COUNTIFS(PT_Date,A399,PT_Equipe,B399,PT_Pres,"P")+0.5*COUNTIFS(PT_Date,A399,PT_Equipe,B399,PT_Pres,"1/2"))</f>
        <v/>
      </c>
      <c r="I399" s="90" t="str">
        <f aca="false">IF(H399="","",H399-N(G399))</f>
        <v/>
      </c>
      <c r="J399" s="25"/>
      <c r="K399" s="74" t="str">
        <f aca="false">IF(OR(A399="",A399&lt;&gt;P_DateRef),"",COUNTIF($A$7:A399,P_DateRef))</f>
        <v/>
      </c>
    </row>
    <row r="400" customFormat="false" ht="15" hidden="false" customHeight="false" outlineLevel="0" collapsed="false">
      <c r="A400" s="69"/>
      <c r="B400" s="25"/>
      <c r="C400" s="25"/>
      <c r="D400" s="25"/>
      <c r="E400" s="25"/>
      <c r="F400" s="25"/>
      <c r="G400" s="70"/>
      <c r="H400" s="90" t="str">
        <f aca="false">IF(OR(A400="",B400=""),"",COUNTIFS(PT_Date,A400,PT_Equipe,B400,PT_Pres,"P")+0.5*COUNTIFS(PT_Date,A400,PT_Equipe,B400,PT_Pres,"1/2"))</f>
        <v/>
      </c>
      <c r="I400" s="90" t="str">
        <f aca="false">IF(H400="","",H400-N(G400))</f>
        <v/>
      </c>
      <c r="J400" s="25"/>
      <c r="K400" s="74" t="str">
        <f aca="false">IF(OR(A400="",A400&lt;&gt;P_DateRef),"",COUNTIF($A$7:A400,P_DateRef))</f>
        <v/>
      </c>
    </row>
    <row r="401" customFormat="false" ht="15" hidden="false" customHeight="false" outlineLevel="0" collapsed="false">
      <c r="A401" s="69"/>
      <c r="B401" s="25"/>
      <c r="C401" s="25"/>
      <c r="D401" s="25"/>
      <c r="E401" s="25"/>
      <c r="F401" s="25"/>
      <c r="G401" s="70"/>
      <c r="H401" s="90" t="str">
        <f aca="false">IF(OR(A401="",B401=""),"",COUNTIFS(PT_Date,A401,PT_Equipe,B401,PT_Pres,"P")+0.5*COUNTIFS(PT_Date,A401,PT_Equipe,B401,PT_Pres,"1/2"))</f>
        <v/>
      </c>
      <c r="I401" s="90" t="str">
        <f aca="false">IF(H401="","",H401-N(G401))</f>
        <v/>
      </c>
      <c r="J401" s="25"/>
      <c r="K401" s="74" t="str">
        <f aca="false">IF(OR(A401="",A401&lt;&gt;P_DateRef),"",COUNTIF($A$7:A401,P_DateRef))</f>
        <v/>
      </c>
    </row>
    <row r="402" customFormat="false" ht="15" hidden="false" customHeight="false" outlineLevel="0" collapsed="false">
      <c r="A402" s="69"/>
      <c r="B402" s="25"/>
      <c r="C402" s="25"/>
      <c r="D402" s="25"/>
      <c r="E402" s="25"/>
      <c r="F402" s="25"/>
      <c r="G402" s="70"/>
      <c r="H402" s="90" t="str">
        <f aca="false">IF(OR(A402="",B402=""),"",COUNTIFS(PT_Date,A402,PT_Equipe,B402,PT_Pres,"P")+0.5*COUNTIFS(PT_Date,A402,PT_Equipe,B402,PT_Pres,"1/2"))</f>
        <v/>
      </c>
      <c r="I402" s="90" t="str">
        <f aca="false">IF(H402="","",H402-N(G402))</f>
        <v/>
      </c>
      <c r="J402" s="25"/>
      <c r="K402" s="74" t="str">
        <f aca="false">IF(OR(A402="",A402&lt;&gt;P_DateRef),"",COUNTIF($A$7:A402,P_DateRef))</f>
        <v/>
      </c>
    </row>
    <row r="403" customFormat="false" ht="15" hidden="false" customHeight="false" outlineLevel="0" collapsed="false">
      <c r="A403" s="69"/>
      <c r="B403" s="25"/>
      <c r="C403" s="25"/>
      <c r="D403" s="25"/>
      <c r="E403" s="25"/>
      <c r="F403" s="25"/>
      <c r="G403" s="70"/>
      <c r="H403" s="90" t="str">
        <f aca="false">IF(OR(A403="",B403=""),"",COUNTIFS(PT_Date,A403,PT_Equipe,B403,PT_Pres,"P")+0.5*COUNTIFS(PT_Date,A403,PT_Equipe,B403,PT_Pres,"1/2"))</f>
        <v/>
      </c>
      <c r="I403" s="90" t="str">
        <f aca="false">IF(H403="","",H403-N(G403))</f>
        <v/>
      </c>
      <c r="J403" s="25"/>
      <c r="K403" s="74" t="str">
        <f aca="false">IF(OR(A403="",A403&lt;&gt;P_DateRef),"",COUNTIF($A$7:A403,P_DateRef))</f>
        <v/>
      </c>
    </row>
    <row r="404" customFormat="false" ht="15" hidden="false" customHeight="false" outlineLevel="0" collapsed="false">
      <c r="A404" s="69"/>
      <c r="B404" s="25"/>
      <c r="C404" s="25"/>
      <c r="D404" s="25"/>
      <c r="E404" s="25"/>
      <c r="F404" s="25"/>
      <c r="G404" s="70"/>
      <c r="H404" s="90" t="str">
        <f aca="false">IF(OR(A404="",B404=""),"",COUNTIFS(PT_Date,A404,PT_Equipe,B404,PT_Pres,"P")+0.5*COUNTIFS(PT_Date,A404,PT_Equipe,B404,PT_Pres,"1/2"))</f>
        <v/>
      </c>
      <c r="I404" s="90" t="str">
        <f aca="false">IF(H404="","",H404-N(G404))</f>
        <v/>
      </c>
      <c r="J404" s="25"/>
      <c r="K404" s="74" t="str">
        <f aca="false">IF(OR(A404="",A404&lt;&gt;P_DateRef),"",COUNTIF($A$7:A404,P_DateRef))</f>
        <v/>
      </c>
    </row>
    <row r="405" customFormat="false" ht="15" hidden="false" customHeight="false" outlineLevel="0" collapsed="false">
      <c r="A405" s="69"/>
      <c r="B405" s="25"/>
      <c r="C405" s="25"/>
      <c r="D405" s="25"/>
      <c r="E405" s="25"/>
      <c r="F405" s="25"/>
      <c r="G405" s="70"/>
      <c r="H405" s="90" t="str">
        <f aca="false">IF(OR(A405="",B405=""),"",COUNTIFS(PT_Date,A405,PT_Equipe,B405,PT_Pres,"P")+0.5*COUNTIFS(PT_Date,A405,PT_Equipe,B405,PT_Pres,"1/2"))</f>
        <v/>
      </c>
      <c r="I405" s="90" t="str">
        <f aca="false">IF(H405="","",H405-N(G405))</f>
        <v/>
      </c>
      <c r="J405" s="25"/>
      <c r="K405" s="74" t="str">
        <f aca="false">IF(OR(A405="",A405&lt;&gt;P_DateRef),"",COUNTIF($A$7:A405,P_DateRef))</f>
        <v/>
      </c>
    </row>
    <row r="406" customFormat="false" ht="15" hidden="false" customHeight="false" outlineLevel="0" collapsed="false">
      <c r="A406" s="69"/>
      <c r="B406" s="25"/>
      <c r="C406" s="25"/>
      <c r="D406" s="25"/>
      <c r="E406" s="25"/>
      <c r="F406" s="25"/>
      <c r="G406" s="70"/>
      <c r="H406" s="90" t="str">
        <f aca="false">IF(OR(A406="",B406=""),"",COUNTIFS(PT_Date,A406,PT_Equipe,B406,PT_Pres,"P")+0.5*COUNTIFS(PT_Date,A406,PT_Equipe,B406,PT_Pres,"1/2"))</f>
        <v/>
      </c>
      <c r="I406" s="90" t="str">
        <f aca="false">IF(H406="","",H406-N(G406))</f>
        <v/>
      </c>
      <c r="J406" s="25"/>
      <c r="K406" s="74" t="str">
        <f aca="false">IF(OR(A406="",A406&lt;&gt;P_DateRef),"",COUNTIF($A$7:A406,P_DateRef))</f>
        <v/>
      </c>
    </row>
  </sheetData>
  <autoFilter ref="A6:K406"/>
  <mergeCells count="4">
    <mergeCell ref="A1:K1"/>
    <mergeCell ref="A2:K2"/>
    <mergeCell ref="A3:K3"/>
    <mergeCell ref="A4:K4"/>
  </mergeCells>
  <conditionalFormatting sqref="I7:I406">
    <cfRule type="cellIs" priority="2" operator="lessThan" aboveAverage="0" equalAverage="0" bottom="0" percent="0" rank="0" text="" dxfId="19">
      <formula>0</formula>
    </cfRule>
  </conditionalFormatting>
  <conditionalFormatting sqref="A7:K406">
    <cfRule type="expression" priority="3" aboveAverage="0" equalAverage="0" bottom="0" percent="0" rank="0" text="" dxfId="21">
      <formula>$A7=P_DateRef</formula>
    </cfRule>
  </conditionalFormatting>
  <dataValidations count="3">
    <dataValidation allowBlank="true" errorStyle="stop" operator="between" showDropDown="false" showErrorMessage="true" showInputMessage="false" sqref="B7:B406" type="list">
      <formula1>L_Equipes</formula1>
      <formula2>0</formula2>
    </dataValidation>
    <dataValidation allowBlank="true" errorStyle="stop" operator="between" showDropDown="false" showErrorMessage="false" showInputMessage="false" sqref="D7:D406" type="list">
      <formula1>PL_Tache</formula1>
      <formula2>0</formula2>
    </dataValidation>
    <dataValidation allowBlank="true" errorStyle="stop" operator="between" showDropDown="false" showErrorMessage="true" showInputMessage="false" sqref="E7:E406" type="list">
      <formula1>L_Lots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P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28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4" min="14" style="0" width="12"/>
    <col collapsed="false" customWidth="true" hidden="false" outlineLevel="0" max="15" min="15" style="0" width="22"/>
    <col collapsed="false" customWidth="true" hidden="false" outlineLevel="0" max="16" min="16" style="0" width="8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customFormat="false" ht="19.5" hidden="false" customHeight="true" outlineLevel="0" collapsed="false">
      <c r="A2" s="20" t="s">
        <v>619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0" hidden="false" customHeight="true" outlineLevel="0" collapsed="false">
      <c r="A4" s="21" t="s">
        <v>620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6" customFormat="false" ht="31.5" hidden="false" customHeight="true" outlineLevel="0" collapsed="false">
      <c r="A6" s="23" t="s">
        <v>340</v>
      </c>
      <c r="B6" s="23" t="s">
        <v>621</v>
      </c>
      <c r="C6" s="23" t="s">
        <v>336</v>
      </c>
      <c r="D6" s="23" t="s">
        <v>319</v>
      </c>
      <c r="E6" s="23" t="s">
        <v>622</v>
      </c>
      <c r="F6" s="23" t="s">
        <v>436</v>
      </c>
      <c r="G6" s="23" t="s">
        <v>302</v>
      </c>
      <c r="H6" s="23" t="s">
        <v>623</v>
      </c>
      <c r="I6" s="23" t="s">
        <v>438</v>
      </c>
      <c r="J6" s="23" t="s">
        <v>518</v>
      </c>
      <c r="K6" s="23" t="s">
        <v>624</v>
      </c>
      <c r="L6" s="23" t="s">
        <v>625</v>
      </c>
      <c r="M6" s="23" t="s">
        <v>341</v>
      </c>
      <c r="N6" s="23" t="s">
        <v>306</v>
      </c>
      <c r="O6" s="23" t="s">
        <v>579</v>
      </c>
      <c r="P6" s="23" t="s">
        <v>527</v>
      </c>
    </row>
    <row r="7" customFormat="false" ht="15" hidden="false" customHeight="false" outlineLevel="0" collapsed="false">
      <c r="A7" s="68" t="s">
        <v>533</v>
      </c>
      <c r="B7" s="69" t="n">
        <v>46240</v>
      </c>
      <c r="C7" s="25" t="s">
        <v>132</v>
      </c>
      <c r="D7" s="25" t="s">
        <v>203</v>
      </c>
      <c r="E7" s="68" t="s">
        <v>626</v>
      </c>
      <c r="F7" s="76" t="str">
        <f aca="false">IF(E7="","",IFERROR(INDEX(ST_Design,MATCH(E7,ST_Code,0)),"Code inconnu"))</f>
        <v>Ciment CPJ 42.5 (sac 50 kg)</v>
      </c>
      <c r="G7" s="74" t="str">
        <f aca="false">IF(E7="","",IFERROR(INDEX(ST_Unite,MATCH(E7,ST_Code,0)),""))</f>
        <v>sac</v>
      </c>
      <c r="H7" s="82" t="n">
        <v>600</v>
      </c>
      <c r="I7" s="28" t="n">
        <v>5200</v>
      </c>
      <c r="J7" s="31" t="n">
        <f aca="false">IF(H7="","",H7*N(I7))</f>
        <v>3120000</v>
      </c>
      <c r="K7" s="69" t="n">
        <v>46246</v>
      </c>
      <c r="L7" s="83" t="n">
        <f aca="false">IF(A7="","",SUMIFS(MV_Qte,MV_BC,A7,MV_Code,E7,MV_Type,"Entrée"))</f>
        <v>600</v>
      </c>
      <c r="M7" s="83" t="n">
        <f aca="false">IF(A7="","",MAX(0,N(H7)-L7))</f>
        <v>0</v>
      </c>
      <c r="N7" s="74" t="str">
        <f aca="false">IF(A7="","",IF(M7&lt;=0,"Livrée",IF(AND(K7&lt;&gt;"",P_DateRef&gt;K7),"En retard",IF(L7&gt;0,"Partielle","En attente"))))</f>
        <v>Livrée</v>
      </c>
      <c r="O7" s="25"/>
      <c r="P7" s="74" t="str">
        <f aca="false">IF(OR(A7="",N7="Livrée"),"",COUNTIFS($A$7:A7,"&lt;&gt;",$N$7:N7,"&lt;&gt;Livrée"))</f>
        <v/>
      </c>
    </row>
    <row r="8" customFormat="false" ht="15" hidden="false" customHeight="false" outlineLevel="0" collapsed="false">
      <c r="A8" s="68" t="s">
        <v>536</v>
      </c>
      <c r="B8" s="69" t="n">
        <v>46244</v>
      </c>
      <c r="C8" s="25" t="s">
        <v>153</v>
      </c>
      <c r="D8" s="25" t="s">
        <v>203</v>
      </c>
      <c r="E8" s="68" t="s">
        <v>627</v>
      </c>
      <c r="F8" s="76" t="str">
        <f aca="false">IF(E8="","",IFERROR(INDEX(ST_Design,MATCH(E8,ST_Code,0)),"Code inconnu"))</f>
        <v>Acier HA12 (barre 12 m)</v>
      </c>
      <c r="G8" s="74" t="str">
        <f aca="false">IF(E8="","",IFERROR(INDEX(ST_Unite,MATCH(E8,ST_Code,0)),""))</f>
        <v>barre</v>
      </c>
      <c r="H8" s="82" t="n">
        <v>400</v>
      </c>
      <c r="I8" s="28" t="n">
        <v>5600</v>
      </c>
      <c r="J8" s="31" t="n">
        <f aca="false">IF(H8="","",H8*N(I8))</f>
        <v>2240000</v>
      </c>
      <c r="K8" s="69" t="n">
        <v>46248</v>
      </c>
      <c r="L8" s="83" t="n">
        <f aca="false">IF(A8="","",SUMIFS(MV_Qte,MV_BC,A8,MV_Code,E8,MV_Type,"Entrée"))</f>
        <v>400</v>
      </c>
      <c r="M8" s="83" t="n">
        <f aca="false">IF(A8="","",MAX(0,N(H8)-L8))</f>
        <v>0</v>
      </c>
      <c r="N8" s="74" t="str">
        <f aca="false">IF(A8="","",IF(M8&lt;=0,"Livrée",IF(AND(K8&lt;&gt;"",P_DateRef&gt;K8),"En retard",IF(L8&gt;0,"Partielle","En attente"))))</f>
        <v>Livrée</v>
      </c>
      <c r="O8" s="25"/>
      <c r="P8" s="74" t="str">
        <f aca="false">IF(OR(A8="",N8="Livrée"),"",COUNTIFS($A$7:A8,"&lt;&gt;",$N$7:N8,"&lt;&gt;Livrée"))</f>
        <v/>
      </c>
    </row>
    <row r="9" customFormat="false" ht="15" hidden="false" customHeight="false" outlineLevel="0" collapsed="false">
      <c r="A9" s="68" t="s">
        <v>539</v>
      </c>
      <c r="B9" s="69" t="n">
        <v>46244</v>
      </c>
      <c r="C9" s="25" t="s">
        <v>153</v>
      </c>
      <c r="D9" s="25" t="s">
        <v>203</v>
      </c>
      <c r="E9" s="68" t="s">
        <v>628</v>
      </c>
      <c r="F9" s="76" t="str">
        <f aca="false">IF(E9="","",IFERROR(INDEX(ST_Design,MATCH(E9,ST_Code,0)),"Code inconnu"))</f>
        <v>Acier HA16 (barre 12 m)</v>
      </c>
      <c r="G9" s="74" t="str">
        <f aca="false">IF(E9="","",IFERROR(INDEX(ST_Unite,MATCH(E9,ST_Code,0)),""))</f>
        <v>barre</v>
      </c>
      <c r="H9" s="82" t="n">
        <v>300</v>
      </c>
      <c r="I9" s="28" t="n">
        <v>9800</v>
      </c>
      <c r="J9" s="31" t="n">
        <f aca="false">IF(H9="","",H9*N(I9))</f>
        <v>2940000</v>
      </c>
      <c r="K9" s="69" t="n">
        <v>46248</v>
      </c>
      <c r="L9" s="83" t="n">
        <f aca="false">IF(A9="","",SUMIFS(MV_Qte,MV_BC,A9,MV_Code,E9,MV_Type,"Entrée"))</f>
        <v>300</v>
      </c>
      <c r="M9" s="83" t="n">
        <f aca="false">IF(A9="","",MAX(0,N(H9)-L9))</f>
        <v>0</v>
      </c>
      <c r="N9" s="74" t="str">
        <f aca="false">IF(A9="","",IF(M9&lt;=0,"Livrée",IF(AND(K9&lt;&gt;"",P_DateRef&gt;K9),"En retard",IF(L9&gt;0,"Partielle","En attente"))))</f>
        <v>Livrée</v>
      </c>
      <c r="O9" s="25"/>
      <c r="P9" s="74" t="str">
        <f aca="false">IF(OR(A9="",N9="Livrée"),"",COUNTIFS($A$7:A9,"&lt;&gt;",$N$7:N9,"&lt;&gt;Livrée"))</f>
        <v/>
      </c>
    </row>
    <row r="10" customFormat="false" ht="23.85" hidden="false" customHeight="false" outlineLevel="0" collapsed="false">
      <c r="A10" s="68" t="s">
        <v>548</v>
      </c>
      <c r="B10" s="69" t="n">
        <v>46254</v>
      </c>
      <c r="C10" s="25" t="s">
        <v>153</v>
      </c>
      <c r="D10" s="25" t="s">
        <v>215</v>
      </c>
      <c r="E10" s="68" t="s">
        <v>629</v>
      </c>
      <c r="F10" s="76" t="str">
        <f aca="false">IF(E10="","",IFERROR(INDEX(ST_Design,MATCH(E10,ST_Code,0)),"Code inconnu"))</f>
        <v>Acier HA10 (barre 12 m)</v>
      </c>
      <c r="G10" s="74" t="str">
        <f aca="false">IF(E10="","",IFERROR(INDEX(ST_Unite,MATCH(E10,ST_Code,0)),""))</f>
        <v>barre</v>
      </c>
      <c r="H10" s="82" t="n">
        <v>250</v>
      </c>
      <c r="I10" s="28" t="n">
        <v>3900</v>
      </c>
      <c r="J10" s="31" t="n">
        <f aca="false">IF(H10="","",H10*N(I10))</f>
        <v>975000</v>
      </c>
      <c r="K10" s="69" t="n">
        <v>46258</v>
      </c>
      <c r="L10" s="83" t="n">
        <f aca="false">IF(A10="","",SUMIFS(MV_Qte,MV_BC,A10,MV_Code,E10,MV_Type,"Entrée"))</f>
        <v>250</v>
      </c>
      <c r="M10" s="83" t="n">
        <f aca="false">IF(A10="","",MAX(0,N(H10)-L10))</f>
        <v>0</v>
      </c>
      <c r="N10" s="74" t="str">
        <f aca="false">IF(A10="","",IF(M10&lt;=0,"Livrée",IF(AND(K10&lt;&gt;"",P_DateRef&gt;K10),"En retard",IF(L10&gt;0,"Partielle","En attente"))))</f>
        <v>Livrée</v>
      </c>
      <c r="O10" s="25"/>
      <c r="P10" s="74" t="str">
        <f aca="false">IF(OR(A10="",N10="Livrée"),"",COUNTIFS($A$7:A10,"&lt;&gt;",$N$7:N10,"&lt;&gt;Livrée"))</f>
        <v/>
      </c>
    </row>
    <row r="11" customFormat="false" ht="15" hidden="false" customHeight="false" outlineLevel="0" collapsed="false">
      <c r="A11" s="68" t="s">
        <v>542</v>
      </c>
      <c r="B11" s="69" t="n">
        <v>46254</v>
      </c>
      <c r="C11" s="25" t="s">
        <v>193</v>
      </c>
      <c r="D11" s="25" t="s">
        <v>203</v>
      </c>
      <c r="E11" s="68" t="s">
        <v>630</v>
      </c>
      <c r="F11" s="76" t="str">
        <f aca="false">IF(E11="","",IFERROR(INDEX(ST_Design,MATCH(E11,ST_Code,0)),"Code inconnu"))</f>
        <v>Sable</v>
      </c>
      <c r="G11" s="74" t="str">
        <f aca="false">IF(E11="","",IFERROR(INDEX(ST_Unite,MATCH(E11,ST_Code,0)),""))</f>
        <v>m³</v>
      </c>
      <c r="H11" s="82" t="n">
        <v>120</v>
      </c>
      <c r="I11" s="28" t="n">
        <v>12000</v>
      </c>
      <c r="J11" s="31" t="n">
        <f aca="false">IF(H11="","",H11*N(I11))</f>
        <v>1440000</v>
      </c>
      <c r="K11" s="69" t="n">
        <v>46259</v>
      </c>
      <c r="L11" s="83" t="n">
        <f aca="false">IF(A11="","",SUMIFS(MV_Qte,MV_BC,A11,MV_Code,E11,MV_Type,"Entrée"))</f>
        <v>120</v>
      </c>
      <c r="M11" s="83" t="n">
        <f aca="false">IF(A11="","",MAX(0,N(H11)-L11))</f>
        <v>0</v>
      </c>
      <c r="N11" s="74" t="str">
        <f aca="false">IF(A11="","",IF(M11&lt;=0,"Livrée",IF(AND(K11&lt;&gt;"",P_DateRef&gt;K11),"En retard",IF(L11&gt;0,"Partielle","En attente"))))</f>
        <v>Livrée</v>
      </c>
      <c r="O11" s="25"/>
      <c r="P11" s="74" t="str">
        <f aca="false">IF(OR(A11="",N11="Livrée"),"",COUNTIFS($A$7:A11,"&lt;&gt;",$N$7:N11,"&lt;&gt;Livrée"))</f>
        <v/>
      </c>
    </row>
    <row r="12" customFormat="false" ht="15" hidden="false" customHeight="false" outlineLevel="0" collapsed="false">
      <c r="A12" s="68" t="s">
        <v>556</v>
      </c>
      <c r="B12" s="69" t="n">
        <v>46280</v>
      </c>
      <c r="C12" s="25" t="s">
        <v>132</v>
      </c>
      <c r="D12" s="25" t="s">
        <v>203</v>
      </c>
      <c r="E12" s="68" t="s">
        <v>626</v>
      </c>
      <c r="F12" s="76" t="str">
        <f aca="false">IF(E12="","",IFERROR(INDEX(ST_Design,MATCH(E12,ST_Code,0)),"Code inconnu"))</f>
        <v>Ciment CPJ 42.5 (sac 50 kg)</v>
      </c>
      <c r="G12" s="74" t="str">
        <f aca="false">IF(E12="","",IFERROR(INDEX(ST_Unite,MATCH(E12,ST_Code,0)),""))</f>
        <v>sac</v>
      </c>
      <c r="H12" s="82" t="n">
        <v>400</v>
      </c>
      <c r="I12" s="28" t="n">
        <v>5200</v>
      </c>
      <c r="J12" s="31" t="n">
        <f aca="false">IF(H12="","",H12*N(I12))</f>
        <v>2080000</v>
      </c>
      <c r="K12" s="69" t="n">
        <v>46284</v>
      </c>
      <c r="L12" s="83" t="n">
        <f aca="false">IF(A12="","",SUMIFS(MV_Qte,MV_BC,A12,MV_Code,E12,MV_Type,"Entrée"))</f>
        <v>400</v>
      </c>
      <c r="M12" s="83" t="n">
        <f aca="false">IF(A12="","",MAX(0,N(H12)-L12))</f>
        <v>0</v>
      </c>
      <c r="N12" s="74" t="str">
        <f aca="false">IF(A12="","",IF(M12&lt;=0,"Livrée",IF(AND(K12&lt;&gt;"",P_DateRef&gt;K12),"En retard",IF(L12&gt;0,"Partielle","En attente"))))</f>
        <v>Livrée</v>
      </c>
      <c r="O12" s="25"/>
      <c r="P12" s="74" t="str">
        <f aca="false">IF(OR(A12="",N12="Livrée"),"",COUNTIFS($A$7:A12,"&lt;&gt;",$N$7:N12,"&lt;&gt;Livrée"))</f>
        <v/>
      </c>
    </row>
    <row r="13" customFormat="false" ht="15" hidden="false" customHeight="false" outlineLevel="0" collapsed="false">
      <c r="A13" s="68" t="s">
        <v>545</v>
      </c>
      <c r="B13" s="69" t="n">
        <v>46254</v>
      </c>
      <c r="C13" s="25" t="s">
        <v>175</v>
      </c>
      <c r="D13" s="25" t="s">
        <v>203</v>
      </c>
      <c r="E13" s="68" t="s">
        <v>631</v>
      </c>
      <c r="F13" s="76" t="str">
        <f aca="false">IF(E13="","",IFERROR(INDEX(ST_Design,MATCH(E13,ST_Code,0)),"Code inconnu"))</f>
        <v>Gravier concassé 5/15</v>
      </c>
      <c r="G13" s="74" t="str">
        <f aca="false">IF(E13="","",IFERROR(INDEX(ST_Unite,MATCH(E13,ST_Code,0)),""))</f>
        <v>m³</v>
      </c>
      <c r="H13" s="82" t="n">
        <v>200</v>
      </c>
      <c r="I13" s="28" t="n">
        <v>22000</v>
      </c>
      <c r="J13" s="31" t="n">
        <f aca="false">IF(H13="","",H13*N(I13))</f>
        <v>4400000</v>
      </c>
      <c r="K13" s="69" t="n">
        <v>46260</v>
      </c>
      <c r="L13" s="83" t="n">
        <f aca="false">IF(A13="","",SUMIFS(MV_Qte,MV_BC,A13,MV_Code,E13,MV_Type,"Entrée"))</f>
        <v>200</v>
      </c>
      <c r="M13" s="83" t="n">
        <f aca="false">IF(A13="","",MAX(0,N(H13)-L13))</f>
        <v>0</v>
      </c>
      <c r="N13" s="74" t="str">
        <f aca="false">IF(A13="","",IF(M13&lt;=0,"Livrée",IF(AND(K13&lt;&gt;"",P_DateRef&gt;K13),"En retard",IF(L13&gt;0,"Partielle","En attente"))))</f>
        <v>Livrée</v>
      </c>
      <c r="O13" s="25"/>
      <c r="P13" s="74" t="str">
        <f aca="false">IF(OR(A13="",N13="Livrée"),"",COUNTIFS($A$7:A13,"&lt;&gt;",$N$7:N13,"&lt;&gt;Livrée"))</f>
        <v/>
      </c>
    </row>
    <row r="14" customFormat="false" ht="23.85" hidden="false" customHeight="false" outlineLevel="0" collapsed="false">
      <c r="A14" s="68" t="s">
        <v>564</v>
      </c>
      <c r="B14" s="69" t="n">
        <v>46275</v>
      </c>
      <c r="C14" s="25" t="s">
        <v>217</v>
      </c>
      <c r="D14" s="25" t="s">
        <v>191</v>
      </c>
      <c r="E14" s="68" t="s">
        <v>632</v>
      </c>
      <c r="F14" s="76" t="str">
        <f aca="false">IF(E14="","",IFERROR(INDEX(ST_Design,MATCH(E14,ST_Code,0)),"Code inconnu"))</f>
        <v>Buse BA Ø1000 (élément 1 m)</v>
      </c>
      <c r="G14" s="74" t="str">
        <f aca="false">IF(E14="","",IFERROR(INDEX(ST_Unite,MATCH(E14,ST_Code,0)),""))</f>
        <v>u</v>
      </c>
      <c r="H14" s="82" t="n">
        <v>60</v>
      </c>
      <c r="I14" s="28" t="n">
        <v>125000</v>
      </c>
      <c r="J14" s="31" t="n">
        <f aca="false">IF(H14="","",H14*N(I14))</f>
        <v>7500000</v>
      </c>
      <c r="K14" s="69" t="n">
        <v>46295</v>
      </c>
      <c r="L14" s="83" t="n">
        <f aca="false">IF(A14="","",SUMIFS(MV_Qte,MV_BC,A14,MV_Code,E14,MV_Type,"Entrée"))</f>
        <v>36</v>
      </c>
      <c r="M14" s="83" t="n">
        <f aca="false">IF(A14="","",MAX(0,N(H14)-L14))</f>
        <v>24</v>
      </c>
      <c r="N14" s="74" t="str">
        <f aca="false">IF(A14="","",IF(M14&lt;=0,"Livrée",IF(AND(K14&lt;&gt;"",P_DateRef&gt;K14),"En retard",IF(L14&gt;0,"Partielle","En attente"))))</f>
        <v>En retard</v>
      </c>
      <c r="O14" s="25"/>
      <c r="P14" s="74" t="n">
        <f aca="false">IF(OR(A14="",N14="Livrée"),"",COUNTIFS($A$7:A14,"&lt;&gt;",$N$7:N14,"&lt;&gt;Livrée"))</f>
        <v>1</v>
      </c>
    </row>
    <row r="15" customFormat="false" ht="23.85" hidden="false" customHeight="false" outlineLevel="0" collapsed="false">
      <c r="A15" s="68" t="s">
        <v>633</v>
      </c>
      <c r="B15" s="69" t="n">
        <v>46285</v>
      </c>
      <c r="C15" s="25" t="s">
        <v>217</v>
      </c>
      <c r="D15" s="25" t="s">
        <v>191</v>
      </c>
      <c r="E15" s="68" t="s">
        <v>634</v>
      </c>
      <c r="F15" s="76" t="str">
        <f aca="false">IF(E15="","",IFERROR(INDEX(ST_Design,MATCH(E15,ST_Code,0)),"Code inconnu"))</f>
        <v>Buse BA Ø800 (élément 1 m)</v>
      </c>
      <c r="G15" s="74" t="str">
        <f aca="false">IF(E15="","",IFERROR(INDEX(ST_Unite,MATCH(E15,ST_Code,0)),""))</f>
        <v>u</v>
      </c>
      <c r="H15" s="82" t="n">
        <v>48</v>
      </c>
      <c r="I15" s="28" t="n">
        <v>85000</v>
      </c>
      <c r="J15" s="31" t="n">
        <f aca="false">IF(H15="","",H15*N(I15))</f>
        <v>4080000</v>
      </c>
      <c r="K15" s="69" t="n">
        <v>46305</v>
      </c>
      <c r="L15" s="83" t="n">
        <f aca="false">IF(A15="","",SUMIFS(MV_Qte,MV_BC,A15,MV_Code,E15,MV_Type,"Entrée"))</f>
        <v>12</v>
      </c>
      <c r="M15" s="83" t="n">
        <f aca="false">IF(A15="","",MAX(0,N(H15)-L15))</f>
        <v>36</v>
      </c>
      <c r="N15" s="74" t="str">
        <f aca="false">IF(A15="","",IF(M15&lt;=0,"Livrée",IF(AND(K15&lt;&gt;"",P_DateRef&gt;K15),"En retard",IF(L15&gt;0,"Partielle","En attente"))))</f>
        <v>En retard</v>
      </c>
      <c r="O15" s="25"/>
      <c r="P15" s="74" t="n">
        <f aca="false">IF(OR(A15="",N15="Livrée"),"",COUNTIFS($A$7:A15,"&lt;&gt;",$N$7:N15,"&lt;&gt;Livrée"))</f>
        <v>2</v>
      </c>
    </row>
    <row r="16" customFormat="false" ht="23.85" hidden="false" customHeight="false" outlineLevel="0" collapsed="false">
      <c r="A16" s="68" t="s">
        <v>530</v>
      </c>
      <c r="B16" s="69" t="n">
        <v>46238</v>
      </c>
      <c r="C16" s="25" t="s">
        <v>227</v>
      </c>
      <c r="D16" s="25" t="s">
        <v>151</v>
      </c>
      <c r="E16" s="68" t="s">
        <v>635</v>
      </c>
      <c r="F16" s="76" t="str">
        <f aca="false">IF(E16="","",IFERROR(INDEX(ST_Design,MATCH(E16,ST_Code,0)),"Code inconnu"))</f>
        <v>Gasoil engins</v>
      </c>
      <c r="G16" s="74" t="str">
        <f aca="false">IF(E16="","",IFERROR(INDEX(ST_Unite,MATCH(E16,ST_Code,0)),""))</f>
        <v>l</v>
      </c>
      <c r="H16" s="82" t="n">
        <v>20000</v>
      </c>
      <c r="I16" s="28" t="n">
        <v>715</v>
      </c>
      <c r="J16" s="31" t="n">
        <f aca="false">IF(H16="","",H16*N(I16))</f>
        <v>14300000</v>
      </c>
      <c r="K16" s="69" t="n">
        <v>46239</v>
      </c>
      <c r="L16" s="83" t="n">
        <f aca="false">IF(A16="","",SUMIFS(MV_Qte,MV_BC,A16,MV_Code,E16,MV_Type,"Entrée"))</f>
        <v>20000</v>
      </c>
      <c r="M16" s="83" t="n">
        <f aca="false">IF(A16="","",MAX(0,N(H16)-L16))</f>
        <v>0</v>
      </c>
      <c r="N16" s="74" t="str">
        <f aca="false">IF(A16="","",IF(M16&lt;=0,"Livrée",IF(AND(K16&lt;&gt;"",P_DateRef&gt;K16),"En retard",IF(L16&gt;0,"Partielle","En attente"))))</f>
        <v>Livrée</v>
      </c>
      <c r="O16" s="25"/>
      <c r="P16" s="74" t="str">
        <f aca="false">IF(OR(A16="",N16="Livrée"),"",COUNTIFS($A$7:A16,"&lt;&gt;",$N$7:N16,"&lt;&gt;Livrée"))</f>
        <v/>
      </c>
    </row>
    <row r="17" customFormat="false" ht="23.85" hidden="false" customHeight="false" outlineLevel="0" collapsed="false">
      <c r="A17" s="68" t="s">
        <v>559</v>
      </c>
      <c r="B17" s="69" t="n">
        <v>46290</v>
      </c>
      <c r="C17" s="25" t="s">
        <v>227</v>
      </c>
      <c r="D17" s="25" t="s">
        <v>151</v>
      </c>
      <c r="E17" s="68" t="s">
        <v>635</v>
      </c>
      <c r="F17" s="76" t="str">
        <f aca="false">IF(E17="","",IFERROR(INDEX(ST_Design,MATCH(E17,ST_Code,0)),"Code inconnu"))</f>
        <v>Gasoil engins</v>
      </c>
      <c r="G17" s="74" t="str">
        <f aca="false">IF(E17="","",IFERROR(INDEX(ST_Unite,MATCH(E17,ST_Code,0)),""))</f>
        <v>l</v>
      </c>
      <c r="H17" s="82" t="n">
        <v>15000</v>
      </c>
      <c r="I17" s="28" t="n">
        <v>715</v>
      </c>
      <c r="J17" s="31" t="n">
        <f aca="false">IF(H17="","",H17*N(I17))</f>
        <v>10725000</v>
      </c>
      <c r="K17" s="69" t="n">
        <v>46291</v>
      </c>
      <c r="L17" s="83" t="n">
        <f aca="false">IF(A17="","",SUMIFS(MV_Qte,MV_BC,A17,MV_Code,E17,MV_Type,"Entrée"))</f>
        <v>15000</v>
      </c>
      <c r="M17" s="83" t="n">
        <f aca="false">IF(A17="","",MAX(0,N(H17)-L17))</f>
        <v>0</v>
      </c>
      <c r="N17" s="74" t="str">
        <f aca="false">IF(A17="","",IF(M17&lt;=0,"Livrée",IF(AND(K17&lt;&gt;"",P_DateRef&gt;K17),"En retard",IF(L17&gt;0,"Partielle","En attente"))))</f>
        <v>Livrée</v>
      </c>
      <c r="O17" s="25"/>
      <c r="P17" s="74" t="str">
        <f aca="false">IF(OR(A17="",N17="Livrée"),"",COUNTIFS($A$7:A17,"&lt;&gt;",$N$7:N17,"&lt;&gt;Livrée"))</f>
        <v/>
      </c>
    </row>
    <row r="18" customFormat="false" ht="23.85" hidden="false" customHeight="false" outlineLevel="0" collapsed="false">
      <c r="A18" s="68" t="s">
        <v>553</v>
      </c>
      <c r="B18" s="69" t="n">
        <v>46266</v>
      </c>
      <c r="C18" s="25" t="s">
        <v>205</v>
      </c>
      <c r="D18" s="25" t="s">
        <v>215</v>
      </c>
      <c r="E18" s="68" t="s">
        <v>636</v>
      </c>
      <c r="F18" s="76" t="str">
        <f aca="false">IF(E18="","",IFERROR(INDEX(ST_Design,MATCH(E18,ST_Code,0)),"Code inconnu"))</f>
        <v>Agglos creux de 15</v>
      </c>
      <c r="G18" s="74" t="str">
        <f aca="false">IF(E18="","",IFERROR(INDEX(ST_Unite,MATCH(E18,ST_Code,0)),""))</f>
        <v>u</v>
      </c>
      <c r="H18" s="82" t="n">
        <v>6000</v>
      </c>
      <c r="I18" s="28" t="n">
        <v>375</v>
      </c>
      <c r="J18" s="31" t="n">
        <f aca="false">IF(H18="","",H18*N(I18))</f>
        <v>2250000</v>
      </c>
      <c r="K18" s="69" t="n">
        <v>46273</v>
      </c>
      <c r="L18" s="83" t="n">
        <f aca="false">IF(A18="","",SUMIFS(MV_Qte,MV_BC,A18,MV_Code,E18,MV_Type,"Entrée"))</f>
        <v>6000</v>
      </c>
      <c r="M18" s="83" t="n">
        <f aca="false">IF(A18="","",MAX(0,N(H18)-L18))</f>
        <v>0</v>
      </c>
      <c r="N18" s="74" t="str">
        <f aca="false">IF(A18="","",IF(M18&lt;=0,"Livrée",IF(AND(K18&lt;&gt;"",P_DateRef&gt;K18),"En retard",IF(L18&gt;0,"Partielle","En attente"))))</f>
        <v>Livrée</v>
      </c>
      <c r="O18" s="25"/>
      <c r="P18" s="74" t="str">
        <f aca="false">IF(OR(A18="",N18="Livrée"),"",COUNTIFS($A$7:A18,"&lt;&gt;",$N$7:N18,"&lt;&gt;Livrée"))</f>
        <v/>
      </c>
    </row>
    <row r="19" customFormat="false" ht="15" hidden="false" customHeight="false" outlineLevel="0" collapsed="false">
      <c r="A19" s="68" t="s">
        <v>637</v>
      </c>
      <c r="B19" s="69" t="n">
        <v>46307</v>
      </c>
      <c r="C19" s="25" t="s">
        <v>153</v>
      </c>
      <c r="D19" s="25" t="s">
        <v>232</v>
      </c>
      <c r="E19" s="68" t="s">
        <v>638</v>
      </c>
      <c r="F19" s="76" t="str">
        <f aca="false">IF(E19="","",IFERROR(INDEX(ST_Design,MATCH(E19,ST_Code,0)),"Code inconnu"))</f>
        <v>Acier HA8 (barre 12 m)</v>
      </c>
      <c r="G19" s="74" t="str">
        <f aca="false">IF(E19="","",IFERROR(INDEX(ST_Unite,MATCH(E19,ST_Code,0)),""))</f>
        <v>barre</v>
      </c>
      <c r="H19" s="82" t="n">
        <v>300</v>
      </c>
      <c r="I19" s="28" t="n">
        <v>2600</v>
      </c>
      <c r="J19" s="31" t="n">
        <f aca="false">IF(H19="","",H19*N(I19))</f>
        <v>780000</v>
      </c>
      <c r="K19" s="69" t="n">
        <v>46315</v>
      </c>
      <c r="L19" s="83" t="n">
        <f aca="false">IF(A19="","",SUMIFS(MV_Qte,MV_BC,A19,MV_Code,E19,MV_Type,"Entrée"))</f>
        <v>0</v>
      </c>
      <c r="M19" s="83" t="n">
        <f aca="false">IF(A19="","",MAX(0,N(H19)-L19))</f>
        <v>300</v>
      </c>
      <c r="N19" s="74" t="str">
        <f aca="false">IF(A19="","",IF(M19&lt;=0,"Livrée",IF(AND(K19&lt;&gt;"",P_DateRef&gt;K19),"En retard",IF(L19&gt;0,"Partielle","En attente"))))</f>
        <v>En attente</v>
      </c>
      <c r="O19" s="25"/>
      <c r="P19" s="74" t="n">
        <f aca="false">IF(OR(A19="",N19="Livrée"),"",COUNTIFS($A$7:A19,"&lt;&gt;",$N$7:N19,"&lt;&gt;Livrée"))</f>
        <v>3</v>
      </c>
    </row>
    <row r="20" customFormat="false" ht="15" hidden="false" customHeight="false" outlineLevel="0" collapsed="false">
      <c r="A20" s="68"/>
      <c r="B20" s="69"/>
      <c r="C20" s="25"/>
      <c r="D20" s="25"/>
      <c r="E20" s="68"/>
      <c r="F20" s="76" t="str">
        <f aca="false">IF(E20="","",IFERROR(INDEX(ST_Design,MATCH(E20,ST_Code,0)),"Code inconnu"))</f>
        <v/>
      </c>
      <c r="G20" s="74" t="str">
        <f aca="false">IF(E20="","",IFERROR(INDEX(ST_Unite,MATCH(E20,ST_Code,0)),""))</f>
        <v/>
      </c>
      <c r="H20" s="82"/>
      <c r="I20" s="28"/>
      <c r="J20" s="31" t="str">
        <f aca="false">IF(H20="","",H20*N(I20))</f>
        <v/>
      </c>
      <c r="K20" s="69"/>
      <c r="L20" s="83" t="str">
        <f aca="false">IF(A20="","",SUMIFS(MV_Qte,MV_BC,A20,MV_Code,E20,MV_Type,"Entrée"))</f>
        <v/>
      </c>
      <c r="M20" s="83" t="str">
        <f aca="false">IF(A20="","",MAX(0,N(H20)-L20))</f>
        <v/>
      </c>
      <c r="N20" s="74" t="str">
        <f aca="false">IF(A20="","",IF(M20&lt;=0,"Livrée",IF(AND(K20&lt;&gt;"",P_DateRef&gt;K20),"En retard",IF(L20&gt;0,"Partielle","En attente"))))</f>
        <v/>
      </c>
      <c r="O20" s="25"/>
      <c r="P20" s="74" t="str">
        <f aca="false">IF(OR(A20="",N20="Livrée"),"",COUNTIFS($A$7:A20,"&lt;&gt;",$N$7:N20,"&lt;&gt;Livrée"))</f>
        <v/>
      </c>
    </row>
    <row r="21" customFormat="false" ht="15" hidden="false" customHeight="false" outlineLevel="0" collapsed="false">
      <c r="A21" s="68"/>
      <c r="B21" s="69"/>
      <c r="C21" s="25"/>
      <c r="D21" s="25"/>
      <c r="E21" s="68"/>
      <c r="F21" s="76" t="str">
        <f aca="false">IF(E21="","",IFERROR(INDEX(ST_Design,MATCH(E21,ST_Code,0)),"Code inconnu"))</f>
        <v/>
      </c>
      <c r="G21" s="74" t="str">
        <f aca="false">IF(E21="","",IFERROR(INDEX(ST_Unite,MATCH(E21,ST_Code,0)),""))</f>
        <v/>
      </c>
      <c r="H21" s="82"/>
      <c r="I21" s="28"/>
      <c r="J21" s="31" t="str">
        <f aca="false">IF(H21="","",H21*N(I21))</f>
        <v/>
      </c>
      <c r="K21" s="69"/>
      <c r="L21" s="83" t="str">
        <f aca="false">IF(A21="","",SUMIFS(MV_Qte,MV_BC,A21,MV_Code,E21,MV_Type,"Entrée"))</f>
        <v/>
      </c>
      <c r="M21" s="83" t="str">
        <f aca="false">IF(A21="","",MAX(0,N(H21)-L21))</f>
        <v/>
      </c>
      <c r="N21" s="74" t="str">
        <f aca="false">IF(A21="","",IF(M21&lt;=0,"Livrée",IF(AND(K21&lt;&gt;"",P_DateRef&gt;K21),"En retard",IF(L21&gt;0,"Partielle","En attente"))))</f>
        <v/>
      </c>
      <c r="O21" s="25"/>
      <c r="P21" s="74" t="str">
        <f aca="false">IF(OR(A21="",N21="Livrée"),"",COUNTIFS($A$7:A21,"&lt;&gt;",$N$7:N21,"&lt;&gt;Livrée"))</f>
        <v/>
      </c>
    </row>
    <row r="22" customFormat="false" ht="15" hidden="false" customHeight="false" outlineLevel="0" collapsed="false">
      <c r="A22" s="68"/>
      <c r="B22" s="69"/>
      <c r="C22" s="25"/>
      <c r="D22" s="25"/>
      <c r="E22" s="68"/>
      <c r="F22" s="76" t="str">
        <f aca="false">IF(E22="","",IFERROR(INDEX(ST_Design,MATCH(E22,ST_Code,0)),"Code inconnu"))</f>
        <v/>
      </c>
      <c r="G22" s="74" t="str">
        <f aca="false">IF(E22="","",IFERROR(INDEX(ST_Unite,MATCH(E22,ST_Code,0)),""))</f>
        <v/>
      </c>
      <c r="H22" s="82"/>
      <c r="I22" s="28"/>
      <c r="J22" s="31" t="str">
        <f aca="false">IF(H22="","",H22*N(I22))</f>
        <v/>
      </c>
      <c r="K22" s="69"/>
      <c r="L22" s="83" t="str">
        <f aca="false">IF(A22="","",SUMIFS(MV_Qte,MV_BC,A22,MV_Code,E22,MV_Type,"Entrée"))</f>
        <v/>
      </c>
      <c r="M22" s="83" t="str">
        <f aca="false">IF(A22="","",MAX(0,N(H22)-L22))</f>
        <v/>
      </c>
      <c r="N22" s="74" t="str">
        <f aca="false">IF(A22="","",IF(M22&lt;=0,"Livrée",IF(AND(K22&lt;&gt;"",P_DateRef&gt;K22),"En retard",IF(L22&gt;0,"Partielle","En attente"))))</f>
        <v/>
      </c>
      <c r="O22" s="25"/>
      <c r="P22" s="74" t="str">
        <f aca="false">IF(OR(A22="",N22="Livrée"),"",COUNTIFS($A$7:A22,"&lt;&gt;",$N$7:N22,"&lt;&gt;Livrée"))</f>
        <v/>
      </c>
    </row>
    <row r="23" customFormat="false" ht="15" hidden="false" customHeight="false" outlineLevel="0" collapsed="false">
      <c r="A23" s="68"/>
      <c r="B23" s="69"/>
      <c r="C23" s="25"/>
      <c r="D23" s="25"/>
      <c r="E23" s="68"/>
      <c r="F23" s="76" t="str">
        <f aca="false">IF(E23="","",IFERROR(INDEX(ST_Design,MATCH(E23,ST_Code,0)),"Code inconnu"))</f>
        <v/>
      </c>
      <c r="G23" s="74" t="str">
        <f aca="false">IF(E23="","",IFERROR(INDEX(ST_Unite,MATCH(E23,ST_Code,0)),""))</f>
        <v/>
      </c>
      <c r="H23" s="82"/>
      <c r="I23" s="28"/>
      <c r="J23" s="31" t="str">
        <f aca="false">IF(H23="","",H23*N(I23))</f>
        <v/>
      </c>
      <c r="K23" s="69"/>
      <c r="L23" s="83" t="str">
        <f aca="false">IF(A23="","",SUMIFS(MV_Qte,MV_BC,A23,MV_Code,E23,MV_Type,"Entrée"))</f>
        <v/>
      </c>
      <c r="M23" s="83" t="str">
        <f aca="false">IF(A23="","",MAX(0,N(H23)-L23))</f>
        <v/>
      </c>
      <c r="N23" s="74" t="str">
        <f aca="false">IF(A23="","",IF(M23&lt;=0,"Livrée",IF(AND(K23&lt;&gt;"",P_DateRef&gt;K23),"En retard",IF(L23&gt;0,"Partielle","En attente"))))</f>
        <v/>
      </c>
      <c r="O23" s="25"/>
      <c r="P23" s="74" t="str">
        <f aca="false">IF(OR(A23="",N23="Livrée"),"",COUNTIFS($A$7:A23,"&lt;&gt;",$N$7:N23,"&lt;&gt;Livrée"))</f>
        <v/>
      </c>
    </row>
    <row r="24" customFormat="false" ht="15" hidden="false" customHeight="false" outlineLevel="0" collapsed="false">
      <c r="A24" s="68"/>
      <c r="B24" s="69"/>
      <c r="C24" s="25"/>
      <c r="D24" s="25"/>
      <c r="E24" s="68"/>
      <c r="F24" s="76" t="str">
        <f aca="false">IF(E24="","",IFERROR(INDEX(ST_Design,MATCH(E24,ST_Code,0)),"Code inconnu"))</f>
        <v/>
      </c>
      <c r="G24" s="74" t="str">
        <f aca="false">IF(E24="","",IFERROR(INDEX(ST_Unite,MATCH(E24,ST_Code,0)),""))</f>
        <v/>
      </c>
      <c r="H24" s="82"/>
      <c r="I24" s="28"/>
      <c r="J24" s="31" t="str">
        <f aca="false">IF(H24="","",H24*N(I24))</f>
        <v/>
      </c>
      <c r="K24" s="69"/>
      <c r="L24" s="83" t="str">
        <f aca="false">IF(A24="","",SUMIFS(MV_Qte,MV_BC,A24,MV_Code,E24,MV_Type,"Entrée"))</f>
        <v/>
      </c>
      <c r="M24" s="83" t="str">
        <f aca="false">IF(A24="","",MAX(0,N(H24)-L24))</f>
        <v/>
      </c>
      <c r="N24" s="74" t="str">
        <f aca="false">IF(A24="","",IF(M24&lt;=0,"Livrée",IF(AND(K24&lt;&gt;"",P_DateRef&gt;K24),"En retard",IF(L24&gt;0,"Partielle","En attente"))))</f>
        <v/>
      </c>
      <c r="O24" s="25"/>
      <c r="P24" s="74" t="str">
        <f aca="false">IF(OR(A24="",N24="Livrée"),"",COUNTIFS($A$7:A24,"&lt;&gt;",$N$7:N24,"&lt;&gt;Livrée"))</f>
        <v/>
      </c>
    </row>
    <row r="25" customFormat="false" ht="15" hidden="false" customHeight="false" outlineLevel="0" collapsed="false">
      <c r="A25" s="68"/>
      <c r="B25" s="69"/>
      <c r="C25" s="25"/>
      <c r="D25" s="25"/>
      <c r="E25" s="68"/>
      <c r="F25" s="76" t="str">
        <f aca="false">IF(E25="","",IFERROR(INDEX(ST_Design,MATCH(E25,ST_Code,0)),"Code inconnu"))</f>
        <v/>
      </c>
      <c r="G25" s="74" t="str">
        <f aca="false">IF(E25="","",IFERROR(INDEX(ST_Unite,MATCH(E25,ST_Code,0)),""))</f>
        <v/>
      </c>
      <c r="H25" s="82"/>
      <c r="I25" s="28"/>
      <c r="J25" s="31" t="str">
        <f aca="false">IF(H25="","",H25*N(I25))</f>
        <v/>
      </c>
      <c r="K25" s="69"/>
      <c r="L25" s="83" t="str">
        <f aca="false">IF(A25="","",SUMIFS(MV_Qte,MV_BC,A25,MV_Code,E25,MV_Type,"Entrée"))</f>
        <v/>
      </c>
      <c r="M25" s="83" t="str">
        <f aca="false">IF(A25="","",MAX(0,N(H25)-L25))</f>
        <v/>
      </c>
      <c r="N25" s="74" t="str">
        <f aca="false">IF(A25="","",IF(M25&lt;=0,"Livrée",IF(AND(K25&lt;&gt;"",P_DateRef&gt;K25),"En retard",IF(L25&gt;0,"Partielle","En attente"))))</f>
        <v/>
      </c>
      <c r="O25" s="25"/>
      <c r="P25" s="74" t="str">
        <f aca="false">IF(OR(A25="",N25="Livrée"),"",COUNTIFS($A$7:A25,"&lt;&gt;",$N$7:N25,"&lt;&gt;Livrée"))</f>
        <v/>
      </c>
    </row>
    <row r="26" customFormat="false" ht="15" hidden="false" customHeight="false" outlineLevel="0" collapsed="false">
      <c r="A26" s="68"/>
      <c r="B26" s="69"/>
      <c r="C26" s="25"/>
      <c r="D26" s="25"/>
      <c r="E26" s="68"/>
      <c r="F26" s="76" t="str">
        <f aca="false">IF(E26="","",IFERROR(INDEX(ST_Design,MATCH(E26,ST_Code,0)),"Code inconnu"))</f>
        <v/>
      </c>
      <c r="G26" s="74" t="str">
        <f aca="false">IF(E26="","",IFERROR(INDEX(ST_Unite,MATCH(E26,ST_Code,0)),""))</f>
        <v/>
      </c>
      <c r="H26" s="82"/>
      <c r="I26" s="28"/>
      <c r="J26" s="31" t="str">
        <f aca="false">IF(H26="","",H26*N(I26))</f>
        <v/>
      </c>
      <c r="K26" s="69"/>
      <c r="L26" s="83" t="str">
        <f aca="false">IF(A26="","",SUMIFS(MV_Qte,MV_BC,A26,MV_Code,E26,MV_Type,"Entrée"))</f>
        <v/>
      </c>
      <c r="M26" s="83" t="str">
        <f aca="false">IF(A26="","",MAX(0,N(H26)-L26))</f>
        <v/>
      </c>
      <c r="N26" s="74" t="str">
        <f aca="false">IF(A26="","",IF(M26&lt;=0,"Livrée",IF(AND(K26&lt;&gt;"",P_DateRef&gt;K26),"En retard",IF(L26&gt;0,"Partielle","En attente"))))</f>
        <v/>
      </c>
      <c r="O26" s="25"/>
      <c r="P26" s="74" t="str">
        <f aca="false">IF(OR(A26="",N26="Livrée"),"",COUNTIFS($A$7:A26,"&lt;&gt;",$N$7:N26,"&lt;&gt;Livrée"))</f>
        <v/>
      </c>
    </row>
    <row r="27" customFormat="false" ht="15" hidden="false" customHeight="false" outlineLevel="0" collapsed="false">
      <c r="A27" s="68"/>
      <c r="B27" s="69"/>
      <c r="C27" s="25"/>
      <c r="D27" s="25"/>
      <c r="E27" s="68"/>
      <c r="F27" s="76" t="str">
        <f aca="false">IF(E27="","",IFERROR(INDEX(ST_Design,MATCH(E27,ST_Code,0)),"Code inconnu"))</f>
        <v/>
      </c>
      <c r="G27" s="74" t="str">
        <f aca="false">IF(E27="","",IFERROR(INDEX(ST_Unite,MATCH(E27,ST_Code,0)),""))</f>
        <v/>
      </c>
      <c r="H27" s="82"/>
      <c r="I27" s="28"/>
      <c r="J27" s="31" t="str">
        <f aca="false">IF(H27="","",H27*N(I27))</f>
        <v/>
      </c>
      <c r="K27" s="69"/>
      <c r="L27" s="83" t="str">
        <f aca="false">IF(A27="","",SUMIFS(MV_Qte,MV_BC,A27,MV_Code,E27,MV_Type,"Entrée"))</f>
        <v/>
      </c>
      <c r="M27" s="83" t="str">
        <f aca="false">IF(A27="","",MAX(0,N(H27)-L27))</f>
        <v/>
      </c>
      <c r="N27" s="74" t="str">
        <f aca="false">IF(A27="","",IF(M27&lt;=0,"Livrée",IF(AND(K27&lt;&gt;"",P_DateRef&gt;K27),"En retard",IF(L27&gt;0,"Partielle","En attente"))))</f>
        <v/>
      </c>
      <c r="O27" s="25"/>
      <c r="P27" s="74" t="str">
        <f aca="false">IF(OR(A27="",N27="Livrée"),"",COUNTIFS($A$7:A27,"&lt;&gt;",$N$7:N27,"&lt;&gt;Livrée"))</f>
        <v/>
      </c>
    </row>
    <row r="28" customFormat="false" ht="15" hidden="false" customHeight="false" outlineLevel="0" collapsed="false">
      <c r="A28" s="68"/>
      <c r="B28" s="69"/>
      <c r="C28" s="25"/>
      <c r="D28" s="25"/>
      <c r="E28" s="68"/>
      <c r="F28" s="76" t="str">
        <f aca="false">IF(E28="","",IFERROR(INDEX(ST_Design,MATCH(E28,ST_Code,0)),"Code inconnu"))</f>
        <v/>
      </c>
      <c r="G28" s="74" t="str">
        <f aca="false">IF(E28="","",IFERROR(INDEX(ST_Unite,MATCH(E28,ST_Code,0)),""))</f>
        <v/>
      </c>
      <c r="H28" s="82"/>
      <c r="I28" s="28"/>
      <c r="J28" s="31" t="str">
        <f aca="false">IF(H28="","",H28*N(I28))</f>
        <v/>
      </c>
      <c r="K28" s="69"/>
      <c r="L28" s="83" t="str">
        <f aca="false">IF(A28="","",SUMIFS(MV_Qte,MV_BC,A28,MV_Code,E28,MV_Type,"Entrée"))</f>
        <v/>
      </c>
      <c r="M28" s="83" t="str">
        <f aca="false">IF(A28="","",MAX(0,N(H28)-L28))</f>
        <v/>
      </c>
      <c r="N28" s="74" t="str">
        <f aca="false">IF(A28="","",IF(M28&lt;=0,"Livrée",IF(AND(K28&lt;&gt;"",P_DateRef&gt;K28),"En retard",IF(L28&gt;0,"Partielle","En attente"))))</f>
        <v/>
      </c>
      <c r="O28" s="25"/>
      <c r="P28" s="74" t="str">
        <f aca="false">IF(OR(A28="",N28="Livrée"),"",COUNTIFS($A$7:A28,"&lt;&gt;",$N$7:N28,"&lt;&gt;Livrée"))</f>
        <v/>
      </c>
    </row>
    <row r="29" customFormat="false" ht="15" hidden="false" customHeight="false" outlineLevel="0" collapsed="false">
      <c r="A29" s="68"/>
      <c r="B29" s="69"/>
      <c r="C29" s="25"/>
      <c r="D29" s="25"/>
      <c r="E29" s="68"/>
      <c r="F29" s="76" t="str">
        <f aca="false">IF(E29="","",IFERROR(INDEX(ST_Design,MATCH(E29,ST_Code,0)),"Code inconnu"))</f>
        <v/>
      </c>
      <c r="G29" s="74" t="str">
        <f aca="false">IF(E29="","",IFERROR(INDEX(ST_Unite,MATCH(E29,ST_Code,0)),""))</f>
        <v/>
      </c>
      <c r="H29" s="82"/>
      <c r="I29" s="28"/>
      <c r="J29" s="31" t="str">
        <f aca="false">IF(H29="","",H29*N(I29))</f>
        <v/>
      </c>
      <c r="K29" s="69"/>
      <c r="L29" s="83" t="str">
        <f aca="false">IF(A29="","",SUMIFS(MV_Qte,MV_BC,A29,MV_Code,E29,MV_Type,"Entrée"))</f>
        <v/>
      </c>
      <c r="M29" s="83" t="str">
        <f aca="false">IF(A29="","",MAX(0,N(H29)-L29))</f>
        <v/>
      </c>
      <c r="N29" s="74" t="str">
        <f aca="false">IF(A29="","",IF(M29&lt;=0,"Livrée",IF(AND(K29&lt;&gt;"",P_DateRef&gt;K29),"En retard",IF(L29&gt;0,"Partielle","En attente"))))</f>
        <v/>
      </c>
      <c r="O29" s="25"/>
      <c r="P29" s="74" t="str">
        <f aca="false">IF(OR(A29="",N29="Livrée"),"",COUNTIFS($A$7:A29,"&lt;&gt;",$N$7:N29,"&lt;&gt;Livrée"))</f>
        <v/>
      </c>
    </row>
    <row r="30" customFormat="false" ht="15" hidden="false" customHeight="false" outlineLevel="0" collapsed="false">
      <c r="A30" s="68"/>
      <c r="B30" s="69"/>
      <c r="C30" s="25"/>
      <c r="D30" s="25"/>
      <c r="E30" s="68"/>
      <c r="F30" s="76" t="str">
        <f aca="false">IF(E30="","",IFERROR(INDEX(ST_Design,MATCH(E30,ST_Code,0)),"Code inconnu"))</f>
        <v/>
      </c>
      <c r="G30" s="74" t="str">
        <f aca="false">IF(E30="","",IFERROR(INDEX(ST_Unite,MATCH(E30,ST_Code,0)),""))</f>
        <v/>
      </c>
      <c r="H30" s="82"/>
      <c r="I30" s="28"/>
      <c r="J30" s="31" t="str">
        <f aca="false">IF(H30="","",H30*N(I30))</f>
        <v/>
      </c>
      <c r="K30" s="69"/>
      <c r="L30" s="83" t="str">
        <f aca="false">IF(A30="","",SUMIFS(MV_Qte,MV_BC,A30,MV_Code,E30,MV_Type,"Entrée"))</f>
        <v/>
      </c>
      <c r="M30" s="83" t="str">
        <f aca="false">IF(A30="","",MAX(0,N(H30)-L30))</f>
        <v/>
      </c>
      <c r="N30" s="74" t="str">
        <f aca="false">IF(A30="","",IF(M30&lt;=0,"Livrée",IF(AND(K30&lt;&gt;"",P_DateRef&gt;K30),"En retard",IF(L30&gt;0,"Partielle","En attente"))))</f>
        <v/>
      </c>
      <c r="O30" s="25"/>
      <c r="P30" s="74" t="str">
        <f aca="false">IF(OR(A30="",N30="Livrée"),"",COUNTIFS($A$7:A30,"&lt;&gt;",$N$7:N30,"&lt;&gt;Livrée"))</f>
        <v/>
      </c>
    </row>
    <row r="31" customFormat="false" ht="15" hidden="false" customHeight="false" outlineLevel="0" collapsed="false">
      <c r="A31" s="68"/>
      <c r="B31" s="69"/>
      <c r="C31" s="25"/>
      <c r="D31" s="25"/>
      <c r="E31" s="68"/>
      <c r="F31" s="76" t="str">
        <f aca="false">IF(E31="","",IFERROR(INDEX(ST_Design,MATCH(E31,ST_Code,0)),"Code inconnu"))</f>
        <v/>
      </c>
      <c r="G31" s="74" t="str">
        <f aca="false">IF(E31="","",IFERROR(INDEX(ST_Unite,MATCH(E31,ST_Code,0)),""))</f>
        <v/>
      </c>
      <c r="H31" s="82"/>
      <c r="I31" s="28"/>
      <c r="J31" s="31" t="str">
        <f aca="false">IF(H31="","",H31*N(I31))</f>
        <v/>
      </c>
      <c r="K31" s="69"/>
      <c r="L31" s="83" t="str">
        <f aca="false">IF(A31="","",SUMIFS(MV_Qte,MV_BC,A31,MV_Code,E31,MV_Type,"Entrée"))</f>
        <v/>
      </c>
      <c r="M31" s="83" t="str">
        <f aca="false">IF(A31="","",MAX(0,N(H31)-L31))</f>
        <v/>
      </c>
      <c r="N31" s="74" t="str">
        <f aca="false">IF(A31="","",IF(M31&lt;=0,"Livrée",IF(AND(K31&lt;&gt;"",P_DateRef&gt;K31),"En retard",IF(L31&gt;0,"Partielle","En attente"))))</f>
        <v/>
      </c>
      <c r="O31" s="25"/>
      <c r="P31" s="74" t="str">
        <f aca="false">IF(OR(A31="",N31="Livrée"),"",COUNTIFS($A$7:A31,"&lt;&gt;",$N$7:N31,"&lt;&gt;Livrée"))</f>
        <v/>
      </c>
    </row>
    <row r="32" customFormat="false" ht="15" hidden="false" customHeight="false" outlineLevel="0" collapsed="false">
      <c r="A32" s="68"/>
      <c r="B32" s="69"/>
      <c r="C32" s="25"/>
      <c r="D32" s="25"/>
      <c r="E32" s="68"/>
      <c r="F32" s="76" t="str">
        <f aca="false">IF(E32="","",IFERROR(INDEX(ST_Design,MATCH(E32,ST_Code,0)),"Code inconnu"))</f>
        <v/>
      </c>
      <c r="G32" s="74" t="str">
        <f aca="false">IF(E32="","",IFERROR(INDEX(ST_Unite,MATCH(E32,ST_Code,0)),""))</f>
        <v/>
      </c>
      <c r="H32" s="82"/>
      <c r="I32" s="28"/>
      <c r="J32" s="31" t="str">
        <f aca="false">IF(H32="","",H32*N(I32))</f>
        <v/>
      </c>
      <c r="K32" s="69"/>
      <c r="L32" s="83" t="str">
        <f aca="false">IF(A32="","",SUMIFS(MV_Qte,MV_BC,A32,MV_Code,E32,MV_Type,"Entrée"))</f>
        <v/>
      </c>
      <c r="M32" s="83" t="str">
        <f aca="false">IF(A32="","",MAX(0,N(H32)-L32))</f>
        <v/>
      </c>
      <c r="N32" s="74" t="str">
        <f aca="false">IF(A32="","",IF(M32&lt;=0,"Livrée",IF(AND(K32&lt;&gt;"",P_DateRef&gt;K32),"En retard",IF(L32&gt;0,"Partielle","En attente"))))</f>
        <v/>
      </c>
      <c r="O32" s="25"/>
      <c r="P32" s="74" t="str">
        <f aca="false">IF(OR(A32="",N32="Livrée"),"",COUNTIFS($A$7:A32,"&lt;&gt;",$N$7:N32,"&lt;&gt;Livrée"))</f>
        <v/>
      </c>
    </row>
    <row r="33" customFormat="false" ht="15" hidden="false" customHeight="false" outlineLevel="0" collapsed="false">
      <c r="A33" s="68"/>
      <c r="B33" s="69"/>
      <c r="C33" s="25"/>
      <c r="D33" s="25"/>
      <c r="E33" s="68"/>
      <c r="F33" s="76" t="str">
        <f aca="false">IF(E33="","",IFERROR(INDEX(ST_Design,MATCH(E33,ST_Code,0)),"Code inconnu"))</f>
        <v/>
      </c>
      <c r="G33" s="74" t="str">
        <f aca="false">IF(E33="","",IFERROR(INDEX(ST_Unite,MATCH(E33,ST_Code,0)),""))</f>
        <v/>
      </c>
      <c r="H33" s="82"/>
      <c r="I33" s="28"/>
      <c r="J33" s="31" t="str">
        <f aca="false">IF(H33="","",H33*N(I33))</f>
        <v/>
      </c>
      <c r="K33" s="69"/>
      <c r="L33" s="83" t="str">
        <f aca="false">IF(A33="","",SUMIFS(MV_Qte,MV_BC,A33,MV_Code,E33,MV_Type,"Entrée"))</f>
        <v/>
      </c>
      <c r="M33" s="83" t="str">
        <f aca="false">IF(A33="","",MAX(0,N(H33)-L33))</f>
        <v/>
      </c>
      <c r="N33" s="74" t="str">
        <f aca="false">IF(A33="","",IF(M33&lt;=0,"Livrée",IF(AND(K33&lt;&gt;"",P_DateRef&gt;K33),"En retard",IF(L33&gt;0,"Partielle","En attente"))))</f>
        <v/>
      </c>
      <c r="O33" s="25"/>
      <c r="P33" s="74" t="str">
        <f aca="false">IF(OR(A33="",N33="Livrée"),"",COUNTIFS($A$7:A33,"&lt;&gt;",$N$7:N33,"&lt;&gt;Livrée"))</f>
        <v/>
      </c>
    </row>
    <row r="34" customFormat="false" ht="15" hidden="false" customHeight="false" outlineLevel="0" collapsed="false">
      <c r="A34" s="68"/>
      <c r="B34" s="69"/>
      <c r="C34" s="25"/>
      <c r="D34" s="25"/>
      <c r="E34" s="68"/>
      <c r="F34" s="76" t="str">
        <f aca="false">IF(E34="","",IFERROR(INDEX(ST_Design,MATCH(E34,ST_Code,0)),"Code inconnu"))</f>
        <v/>
      </c>
      <c r="G34" s="74" t="str">
        <f aca="false">IF(E34="","",IFERROR(INDEX(ST_Unite,MATCH(E34,ST_Code,0)),""))</f>
        <v/>
      </c>
      <c r="H34" s="82"/>
      <c r="I34" s="28"/>
      <c r="J34" s="31" t="str">
        <f aca="false">IF(H34="","",H34*N(I34))</f>
        <v/>
      </c>
      <c r="K34" s="69"/>
      <c r="L34" s="83" t="str">
        <f aca="false">IF(A34="","",SUMIFS(MV_Qte,MV_BC,A34,MV_Code,E34,MV_Type,"Entrée"))</f>
        <v/>
      </c>
      <c r="M34" s="83" t="str">
        <f aca="false">IF(A34="","",MAX(0,N(H34)-L34))</f>
        <v/>
      </c>
      <c r="N34" s="74" t="str">
        <f aca="false">IF(A34="","",IF(M34&lt;=0,"Livrée",IF(AND(K34&lt;&gt;"",P_DateRef&gt;K34),"En retard",IF(L34&gt;0,"Partielle","En attente"))))</f>
        <v/>
      </c>
      <c r="O34" s="25"/>
      <c r="P34" s="74" t="str">
        <f aca="false">IF(OR(A34="",N34="Livrée"),"",COUNTIFS($A$7:A34,"&lt;&gt;",$N$7:N34,"&lt;&gt;Livrée"))</f>
        <v/>
      </c>
    </row>
    <row r="35" customFormat="false" ht="15" hidden="false" customHeight="false" outlineLevel="0" collapsed="false">
      <c r="A35" s="68"/>
      <c r="B35" s="69"/>
      <c r="C35" s="25"/>
      <c r="D35" s="25"/>
      <c r="E35" s="68"/>
      <c r="F35" s="76" t="str">
        <f aca="false">IF(E35="","",IFERROR(INDEX(ST_Design,MATCH(E35,ST_Code,0)),"Code inconnu"))</f>
        <v/>
      </c>
      <c r="G35" s="74" t="str">
        <f aca="false">IF(E35="","",IFERROR(INDEX(ST_Unite,MATCH(E35,ST_Code,0)),""))</f>
        <v/>
      </c>
      <c r="H35" s="82"/>
      <c r="I35" s="28"/>
      <c r="J35" s="31" t="str">
        <f aca="false">IF(H35="","",H35*N(I35))</f>
        <v/>
      </c>
      <c r="K35" s="69"/>
      <c r="L35" s="83" t="str">
        <f aca="false">IF(A35="","",SUMIFS(MV_Qte,MV_BC,A35,MV_Code,E35,MV_Type,"Entrée"))</f>
        <v/>
      </c>
      <c r="M35" s="83" t="str">
        <f aca="false">IF(A35="","",MAX(0,N(H35)-L35))</f>
        <v/>
      </c>
      <c r="N35" s="74" t="str">
        <f aca="false">IF(A35="","",IF(M35&lt;=0,"Livrée",IF(AND(K35&lt;&gt;"",P_DateRef&gt;K35),"En retard",IF(L35&gt;0,"Partielle","En attente"))))</f>
        <v/>
      </c>
      <c r="O35" s="25"/>
      <c r="P35" s="74" t="str">
        <f aca="false">IF(OR(A35="",N35="Livrée"),"",COUNTIFS($A$7:A35,"&lt;&gt;",$N$7:N35,"&lt;&gt;Livrée"))</f>
        <v/>
      </c>
    </row>
    <row r="36" customFormat="false" ht="15" hidden="false" customHeight="false" outlineLevel="0" collapsed="false">
      <c r="A36" s="68"/>
      <c r="B36" s="69"/>
      <c r="C36" s="25"/>
      <c r="D36" s="25"/>
      <c r="E36" s="68"/>
      <c r="F36" s="76" t="str">
        <f aca="false">IF(E36="","",IFERROR(INDEX(ST_Design,MATCH(E36,ST_Code,0)),"Code inconnu"))</f>
        <v/>
      </c>
      <c r="G36" s="74" t="str">
        <f aca="false">IF(E36="","",IFERROR(INDEX(ST_Unite,MATCH(E36,ST_Code,0)),""))</f>
        <v/>
      </c>
      <c r="H36" s="82"/>
      <c r="I36" s="28"/>
      <c r="J36" s="31" t="str">
        <f aca="false">IF(H36="","",H36*N(I36))</f>
        <v/>
      </c>
      <c r="K36" s="69"/>
      <c r="L36" s="83" t="str">
        <f aca="false">IF(A36="","",SUMIFS(MV_Qte,MV_BC,A36,MV_Code,E36,MV_Type,"Entrée"))</f>
        <v/>
      </c>
      <c r="M36" s="83" t="str">
        <f aca="false">IF(A36="","",MAX(0,N(H36)-L36))</f>
        <v/>
      </c>
      <c r="N36" s="74" t="str">
        <f aca="false">IF(A36="","",IF(M36&lt;=0,"Livrée",IF(AND(K36&lt;&gt;"",P_DateRef&gt;K36),"En retard",IF(L36&gt;0,"Partielle","En attente"))))</f>
        <v/>
      </c>
      <c r="O36" s="25"/>
      <c r="P36" s="74" t="str">
        <f aca="false">IF(OR(A36="",N36="Livrée"),"",COUNTIFS($A$7:A36,"&lt;&gt;",$N$7:N36,"&lt;&gt;Livrée"))</f>
        <v/>
      </c>
    </row>
    <row r="37" customFormat="false" ht="15" hidden="false" customHeight="false" outlineLevel="0" collapsed="false">
      <c r="A37" s="68"/>
      <c r="B37" s="69"/>
      <c r="C37" s="25"/>
      <c r="D37" s="25"/>
      <c r="E37" s="68"/>
      <c r="F37" s="76" t="str">
        <f aca="false">IF(E37="","",IFERROR(INDEX(ST_Design,MATCH(E37,ST_Code,0)),"Code inconnu"))</f>
        <v/>
      </c>
      <c r="G37" s="74" t="str">
        <f aca="false">IF(E37="","",IFERROR(INDEX(ST_Unite,MATCH(E37,ST_Code,0)),""))</f>
        <v/>
      </c>
      <c r="H37" s="82"/>
      <c r="I37" s="28"/>
      <c r="J37" s="31" t="str">
        <f aca="false">IF(H37="","",H37*N(I37))</f>
        <v/>
      </c>
      <c r="K37" s="69"/>
      <c r="L37" s="83" t="str">
        <f aca="false">IF(A37="","",SUMIFS(MV_Qte,MV_BC,A37,MV_Code,E37,MV_Type,"Entrée"))</f>
        <v/>
      </c>
      <c r="M37" s="83" t="str">
        <f aca="false">IF(A37="","",MAX(0,N(H37)-L37))</f>
        <v/>
      </c>
      <c r="N37" s="74" t="str">
        <f aca="false">IF(A37="","",IF(M37&lt;=0,"Livrée",IF(AND(K37&lt;&gt;"",P_DateRef&gt;K37),"En retard",IF(L37&gt;0,"Partielle","En attente"))))</f>
        <v/>
      </c>
      <c r="O37" s="25"/>
      <c r="P37" s="74" t="str">
        <f aca="false">IF(OR(A37="",N37="Livrée"),"",COUNTIFS($A$7:A37,"&lt;&gt;",$N$7:N37,"&lt;&gt;Livrée"))</f>
        <v/>
      </c>
    </row>
    <row r="38" customFormat="false" ht="15" hidden="false" customHeight="false" outlineLevel="0" collapsed="false">
      <c r="A38" s="68"/>
      <c r="B38" s="69"/>
      <c r="C38" s="25"/>
      <c r="D38" s="25"/>
      <c r="E38" s="68"/>
      <c r="F38" s="76" t="str">
        <f aca="false">IF(E38="","",IFERROR(INDEX(ST_Design,MATCH(E38,ST_Code,0)),"Code inconnu"))</f>
        <v/>
      </c>
      <c r="G38" s="74" t="str">
        <f aca="false">IF(E38="","",IFERROR(INDEX(ST_Unite,MATCH(E38,ST_Code,0)),""))</f>
        <v/>
      </c>
      <c r="H38" s="82"/>
      <c r="I38" s="28"/>
      <c r="J38" s="31" t="str">
        <f aca="false">IF(H38="","",H38*N(I38))</f>
        <v/>
      </c>
      <c r="K38" s="69"/>
      <c r="L38" s="83" t="str">
        <f aca="false">IF(A38="","",SUMIFS(MV_Qte,MV_BC,A38,MV_Code,E38,MV_Type,"Entrée"))</f>
        <v/>
      </c>
      <c r="M38" s="83" t="str">
        <f aca="false">IF(A38="","",MAX(0,N(H38)-L38))</f>
        <v/>
      </c>
      <c r="N38" s="74" t="str">
        <f aca="false">IF(A38="","",IF(M38&lt;=0,"Livrée",IF(AND(K38&lt;&gt;"",P_DateRef&gt;K38),"En retard",IF(L38&gt;0,"Partielle","En attente"))))</f>
        <v/>
      </c>
      <c r="O38" s="25"/>
      <c r="P38" s="74" t="str">
        <f aca="false">IF(OR(A38="",N38="Livrée"),"",COUNTIFS($A$7:A38,"&lt;&gt;",$N$7:N38,"&lt;&gt;Livrée"))</f>
        <v/>
      </c>
    </row>
    <row r="39" customFormat="false" ht="15" hidden="false" customHeight="false" outlineLevel="0" collapsed="false">
      <c r="A39" s="68"/>
      <c r="B39" s="69"/>
      <c r="C39" s="25"/>
      <c r="D39" s="25"/>
      <c r="E39" s="68"/>
      <c r="F39" s="76" t="str">
        <f aca="false">IF(E39="","",IFERROR(INDEX(ST_Design,MATCH(E39,ST_Code,0)),"Code inconnu"))</f>
        <v/>
      </c>
      <c r="G39" s="74" t="str">
        <f aca="false">IF(E39="","",IFERROR(INDEX(ST_Unite,MATCH(E39,ST_Code,0)),""))</f>
        <v/>
      </c>
      <c r="H39" s="82"/>
      <c r="I39" s="28"/>
      <c r="J39" s="31" t="str">
        <f aca="false">IF(H39="","",H39*N(I39))</f>
        <v/>
      </c>
      <c r="K39" s="69"/>
      <c r="L39" s="83" t="str">
        <f aca="false">IF(A39="","",SUMIFS(MV_Qte,MV_BC,A39,MV_Code,E39,MV_Type,"Entrée"))</f>
        <v/>
      </c>
      <c r="M39" s="83" t="str">
        <f aca="false">IF(A39="","",MAX(0,N(H39)-L39))</f>
        <v/>
      </c>
      <c r="N39" s="74" t="str">
        <f aca="false">IF(A39="","",IF(M39&lt;=0,"Livrée",IF(AND(K39&lt;&gt;"",P_DateRef&gt;K39),"En retard",IF(L39&gt;0,"Partielle","En attente"))))</f>
        <v/>
      </c>
      <c r="O39" s="25"/>
      <c r="P39" s="74" t="str">
        <f aca="false">IF(OR(A39="",N39="Livrée"),"",COUNTIFS($A$7:A39,"&lt;&gt;",$N$7:N39,"&lt;&gt;Livrée"))</f>
        <v/>
      </c>
    </row>
    <row r="40" customFormat="false" ht="15" hidden="false" customHeight="false" outlineLevel="0" collapsed="false">
      <c r="A40" s="68"/>
      <c r="B40" s="69"/>
      <c r="C40" s="25"/>
      <c r="D40" s="25"/>
      <c r="E40" s="68"/>
      <c r="F40" s="76" t="str">
        <f aca="false">IF(E40="","",IFERROR(INDEX(ST_Design,MATCH(E40,ST_Code,0)),"Code inconnu"))</f>
        <v/>
      </c>
      <c r="G40" s="74" t="str">
        <f aca="false">IF(E40="","",IFERROR(INDEX(ST_Unite,MATCH(E40,ST_Code,0)),""))</f>
        <v/>
      </c>
      <c r="H40" s="82"/>
      <c r="I40" s="28"/>
      <c r="J40" s="31" t="str">
        <f aca="false">IF(H40="","",H40*N(I40))</f>
        <v/>
      </c>
      <c r="K40" s="69"/>
      <c r="L40" s="83" t="str">
        <f aca="false">IF(A40="","",SUMIFS(MV_Qte,MV_BC,A40,MV_Code,E40,MV_Type,"Entrée"))</f>
        <v/>
      </c>
      <c r="M40" s="83" t="str">
        <f aca="false">IF(A40="","",MAX(0,N(H40)-L40))</f>
        <v/>
      </c>
      <c r="N40" s="74" t="str">
        <f aca="false">IF(A40="","",IF(M40&lt;=0,"Livrée",IF(AND(K40&lt;&gt;"",P_DateRef&gt;K40),"En retard",IF(L40&gt;0,"Partielle","En attente"))))</f>
        <v/>
      </c>
      <c r="O40" s="25"/>
      <c r="P40" s="74" t="str">
        <f aca="false">IF(OR(A40="",N40="Livrée"),"",COUNTIFS($A$7:A40,"&lt;&gt;",$N$7:N40,"&lt;&gt;Livrée"))</f>
        <v/>
      </c>
    </row>
    <row r="41" customFormat="false" ht="15" hidden="false" customHeight="false" outlineLevel="0" collapsed="false">
      <c r="A41" s="68"/>
      <c r="B41" s="69"/>
      <c r="C41" s="25"/>
      <c r="D41" s="25"/>
      <c r="E41" s="68"/>
      <c r="F41" s="76" t="str">
        <f aca="false">IF(E41="","",IFERROR(INDEX(ST_Design,MATCH(E41,ST_Code,0)),"Code inconnu"))</f>
        <v/>
      </c>
      <c r="G41" s="74" t="str">
        <f aca="false">IF(E41="","",IFERROR(INDEX(ST_Unite,MATCH(E41,ST_Code,0)),""))</f>
        <v/>
      </c>
      <c r="H41" s="82"/>
      <c r="I41" s="28"/>
      <c r="J41" s="31" t="str">
        <f aca="false">IF(H41="","",H41*N(I41))</f>
        <v/>
      </c>
      <c r="K41" s="69"/>
      <c r="L41" s="83" t="str">
        <f aca="false">IF(A41="","",SUMIFS(MV_Qte,MV_BC,A41,MV_Code,E41,MV_Type,"Entrée"))</f>
        <v/>
      </c>
      <c r="M41" s="83" t="str">
        <f aca="false">IF(A41="","",MAX(0,N(H41)-L41))</f>
        <v/>
      </c>
      <c r="N41" s="74" t="str">
        <f aca="false">IF(A41="","",IF(M41&lt;=0,"Livrée",IF(AND(K41&lt;&gt;"",P_DateRef&gt;K41),"En retard",IF(L41&gt;0,"Partielle","En attente"))))</f>
        <v/>
      </c>
      <c r="O41" s="25"/>
      <c r="P41" s="74" t="str">
        <f aca="false">IF(OR(A41="",N41="Livrée"),"",COUNTIFS($A$7:A41,"&lt;&gt;",$N$7:N41,"&lt;&gt;Livrée"))</f>
        <v/>
      </c>
    </row>
    <row r="42" customFormat="false" ht="15" hidden="false" customHeight="false" outlineLevel="0" collapsed="false">
      <c r="A42" s="68"/>
      <c r="B42" s="69"/>
      <c r="C42" s="25"/>
      <c r="D42" s="25"/>
      <c r="E42" s="68"/>
      <c r="F42" s="76" t="str">
        <f aca="false">IF(E42="","",IFERROR(INDEX(ST_Design,MATCH(E42,ST_Code,0)),"Code inconnu"))</f>
        <v/>
      </c>
      <c r="G42" s="74" t="str">
        <f aca="false">IF(E42="","",IFERROR(INDEX(ST_Unite,MATCH(E42,ST_Code,0)),""))</f>
        <v/>
      </c>
      <c r="H42" s="82"/>
      <c r="I42" s="28"/>
      <c r="J42" s="31" t="str">
        <f aca="false">IF(H42="","",H42*N(I42))</f>
        <v/>
      </c>
      <c r="K42" s="69"/>
      <c r="L42" s="83" t="str">
        <f aca="false">IF(A42="","",SUMIFS(MV_Qte,MV_BC,A42,MV_Code,E42,MV_Type,"Entrée"))</f>
        <v/>
      </c>
      <c r="M42" s="83" t="str">
        <f aca="false">IF(A42="","",MAX(0,N(H42)-L42))</f>
        <v/>
      </c>
      <c r="N42" s="74" t="str">
        <f aca="false">IF(A42="","",IF(M42&lt;=0,"Livrée",IF(AND(K42&lt;&gt;"",P_DateRef&gt;K42),"En retard",IF(L42&gt;0,"Partielle","En attente"))))</f>
        <v/>
      </c>
      <c r="O42" s="25"/>
      <c r="P42" s="74" t="str">
        <f aca="false">IF(OR(A42="",N42="Livrée"),"",COUNTIFS($A$7:A42,"&lt;&gt;",$N$7:N42,"&lt;&gt;Livrée"))</f>
        <v/>
      </c>
    </row>
    <row r="43" customFormat="false" ht="15" hidden="false" customHeight="false" outlineLevel="0" collapsed="false">
      <c r="A43" s="68"/>
      <c r="B43" s="69"/>
      <c r="C43" s="25"/>
      <c r="D43" s="25"/>
      <c r="E43" s="68"/>
      <c r="F43" s="76" t="str">
        <f aca="false">IF(E43="","",IFERROR(INDEX(ST_Design,MATCH(E43,ST_Code,0)),"Code inconnu"))</f>
        <v/>
      </c>
      <c r="G43" s="74" t="str">
        <f aca="false">IF(E43="","",IFERROR(INDEX(ST_Unite,MATCH(E43,ST_Code,0)),""))</f>
        <v/>
      </c>
      <c r="H43" s="82"/>
      <c r="I43" s="28"/>
      <c r="J43" s="31" t="str">
        <f aca="false">IF(H43="","",H43*N(I43))</f>
        <v/>
      </c>
      <c r="K43" s="69"/>
      <c r="L43" s="83" t="str">
        <f aca="false">IF(A43="","",SUMIFS(MV_Qte,MV_BC,A43,MV_Code,E43,MV_Type,"Entrée"))</f>
        <v/>
      </c>
      <c r="M43" s="83" t="str">
        <f aca="false">IF(A43="","",MAX(0,N(H43)-L43))</f>
        <v/>
      </c>
      <c r="N43" s="74" t="str">
        <f aca="false">IF(A43="","",IF(M43&lt;=0,"Livrée",IF(AND(K43&lt;&gt;"",P_DateRef&gt;K43),"En retard",IF(L43&gt;0,"Partielle","En attente"))))</f>
        <v/>
      </c>
      <c r="O43" s="25"/>
      <c r="P43" s="74" t="str">
        <f aca="false">IF(OR(A43="",N43="Livrée"),"",COUNTIFS($A$7:A43,"&lt;&gt;",$N$7:N43,"&lt;&gt;Livrée"))</f>
        <v/>
      </c>
    </row>
    <row r="44" customFormat="false" ht="15" hidden="false" customHeight="false" outlineLevel="0" collapsed="false">
      <c r="A44" s="68"/>
      <c r="B44" s="69"/>
      <c r="C44" s="25"/>
      <c r="D44" s="25"/>
      <c r="E44" s="68"/>
      <c r="F44" s="76" t="str">
        <f aca="false">IF(E44="","",IFERROR(INDEX(ST_Design,MATCH(E44,ST_Code,0)),"Code inconnu"))</f>
        <v/>
      </c>
      <c r="G44" s="74" t="str">
        <f aca="false">IF(E44="","",IFERROR(INDEX(ST_Unite,MATCH(E44,ST_Code,0)),""))</f>
        <v/>
      </c>
      <c r="H44" s="82"/>
      <c r="I44" s="28"/>
      <c r="J44" s="31" t="str">
        <f aca="false">IF(H44="","",H44*N(I44))</f>
        <v/>
      </c>
      <c r="K44" s="69"/>
      <c r="L44" s="83" t="str">
        <f aca="false">IF(A44="","",SUMIFS(MV_Qte,MV_BC,A44,MV_Code,E44,MV_Type,"Entrée"))</f>
        <v/>
      </c>
      <c r="M44" s="83" t="str">
        <f aca="false">IF(A44="","",MAX(0,N(H44)-L44))</f>
        <v/>
      </c>
      <c r="N44" s="74" t="str">
        <f aca="false">IF(A44="","",IF(M44&lt;=0,"Livrée",IF(AND(K44&lt;&gt;"",P_DateRef&gt;K44),"En retard",IF(L44&gt;0,"Partielle","En attente"))))</f>
        <v/>
      </c>
      <c r="O44" s="25"/>
      <c r="P44" s="74" t="str">
        <f aca="false">IF(OR(A44="",N44="Livrée"),"",COUNTIFS($A$7:A44,"&lt;&gt;",$N$7:N44,"&lt;&gt;Livrée"))</f>
        <v/>
      </c>
    </row>
    <row r="45" customFormat="false" ht="15" hidden="false" customHeight="false" outlineLevel="0" collapsed="false">
      <c r="A45" s="68"/>
      <c r="B45" s="69"/>
      <c r="C45" s="25"/>
      <c r="D45" s="25"/>
      <c r="E45" s="68"/>
      <c r="F45" s="76" t="str">
        <f aca="false">IF(E45="","",IFERROR(INDEX(ST_Design,MATCH(E45,ST_Code,0)),"Code inconnu"))</f>
        <v/>
      </c>
      <c r="G45" s="74" t="str">
        <f aca="false">IF(E45="","",IFERROR(INDEX(ST_Unite,MATCH(E45,ST_Code,0)),""))</f>
        <v/>
      </c>
      <c r="H45" s="82"/>
      <c r="I45" s="28"/>
      <c r="J45" s="31" t="str">
        <f aca="false">IF(H45="","",H45*N(I45))</f>
        <v/>
      </c>
      <c r="K45" s="69"/>
      <c r="L45" s="83" t="str">
        <f aca="false">IF(A45="","",SUMIFS(MV_Qte,MV_BC,A45,MV_Code,E45,MV_Type,"Entrée"))</f>
        <v/>
      </c>
      <c r="M45" s="83" t="str">
        <f aca="false">IF(A45="","",MAX(0,N(H45)-L45))</f>
        <v/>
      </c>
      <c r="N45" s="74" t="str">
        <f aca="false">IF(A45="","",IF(M45&lt;=0,"Livrée",IF(AND(K45&lt;&gt;"",P_DateRef&gt;K45),"En retard",IF(L45&gt;0,"Partielle","En attente"))))</f>
        <v/>
      </c>
      <c r="O45" s="25"/>
      <c r="P45" s="74" t="str">
        <f aca="false">IF(OR(A45="",N45="Livrée"),"",COUNTIFS($A$7:A45,"&lt;&gt;",$N$7:N45,"&lt;&gt;Livrée"))</f>
        <v/>
      </c>
    </row>
    <row r="46" customFormat="false" ht="15" hidden="false" customHeight="false" outlineLevel="0" collapsed="false">
      <c r="A46" s="68"/>
      <c r="B46" s="69"/>
      <c r="C46" s="25"/>
      <c r="D46" s="25"/>
      <c r="E46" s="68"/>
      <c r="F46" s="76" t="str">
        <f aca="false">IF(E46="","",IFERROR(INDEX(ST_Design,MATCH(E46,ST_Code,0)),"Code inconnu"))</f>
        <v/>
      </c>
      <c r="G46" s="74" t="str">
        <f aca="false">IF(E46="","",IFERROR(INDEX(ST_Unite,MATCH(E46,ST_Code,0)),""))</f>
        <v/>
      </c>
      <c r="H46" s="82"/>
      <c r="I46" s="28"/>
      <c r="J46" s="31" t="str">
        <f aca="false">IF(H46="","",H46*N(I46))</f>
        <v/>
      </c>
      <c r="K46" s="69"/>
      <c r="L46" s="83" t="str">
        <f aca="false">IF(A46="","",SUMIFS(MV_Qte,MV_BC,A46,MV_Code,E46,MV_Type,"Entrée"))</f>
        <v/>
      </c>
      <c r="M46" s="83" t="str">
        <f aca="false">IF(A46="","",MAX(0,N(H46)-L46))</f>
        <v/>
      </c>
      <c r="N46" s="74" t="str">
        <f aca="false">IF(A46="","",IF(M46&lt;=0,"Livrée",IF(AND(K46&lt;&gt;"",P_DateRef&gt;K46),"En retard",IF(L46&gt;0,"Partielle","En attente"))))</f>
        <v/>
      </c>
      <c r="O46" s="25"/>
      <c r="P46" s="74" t="str">
        <f aca="false">IF(OR(A46="",N46="Livrée"),"",COUNTIFS($A$7:A46,"&lt;&gt;",$N$7:N46,"&lt;&gt;Livrée"))</f>
        <v/>
      </c>
    </row>
    <row r="47" customFormat="false" ht="15" hidden="false" customHeight="false" outlineLevel="0" collapsed="false">
      <c r="A47" s="68"/>
      <c r="B47" s="69"/>
      <c r="C47" s="25"/>
      <c r="D47" s="25"/>
      <c r="E47" s="68"/>
      <c r="F47" s="76" t="str">
        <f aca="false">IF(E47="","",IFERROR(INDEX(ST_Design,MATCH(E47,ST_Code,0)),"Code inconnu"))</f>
        <v/>
      </c>
      <c r="G47" s="74" t="str">
        <f aca="false">IF(E47="","",IFERROR(INDEX(ST_Unite,MATCH(E47,ST_Code,0)),""))</f>
        <v/>
      </c>
      <c r="H47" s="82"/>
      <c r="I47" s="28"/>
      <c r="J47" s="31" t="str">
        <f aca="false">IF(H47="","",H47*N(I47))</f>
        <v/>
      </c>
      <c r="K47" s="69"/>
      <c r="L47" s="83" t="str">
        <f aca="false">IF(A47="","",SUMIFS(MV_Qte,MV_BC,A47,MV_Code,E47,MV_Type,"Entrée"))</f>
        <v/>
      </c>
      <c r="M47" s="83" t="str">
        <f aca="false">IF(A47="","",MAX(0,N(H47)-L47))</f>
        <v/>
      </c>
      <c r="N47" s="74" t="str">
        <f aca="false">IF(A47="","",IF(M47&lt;=0,"Livrée",IF(AND(K47&lt;&gt;"",P_DateRef&gt;K47),"En retard",IF(L47&gt;0,"Partielle","En attente"))))</f>
        <v/>
      </c>
      <c r="O47" s="25"/>
      <c r="P47" s="74" t="str">
        <f aca="false">IF(OR(A47="",N47="Livrée"),"",COUNTIFS($A$7:A47,"&lt;&gt;",$N$7:N47,"&lt;&gt;Livrée"))</f>
        <v/>
      </c>
    </row>
    <row r="48" customFormat="false" ht="15" hidden="false" customHeight="false" outlineLevel="0" collapsed="false">
      <c r="A48" s="68"/>
      <c r="B48" s="69"/>
      <c r="C48" s="25"/>
      <c r="D48" s="25"/>
      <c r="E48" s="68"/>
      <c r="F48" s="76" t="str">
        <f aca="false">IF(E48="","",IFERROR(INDEX(ST_Design,MATCH(E48,ST_Code,0)),"Code inconnu"))</f>
        <v/>
      </c>
      <c r="G48" s="74" t="str">
        <f aca="false">IF(E48="","",IFERROR(INDEX(ST_Unite,MATCH(E48,ST_Code,0)),""))</f>
        <v/>
      </c>
      <c r="H48" s="82"/>
      <c r="I48" s="28"/>
      <c r="J48" s="31" t="str">
        <f aca="false">IF(H48="","",H48*N(I48))</f>
        <v/>
      </c>
      <c r="K48" s="69"/>
      <c r="L48" s="83" t="str">
        <f aca="false">IF(A48="","",SUMIFS(MV_Qte,MV_BC,A48,MV_Code,E48,MV_Type,"Entrée"))</f>
        <v/>
      </c>
      <c r="M48" s="83" t="str">
        <f aca="false">IF(A48="","",MAX(0,N(H48)-L48))</f>
        <v/>
      </c>
      <c r="N48" s="74" t="str">
        <f aca="false">IF(A48="","",IF(M48&lt;=0,"Livrée",IF(AND(K48&lt;&gt;"",P_DateRef&gt;K48),"En retard",IF(L48&gt;0,"Partielle","En attente"))))</f>
        <v/>
      </c>
      <c r="O48" s="25"/>
      <c r="P48" s="74" t="str">
        <f aca="false">IF(OR(A48="",N48="Livrée"),"",COUNTIFS($A$7:A48,"&lt;&gt;",$N$7:N48,"&lt;&gt;Livrée"))</f>
        <v/>
      </c>
    </row>
    <row r="49" customFormat="false" ht="15" hidden="false" customHeight="false" outlineLevel="0" collapsed="false">
      <c r="A49" s="68"/>
      <c r="B49" s="69"/>
      <c r="C49" s="25"/>
      <c r="D49" s="25"/>
      <c r="E49" s="68"/>
      <c r="F49" s="76" t="str">
        <f aca="false">IF(E49="","",IFERROR(INDEX(ST_Design,MATCH(E49,ST_Code,0)),"Code inconnu"))</f>
        <v/>
      </c>
      <c r="G49" s="74" t="str">
        <f aca="false">IF(E49="","",IFERROR(INDEX(ST_Unite,MATCH(E49,ST_Code,0)),""))</f>
        <v/>
      </c>
      <c r="H49" s="82"/>
      <c r="I49" s="28"/>
      <c r="J49" s="31" t="str">
        <f aca="false">IF(H49="","",H49*N(I49))</f>
        <v/>
      </c>
      <c r="K49" s="69"/>
      <c r="L49" s="83" t="str">
        <f aca="false">IF(A49="","",SUMIFS(MV_Qte,MV_BC,A49,MV_Code,E49,MV_Type,"Entrée"))</f>
        <v/>
      </c>
      <c r="M49" s="83" t="str">
        <f aca="false">IF(A49="","",MAX(0,N(H49)-L49))</f>
        <v/>
      </c>
      <c r="N49" s="74" t="str">
        <f aca="false">IF(A49="","",IF(M49&lt;=0,"Livrée",IF(AND(K49&lt;&gt;"",P_DateRef&gt;K49),"En retard",IF(L49&gt;0,"Partielle","En attente"))))</f>
        <v/>
      </c>
      <c r="O49" s="25"/>
      <c r="P49" s="74" t="str">
        <f aca="false">IF(OR(A49="",N49="Livrée"),"",COUNTIFS($A$7:A49,"&lt;&gt;",$N$7:N49,"&lt;&gt;Livrée"))</f>
        <v/>
      </c>
    </row>
    <row r="50" customFormat="false" ht="15" hidden="false" customHeight="false" outlineLevel="0" collapsed="false">
      <c r="A50" s="68"/>
      <c r="B50" s="69"/>
      <c r="C50" s="25"/>
      <c r="D50" s="25"/>
      <c r="E50" s="68"/>
      <c r="F50" s="76" t="str">
        <f aca="false">IF(E50="","",IFERROR(INDEX(ST_Design,MATCH(E50,ST_Code,0)),"Code inconnu"))</f>
        <v/>
      </c>
      <c r="G50" s="74" t="str">
        <f aca="false">IF(E50="","",IFERROR(INDEX(ST_Unite,MATCH(E50,ST_Code,0)),""))</f>
        <v/>
      </c>
      <c r="H50" s="82"/>
      <c r="I50" s="28"/>
      <c r="J50" s="31" t="str">
        <f aca="false">IF(H50="","",H50*N(I50))</f>
        <v/>
      </c>
      <c r="K50" s="69"/>
      <c r="L50" s="83" t="str">
        <f aca="false">IF(A50="","",SUMIFS(MV_Qte,MV_BC,A50,MV_Code,E50,MV_Type,"Entrée"))</f>
        <v/>
      </c>
      <c r="M50" s="83" t="str">
        <f aca="false">IF(A50="","",MAX(0,N(H50)-L50))</f>
        <v/>
      </c>
      <c r="N50" s="74" t="str">
        <f aca="false">IF(A50="","",IF(M50&lt;=0,"Livrée",IF(AND(K50&lt;&gt;"",P_DateRef&gt;K50),"En retard",IF(L50&gt;0,"Partielle","En attente"))))</f>
        <v/>
      </c>
      <c r="O50" s="25"/>
      <c r="P50" s="74" t="str">
        <f aca="false">IF(OR(A50="",N50="Livrée"),"",COUNTIFS($A$7:A50,"&lt;&gt;",$N$7:N50,"&lt;&gt;Livrée"))</f>
        <v/>
      </c>
    </row>
    <row r="51" customFormat="false" ht="15" hidden="false" customHeight="false" outlineLevel="0" collapsed="false">
      <c r="A51" s="68"/>
      <c r="B51" s="69"/>
      <c r="C51" s="25"/>
      <c r="D51" s="25"/>
      <c r="E51" s="68"/>
      <c r="F51" s="76" t="str">
        <f aca="false">IF(E51="","",IFERROR(INDEX(ST_Design,MATCH(E51,ST_Code,0)),"Code inconnu"))</f>
        <v/>
      </c>
      <c r="G51" s="74" t="str">
        <f aca="false">IF(E51="","",IFERROR(INDEX(ST_Unite,MATCH(E51,ST_Code,0)),""))</f>
        <v/>
      </c>
      <c r="H51" s="82"/>
      <c r="I51" s="28"/>
      <c r="J51" s="31" t="str">
        <f aca="false">IF(H51="","",H51*N(I51))</f>
        <v/>
      </c>
      <c r="K51" s="69"/>
      <c r="L51" s="83" t="str">
        <f aca="false">IF(A51="","",SUMIFS(MV_Qte,MV_BC,A51,MV_Code,E51,MV_Type,"Entrée"))</f>
        <v/>
      </c>
      <c r="M51" s="83" t="str">
        <f aca="false">IF(A51="","",MAX(0,N(H51)-L51))</f>
        <v/>
      </c>
      <c r="N51" s="74" t="str">
        <f aca="false">IF(A51="","",IF(M51&lt;=0,"Livrée",IF(AND(K51&lt;&gt;"",P_DateRef&gt;K51),"En retard",IF(L51&gt;0,"Partielle","En attente"))))</f>
        <v/>
      </c>
      <c r="O51" s="25"/>
      <c r="P51" s="74" t="str">
        <f aca="false">IF(OR(A51="",N51="Livrée"),"",COUNTIFS($A$7:A51,"&lt;&gt;",$N$7:N51,"&lt;&gt;Livrée"))</f>
        <v/>
      </c>
    </row>
    <row r="52" customFormat="false" ht="15" hidden="false" customHeight="false" outlineLevel="0" collapsed="false">
      <c r="A52" s="68"/>
      <c r="B52" s="69"/>
      <c r="C52" s="25"/>
      <c r="D52" s="25"/>
      <c r="E52" s="68"/>
      <c r="F52" s="76" t="str">
        <f aca="false">IF(E52="","",IFERROR(INDEX(ST_Design,MATCH(E52,ST_Code,0)),"Code inconnu"))</f>
        <v/>
      </c>
      <c r="G52" s="74" t="str">
        <f aca="false">IF(E52="","",IFERROR(INDEX(ST_Unite,MATCH(E52,ST_Code,0)),""))</f>
        <v/>
      </c>
      <c r="H52" s="82"/>
      <c r="I52" s="28"/>
      <c r="J52" s="31" t="str">
        <f aca="false">IF(H52="","",H52*N(I52))</f>
        <v/>
      </c>
      <c r="K52" s="69"/>
      <c r="L52" s="83" t="str">
        <f aca="false">IF(A52="","",SUMIFS(MV_Qte,MV_BC,A52,MV_Code,E52,MV_Type,"Entrée"))</f>
        <v/>
      </c>
      <c r="M52" s="83" t="str">
        <f aca="false">IF(A52="","",MAX(0,N(H52)-L52))</f>
        <v/>
      </c>
      <c r="N52" s="74" t="str">
        <f aca="false">IF(A52="","",IF(M52&lt;=0,"Livrée",IF(AND(K52&lt;&gt;"",P_DateRef&gt;K52),"En retard",IF(L52&gt;0,"Partielle","En attente"))))</f>
        <v/>
      </c>
      <c r="O52" s="25"/>
      <c r="P52" s="74" t="str">
        <f aca="false">IF(OR(A52="",N52="Livrée"),"",COUNTIFS($A$7:A52,"&lt;&gt;",$N$7:N52,"&lt;&gt;Livrée"))</f>
        <v/>
      </c>
    </row>
    <row r="53" customFormat="false" ht="15" hidden="false" customHeight="false" outlineLevel="0" collapsed="false">
      <c r="A53" s="68"/>
      <c r="B53" s="69"/>
      <c r="C53" s="25"/>
      <c r="D53" s="25"/>
      <c r="E53" s="68"/>
      <c r="F53" s="76" t="str">
        <f aca="false">IF(E53="","",IFERROR(INDEX(ST_Design,MATCH(E53,ST_Code,0)),"Code inconnu"))</f>
        <v/>
      </c>
      <c r="G53" s="74" t="str">
        <f aca="false">IF(E53="","",IFERROR(INDEX(ST_Unite,MATCH(E53,ST_Code,0)),""))</f>
        <v/>
      </c>
      <c r="H53" s="82"/>
      <c r="I53" s="28"/>
      <c r="J53" s="31" t="str">
        <f aca="false">IF(H53="","",H53*N(I53))</f>
        <v/>
      </c>
      <c r="K53" s="69"/>
      <c r="L53" s="83" t="str">
        <f aca="false">IF(A53="","",SUMIFS(MV_Qte,MV_BC,A53,MV_Code,E53,MV_Type,"Entrée"))</f>
        <v/>
      </c>
      <c r="M53" s="83" t="str">
        <f aca="false">IF(A53="","",MAX(0,N(H53)-L53))</f>
        <v/>
      </c>
      <c r="N53" s="74" t="str">
        <f aca="false">IF(A53="","",IF(M53&lt;=0,"Livrée",IF(AND(K53&lt;&gt;"",P_DateRef&gt;K53),"En retard",IF(L53&gt;0,"Partielle","En attente"))))</f>
        <v/>
      </c>
      <c r="O53" s="25"/>
      <c r="P53" s="74" t="str">
        <f aca="false">IF(OR(A53="",N53="Livrée"),"",COUNTIFS($A$7:A53,"&lt;&gt;",$N$7:N53,"&lt;&gt;Livrée"))</f>
        <v/>
      </c>
    </row>
    <row r="54" customFormat="false" ht="15" hidden="false" customHeight="false" outlineLevel="0" collapsed="false">
      <c r="A54" s="68"/>
      <c r="B54" s="69"/>
      <c r="C54" s="25"/>
      <c r="D54" s="25"/>
      <c r="E54" s="68"/>
      <c r="F54" s="76" t="str">
        <f aca="false">IF(E54="","",IFERROR(INDEX(ST_Design,MATCH(E54,ST_Code,0)),"Code inconnu"))</f>
        <v/>
      </c>
      <c r="G54" s="74" t="str">
        <f aca="false">IF(E54="","",IFERROR(INDEX(ST_Unite,MATCH(E54,ST_Code,0)),""))</f>
        <v/>
      </c>
      <c r="H54" s="82"/>
      <c r="I54" s="28"/>
      <c r="J54" s="31" t="str">
        <f aca="false">IF(H54="","",H54*N(I54))</f>
        <v/>
      </c>
      <c r="K54" s="69"/>
      <c r="L54" s="83" t="str">
        <f aca="false">IF(A54="","",SUMIFS(MV_Qte,MV_BC,A54,MV_Code,E54,MV_Type,"Entrée"))</f>
        <v/>
      </c>
      <c r="M54" s="83" t="str">
        <f aca="false">IF(A54="","",MAX(0,N(H54)-L54))</f>
        <v/>
      </c>
      <c r="N54" s="74" t="str">
        <f aca="false">IF(A54="","",IF(M54&lt;=0,"Livrée",IF(AND(K54&lt;&gt;"",P_DateRef&gt;K54),"En retard",IF(L54&gt;0,"Partielle","En attente"))))</f>
        <v/>
      </c>
      <c r="O54" s="25"/>
      <c r="P54" s="74" t="str">
        <f aca="false">IF(OR(A54="",N54="Livrée"),"",COUNTIFS($A$7:A54,"&lt;&gt;",$N$7:N54,"&lt;&gt;Livrée"))</f>
        <v/>
      </c>
    </row>
    <row r="55" customFormat="false" ht="15" hidden="false" customHeight="false" outlineLevel="0" collapsed="false">
      <c r="A55" s="68"/>
      <c r="B55" s="69"/>
      <c r="C55" s="25"/>
      <c r="D55" s="25"/>
      <c r="E55" s="68"/>
      <c r="F55" s="76" t="str">
        <f aca="false">IF(E55="","",IFERROR(INDEX(ST_Design,MATCH(E55,ST_Code,0)),"Code inconnu"))</f>
        <v/>
      </c>
      <c r="G55" s="74" t="str">
        <f aca="false">IF(E55="","",IFERROR(INDEX(ST_Unite,MATCH(E55,ST_Code,0)),""))</f>
        <v/>
      </c>
      <c r="H55" s="82"/>
      <c r="I55" s="28"/>
      <c r="J55" s="31" t="str">
        <f aca="false">IF(H55="","",H55*N(I55))</f>
        <v/>
      </c>
      <c r="K55" s="69"/>
      <c r="L55" s="83" t="str">
        <f aca="false">IF(A55="","",SUMIFS(MV_Qte,MV_BC,A55,MV_Code,E55,MV_Type,"Entrée"))</f>
        <v/>
      </c>
      <c r="M55" s="83" t="str">
        <f aca="false">IF(A55="","",MAX(0,N(H55)-L55))</f>
        <v/>
      </c>
      <c r="N55" s="74" t="str">
        <f aca="false">IF(A55="","",IF(M55&lt;=0,"Livrée",IF(AND(K55&lt;&gt;"",P_DateRef&gt;K55),"En retard",IF(L55&gt;0,"Partielle","En attente"))))</f>
        <v/>
      </c>
      <c r="O55" s="25"/>
      <c r="P55" s="74" t="str">
        <f aca="false">IF(OR(A55="",N55="Livrée"),"",COUNTIFS($A$7:A55,"&lt;&gt;",$N$7:N55,"&lt;&gt;Livrée"))</f>
        <v/>
      </c>
    </row>
    <row r="56" customFormat="false" ht="15" hidden="false" customHeight="false" outlineLevel="0" collapsed="false">
      <c r="A56" s="68"/>
      <c r="B56" s="69"/>
      <c r="C56" s="25"/>
      <c r="D56" s="25"/>
      <c r="E56" s="68"/>
      <c r="F56" s="76" t="str">
        <f aca="false">IF(E56="","",IFERROR(INDEX(ST_Design,MATCH(E56,ST_Code,0)),"Code inconnu"))</f>
        <v/>
      </c>
      <c r="G56" s="74" t="str">
        <f aca="false">IF(E56="","",IFERROR(INDEX(ST_Unite,MATCH(E56,ST_Code,0)),""))</f>
        <v/>
      </c>
      <c r="H56" s="82"/>
      <c r="I56" s="28"/>
      <c r="J56" s="31" t="str">
        <f aca="false">IF(H56="","",H56*N(I56))</f>
        <v/>
      </c>
      <c r="K56" s="69"/>
      <c r="L56" s="83" t="str">
        <f aca="false">IF(A56="","",SUMIFS(MV_Qte,MV_BC,A56,MV_Code,E56,MV_Type,"Entrée"))</f>
        <v/>
      </c>
      <c r="M56" s="83" t="str">
        <f aca="false">IF(A56="","",MAX(0,N(H56)-L56))</f>
        <v/>
      </c>
      <c r="N56" s="74" t="str">
        <f aca="false">IF(A56="","",IF(M56&lt;=0,"Livrée",IF(AND(K56&lt;&gt;"",P_DateRef&gt;K56),"En retard",IF(L56&gt;0,"Partielle","En attente"))))</f>
        <v/>
      </c>
      <c r="O56" s="25"/>
      <c r="P56" s="74" t="str">
        <f aca="false">IF(OR(A56="",N56="Livrée"),"",COUNTIFS($A$7:A56,"&lt;&gt;",$N$7:N56,"&lt;&gt;Livrée"))</f>
        <v/>
      </c>
    </row>
    <row r="57" customFormat="false" ht="15" hidden="false" customHeight="false" outlineLevel="0" collapsed="false">
      <c r="A57" s="68"/>
      <c r="B57" s="69"/>
      <c r="C57" s="25"/>
      <c r="D57" s="25"/>
      <c r="E57" s="68"/>
      <c r="F57" s="76" t="str">
        <f aca="false">IF(E57="","",IFERROR(INDEX(ST_Design,MATCH(E57,ST_Code,0)),"Code inconnu"))</f>
        <v/>
      </c>
      <c r="G57" s="74" t="str">
        <f aca="false">IF(E57="","",IFERROR(INDEX(ST_Unite,MATCH(E57,ST_Code,0)),""))</f>
        <v/>
      </c>
      <c r="H57" s="82"/>
      <c r="I57" s="28"/>
      <c r="J57" s="31" t="str">
        <f aca="false">IF(H57="","",H57*N(I57))</f>
        <v/>
      </c>
      <c r="K57" s="69"/>
      <c r="L57" s="83" t="str">
        <f aca="false">IF(A57="","",SUMIFS(MV_Qte,MV_BC,A57,MV_Code,E57,MV_Type,"Entrée"))</f>
        <v/>
      </c>
      <c r="M57" s="83" t="str">
        <f aca="false">IF(A57="","",MAX(0,N(H57)-L57))</f>
        <v/>
      </c>
      <c r="N57" s="74" t="str">
        <f aca="false">IF(A57="","",IF(M57&lt;=0,"Livrée",IF(AND(K57&lt;&gt;"",P_DateRef&gt;K57),"En retard",IF(L57&gt;0,"Partielle","En attente"))))</f>
        <v/>
      </c>
      <c r="O57" s="25"/>
      <c r="P57" s="74" t="str">
        <f aca="false">IF(OR(A57="",N57="Livrée"),"",COUNTIFS($A$7:A57,"&lt;&gt;",$N$7:N57,"&lt;&gt;Livrée"))</f>
        <v/>
      </c>
    </row>
    <row r="58" customFormat="false" ht="15" hidden="false" customHeight="false" outlineLevel="0" collapsed="false">
      <c r="A58" s="68"/>
      <c r="B58" s="69"/>
      <c r="C58" s="25"/>
      <c r="D58" s="25"/>
      <c r="E58" s="68"/>
      <c r="F58" s="76" t="str">
        <f aca="false">IF(E58="","",IFERROR(INDEX(ST_Design,MATCH(E58,ST_Code,0)),"Code inconnu"))</f>
        <v/>
      </c>
      <c r="G58" s="74" t="str">
        <f aca="false">IF(E58="","",IFERROR(INDEX(ST_Unite,MATCH(E58,ST_Code,0)),""))</f>
        <v/>
      </c>
      <c r="H58" s="82"/>
      <c r="I58" s="28"/>
      <c r="J58" s="31" t="str">
        <f aca="false">IF(H58="","",H58*N(I58))</f>
        <v/>
      </c>
      <c r="K58" s="69"/>
      <c r="L58" s="83" t="str">
        <f aca="false">IF(A58="","",SUMIFS(MV_Qte,MV_BC,A58,MV_Code,E58,MV_Type,"Entrée"))</f>
        <v/>
      </c>
      <c r="M58" s="83" t="str">
        <f aca="false">IF(A58="","",MAX(0,N(H58)-L58))</f>
        <v/>
      </c>
      <c r="N58" s="74" t="str">
        <f aca="false">IF(A58="","",IF(M58&lt;=0,"Livrée",IF(AND(K58&lt;&gt;"",P_DateRef&gt;K58),"En retard",IF(L58&gt;0,"Partielle","En attente"))))</f>
        <v/>
      </c>
      <c r="O58" s="25"/>
      <c r="P58" s="74" t="str">
        <f aca="false">IF(OR(A58="",N58="Livrée"),"",COUNTIFS($A$7:A58,"&lt;&gt;",$N$7:N58,"&lt;&gt;Livrée"))</f>
        <v/>
      </c>
    </row>
    <row r="59" customFormat="false" ht="15" hidden="false" customHeight="false" outlineLevel="0" collapsed="false">
      <c r="A59" s="68"/>
      <c r="B59" s="69"/>
      <c r="C59" s="25"/>
      <c r="D59" s="25"/>
      <c r="E59" s="68"/>
      <c r="F59" s="76" t="str">
        <f aca="false">IF(E59="","",IFERROR(INDEX(ST_Design,MATCH(E59,ST_Code,0)),"Code inconnu"))</f>
        <v/>
      </c>
      <c r="G59" s="74" t="str">
        <f aca="false">IF(E59="","",IFERROR(INDEX(ST_Unite,MATCH(E59,ST_Code,0)),""))</f>
        <v/>
      </c>
      <c r="H59" s="82"/>
      <c r="I59" s="28"/>
      <c r="J59" s="31" t="str">
        <f aca="false">IF(H59="","",H59*N(I59))</f>
        <v/>
      </c>
      <c r="K59" s="69"/>
      <c r="L59" s="83" t="str">
        <f aca="false">IF(A59="","",SUMIFS(MV_Qte,MV_BC,A59,MV_Code,E59,MV_Type,"Entrée"))</f>
        <v/>
      </c>
      <c r="M59" s="83" t="str">
        <f aca="false">IF(A59="","",MAX(0,N(H59)-L59))</f>
        <v/>
      </c>
      <c r="N59" s="74" t="str">
        <f aca="false">IF(A59="","",IF(M59&lt;=0,"Livrée",IF(AND(K59&lt;&gt;"",P_DateRef&gt;K59),"En retard",IF(L59&gt;0,"Partielle","En attente"))))</f>
        <v/>
      </c>
      <c r="O59" s="25"/>
      <c r="P59" s="74" t="str">
        <f aca="false">IF(OR(A59="",N59="Livrée"),"",COUNTIFS($A$7:A59,"&lt;&gt;",$N$7:N59,"&lt;&gt;Livrée"))</f>
        <v/>
      </c>
    </row>
    <row r="60" customFormat="false" ht="15" hidden="false" customHeight="false" outlineLevel="0" collapsed="false">
      <c r="A60" s="68"/>
      <c r="B60" s="69"/>
      <c r="C60" s="25"/>
      <c r="D60" s="25"/>
      <c r="E60" s="68"/>
      <c r="F60" s="76" t="str">
        <f aca="false">IF(E60="","",IFERROR(INDEX(ST_Design,MATCH(E60,ST_Code,0)),"Code inconnu"))</f>
        <v/>
      </c>
      <c r="G60" s="74" t="str">
        <f aca="false">IF(E60="","",IFERROR(INDEX(ST_Unite,MATCH(E60,ST_Code,0)),""))</f>
        <v/>
      </c>
      <c r="H60" s="82"/>
      <c r="I60" s="28"/>
      <c r="J60" s="31" t="str">
        <f aca="false">IF(H60="","",H60*N(I60))</f>
        <v/>
      </c>
      <c r="K60" s="69"/>
      <c r="L60" s="83" t="str">
        <f aca="false">IF(A60="","",SUMIFS(MV_Qte,MV_BC,A60,MV_Code,E60,MV_Type,"Entrée"))</f>
        <v/>
      </c>
      <c r="M60" s="83" t="str">
        <f aca="false">IF(A60="","",MAX(0,N(H60)-L60))</f>
        <v/>
      </c>
      <c r="N60" s="74" t="str">
        <f aca="false">IF(A60="","",IF(M60&lt;=0,"Livrée",IF(AND(K60&lt;&gt;"",P_DateRef&gt;K60),"En retard",IF(L60&gt;0,"Partielle","En attente"))))</f>
        <v/>
      </c>
      <c r="O60" s="25"/>
      <c r="P60" s="74" t="str">
        <f aca="false">IF(OR(A60="",N60="Livrée"),"",COUNTIFS($A$7:A60,"&lt;&gt;",$N$7:N60,"&lt;&gt;Livrée"))</f>
        <v/>
      </c>
    </row>
    <row r="61" customFormat="false" ht="15" hidden="false" customHeight="false" outlineLevel="0" collapsed="false">
      <c r="A61" s="68"/>
      <c r="B61" s="69"/>
      <c r="C61" s="25"/>
      <c r="D61" s="25"/>
      <c r="E61" s="68"/>
      <c r="F61" s="76" t="str">
        <f aca="false">IF(E61="","",IFERROR(INDEX(ST_Design,MATCH(E61,ST_Code,0)),"Code inconnu"))</f>
        <v/>
      </c>
      <c r="G61" s="74" t="str">
        <f aca="false">IF(E61="","",IFERROR(INDEX(ST_Unite,MATCH(E61,ST_Code,0)),""))</f>
        <v/>
      </c>
      <c r="H61" s="82"/>
      <c r="I61" s="28"/>
      <c r="J61" s="31" t="str">
        <f aca="false">IF(H61="","",H61*N(I61))</f>
        <v/>
      </c>
      <c r="K61" s="69"/>
      <c r="L61" s="83" t="str">
        <f aca="false">IF(A61="","",SUMIFS(MV_Qte,MV_BC,A61,MV_Code,E61,MV_Type,"Entrée"))</f>
        <v/>
      </c>
      <c r="M61" s="83" t="str">
        <f aca="false">IF(A61="","",MAX(0,N(H61)-L61))</f>
        <v/>
      </c>
      <c r="N61" s="74" t="str">
        <f aca="false">IF(A61="","",IF(M61&lt;=0,"Livrée",IF(AND(K61&lt;&gt;"",P_DateRef&gt;K61),"En retard",IF(L61&gt;0,"Partielle","En attente"))))</f>
        <v/>
      </c>
      <c r="O61" s="25"/>
      <c r="P61" s="74" t="str">
        <f aca="false">IF(OR(A61="",N61="Livrée"),"",COUNTIFS($A$7:A61,"&lt;&gt;",$N$7:N61,"&lt;&gt;Livrée"))</f>
        <v/>
      </c>
    </row>
    <row r="62" customFormat="false" ht="15" hidden="false" customHeight="false" outlineLevel="0" collapsed="false">
      <c r="A62" s="68"/>
      <c r="B62" s="69"/>
      <c r="C62" s="25"/>
      <c r="D62" s="25"/>
      <c r="E62" s="68"/>
      <c r="F62" s="76" t="str">
        <f aca="false">IF(E62="","",IFERROR(INDEX(ST_Design,MATCH(E62,ST_Code,0)),"Code inconnu"))</f>
        <v/>
      </c>
      <c r="G62" s="74" t="str">
        <f aca="false">IF(E62="","",IFERROR(INDEX(ST_Unite,MATCH(E62,ST_Code,0)),""))</f>
        <v/>
      </c>
      <c r="H62" s="82"/>
      <c r="I62" s="28"/>
      <c r="J62" s="31" t="str">
        <f aca="false">IF(H62="","",H62*N(I62))</f>
        <v/>
      </c>
      <c r="K62" s="69"/>
      <c r="L62" s="83" t="str">
        <f aca="false">IF(A62="","",SUMIFS(MV_Qte,MV_BC,A62,MV_Code,E62,MV_Type,"Entrée"))</f>
        <v/>
      </c>
      <c r="M62" s="83" t="str">
        <f aca="false">IF(A62="","",MAX(0,N(H62)-L62))</f>
        <v/>
      </c>
      <c r="N62" s="74" t="str">
        <f aca="false">IF(A62="","",IF(M62&lt;=0,"Livrée",IF(AND(K62&lt;&gt;"",P_DateRef&gt;K62),"En retard",IF(L62&gt;0,"Partielle","En attente"))))</f>
        <v/>
      </c>
      <c r="O62" s="25"/>
      <c r="P62" s="74" t="str">
        <f aca="false">IF(OR(A62="",N62="Livrée"),"",COUNTIFS($A$7:A62,"&lt;&gt;",$N$7:N62,"&lt;&gt;Livrée"))</f>
        <v/>
      </c>
    </row>
    <row r="63" customFormat="false" ht="15" hidden="false" customHeight="false" outlineLevel="0" collapsed="false">
      <c r="A63" s="68"/>
      <c r="B63" s="69"/>
      <c r="C63" s="25"/>
      <c r="D63" s="25"/>
      <c r="E63" s="68"/>
      <c r="F63" s="76" t="str">
        <f aca="false">IF(E63="","",IFERROR(INDEX(ST_Design,MATCH(E63,ST_Code,0)),"Code inconnu"))</f>
        <v/>
      </c>
      <c r="G63" s="74" t="str">
        <f aca="false">IF(E63="","",IFERROR(INDEX(ST_Unite,MATCH(E63,ST_Code,0)),""))</f>
        <v/>
      </c>
      <c r="H63" s="82"/>
      <c r="I63" s="28"/>
      <c r="J63" s="31" t="str">
        <f aca="false">IF(H63="","",H63*N(I63))</f>
        <v/>
      </c>
      <c r="K63" s="69"/>
      <c r="L63" s="83" t="str">
        <f aca="false">IF(A63="","",SUMIFS(MV_Qte,MV_BC,A63,MV_Code,E63,MV_Type,"Entrée"))</f>
        <v/>
      </c>
      <c r="M63" s="83" t="str">
        <f aca="false">IF(A63="","",MAX(0,N(H63)-L63))</f>
        <v/>
      </c>
      <c r="N63" s="74" t="str">
        <f aca="false">IF(A63="","",IF(M63&lt;=0,"Livrée",IF(AND(K63&lt;&gt;"",P_DateRef&gt;K63),"En retard",IF(L63&gt;0,"Partielle","En attente"))))</f>
        <v/>
      </c>
      <c r="O63" s="25"/>
      <c r="P63" s="74" t="str">
        <f aca="false">IF(OR(A63="",N63="Livrée"),"",COUNTIFS($A$7:A63,"&lt;&gt;",$N$7:N63,"&lt;&gt;Livrée"))</f>
        <v/>
      </c>
    </row>
    <row r="64" customFormat="false" ht="15" hidden="false" customHeight="false" outlineLevel="0" collapsed="false">
      <c r="A64" s="68"/>
      <c r="B64" s="69"/>
      <c r="C64" s="25"/>
      <c r="D64" s="25"/>
      <c r="E64" s="68"/>
      <c r="F64" s="76" t="str">
        <f aca="false">IF(E64="","",IFERROR(INDEX(ST_Design,MATCH(E64,ST_Code,0)),"Code inconnu"))</f>
        <v/>
      </c>
      <c r="G64" s="74" t="str">
        <f aca="false">IF(E64="","",IFERROR(INDEX(ST_Unite,MATCH(E64,ST_Code,0)),""))</f>
        <v/>
      </c>
      <c r="H64" s="82"/>
      <c r="I64" s="28"/>
      <c r="J64" s="31" t="str">
        <f aca="false">IF(H64="","",H64*N(I64))</f>
        <v/>
      </c>
      <c r="K64" s="69"/>
      <c r="L64" s="83" t="str">
        <f aca="false">IF(A64="","",SUMIFS(MV_Qte,MV_BC,A64,MV_Code,E64,MV_Type,"Entrée"))</f>
        <v/>
      </c>
      <c r="M64" s="83" t="str">
        <f aca="false">IF(A64="","",MAX(0,N(H64)-L64))</f>
        <v/>
      </c>
      <c r="N64" s="74" t="str">
        <f aca="false">IF(A64="","",IF(M64&lt;=0,"Livrée",IF(AND(K64&lt;&gt;"",P_DateRef&gt;K64),"En retard",IF(L64&gt;0,"Partielle","En attente"))))</f>
        <v/>
      </c>
      <c r="O64" s="25"/>
      <c r="P64" s="74" t="str">
        <f aca="false">IF(OR(A64="",N64="Livrée"),"",COUNTIFS($A$7:A64,"&lt;&gt;",$N$7:N64,"&lt;&gt;Livrée"))</f>
        <v/>
      </c>
    </row>
    <row r="65" customFormat="false" ht="15" hidden="false" customHeight="false" outlineLevel="0" collapsed="false">
      <c r="A65" s="68"/>
      <c r="B65" s="69"/>
      <c r="C65" s="25"/>
      <c r="D65" s="25"/>
      <c r="E65" s="68"/>
      <c r="F65" s="76" t="str">
        <f aca="false">IF(E65="","",IFERROR(INDEX(ST_Design,MATCH(E65,ST_Code,0)),"Code inconnu"))</f>
        <v/>
      </c>
      <c r="G65" s="74" t="str">
        <f aca="false">IF(E65="","",IFERROR(INDEX(ST_Unite,MATCH(E65,ST_Code,0)),""))</f>
        <v/>
      </c>
      <c r="H65" s="82"/>
      <c r="I65" s="28"/>
      <c r="J65" s="31" t="str">
        <f aca="false">IF(H65="","",H65*N(I65))</f>
        <v/>
      </c>
      <c r="K65" s="69"/>
      <c r="L65" s="83" t="str">
        <f aca="false">IF(A65="","",SUMIFS(MV_Qte,MV_BC,A65,MV_Code,E65,MV_Type,"Entrée"))</f>
        <v/>
      </c>
      <c r="M65" s="83" t="str">
        <f aca="false">IF(A65="","",MAX(0,N(H65)-L65))</f>
        <v/>
      </c>
      <c r="N65" s="74" t="str">
        <f aca="false">IF(A65="","",IF(M65&lt;=0,"Livrée",IF(AND(K65&lt;&gt;"",P_DateRef&gt;K65),"En retard",IF(L65&gt;0,"Partielle","En attente"))))</f>
        <v/>
      </c>
      <c r="O65" s="25"/>
      <c r="P65" s="74" t="str">
        <f aca="false">IF(OR(A65="",N65="Livrée"),"",COUNTIFS($A$7:A65,"&lt;&gt;",$N$7:N65,"&lt;&gt;Livrée"))</f>
        <v/>
      </c>
    </row>
    <row r="66" customFormat="false" ht="15" hidden="false" customHeight="false" outlineLevel="0" collapsed="false">
      <c r="A66" s="68"/>
      <c r="B66" s="69"/>
      <c r="C66" s="25"/>
      <c r="D66" s="25"/>
      <c r="E66" s="68"/>
      <c r="F66" s="76" t="str">
        <f aca="false">IF(E66="","",IFERROR(INDEX(ST_Design,MATCH(E66,ST_Code,0)),"Code inconnu"))</f>
        <v/>
      </c>
      <c r="G66" s="74" t="str">
        <f aca="false">IF(E66="","",IFERROR(INDEX(ST_Unite,MATCH(E66,ST_Code,0)),""))</f>
        <v/>
      </c>
      <c r="H66" s="82"/>
      <c r="I66" s="28"/>
      <c r="J66" s="31" t="str">
        <f aca="false">IF(H66="","",H66*N(I66))</f>
        <v/>
      </c>
      <c r="K66" s="69"/>
      <c r="L66" s="83" t="str">
        <f aca="false">IF(A66="","",SUMIFS(MV_Qte,MV_BC,A66,MV_Code,E66,MV_Type,"Entrée"))</f>
        <v/>
      </c>
      <c r="M66" s="83" t="str">
        <f aca="false">IF(A66="","",MAX(0,N(H66)-L66))</f>
        <v/>
      </c>
      <c r="N66" s="74" t="str">
        <f aca="false">IF(A66="","",IF(M66&lt;=0,"Livrée",IF(AND(K66&lt;&gt;"",P_DateRef&gt;K66),"En retard",IF(L66&gt;0,"Partielle","En attente"))))</f>
        <v/>
      </c>
      <c r="O66" s="25"/>
      <c r="P66" s="74" t="str">
        <f aca="false">IF(OR(A66="",N66="Livrée"),"",COUNTIFS($A$7:A66,"&lt;&gt;",$N$7:N66,"&lt;&gt;Livrée"))</f>
        <v/>
      </c>
    </row>
    <row r="67" customFormat="false" ht="15" hidden="false" customHeight="false" outlineLevel="0" collapsed="false">
      <c r="A67" s="68"/>
      <c r="B67" s="69"/>
      <c r="C67" s="25"/>
      <c r="D67" s="25"/>
      <c r="E67" s="68"/>
      <c r="F67" s="76" t="str">
        <f aca="false">IF(E67="","",IFERROR(INDEX(ST_Design,MATCH(E67,ST_Code,0)),"Code inconnu"))</f>
        <v/>
      </c>
      <c r="G67" s="74" t="str">
        <f aca="false">IF(E67="","",IFERROR(INDEX(ST_Unite,MATCH(E67,ST_Code,0)),""))</f>
        <v/>
      </c>
      <c r="H67" s="82"/>
      <c r="I67" s="28"/>
      <c r="J67" s="31" t="str">
        <f aca="false">IF(H67="","",H67*N(I67))</f>
        <v/>
      </c>
      <c r="K67" s="69"/>
      <c r="L67" s="83" t="str">
        <f aca="false">IF(A67="","",SUMIFS(MV_Qte,MV_BC,A67,MV_Code,E67,MV_Type,"Entrée"))</f>
        <v/>
      </c>
      <c r="M67" s="83" t="str">
        <f aca="false">IF(A67="","",MAX(0,N(H67)-L67))</f>
        <v/>
      </c>
      <c r="N67" s="74" t="str">
        <f aca="false">IF(A67="","",IF(M67&lt;=0,"Livrée",IF(AND(K67&lt;&gt;"",P_DateRef&gt;K67),"En retard",IF(L67&gt;0,"Partielle","En attente"))))</f>
        <v/>
      </c>
      <c r="O67" s="25"/>
      <c r="P67" s="74" t="str">
        <f aca="false">IF(OR(A67="",N67="Livrée"),"",COUNTIFS($A$7:A67,"&lt;&gt;",$N$7:N67,"&lt;&gt;Livrée"))</f>
        <v/>
      </c>
    </row>
    <row r="68" customFormat="false" ht="15" hidden="false" customHeight="false" outlineLevel="0" collapsed="false">
      <c r="A68" s="68"/>
      <c r="B68" s="69"/>
      <c r="C68" s="25"/>
      <c r="D68" s="25"/>
      <c r="E68" s="68"/>
      <c r="F68" s="76" t="str">
        <f aca="false">IF(E68="","",IFERROR(INDEX(ST_Design,MATCH(E68,ST_Code,0)),"Code inconnu"))</f>
        <v/>
      </c>
      <c r="G68" s="74" t="str">
        <f aca="false">IF(E68="","",IFERROR(INDEX(ST_Unite,MATCH(E68,ST_Code,0)),""))</f>
        <v/>
      </c>
      <c r="H68" s="82"/>
      <c r="I68" s="28"/>
      <c r="J68" s="31" t="str">
        <f aca="false">IF(H68="","",H68*N(I68))</f>
        <v/>
      </c>
      <c r="K68" s="69"/>
      <c r="L68" s="83" t="str">
        <f aca="false">IF(A68="","",SUMIFS(MV_Qte,MV_BC,A68,MV_Code,E68,MV_Type,"Entrée"))</f>
        <v/>
      </c>
      <c r="M68" s="83" t="str">
        <f aca="false">IF(A68="","",MAX(0,N(H68)-L68))</f>
        <v/>
      </c>
      <c r="N68" s="74" t="str">
        <f aca="false">IF(A68="","",IF(M68&lt;=0,"Livrée",IF(AND(K68&lt;&gt;"",P_DateRef&gt;K68),"En retard",IF(L68&gt;0,"Partielle","En attente"))))</f>
        <v/>
      </c>
      <c r="O68" s="25"/>
      <c r="P68" s="74" t="str">
        <f aca="false">IF(OR(A68="",N68="Livrée"),"",COUNTIFS($A$7:A68,"&lt;&gt;",$N$7:N68,"&lt;&gt;Livrée"))</f>
        <v/>
      </c>
    </row>
    <row r="69" customFormat="false" ht="15" hidden="false" customHeight="false" outlineLevel="0" collapsed="false">
      <c r="A69" s="68"/>
      <c r="B69" s="69"/>
      <c r="C69" s="25"/>
      <c r="D69" s="25"/>
      <c r="E69" s="68"/>
      <c r="F69" s="76" t="str">
        <f aca="false">IF(E69="","",IFERROR(INDEX(ST_Design,MATCH(E69,ST_Code,0)),"Code inconnu"))</f>
        <v/>
      </c>
      <c r="G69" s="74" t="str">
        <f aca="false">IF(E69="","",IFERROR(INDEX(ST_Unite,MATCH(E69,ST_Code,0)),""))</f>
        <v/>
      </c>
      <c r="H69" s="82"/>
      <c r="I69" s="28"/>
      <c r="J69" s="31" t="str">
        <f aca="false">IF(H69="","",H69*N(I69))</f>
        <v/>
      </c>
      <c r="K69" s="69"/>
      <c r="L69" s="83" t="str">
        <f aca="false">IF(A69="","",SUMIFS(MV_Qte,MV_BC,A69,MV_Code,E69,MV_Type,"Entrée"))</f>
        <v/>
      </c>
      <c r="M69" s="83" t="str">
        <f aca="false">IF(A69="","",MAX(0,N(H69)-L69))</f>
        <v/>
      </c>
      <c r="N69" s="74" t="str">
        <f aca="false">IF(A69="","",IF(M69&lt;=0,"Livrée",IF(AND(K69&lt;&gt;"",P_DateRef&gt;K69),"En retard",IF(L69&gt;0,"Partielle","En attente"))))</f>
        <v/>
      </c>
      <c r="O69" s="25"/>
      <c r="P69" s="74" t="str">
        <f aca="false">IF(OR(A69="",N69="Livrée"),"",COUNTIFS($A$7:A69,"&lt;&gt;",$N$7:N69,"&lt;&gt;Livrée"))</f>
        <v/>
      </c>
    </row>
    <row r="70" customFormat="false" ht="15" hidden="false" customHeight="false" outlineLevel="0" collapsed="false">
      <c r="A70" s="68"/>
      <c r="B70" s="69"/>
      <c r="C70" s="25"/>
      <c r="D70" s="25"/>
      <c r="E70" s="68"/>
      <c r="F70" s="76" t="str">
        <f aca="false">IF(E70="","",IFERROR(INDEX(ST_Design,MATCH(E70,ST_Code,0)),"Code inconnu"))</f>
        <v/>
      </c>
      <c r="G70" s="74" t="str">
        <f aca="false">IF(E70="","",IFERROR(INDEX(ST_Unite,MATCH(E70,ST_Code,0)),""))</f>
        <v/>
      </c>
      <c r="H70" s="82"/>
      <c r="I70" s="28"/>
      <c r="J70" s="31" t="str">
        <f aca="false">IF(H70="","",H70*N(I70))</f>
        <v/>
      </c>
      <c r="K70" s="69"/>
      <c r="L70" s="83" t="str">
        <f aca="false">IF(A70="","",SUMIFS(MV_Qte,MV_BC,A70,MV_Code,E70,MV_Type,"Entrée"))</f>
        <v/>
      </c>
      <c r="M70" s="83" t="str">
        <f aca="false">IF(A70="","",MAX(0,N(H70)-L70))</f>
        <v/>
      </c>
      <c r="N70" s="74" t="str">
        <f aca="false">IF(A70="","",IF(M70&lt;=0,"Livrée",IF(AND(K70&lt;&gt;"",P_DateRef&gt;K70),"En retard",IF(L70&gt;0,"Partielle","En attente"))))</f>
        <v/>
      </c>
      <c r="O70" s="25"/>
      <c r="P70" s="74" t="str">
        <f aca="false">IF(OR(A70="",N70="Livrée"),"",COUNTIFS($A$7:A70,"&lt;&gt;",$N$7:N70,"&lt;&gt;Livrée"))</f>
        <v/>
      </c>
    </row>
    <row r="71" customFormat="false" ht="15" hidden="false" customHeight="false" outlineLevel="0" collapsed="false">
      <c r="A71" s="68"/>
      <c r="B71" s="69"/>
      <c r="C71" s="25"/>
      <c r="D71" s="25"/>
      <c r="E71" s="68"/>
      <c r="F71" s="76" t="str">
        <f aca="false">IF(E71="","",IFERROR(INDEX(ST_Design,MATCH(E71,ST_Code,0)),"Code inconnu"))</f>
        <v/>
      </c>
      <c r="G71" s="74" t="str">
        <f aca="false">IF(E71="","",IFERROR(INDEX(ST_Unite,MATCH(E71,ST_Code,0)),""))</f>
        <v/>
      </c>
      <c r="H71" s="82"/>
      <c r="I71" s="28"/>
      <c r="J71" s="31" t="str">
        <f aca="false">IF(H71="","",H71*N(I71))</f>
        <v/>
      </c>
      <c r="K71" s="69"/>
      <c r="L71" s="83" t="str">
        <f aca="false">IF(A71="","",SUMIFS(MV_Qte,MV_BC,A71,MV_Code,E71,MV_Type,"Entrée"))</f>
        <v/>
      </c>
      <c r="M71" s="83" t="str">
        <f aca="false">IF(A71="","",MAX(0,N(H71)-L71))</f>
        <v/>
      </c>
      <c r="N71" s="74" t="str">
        <f aca="false">IF(A71="","",IF(M71&lt;=0,"Livrée",IF(AND(K71&lt;&gt;"",P_DateRef&gt;K71),"En retard",IF(L71&gt;0,"Partielle","En attente"))))</f>
        <v/>
      </c>
      <c r="O71" s="25"/>
      <c r="P71" s="74" t="str">
        <f aca="false">IF(OR(A71="",N71="Livrée"),"",COUNTIFS($A$7:A71,"&lt;&gt;",$N$7:N71,"&lt;&gt;Livrée"))</f>
        <v/>
      </c>
    </row>
    <row r="72" customFormat="false" ht="15" hidden="false" customHeight="false" outlineLevel="0" collapsed="false">
      <c r="A72" s="68"/>
      <c r="B72" s="69"/>
      <c r="C72" s="25"/>
      <c r="D72" s="25"/>
      <c r="E72" s="68"/>
      <c r="F72" s="76" t="str">
        <f aca="false">IF(E72="","",IFERROR(INDEX(ST_Design,MATCH(E72,ST_Code,0)),"Code inconnu"))</f>
        <v/>
      </c>
      <c r="G72" s="74" t="str">
        <f aca="false">IF(E72="","",IFERROR(INDEX(ST_Unite,MATCH(E72,ST_Code,0)),""))</f>
        <v/>
      </c>
      <c r="H72" s="82"/>
      <c r="I72" s="28"/>
      <c r="J72" s="31" t="str">
        <f aca="false">IF(H72="","",H72*N(I72))</f>
        <v/>
      </c>
      <c r="K72" s="69"/>
      <c r="L72" s="83" t="str">
        <f aca="false">IF(A72="","",SUMIFS(MV_Qte,MV_BC,A72,MV_Code,E72,MV_Type,"Entrée"))</f>
        <v/>
      </c>
      <c r="M72" s="83" t="str">
        <f aca="false">IF(A72="","",MAX(0,N(H72)-L72))</f>
        <v/>
      </c>
      <c r="N72" s="74" t="str">
        <f aca="false">IF(A72="","",IF(M72&lt;=0,"Livrée",IF(AND(K72&lt;&gt;"",P_DateRef&gt;K72),"En retard",IF(L72&gt;0,"Partielle","En attente"))))</f>
        <v/>
      </c>
      <c r="O72" s="25"/>
      <c r="P72" s="74" t="str">
        <f aca="false">IF(OR(A72="",N72="Livrée"),"",COUNTIFS($A$7:A72,"&lt;&gt;",$N$7:N72,"&lt;&gt;Livrée"))</f>
        <v/>
      </c>
    </row>
    <row r="73" customFormat="false" ht="15" hidden="false" customHeight="false" outlineLevel="0" collapsed="false">
      <c r="A73" s="68"/>
      <c r="B73" s="69"/>
      <c r="C73" s="25"/>
      <c r="D73" s="25"/>
      <c r="E73" s="68"/>
      <c r="F73" s="76" t="str">
        <f aca="false">IF(E73="","",IFERROR(INDEX(ST_Design,MATCH(E73,ST_Code,0)),"Code inconnu"))</f>
        <v/>
      </c>
      <c r="G73" s="74" t="str">
        <f aca="false">IF(E73="","",IFERROR(INDEX(ST_Unite,MATCH(E73,ST_Code,0)),""))</f>
        <v/>
      </c>
      <c r="H73" s="82"/>
      <c r="I73" s="28"/>
      <c r="J73" s="31" t="str">
        <f aca="false">IF(H73="","",H73*N(I73))</f>
        <v/>
      </c>
      <c r="K73" s="69"/>
      <c r="L73" s="83" t="str">
        <f aca="false">IF(A73="","",SUMIFS(MV_Qte,MV_BC,A73,MV_Code,E73,MV_Type,"Entrée"))</f>
        <v/>
      </c>
      <c r="M73" s="83" t="str">
        <f aca="false">IF(A73="","",MAX(0,N(H73)-L73))</f>
        <v/>
      </c>
      <c r="N73" s="74" t="str">
        <f aca="false">IF(A73="","",IF(M73&lt;=0,"Livrée",IF(AND(K73&lt;&gt;"",P_DateRef&gt;K73),"En retard",IF(L73&gt;0,"Partielle","En attente"))))</f>
        <v/>
      </c>
      <c r="O73" s="25"/>
      <c r="P73" s="74" t="str">
        <f aca="false">IF(OR(A73="",N73="Livrée"),"",COUNTIFS($A$7:A73,"&lt;&gt;",$N$7:N73,"&lt;&gt;Livrée"))</f>
        <v/>
      </c>
    </row>
    <row r="74" customFormat="false" ht="15" hidden="false" customHeight="false" outlineLevel="0" collapsed="false">
      <c r="A74" s="68"/>
      <c r="B74" s="69"/>
      <c r="C74" s="25"/>
      <c r="D74" s="25"/>
      <c r="E74" s="68"/>
      <c r="F74" s="76" t="str">
        <f aca="false">IF(E74="","",IFERROR(INDEX(ST_Design,MATCH(E74,ST_Code,0)),"Code inconnu"))</f>
        <v/>
      </c>
      <c r="G74" s="74" t="str">
        <f aca="false">IF(E74="","",IFERROR(INDEX(ST_Unite,MATCH(E74,ST_Code,0)),""))</f>
        <v/>
      </c>
      <c r="H74" s="82"/>
      <c r="I74" s="28"/>
      <c r="J74" s="31" t="str">
        <f aca="false">IF(H74="","",H74*N(I74))</f>
        <v/>
      </c>
      <c r="K74" s="69"/>
      <c r="L74" s="83" t="str">
        <f aca="false">IF(A74="","",SUMIFS(MV_Qte,MV_BC,A74,MV_Code,E74,MV_Type,"Entrée"))</f>
        <v/>
      </c>
      <c r="M74" s="83" t="str">
        <f aca="false">IF(A74="","",MAX(0,N(H74)-L74))</f>
        <v/>
      </c>
      <c r="N74" s="74" t="str">
        <f aca="false">IF(A74="","",IF(M74&lt;=0,"Livrée",IF(AND(K74&lt;&gt;"",P_DateRef&gt;K74),"En retard",IF(L74&gt;0,"Partielle","En attente"))))</f>
        <v/>
      </c>
      <c r="O74" s="25"/>
      <c r="P74" s="74" t="str">
        <f aca="false">IF(OR(A74="",N74="Livrée"),"",COUNTIFS($A$7:A74,"&lt;&gt;",$N$7:N74,"&lt;&gt;Livrée"))</f>
        <v/>
      </c>
    </row>
    <row r="75" customFormat="false" ht="15" hidden="false" customHeight="false" outlineLevel="0" collapsed="false">
      <c r="A75" s="68"/>
      <c r="B75" s="69"/>
      <c r="C75" s="25"/>
      <c r="D75" s="25"/>
      <c r="E75" s="68"/>
      <c r="F75" s="76" t="str">
        <f aca="false">IF(E75="","",IFERROR(INDEX(ST_Design,MATCH(E75,ST_Code,0)),"Code inconnu"))</f>
        <v/>
      </c>
      <c r="G75" s="74" t="str">
        <f aca="false">IF(E75="","",IFERROR(INDEX(ST_Unite,MATCH(E75,ST_Code,0)),""))</f>
        <v/>
      </c>
      <c r="H75" s="82"/>
      <c r="I75" s="28"/>
      <c r="J75" s="31" t="str">
        <f aca="false">IF(H75="","",H75*N(I75))</f>
        <v/>
      </c>
      <c r="K75" s="69"/>
      <c r="L75" s="83" t="str">
        <f aca="false">IF(A75="","",SUMIFS(MV_Qte,MV_BC,A75,MV_Code,E75,MV_Type,"Entrée"))</f>
        <v/>
      </c>
      <c r="M75" s="83" t="str">
        <f aca="false">IF(A75="","",MAX(0,N(H75)-L75))</f>
        <v/>
      </c>
      <c r="N75" s="74" t="str">
        <f aca="false">IF(A75="","",IF(M75&lt;=0,"Livrée",IF(AND(K75&lt;&gt;"",P_DateRef&gt;K75),"En retard",IF(L75&gt;0,"Partielle","En attente"))))</f>
        <v/>
      </c>
      <c r="O75" s="25"/>
      <c r="P75" s="74" t="str">
        <f aca="false">IF(OR(A75="",N75="Livrée"),"",COUNTIFS($A$7:A75,"&lt;&gt;",$N$7:N75,"&lt;&gt;Livrée"))</f>
        <v/>
      </c>
    </row>
    <row r="76" customFormat="false" ht="15" hidden="false" customHeight="false" outlineLevel="0" collapsed="false">
      <c r="A76" s="68"/>
      <c r="B76" s="69"/>
      <c r="C76" s="25"/>
      <c r="D76" s="25"/>
      <c r="E76" s="68"/>
      <c r="F76" s="76" t="str">
        <f aca="false">IF(E76="","",IFERROR(INDEX(ST_Design,MATCH(E76,ST_Code,0)),"Code inconnu"))</f>
        <v/>
      </c>
      <c r="G76" s="74" t="str">
        <f aca="false">IF(E76="","",IFERROR(INDEX(ST_Unite,MATCH(E76,ST_Code,0)),""))</f>
        <v/>
      </c>
      <c r="H76" s="82"/>
      <c r="I76" s="28"/>
      <c r="J76" s="31" t="str">
        <f aca="false">IF(H76="","",H76*N(I76))</f>
        <v/>
      </c>
      <c r="K76" s="69"/>
      <c r="L76" s="83" t="str">
        <f aca="false">IF(A76="","",SUMIFS(MV_Qte,MV_BC,A76,MV_Code,E76,MV_Type,"Entrée"))</f>
        <v/>
      </c>
      <c r="M76" s="83" t="str">
        <f aca="false">IF(A76="","",MAX(0,N(H76)-L76))</f>
        <v/>
      </c>
      <c r="N76" s="74" t="str">
        <f aca="false">IF(A76="","",IF(M76&lt;=0,"Livrée",IF(AND(K76&lt;&gt;"",P_DateRef&gt;K76),"En retard",IF(L76&gt;0,"Partielle","En attente"))))</f>
        <v/>
      </c>
      <c r="O76" s="25"/>
      <c r="P76" s="74" t="str">
        <f aca="false">IF(OR(A76="",N76="Livrée"),"",COUNTIFS($A$7:A76,"&lt;&gt;",$N$7:N76,"&lt;&gt;Livrée"))</f>
        <v/>
      </c>
    </row>
    <row r="77" customFormat="false" ht="15" hidden="false" customHeight="false" outlineLevel="0" collapsed="false">
      <c r="A77" s="68"/>
      <c r="B77" s="69"/>
      <c r="C77" s="25"/>
      <c r="D77" s="25"/>
      <c r="E77" s="68"/>
      <c r="F77" s="76" t="str">
        <f aca="false">IF(E77="","",IFERROR(INDEX(ST_Design,MATCH(E77,ST_Code,0)),"Code inconnu"))</f>
        <v/>
      </c>
      <c r="G77" s="74" t="str">
        <f aca="false">IF(E77="","",IFERROR(INDEX(ST_Unite,MATCH(E77,ST_Code,0)),""))</f>
        <v/>
      </c>
      <c r="H77" s="82"/>
      <c r="I77" s="28"/>
      <c r="J77" s="31" t="str">
        <f aca="false">IF(H77="","",H77*N(I77))</f>
        <v/>
      </c>
      <c r="K77" s="69"/>
      <c r="L77" s="83" t="str">
        <f aca="false">IF(A77="","",SUMIFS(MV_Qte,MV_BC,A77,MV_Code,E77,MV_Type,"Entrée"))</f>
        <v/>
      </c>
      <c r="M77" s="83" t="str">
        <f aca="false">IF(A77="","",MAX(0,N(H77)-L77))</f>
        <v/>
      </c>
      <c r="N77" s="74" t="str">
        <f aca="false">IF(A77="","",IF(M77&lt;=0,"Livrée",IF(AND(K77&lt;&gt;"",P_DateRef&gt;K77),"En retard",IF(L77&gt;0,"Partielle","En attente"))))</f>
        <v/>
      </c>
      <c r="O77" s="25"/>
      <c r="P77" s="74" t="str">
        <f aca="false">IF(OR(A77="",N77="Livrée"),"",COUNTIFS($A$7:A77,"&lt;&gt;",$N$7:N77,"&lt;&gt;Livrée"))</f>
        <v/>
      </c>
    </row>
    <row r="78" customFormat="false" ht="15" hidden="false" customHeight="false" outlineLevel="0" collapsed="false">
      <c r="A78" s="68"/>
      <c r="B78" s="69"/>
      <c r="C78" s="25"/>
      <c r="D78" s="25"/>
      <c r="E78" s="68"/>
      <c r="F78" s="76" t="str">
        <f aca="false">IF(E78="","",IFERROR(INDEX(ST_Design,MATCH(E78,ST_Code,0)),"Code inconnu"))</f>
        <v/>
      </c>
      <c r="G78" s="74" t="str">
        <f aca="false">IF(E78="","",IFERROR(INDEX(ST_Unite,MATCH(E78,ST_Code,0)),""))</f>
        <v/>
      </c>
      <c r="H78" s="82"/>
      <c r="I78" s="28"/>
      <c r="J78" s="31" t="str">
        <f aca="false">IF(H78="","",H78*N(I78))</f>
        <v/>
      </c>
      <c r="K78" s="69"/>
      <c r="L78" s="83" t="str">
        <f aca="false">IF(A78="","",SUMIFS(MV_Qte,MV_BC,A78,MV_Code,E78,MV_Type,"Entrée"))</f>
        <v/>
      </c>
      <c r="M78" s="83" t="str">
        <f aca="false">IF(A78="","",MAX(0,N(H78)-L78))</f>
        <v/>
      </c>
      <c r="N78" s="74" t="str">
        <f aca="false">IF(A78="","",IF(M78&lt;=0,"Livrée",IF(AND(K78&lt;&gt;"",P_DateRef&gt;K78),"En retard",IF(L78&gt;0,"Partielle","En attente"))))</f>
        <v/>
      </c>
      <c r="O78" s="25"/>
      <c r="P78" s="74" t="str">
        <f aca="false">IF(OR(A78="",N78="Livrée"),"",COUNTIFS($A$7:A78,"&lt;&gt;",$N$7:N78,"&lt;&gt;Livrée"))</f>
        <v/>
      </c>
    </row>
    <row r="79" customFormat="false" ht="15" hidden="false" customHeight="false" outlineLevel="0" collapsed="false">
      <c r="A79" s="68"/>
      <c r="B79" s="69"/>
      <c r="C79" s="25"/>
      <c r="D79" s="25"/>
      <c r="E79" s="68"/>
      <c r="F79" s="76" t="str">
        <f aca="false">IF(E79="","",IFERROR(INDEX(ST_Design,MATCH(E79,ST_Code,0)),"Code inconnu"))</f>
        <v/>
      </c>
      <c r="G79" s="74" t="str">
        <f aca="false">IF(E79="","",IFERROR(INDEX(ST_Unite,MATCH(E79,ST_Code,0)),""))</f>
        <v/>
      </c>
      <c r="H79" s="82"/>
      <c r="I79" s="28"/>
      <c r="J79" s="31" t="str">
        <f aca="false">IF(H79="","",H79*N(I79))</f>
        <v/>
      </c>
      <c r="K79" s="69"/>
      <c r="L79" s="83" t="str">
        <f aca="false">IF(A79="","",SUMIFS(MV_Qte,MV_BC,A79,MV_Code,E79,MV_Type,"Entrée"))</f>
        <v/>
      </c>
      <c r="M79" s="83" t="str">
        <f aca="false">IF(A79="","",MAX(0,N(H79)-L79))</f>
        <v/>
      </c>
      <c r="N79" s="74" t="str">
        <f aca="false">IF(A79="","",IF(M79&lt;=0,"Livrée",IF(AND(K79&lt;&gt;"",P_DateRef&gt;K79),"En retard",IF(L79&gt;0,"Partielle","En attente"))))</f>
        <v/>
      </c>
      <c r="O79" s="25"/>
      <c r="P79" s="74" t="str">
        <f aca="false">IF(OR(A79="",N79="Livrée"),"",COUNTIFS($A$7:A79,"&lt;&gt;",$N$7:N79,"&lt;&gt;Livrée"))</f>
        <v/>
      </c>
    </row>
    <row r="80" customFormat="false" ht="15" hidden="false" customHeight="false" outlineLevel="0" collapsed="false">
      <c r="A80" s="68"/>
      <c r="B80" s="69"/>
      <c r="C80" s="25"/>
      <c r="D80" s="25"/>
      <c r="E80" s="68"/>
      <c r="F80" s="76" t="str">
        <f aca="false">IF(E80="","",IFERROR(INDEX(ST_Design,MATCH(E80,ST_Code,0)),"Code inconnu"))</f>
        <v/>
      </c>
      <c r="G80" s="74" t="str">
        <f aca="false">IF(E80="","",IFERROR(INDEX(ST_Unite,MATCH(E80,ST_Code,0)),""))</f>
        <v/>
      </c>
      <c r="H80" s="82"/>
      <c r="I80" s="28"/>
      <c r="J80" s="31" t="str">
        <f aca="false">IF(H80="","",H80*N(I80))</f>
        <v/>
      </c>
      <c r="K80" s="69"/>
      <c r="L80" s="83" t="str">
        <f aca="false">IF(A80="","",SUMIFS(MV_Qte,MV_BC,A80,MV_Code,E80,MV_Type,"Entrée"))</f>
        <v/>
      </c>
      <c r="M80" s="83" t="str">
        <f aca="false">IF(A80="","",MAX(0,N(H80)-L80))</f>
        <v/>
      </c>
      <c r="N80" s="74" t="str">
        <f aca="false">IF(A80="","",IF(M80&lt;=0,"Livrée",IF(AND(K80&lt;&gt;"",P_DateRef&gt;K80),"En retard",IF(L80&gt;0,"Partielle","En attente"))))</f>
        <v/>
      </c>
      <c r="O80" s="25"/>
      <c r="P80" s="74" t="str">
        <f aca="false">IF(OR(A80="",N80="Livrée"),"",COUNTIFS($A$7:A80,"&lt;&gt;",$N$7:N80,"&lt;&gt;Livrée"))</f>
        <v/>
      </c>
    </row>
    <row r="81" customFormat="false" ht="15" hidden="false" customHeight="false" outlineLevel="0" collapsed="false">
      <c r="A81" s="68"/>
      <c r="B81" s="69"/>
      <c r="C81" s="25"/>
      <c r="D81" s="25"/>
      <c r="E81" s="68"/>
      <c r="F81" s="76" t="str">
        <f aca="false">IF(E81="","",IFERROR(INDEX(ST_Design,MATCH(E81,ST_Code,0)),"Code inconnu"))</f>
        <v/>
      </c>
      <c r="G81" s="74" t="str">
        <f aca="false">IF(E81="","",IFERROR(INDEX(ST_Unite,MATCH(E81,ST_Code,0)),""))</f>
        <v/>
      </c>
      <c r="H81" s="82"/>
      <c r="I81" s="28"/>
      <c r="J81" s="31" t="str">
        <f aca="false">IF(H81="","",H81*N(I81))</f>
        <v/>
      </c>
      <c r="K81" s="69"/>
      <c r="L81" s="83" t="str">
        <f aca="false">IF(A81="","",SUMIFS(MV_Qte,MV_BC,A81,MV_Code,E81,MV_Type,"Entrée"))</f>
        <v/>
      </c>
      <c r="M81" s="83" t="str">
        <f aca="false">IF(A81="","",MAX(0,N(H81)-L81))</f>
        <v/>
      </c>
      <c r="N81" s="74" t="str">
        <f aca="false">IF(A81="","",IF(M81&lt;=0,"Livrée",IF(AND(K81&lt;&gt;"",P_DateRef&gt;K81),"En retard",IF(L81&gt;0,"Partielle","En attente"))))</f>
        <v/>
      </c>
      <c r="O81" s="25"/>
      <c r="P81" s="74" t="str">
        <f aca="false">IF(OR(A81="",N81="Livrée"),"",COUNTIFS($A$7:A81,"&lt;&gt;",$N$7:N81,"&lt;&gt;Livrée"))</f>
        <v/>
      </c>
    </row>
    <row r="82" customFormat="false" ht="15" hidden="false" customHeight="false" outlineLevel="0" collapsed="false">
      <c r="A82" s="68"/>
      <c r="B82" s="69"/>
      <c r="C82" s="25"/>
      <c r="D82" s="25"/>
      <c r="E82" s="68"/>
      <c r="F82" s="76" t="str">
        <f aca="false">IF(E82="","",IFERROR(INDEX(ST_Design,MATCH(E82,ST_Code,0)),"Code inconnu"))</f>
        <v/>
      </c>
      <c r="G82" s="74" t="str">
        <f aca="false">IF(E82="","",IFERROR(INDEX(ST_Unite,MATCH(E82,ST_Code,0)),""))</f>
        <v/>
      </c>
      <c r="H82" s="82"/>
      <c r="I82" s="28"/>
      <c r="J82" s="31" t="str">
        <f aca="false">IF(H82="","",H82*N(I82))</f>
        <v/>
      </c>
      <c r="K82" s="69"/>
      <c r="L82" s="83" t="str">
        <f aca="false">IF(A82="","",SUMIFS(MV_Qte,MV_BC,A82,MV_Code,E82,MV_Type,"Entrée"))</f>
        <v/>
      </c>
      <c r="M82" s="83" t="str">
        <f aca="false">IF(A82="","",MAX(0,N(H82)-L82))</f>
        <v/>
      </c>
      <c r="N82" s="74" t="str">
        <f aca="false">IF(A82="","",IF(M82&lt;=0,"Livrée",IF(AND(K82&lt;&gt;"",P_DateRef&gt;K82),"En retard",IF(L82&gt;0,"Partielle","En attente"))))</f>
        <v/>
      </c>
      <c r="O82" s="25"/>
      <c r="P82" s="74" t="str">
        <f aca="false">IF(OR(A82="",N82="Livrée"),"",COUNTIFS($A$7:A82,"&lt;&gt;",$N$7:N82,"&lt;&gt;Livrée"))</f>
        <v/>
      </c>
    </row>
    <row r="83" customFormat="false" ht="15" hidden="false" customHeight="false" outlineLevel="0" collapsed="false">
      <c r="A83" s="68"/>
      <c r="B83" s="69"/>
      <c r="C83" s="25"/>
      <c r="D83" s="25"/>
      <c r="E83" s="68"/>
      <c r="F83" s="76" t="str">
        <f aca="false">IF(E83="","",IFERROR(INDEX(ST_Design,MATCH(E83,ST_Code,0)),"Code inconnu"))</f>
        <v/>
      </c>
      <c r="G83" s="74" t="str">
        <f aca="false">IF(E83="","",IFERROR(INDEX(ST_Unite,MATCH(E83,ST_Code,0)),""))</f>
        <v/>
      </c>
      <c r="H83" s="82"/>
      <c r="I83" s="28"/>
      <c r="J83" s="31" t="str">
        <f aca="false">IF(H83="","",H83*N(I83))</f>
        <v/>
      </c>
      <c r="K83" s="69"/>
      <c r="L83" s="83" t="str">
        <f aca="false">IF(A83="","",SUMIFS(MV_Qte,MV_BC,A83,MV_Code,E83,MV_Type,"Entrée"))</f>
        <v/>
      </c>
      <c r="M83" s="83" t="str">
        <f aca="false">IF(A83="","",MAX(0,N(H83)-L83))</f>
        <v/>
      </c>
      <c r="N83" s="74" t="str">
        <f aca="false">IF(A83="","",IF(M83&lt;=0,"Livrée",IF(AND(K83&lt;&gt;"",P_DateRef&gt;K83),"En retard",IF(L83&gt;0,"Partielle","En attente"))))</f>
        <v/>
      </c>
      <c r="O83" s="25"/>
      <c r="P83" s="74" t="str">
        <f aca="false">IF(OR(A83="",N83="Livrée"),"",COUNTIFS($A$7:A83,"&lt;&gt;",$N$7:N83,"&lt;&gt;Livrée"))</f>
        <v/>
      </c>
    </row>
    <row r="84" customFormat="false" ht="15" hidden="false" customHeight="false" outlineLevel="0" collapsed="false">
      <c r="A84" s="68"/>
      <c r="B84" s="69"/>
      <c r="C84" s="25"/>
      <c r="D84" s="25"/>
      <c r="E84" s="68"/>
      <c r="F84" s="76" t="str">
        <f aca="false">IF(E84="","",IFERROR(INDEX(ST_Design,MATCH(E84,ST_Code,0)),"Code inconnu"))</f>
        <v/>
      </c>
      <c r="G84" s="74" t="str">
        <f aca="false">IF(E84="","",IFERROR(INDEX(ST_Unite,MATCH(E84,ST_Code,0)),""))</f>
        <v/>
      </c>
      <c r="H84" s="82"/>
      <c r="I84" s="28"/>
      <c r="J84" s="31" t="str">
        <f aca="false">IF(H84="","",H84*N(I84))</f>
        <v/>
      </c>
      <c r="K84" s="69"/>
      <c r="L84" s="83" t="str">
        <f aca="false">IF(A84="","",SUMIFS(MV_Qte,MV_BC,A84,MV_Code,E84,MV_Type,"Entrée"))</f>
        <v/>
      </c>
      <c r="M84" s="83" t="str">
        <f aca="false">IF(A84="","",MAX(0,N(H84)-L84))</f>
        <v/>
      </c>
      <c r="N84" s="74" t="str">
        <f aca="false">IF(A84="","",IF(M84&lt;=0,"Livrée",IF(AND(K84&lt;&gt;"",P_DateRef&gt;K84),"En retard",IF(L84&gt;0,"Partielle","En attente"))))</f>
        <v/>
      </c>
      <c r="O84" s="25"/>
      <c r="P84" s="74" t="str">
        <f aca="false">IF(OR(A84="",N84="Livrée"),"",COUNTIFS($A$7:A84,"&lt;&gt;",$N$7:N84,"&lt;&gt;Livrée"))</f>
        <v/>
      </c>
    </row>
    <row r="85" customFormat="false" ht="15" hidden="false" customHeight="false" outlineLevel="0" collapsed="false">
      <c r="A85" s="68"/>
      <c r="B85" s="69"/>
      <c r="C85" s="25"/>
      <c r="D85" s="25"/>
      <c r="E85" s="68"/>
      <c r="F85" s="76" t="str">
        <f aca="false">IF(E85="","",IFERROR(INDEX(ST_Design,MATCH(E85,ST_Code,0)),"Code inconnu"))</f>
        <v/>
      </c>
      <c r="G85" s="74" t="str">
        <f aca="false">IF(E85="","",IFERROR(INDEX(ST_Unite,MATCH(E85,ST_Code,0)),""))</f>
        <v/>
      </c>
      <c r="H85" s="82"/>
      <c r="I85" s="28"/>
      <c r="J85" s="31" t="str">
        <f aca="false">IF(H85="","",H85*N(I85))</f>
        <v/>
      </c>
      <c r="K85" s="69"/>
      <c r="L85" s="83" t="str">
        <f aca="false">IF(A85="","",SUMIFS(MV_Qte,MV_BC,A85,MV_Code,E85,MV_Type,"Entrée"))</f>
        <v/>
      </c>
      <c r="M85" s="83" t="str">
        <f aca="false">IF(A85="","",MAX(0,N(H85)-L85))</f>
        <v/>
      </c>
      <c r="N85" s="74" t="str">
        <f aca="false">IF(A85="","",IF(M85&lt;=0,"Livrée",IF(AND(K85&lt;&gt;"",P_DateRef&gt;K85),"En retard",IF(L85&gt;0,"Partielle","En attente"))))</f>
        <v/>
      </c>
      <c r="O85" s="25"/>
      <c r="P85" s="74" t="str">
        <f aca="false">IF(OR(A85="",N85="Livrée"),"",COUNTIFS($A$7:A85,"&lt;&gt;",$N$7:N85,"&lt;&gt;Livrée"))</f>
        <v/>
      </c>
    </row>
    <row r="86" customFormat="false" ht="15" hidden="false" customHeight="false" outlineLevel="0" collapsed="false">
      <c r="A86" s="68"/>
      <c r="B86" s="69"/>
      <c r="C86" s="25"/>
      <c r="D86" s="25"/>
      <c r="E86" s="68"/>
      <c r="F86" s="76" t="str">
        <f aca="false">IF(E86="","",IFERROR(INDEX(ST_Design,MATCH(E86,ST_Code,0)),"Code inconnu"))</f>
        <v/>
      </c>
      <c r="G86" s="74" t="str">
        <f aca="false">IF(E86="","",IFERROR(INDEX(ST_Unite,MATCH(E86,ST_Code,0)),""))</f>
        <v/>
      </c>
      <c r="H86" s="82"/>
      <c r="I86" s="28"/>
      <c r="J86" s="31" t="str">
        <f aca="false">IF(H86="","",H86*N(I86))</f>
        <v/>
      </c>
      <c r="K86" s="69"/>
      <c r="L86" s="83" t="str">
        <f aca="false">IF(A86="","",SUMIFS(MV_Qte,MV_BC,A86,MV_Code,E86,MV_Type,"Entrée"))</f>
        <v/>
      </c>
      <c r="M86" s="83" t="str">
        <f aca="false">IF(A86="","",MAX(0,N(H86)-L86))</f>
        <v/>
      </c>
      <c r="N86" s="74" t="str">
        <f aca="false">IF(A86="","",IF(M86&lt;=0,"Livrée",IF(AND(K86&lt;&gt;"",P_DateRef&gt;K86),"En retard",IF(L86&gt;0,"Partielle","En attente"))))</f>
        <v/>
      </c>
      <c r="O86" s="25"/>
      <c r="P86" s="74" t="str">
        <f aca="false">IF(OR(A86="",N86="Livrée"),"",COUNTIFS($A$7:A86,"&lt;&gt;",$N$7:N86,"&lt;&gt;Livrée"))</f>
        <v/>
      </c>
    </row>
    <row r="87" customFormat="false" ht="15" hidden="false" customHeight="false" outlineLevel="0" collapsed="false">
      <c r="A87" s="68"/>
      <c r="B87" s="69"/>
      <c r="C87" s="25"/>
      <c r="D87" s="25"/>
      <c r="E87" s="68"/>
      <c r="F87" s="76" t="str">
        <f aca="false">IF(E87="","",IFERROR(INDEX(ST_Design,MATCH(E87,ST_Code,0)),"Code inconnu"))</f>
        <v/>
      </c>
      <c r="G87" s="74" t="str">
        <f aca="false">IF(E87="","",IFERROR(INDEX(ST_Unite,MATCH(E87,ST_Code,0)),""))</f>
        <v/>
      </c>
      <c r="H87" s="82"/>
      <c r="I87" s="28"/>
      <c r="J87" s="31" t="str">
        <f aca="false">IF(H87="","",H87*N(I87))</f>
        <v/>
      </c>
      <c r="K87" s="69"/>
      <c r="L87" s="83" t="str">
        <f aca="false">IF(A87="","",SUMIFS(MV_Qte,MV_BC,A87,MV_Code,E87,MV_Type,"Entrée"))</f>
        <v/>
      </c>
      <c r="M87" s="83" t="str">
        <f aca="false">IF(A87="","",MAX(0,N(H87)-L87))</f>
        <v/>
      </c>
      <c r="N87" s="74" t="str">
        <f aca="false">IF(A87="","",IF(M87&lt;=0,"Livrée",IF(AND(K87&lt;&gt;"",P_DateRef&gt;K87),"En retard",IF(L87&gt;0,"Partielle","En attente"))))</f>
        <v/>
      </c>
      <c r="O87" s="25"/>
      <c r="P87" s="74" t="str">
        <f aca="false">IF(OR(A87="",N87="Livrée"),"",COUNTIFS($A$7:A87,"&lt;&gt;",$N$7:N87,"&lt;&gt;Livrée"))</f>
        <v/>
      </c>
    </row>
    <row r="88" customFormat="false" ht="15" hidden="false" customHeight="false" outlineLevel="0" collapsed="false">
      <c r="A88" s="68"/>
      <c r="B88" s="69"/>
      <c r="C88" s="25"/>
      <c r="D88" s="25"/>
      <c r="E88" s="68"/>
      <c r="F88" s="76" t="str">
        <f aca="false">IF(E88="","",IFERROR(INDEX(ST_Design,MATCH(E88,ST_Code,0)),"Code inconnu"))</f>
        <v/>
      </c>
      <c r="G88" s="74" t="str">
        <f aca="false">IF(E88="","",IFERROR(INDEX(ST_Unite,MATCH(E88,ST_Code,0)),""))</f>
        <v/>
      </c>
      <c r="H88" s="82"/>
      <c r="I88" s="28"/>
      <c r="J88" s="31" t="str">
        <f aca="false">IF(H88="","",H88*N(I88))</f>
        <v/>
      </c>
      <c r="K88" s="69"/>
      <c r="L88" s="83" t="str">
        <f aca="false">IF(A88="","",SUMIFS(MV_Qte,MV_BC,A88,MV_Code,E88,MV_Type,"Entrée"))</f>
        <v/>
      </c>
      <c r="M88" s="83" t="str">
        <f aca="false">IF(A88="","",MAX(0,N(H88)-L88))</f>
        <v/>
      </c>
      <c r="N88" s="74" t="str">
        <f aca="false">IF(A88="","",IF(M88&lt;=0,"Livrée",IF(AND(K88&lt;&gt;"",P_DateRef&gt;K88),"En retard",IF(L88&gt;0,"Partielle","En attente"))))</f>
        <v/>
      </c>
      <c r="O88" s="25"/>
      <c r="P88" s="74" t="str">
        <f aca="false">IF(OR(A88="",N88="Livrée"),"",COUNTIFS($A$7:A88,"&lt;&gt;",$N$7:N88,"&lt;&gt;Livrée"))</f>
        <v/>
      </c>
    </row>
    <row r="89" customFormat="false" ht="15" hidden="false" customHeight="false" outlineLevel="0" collapsed="false">
      <c r="A89" s="68"/>
      <c r="B89" s="69"/>
      <c r="C89" s="25"/>
      <c r="D89" s="25"/>
      <c r="E89" s="68"/>
      <c r="F89" s="76" t="str">
        <f aca="false">IF(E89="","",IFERROR(INDEX(ST_Design,MATCH(E89,ST_Code,0)),"Code inconnu"))</f>
        <v/>
      </c>
      <c r="G89" s="74" t="str">
        <f aca="false">IF(E89="","",IFERROR(INDEX(ST_Unite,MATCH(E89,ST_Code,0)),""))</f>
        <v/>
      </c>
      <c r="H89" s="82"/>
      <c r="I89" s="28"/>
      <c r="J89" s="31" t="str">
        <f aca="false">IF(H89="","",H89*N(I89))</f>
        <v/>
      </c>
      <c r="K89" s="69"/>
      <c r="L89" s="83" t="str">
        <f aca="false">IF(A89="","",SUMIFS(MV_Qte,MV_BC,A89,MV_Code,E89,MV_Type,"Entrée"))</f>
        <v/>
      </c>
      <c r="M89" s="83" t="str">
        <f aca="false">IF(A89="","",MAX(0,N(H89)-L89))</f>
        <v/>
      </c>
      <c r="N89" s="74" t="str">
        <f aca="false">IF(A89="","",IF(M89&lt;=0,"Livrée",IF(AND(K89&lt;&gt;"",P_DateRef&gt;K89),"En retard",IF(L89&gt;0,"Partielle","En attente"))))</f>
        <v/>
      </c>
      <c r="O89" s="25"/>
      <c r="P89" s="74" t="str">
        <f aca="false">IF(OR(A89="",N89="Livrée"),"",COUNTIFS($A$7:A89,"&lt;&gt;",$N$7:N89,"&lt;&gt;Livrée"))</f>
        <v/>
      </c>
    </row>
    <row r="90" customFormat="false" ht="15" hidden="false" customHeight="false" outlineLevel="0" collapsed="false">
      <c r="A90" s="68"/>
      <c r="B90" s="69"/>
      <c r="C90" s="25"/>
      <c r="D90" s="25"/>
      <c r="E90" s="68"/>
      <c r="F90" s="76" t="str">
        <f aca="false">IF(E90="","",IFERROR(INDEX(ST_Design,MATCH(E90,ST_Code,0)),"Code inconnu"))</f>
        <v/>
      </c>
      <c r="G90" s="74" t="str">
        <f aca="false">IF(E90="","",IFERROR(INDEX(ST_Unite,MATCH(E90,ST_Code,0)),""))</f>
        <v/>
      </c>
      <c r="H90" s="82"/>
      <c r="I90" s="28"/>
      <c r="J90" s="31" t="str">
        <f aca="false">IF(H90="","",H90*N(I90))</f>
        <v/>
      </c>
      <c r="K90" s="69"/>
      <c r="L90" s="83" t="str">
        <f aca="false">IF(A90="","",SUMIFS(MV_Qte,MV_BC,A90,MV_Code,E90,MV_Type,"Entrée"))</f>
        <v/>
      </c>
      <c r="M90" s="83" t="str">
        <f aca="false">IF(A90="","",MAX(0,N(H90)-L90))</f>
        <v/>
      </c>
      <c r="N90" s="74" t="str">
        <f aca="false">IF(A90="","",IF(M90&lt;=0,"Livrée",IF(AND(K90&lt;&gt;"",P_DateRef&gt;K90),"En retard",IF(L90&gt;0,"Partielle","En attente"))))</f>
        <v/>
      </c>
      <c r="O90" s="25"/>
      <c r="P90" s="74" t="str">
        <f aca="false">IF(OR(A90="",N90="Livrée"),"",COUNTIFS($A$7:A90,"&lt;&gt;",$N$7:N90,"&lt;&gt;Livrée"))</f>
        <v/>
      </c>
    </row>
    <row r="91" customFormat="false" ht="15" hidden="false" customHeight="false" outlineLevel="0" collapsed="false">
      <c r="A91" s="68"/>
      <c r="B91" s="69"/>
      <c r="C91" s="25"/>
      <c r="D91" s="25"/>
      <c r="E91" s="68"/>
      <c r="F91" s="76" t="str">
        <f aca="false">IF(E91="","",IFERROR(INDEX(ST_Design,MATCH(E91,ST_Code,0)),"Code inconnu"))</f>
        <v/>
      </c>
      <c r="G91" s="74" t="str">
        <f aca="false">IF(E91="","",IFERROR(INDEX(ST_Unite,MATCH(E91,ST_Code,0)),""))</f>
        <v/>
      </c>
      <c r="H91" s="82"/>
      <c r="I91" s="28"/>
      <c r="J91" s="31" t="str">
        <f aca="false">IF(H91="","",H91*N(I91))</f>
        <v/>
      </c>
      <c r="K91" s="69"/>
      <c r="L91" s="83" t="str">
        <f aca="false">IF(A91="","",SUMIFS(MV_Qte,MV_BC,A91,MV_Code,E91,MV_Type,"Entrée"))</f>
        <v/>
      </c>
      <c r="M91" s="83" t="str">
        <f aca="false">IF(A91="","",MAX(0,N(H91)-L91))</f>
        <v/>
      </c>
      <c r="N91" s="74" t="str">
        <f aca="false">IF(A91="","",IF(M91&lt;=0,"Livrée",IF(AND(K91&lt;&gt;"",P_DateRef&gt;K91),"En retard",IF(L91&gt;0,"Partielle","En attente"))))</f>
        <v/>
      </c>
      <c r="O91" s="25"/>
      <c r="P91" s="74" t="str">
        <f aca="false">IF(OR(A91="",N91="Livrée"),"",COUNTIFS($A$7:A91,"&lt;&gt;",$N$7:N91,"&lt;&gt;Livrée"))</f>
        <v/>
      </c>
    </row>
    <row r="92" customFormat="false" ht="15" hidden="false" customHeight="false" outlineLevel="0" collapsed="false">
      <c r="A92" s="68"/>
      <c r="B92" s="69"/>
      <c r="C92" s="25"/>
      <c r="D92" s="25"/>
      <c r="E92" s="68"/>
      <c r="F92" s="76" t="str">
        <f aca="false">IF(E92="","",IFERROR(INDEX(ST_Design,MATCH(E92,ST_Code,0)),"Code inconnu"))</f>
        <v/>
      </c>
      <c r="G92" s="74" t="str">
        <f aca="false">IF(E92="","",IFERROR(INDEX(ST_Unite,MATCH(E92,ST_Code,0)),""))</f>
        <v/>
      </c>
      <c r="H92" s="82"/>
      <c r="I92" s="28"/>
      <c r="J92" s="31" t="str">
        <f aca="false">IF(H92="","",H92*N(I92))</f>
        <v/>
      </c>
      <c r="K92" s="69"/>
      <c r="L92" s="83" t="str">
        <f aca="false">IF(A92="","",SUMIFS(MV_Qte,MV_BC,A92,MV_Code,E92,MV_Type,"Entrée"))</f>
        <v/>
      </c>
      <c r="M92" s="83" t="str">
        <f aca="false">IF(A92="","",MAX(0,N(H92)-L92))</f>
        <v/>
      </c>
      <c r="N92" s="74" t="str">
        <f aca="false">IF(A92="","",IF(M92&lt;=0,"Livrée",IF(AND(K92&lt;&gt;"",P_DateRef&gt;K92),"En retard",IF(L92&gt;0,"Partielle","En attente"))))</f>
        <v/>
      </c>
      <c r="O92" s="25"/>
      <c r="P92" s="74" t="str">
        <f aca="false">IF(OR(A92="",N92="Livrée"),"",COUNTIFS($A$7:A92,"&lt;&gt;",$N$7:N92,"&lt;&gt;Livrée"))</f>
        <v/>
      </c>
    </row>
    <row r="93" customFormat="false" ht="15" hidden="false" customHeight="false" outlineLevel="0" collapsed="false">
      <c r="A93" s="68"/>
      <c r="B93" s="69"/>
      <c r="C93" s="25"/>
      <c r="D93" s="25"/>
      <c r="E93" s="68"/>
      <c r="F93" s="76" t="str">
        <f aca="false">IF(E93="","",IFERROR(INDEX(ST_Design,MATCH(E93,ST_Code,0)),"Code inconnu"))</f>
        <v/>
      </c>
      <c r="G93" s="74" t="str">
        <f aca="false">IF(E93="","",IFERROR(INDEX(ST_Unite,MATCH(E93,ST_Code,0)),""))</f>
        <v/>
      </c>
      <c r="H93" s="82"/>
      <c r="I93" s="28"/>
      <c r="J93" s="31" t="str">
        <f aca="false">IF(H93="","",H93*N(I93))</f>
        <v/>
      </c>
      <c r="K93" s="69"/>
      <c r="L93" s="83" t="str">
        <f aca="false">IF(A93="","",SUMIFS(MV_Qte,MV_BC,A93,MV_Code,E93,MV_Type,"Entrée"))</f>
        <v/>
      </c>
      <c r="M93" s="83" t="str">
        <f aca="false">IF(A93="","",MAX(0,N(H93)-L93))</f>
        <v/>
      </c>
      <c r="N93" s="74" t="str">
        <f aca="false">IF(A93="","",IF(M93&lt;=0,"Livrée",IF(AND(K93&lt;&gt;"",P_DateRef&gt;K93),"En retard",IF(L93&gt;0,"Partielle","En attente"))))</f>
        <v/>
      </c>
      <c r="O93" s="25"/>
      <c r="P93" s="74" t="str">
        <f aca="false">IF(OR(A93="",N93="Livrée"),"",COUNTIFS($A$7:A93,"&lt;&gt;",$N$7:N93,"&lt;&gt;Livrée"))</f>
        <v/>
      </c>
    </row>
    <row r="94" customFormat="false" ht="15" hidden="false" customHeight="false" outlineLevel="0" collapsed="false">
      <c r="A94" s="68"/>
      <c r="B94" s="69"/>
      <c r="C94" s="25"/>
      <c r="D94" s="25"/>
      <c r="E94" s="68"/>
      <c r="F94" s="76" t="str">
        <f aca="false">IF(E94="","",IFERROR(INDEX(ST_Design,MATCH(E94,ST_Code,0)),"Code inconnu"))</f>
        <v/>
      </c>
      <c r="G94" s="74" t="str">
        <f aca="false">IF(E94="","",IFERROR(INDEX(ST_Unite,MATCH(E94,ST_Code,0)),""))</f>
        <v/>
      </c>
      <c r="H94" s="82"/>
      <c r="I94" s="28"/>
      <c r="J94" s="31" t="str">
        <f aca="false">IF(H94="","",H94*N(I94))</f>
        <v/>
      </c>
      <c r="K94" s="69"/>
      <c r="L94" s="83" t="str">
        <f aca="false">IF(A94="","",SUMIFS(MV_Qte,MV_BC,A94,MV_Code,E94,MV_Type,"Entrée"))</f>
        <v/>
      </c>
      <c r="M94" s="83" t="str">
        <f aca="false">IF(A94="","",MAX(0,N(H94)-L94))</f>
        <v/>
      </c>
      <c r="N94" s="74" t="str">
        <f aca="false">IF(A94="","",IF(M94&lt;=0,"Livrée",IF(AND(K94&lt;&gt;"",P_DateRef&gt;K94),"En retard",IF(L94&gt;0,"Partielle","En attente"))))</f>
        <v/>
      </c>
      <c r="O94" s="25"/>
      <c r="P94" s="74" t="str">
        <f aca="false">IF(OR(A94="",N94="Livrée"),"",COUNTIFS($A$7:A94,"&lt;&gt;",$N$7:N94,"&lt;&gt;Livrée"))</f>
        <v/>
      </c>
    </row>
    <row r="95" customFormat="false" ht="15" hidden="false" customHeight="false" outlineLevel="0" collapsed="false">
      <c r="A95" s="68"/>
      <c r="B95" s="69"/>
      <c r="C95" s="25"/>
      <c r="D95" s="25"/>
      <c r="E95" s="68"/>
      <c r="F95" s="76" t="str">
        <f aca="false">IF(E95="","",IFERROR(INDEX(ST_Design,MATCH(E95,ST_Code,0)),"Code inconnu"))</f>
        <v/>
      </c>
      <c r="G95" s="74" t="str">
        <f aca="false">IF(E95="","",IFERROR(INDEX(ST_Unite,MATCH(E95,ST_Code,0)),""))</f>
        <v/>
      </c>
      <c r="H95" s="82"/>
      <c r="I95" s="28"/>
      <c r="J95" s="31" t="str">
        <f aca="false">IF(H95="","",H95*N(I95))</f>
        <v/>
      </c>
      <c r="K95" s="69"/>
      <c r="L95" s="83" t="str">
        <f aca="false">IF(A95="","",SUMIFS(MV_Qte,MV_BC,A95,MV_Code,E95,MV_Type,"Entrée"))</f>
        <v/>
      </c>
      <c r="M95" s="83" t="str">
        <f aca="false">IF(A95="","",MAX(0,N(H95)-L95))</f>
        <v/>
      </c>
      <c r="N95" s="74" t="str">
        <f aca="false">IF(A95="","",IF(M95&lt;=0,"Livrée",IF(AND(K95&lt;&gt;"",P_DateRef&gt;K95),"En retard",IF(L95&gt;0,"Partielle","En attente"))))</f>
        <v/>
      </c>
      <c r="O95" s="25"/>
      <c r="P95" s="74" t="str">
        <f aca="false">IF(OR(A95="",N95="Livrée"),"",COUNTIFS($A$7:A95,"&lt;&gt;",$N$7:N95,"&lt;&gt;Livrée"))</f>
        <v/>
      </c>
    </row>
    <row r="96" customFormat="false" ht="15" hidden="false" customHeight="false" outlineLevel="0" collapsed="false">
      <c r="A96" s="68"/>
      <c r="B96" s="69"/>
      <c r="C96" s="25"/>
      <c r="D96" s="25"/>
      <c r="E96" s="68"/>
      <c r="F96" s="76" t="str">
        <f aca="false">IF(E96="","",IFERROR(INDEX(ST_Design,MATCH(E96,ST_Code,0)),"Code inconnu"))</f>
        <v/>
      </c>
      <c r="G96" s="74" t="str">
        <f aca="false">IF(E96="","",IFERROR(INDEX(ST_Unite,MATCH(E96,ST_Code,0)),""))</f>
        <v/>
      </c>
      <c r="H96" s="82"/>
      <c r="I96" s="28"/>
      <c r="J96" s="31" t="str">
        <f aca="false">IF(H96="","",H96*N(I96))</f>
        <v/>
      </c>
      <c r="K96" s="69"/>
      <c r="L96" s="83" t="str">
        <f aca="false">IF(A96="","",SUMIFS(MV_Qte,MV_BC,A96,MV_Code,E96,MV_Type,"Entrée"))</f>
        <v/>
      </c>
      <c r="M96" s="83" t="str">
        <f aca="false">IF(A96="","",MAX(0,N(H96)-L96))</f>
        <v/>
      </c>
      <c r="N96" s="74" t="str">
        <f aca="false">IF(A96="","",IF(M96&lt;=0,"Livrée",IF(AND(K96&lt;&gt;"",P_DateRef&gt;K96),"En retard",IF(L96&gt;0,"Partielle","En attente"))))</f>
        <v/>
      </c>
      <c r="O96" s="25"/>
      <c r="P96" s="74" t="str">
        <f aca="false">IF(OR(A96="",N96="Livrée"),"",COUNTIFS($A$7:A96,"&lt;&gt;",$N$7:N96,"&lt;&gt;Livrée"))</f>
        <v/>
      </c>
    </row>
    <row r="97" customFormat="false" ht="15" hidden="false" customHeight="false" outlineLevel="0" collapsed="false">
      <c r="A97" s="68"/>
      <c r="B97" s="69"/>
      <c r="C97" s="25"/>
      <c r="D97" s="25"/>
      <c r="E97" s="68"/>
      <c r="F97" s="76" t="str">
        <f aca="false">IF(E97="","",IFERROR(INDEX(ST_Design,MATCH(E97,ST_Code,0)),"Code inconnu"))</f>
        <v/>
      </c>
      <c r="G97" s="74" t="str">
        <f aca="false">IF(E97="","",IFERROR(INDEX(ST_Unite,MATCH(E97,ST_Code,0)),""))</f>
        <v/>
      </c>
      <c r="H97" s="82"/>
      <c r="I97" s="28"/>
      <c r="J97" s="31" t="str">
        <f aca="false">IF(H97="","",H97*N(I97))</f>
        <v/>
      </c>
      <c r="K97" s="69"/>
      <c r="L97" s="83" t="str">
        <f aca="false">IF(A97="","",SUMIFS(MV_Qte,MV_BC,A97,MV_Code,E97,MV_Type,"Entrée"))</f>
        <v/>
      </c>
      <c r="M97" s="83" t="str">
        <f aca="false">IF(A97="","",MAX(0,N(H97)-L97))</f>
        <v/>
      </c>
      <c r="N97" s="74" t="str">
        <f aca="false">IF(A97="","",IF(M97&lt;=0,"Livrée",IF(AND(K97&lt;&gt;"",P_DateRef&gt;K97),"En retard",IF(L97&gt;0,"Partielle","En attente"))))</f>
        <v/>
      </c>
      <c r="O97" s="25"/>
      <c r="P97" s="74" t="str">
        <f aca="false">IF(OR(A97="",N97="Livrée"),"",COUNTIFS($A$7:A97,"&lt;&gt;",$N$7:N97,"&lt;&gt;Livrée"))</f>
        <v/>
      </c>
    </row>
    <row r="98" customFormat="false" ht="15" hidden="false" customHeight="false" outlineLevel="0" collapsed="false">
      <c r="A98" s="68"/>
      <c r="B98" s="69"/>
      <c r="C98" s="25"/>
      <c r="D98" s="25"/>
      <c r="E98" s="68"/>
      <c r="F98" s="76" t="str">
        <f aca="false">IF(E98="","",IFERROR(INDEX(ST_Design,MATCH(E98,ST_Code,0)),"Code inconnu"))</f>
        <v/>
      </c>
      <c r="G98" s="74" t="str">
        <f aca="false">IF(E98="","",IFERROR(INDEX(ST_Unite,MATCH(E98,ST_Code,0)),""))</f>
        <v/>
      </c>
      <c r="H98" s="82"/>
      <c r="I98" s="28"/>
      <c r="J98" s="31" t="str">
        <f aca="false">IF(H98="","",H98*N(I98))</f>
        <v/>
      </c>
      <c r="K98" s="69"/>
      <c r="L98" s="83" t="str">
        <f aca="false">IF(A98="","",SUMIFS(MV_Qte,MV_BC,A98,MV_Code,E98,MV_Type,"Entrée"))</f>
        <v/>
      </c>
      <c r="M98" s="83" t="str">
        <f aca="false">IF(A98="","",MAX(0,N(H98)-L98))</f>
        <v/>
      </c>
      <c r="N98" s="74" t="str">
        <f aca="false">IF(A98="","",IF(M98&lt;=0,"Livrée",IF(AND(K98&lt;&gt;"",P_DateRef&gt;K98),"En retard",IF(L98&gt;0,"Partielle","En attente"))))</f>
        <v/>
      </c>
      <c r="O98" s="25"/>
      <c r="P98" s="74" t="str">
        <f aca="false">IF(OR(A98="",N98="Livrée"),"",COUNTIFS($A$7:A98,"&lt;&gt;",$N$7:N98,"&lt;&gt;Livrée"))</f>
        <v/>
      </c>
    </row>
    <row r="99" customFormat="false" ht="15" hidden="false" customHeight="false" outlineLevel="0" collapsed="false">
      <c r="A99" s="68"/>
      <c r="B99" s="69"/>
      <c r="C99" s="25"/>
      <c r="D99" s="25"/>
      <c r="E99" s="68"/>
      <c r="F99" s="76" t="str">
        <f aca="false">IF(E99="","",IFERROR(INDEX(ST_Design,MATCH(E99,ST_Code,0)),"Code inconnu"))</f>
        <v/>
      </c>
      <c r="G99" s="74" t="str">
        <f aca="false">IF(E99="","",IFERROR(INDEX(ST_Unite,MATCH(E99,ST_Code,0)),""))</f>
        <v/>
      </c>
      <c r="H99" s="82"/>
      <c r="I99" s="28"/>
      <c r="J99" s="31" t="str">
        <f aca="false">IF(H99="","",H99*N(I99))</f>
        <v/>
      </c>
      <c r="K99" s="69"/>
      <c r="L99" s="83" t="str">
        <f aca="false">IF(A99="","",SUMIFS(MV_Qte,MV_BC,A99,MV_Code,E99,MV_Type,"Entrée"))</f>
        <v/>
      </c>
      <c r="M99" s="83" t="str">
        <f aca="false">IF(A99="","",MAX(0,N(H99)-L99))</f>
        <v/>
      </c>
      <c r="N99" s="74" t="str">
        <f aca="false">IF(A99="","",IF(M99&lt;=0,"Livrée",IF(AND(K99&lt;&gt;"",P_DateRef&gt;K99),"En retard",IF(L99&gt;0,"Partielle","En attente"))))</f>
        <v/>
      </c>
      <c r="O99" s="25"/>
      <c r="P99" s="74" t="str">
        <f aca="false">IF(OR(A99="",N99="Livrée"),"",COUNTIFS($A$7:A99,"&lt;&gt;",$N$7:N99,"&lt;&gt;Livrée"))</f>
        <v/>
      </c>
    </row>
    <row r="100" customFormat="false" ht="15" hidden="false" customHeight="false" outlineLevel="0" collapsed="false">
      <c r="A100" s="68"/>
      <c r="B100" s="69"/>
      <c r="C100" s="25"/>
      <c r="D100" s="25"/>
      <c r="E100" s="68"/>
      <c r="F100" s="76" t="str">
        <f aca="false">IF(E100="","",IFERROR(INDEX(ST_Design,MATCH(E100,ST_Code,0)),"Code inconnu"))</f>
        <v/>
      </c>
      <c r="G100" s="74" t="str">
        <f aca="false">IF(E100="","",IFERROR(INDEX(ST_Unite,MATCH(E100,ST_Code,0)),""))</f>
        <v/>
      </c>
      <c r="H100" s="82"/>
      <c r="I100" s="28"/>
      <c r="J100" s="31" t="str">
        <f aca="false">IF(H100="","",H100*N(I100))</f>
        <v/>
      </c>
      <c r="K100" s="69"/>
      <c r="L100" s="83" t="str">
        <f aca="false">IF(A100="","",SUMIFS(MV_Qte,MV_BC,A100,MV_Code,E100,MV_Type,"Entrée"))</f>
        <v/>
      </c>
      <c r="M100" s="83" t="str">
        <f aca="false">IF(A100="","",MAX(0,N(H100)-L100))</f>
        <v/>
      </c>
      <c r="N100" s="74" t="str">
        <f aca="false">IF(A100="","",IF(M100&lt;=0,"Livrée",IF(AND(K100&lt;&gt;"",P_DateRef&gt;K100),"En retard",IF(L100&gt;0,"Partielle","En attente"))))</f>
        <v/>
      </c>
      <c r="O100" s="25"/>
      <c r="P100" s="74" t="str">
        <f aca="false">IF(OR(A100="",N100="Livrée"),"",COUNTIFS($A$7:A100,"&lt;&gt;",$N$7:N100,"&lt;&gt;Livrée"))</f>
        <v/>
      </c>
    </row>
    <row r="101" customFormat="false" ht="15" hidden="false" customHeight="false" outlineLevel="0" collapsed="false">
      <c r="A101" s="68"/>
      <c r="B101" s="69"/>
      <c r="C101" s="25"/>
      <c r="D101" s="25"/>
      <c r="E101" s="68"/>
      <c r="F101" s="76" t="str">
        <f aca="false">IF(E101="","",IFERROR(INDEX(ST_Design,MATCH(E101,ST_Code,0)),"Code inconnu"))</f>
        <v/>
      </c>
      <c r="G101" s="74" t="str">
        <f aca="false">IF(E101="","",IFERROR(INDEX(ST_Unite,MATCH(E101,ST_Code,0)),""))</f>
        <v/>
      </c>
      <c r="H101" s="82"/>
      <c r="I101" s="28"/>
      <c r="J101" s="31" t="str">
        <f aca="false">IF(H101="","",H101*N(I101))</f>
        <v/>
      </c>
      <c r="K101" s="69"/>
      <c r="L101" s="83" t="str">
        <f aca="false">IF(A101="","",SUMIFS(MV_Qte,MV_BC,A101,MV_Code,E101,MV_Type,"Entrée"))</f>
        <v/>
      </c>
      <c r="M101" s="83" t="str">
        <f aca="false">IF(A101="","",MAX(0,N(H101)-L101))</f>
        <v/>
      </c>
      <c r="N101" s="74" t="str">
        <f aca="false">IF(A101="","",IF(M101&lt;=0,"Livrée",IF(AND(K101&lt;&gt;"",P_DateRef&gt;K101),"En retard",IF(L101&gt;0,"Partielle","En attente"))))</f>
        <v/>
      </c>
      <c r="O101" s="25"/>
      <c r="P101" s="74" t="str">
        <f aca="false">IF(OR(A101="",N101="Livrée"),"",COUNTIFS($A$7:A101,"&lt;&gt;",$N$7:N101,"&lt;&gt;Livrée"))</f>
        <v/>
      </c>
    </row>
    <row r="102" customFormat="false" ht="15" hidden="false" customHeight="false" outlineLevel="0" collapsed="false">
      <c r="A102" s="68"/>
      <c r="B102" s="69"/>
      <c r="C102" s="25"/>
      <c r="D102" s="25"/>
      <c r="E102" s="68"/>
      <c r="F102" s="76" t="str">
        <f aca="false">IF(E102="","",IFERROR(INDEX(ST_Design,MATCH(E102,ST_Code,0)),"Code inconnu"))</f>
        <v/>
      </c>
      <c r="G102" s="74" t="str">
        <f aca="false">IF(E102="","",IFERROR(INDEX(ST_Unite,MATCH(E102,ST_Code,0)),""))</f>
        <v/>
      </c>
      <c r="H102" s="82"/>
      <c r="I102" s="28"/>
      <c r="J102" s="31" t="str">
        <f aca="false">IF(H102="","",H102*N(I102))</f>
        <v/>
      </c>
      <c r="K102" s="69"/>
      <c r="L102" s="83" t="str">
        <f aca="false">IF(A102="","",SUMIFS(MV_Qte,MV_BC,A102,MV_Code,E102,MV_Type,"Entrée"))</f>
        <v/>
      </c>
      <c r="M102" s="83" t="str">
        <f aca="false">IF(A102="","",MAX(0,N(H102)-L102))</f>
        <v/>
      </c>
      <c r="N102" s="74" t="str">
        <f aca="false">IF(A102="","",IF(M102&lt;=0,"Livrée",IF(AND(K102&lt;&gt;"",P_DateRef&gt;K102),"En retard",IF(L102&gt;0,"Partielle","En attente"))))</f>
        <v/>
      </c>
      <c r="O102" s="25"/>
      <c r="P102" s="74" t="str">
        <f aca="false">IF(OR(A102="",N102="Livrée"),"",COUNTIFS($A$7:A102,"&lt;&gt;",$N$7:N102,"&lt;&gt;Livrée"))</f>
        <v/>
      </c>
    </row>
    <row r="103" customFormat="false" ht="15" hidden="false" customHeight="false" outlineLevel="0" collapsed="false">
      <c r="A103" s="68"/>
      <c r="B103" s="69"/>
      <c r="C103" s="25"/>
      <c r="D103" s="25"/>
      <c r="E103" s="68"/>
      <c r="F103" s="76" t="str">
        <f aca="false">IF(E103="","",IFERROR(INDEX(ST_Design,MATCH(E103,ST_Code,0)),"Code inconnu"))</f>
        <v/>
      </c>
      <c r="G103" s="74" t="str">
        <f aca="false">IF(E103="","",IFERROR(INDEX(ST_Unite,MATCH(E103,ST_Code,0)),""))</f>
        <v/>
      </c>
      <c r="H103" s="82"/>
      <c r="I103" s="28"/>
      <c r="J103" s="31" t="str">
        <f aca="false">IF(H103="","",H103*N(I103))</f>
        <v/>
      </c>
      <c r="K103" s="69"/>
      <c r="L103" s="83" t="str">
        <f aca="false">IF(A103="","",SUMIFS(MV_Qte,MV_BC,A103,MV_Code,E103,MV_Type,"Entrée"))</f>
        <v/>
      </c>
      <c r="M103" s="83" t="str">
        <f aca="false">IF(A103="","",MAX(0,N(H103)-L103))</f>
        <v/>
      </c>
      <c r="N103" s="74" t="str">
        <f aca="false">IF(A103="","",IF(M103&lt;=0,"Livrée",IF(AND(K103&lt;&gt;"",P_DateRef&gt;K103),"En retard",IF(L103&gt;0,"Partielle","En attente"))))</f>
        <v/>
      </c>
      <c r="O103" s="25"/>
      <c r="P103" s="74" t="str">
        <f aca="false">IF(OR(A103="",N103="Livrée"),"",COUNTIFS($A$7:A103,"&lt;&gt;",$N$7:N103,"&lt;&gt;Livrée"))</f>
        <v/>
      </c>
    </row>
    <row r="104" customFormat="false" ht="15" hidden="false" customHeight="false" outlineLevel="0" collapsed="false">
      <c r="A104" s="68"/>
      <c r="B104" s="69"/>
      <c r="C104" s="25"/>
      <c r="D104" s="25"/>
      <c r="E104" s="68"/>
      <c r="F104" s="76" t="str">
        <f aca="false">IF(E104="","",IFERROR(INDEX(ST_Design,MATCH(E104,ST_Code,0)),"Code inconnu"))</f>
        <v/>
      </c>
      <c r="G104" s="74" t="str">
        <f aca="false">IF(E104="","",IFERROR(INDEX(ST_Unite,MATCH(E104,ST_Code,0)),""))</f>
        <v/>
      </c>
      <c r="H104" s="82"/>
      <c r="I104" s="28"/>
      <c r="J104" s="31" t="str">
        <f aca="false">IF(H104="","",H104*N(I104))</f>
        <v/>
      </c>
      <c r="K104" s="69"/>
      <c r="L104" s="83" t="str">
        <f aca="false">IF(A104="","",SUMIFS(MV_Qte,MV_BC,A104,MV_Code,E104,MV_Type,"Entrée"))</f>
        <v/>
      </c>
      <c r="M104" s="83" t="str">
        <f aca="false">IF(A104="","",MAX(0,N(H104)-L104))</f>
        <v/>
      </c>
      <c r="N104" s="74" t="str">
        <f aca="false">IF(A104="","",IF(M104&lt;=0,"Livrée",IF(AND(K104&lt;&gt;"",P_DateRef&gt;K104),"En retard",IF(L104&gt;0,"Partielle","En attente"))))</f>
        <v/>
      </c>
      <c r="O104" s="25"/>
      <c r="P104" s="74" t="str">
        <f aca="false">IF(OR(A104="",N104="Livrée"),"",COUNTIFS($A$7:A104,"&lt;&gt;",$N$7:N104,"&lt;&gt;Livrée"))</f>
        <v/>
      </c>
    </row>
    <row r="105" customFormat="false" ht="15" hidden="false" customHeight="false" outlineLevel="0" collapsed="false">
      <c r="A105" s="68"/>
      <c r="B105" s="69"/>
      <c r="C105" s="25"/>
      <c r="D105" s="25"/>
      <c r="E105" s="68"/>
      <c r="F105" s="76" t="str">
        <f aca="false">IF(E105="","",IFERROR(INDEX(ST_Design,MATCH(E105,ST_Code,0)),"Code inconnu"))</f>
        <v/>
      </c>
      <c r="G105" s="74" t="str">
        <f aca="false">IF(E105="","",IFERROR(INDEX(ST_Unite,MATCH(E105,ST_Code,0)),""))</f>
        <v/>
      </c>
      <c r="H105" s="82"/>
      <c r="I105" s="28"/>
      <c r="J105" s="31" t="str">
        <f aca="false">IF(H105="","",H105*N(I105))</f>
        <v/>
      </c>
      <c r="K105" s="69"/>
      <c r="L105" s="83" t="str">
        <f aca="false">IF(A105="","",SUMIFS(MV_Qte,MV_BC,A105,MV_Code,E105,MV_Type,"Entrée"))</f>
        <v/>
      </c>
      <c r="M105" s="83" t="str">
        <f aca="false">IF(A105="","",MAX(0,N(H105)-L105))</f>
        <v/>
      </c>
      <c r="N105" s="74" t="str">
        <f aca="false">IF(A105="","",IF(M105&lt;=0,"Livrée",IF(AND(K105&lt;&gt;"",P_DateRef&gt;K105),"En retard",IF(L105&gt;0,"Partielle","En attente"))))</f>
        <v/>
      </c>
      <c r="O105" s="25"/>
      <c r="P105" s="74" t="str">
        <f aca="false">IF(OR(A105="",N105="Livrée"),"",COUNTIFS($A$7:A105,"&lt;&gt;",$N$7:N105,"&lt;&gt;Livrée"))</f>
        <v/>
      </c>
    </row>
    <row r="106" customFormat="false" ht="15" hidden="false" customHeight="false" outlineLevel="0" collapsed="false">
      <c r="A106" s="68"/>
      <c r="B106" s="69"/>
      <c r="C106" s="25"/>
      <c r="D106" s="25"/>
      <c r="E106" s="68"/>
      <c r="F106" s="76" t="str">
        <f aca="false">IF(E106="","",IFERROR(INDEX(ST_Design,MATCH(E106,ST_Code,0)),"Code inconnu"))</f>
        <v/>
      </c>
      <c r="G106" s="74" t="str">
        <f aca="false">IF(E106="","",IFERROR(INDEX(ST_Unite,MATCH(E106,ST_Code,0)),""))</f>
        <v/>
      </c>
      <c r="H106" s="82"/>
      <c r="I106" s="28"/>
      <c r="J106" s="31" t="str">
        <f aca="false">IF(H106="","",H106*N(I106))</f>
        <v/>
      </c>
      <c r="K106" s="69"/>
      <c r="L106" s="83" t="str">
        <f aca="false">IF(A106="","",SUMIFS(MV_Qte,MV_BC,A106,MV_Code,E106,MV_Type,"Entrée"))</f>
        <v/>
      </c>
      <c r="M106" s="83" t="str">
        <f aca="false">IF(A106="","",MAX(0,N(H106)-L106))</f>
        <v/>
      </c>
      <c r="N106" s="74" t="str">
        <f aca="false">IF(A106="","",IF(M106&lt;=0,"Livrée",IF(AND(K106&lt;&gt;"",P_DateRef&gt;K106),"En retard",IF(L106&gt;0,"Partielle","En attente"))))</f>
        <v/>
      </c>
      <c r="O106" s="25"/>
      <c r="P106" s="74" t="str">
        <f aca="false">IF(OR(A106="",N106="Livrée"),"",COUNTIFS($A$7:A106,"&lt;&gt;",$N$7:N106,"&lt;&gt;Livrée"))</f>
        <v/>
      </c>
    </row>
    <row r="107" customFormat="false" ht="15" hidden="false" customHeight="false" outlineLevel="0" collapsed="false">
      <c r="A107" s="68"/>
      <c r="B107" s="69"/>
      <c r="C107" s="25"/>
      <c r="D107" s="25"/>
      <c r="E107" s="68"/>
      <c r="F107" s="76" t="str">
        <f aca="false">IF(E107="","",IFERROR(INDEX(ST_Design,MATCH(E107,ST_Code,0)),"Code inconnu"))</f>
        <v/>
      </c>
      <c r="G107" s="74" t="str">
        <f aca="false">IF(E107="","",IFERROR(INDEX(ST_Unite,MATCH(E107,ST_Code,0)),""))</f>
        <v/>
      </c>
      <c r="H107" s="82"/>
      <c r="I107" s="28"/>
      <c r="J107" s="31" t="str">
        <f aca="false">IF(H107="","",H107*N(I107))</f>
        <v/>
      </c>
      <c r="K107" s="69"/>
      <c r="L107" s="83" t="str">
        <f aca="false">IF(A107="","",SUMIFS(MV_Qte,MV_BC,A107,MV_Code,E107,MV_Type,"Entrée"))</f>
        <v/>
      </c>
      <c r="M107" s="83" t="str">
        <f aca="false">IF(A107="","",MAX(0,N(H107)-L107))</f>
        <v/>
      </c>
      <c r="N107" s="74" t="str">
        <f aca="false">IF(A107="","",IF(M107&lt;=0,"Livrée",IF(AND(K107&lt;&gt;"",P_DateRef&gt;K107),"En retard",IF(L107&gt;0,"Partielle","En attente"))))</f>
        <v/>
      </c>
      <c r="O107" s="25"/>
      <c r="P107" s="74" t="str">
        <f aca="false">IF(OR(A107="",N107="Livrée"),"",COUNTIFS($A$7:A107,"&lt;&gt;",$N$7:N107,"&lt;&gt;Livrée"))</f>
        <v/>
      </c>
    </row>
    <row r="108" customFormat="false" ht="15" hidden="false" customHeight="false" outlineLevel="0" collapsed="false">
      <c r="A108" s="68"/>
      <c r="B108" s="69"/>
      <c r="C108" s="25"/>
      <c r="D108" s="25"/>
      <c r="E108" s="68"/>
      <c r="F108" s="76" t="str">
        <f aca="false">IF(E108="","",IFERROR(INDEX(ST_Design,MATCH(E108,ST_Code,0)),"Code inconnu"))</f>
        <v/>
      </c>
      <c r="G108" s="74" t="str">
        <f aca="false">IF(E108="","",IFERROR(INDEX(ST_Unite,MATCH(E108,ST_Code,0)),""))</f>
        <v/>
      </c>
      <c r="H108" s="82"/>
      <c r="I108" s="28"/>
      <c r="J108" s="31" t="str">
        <f aca="false">IF(H108="","",H108*N(I108))</f>
        <v/>
      </c>
      <c r="K108" s="69"/>
      <c r="L108" s="83" t="str">
        <f aca="false">IF(A108="","",SUMIFS(MV_Qte,MV_BC,A108,MV_Code,E108,MV_Type,"Entrée"))</f>
        <v/>
      </c>
      <c r="M108" s="83" t="str">
        <f aca="false">IF(A108="","",MAX(0,N(H108)-L108))</f>
        <v/>
      </c>
      <c r="N108" s="74" t="str">
        <f aca="false">IF(A108="","",IF(M108&lt;=0,"Livrée",IF(AND(K108&lt;&gt;"",P_DateRef&gt;K108),"En retard",IF(L108&gt;0,"Partielle","En attente"))))</f>
        <v/>
      </c>
      <c r="O108" s="25"/>
      <c r="P108" s="74" t="str">
        <f aca="false">IF(OR(A108="",N108="Livrée"),"",COUNTIFS($A$7:A108,"&lt;&gt;",$N$7:N108,"&lt;&gt;Livrée"))</f>
        <v/>
      </c>
    </row>
    <row r="109" customFormat="false" ht="15" hidden="false" customHeight="false" outlineLevel="0" collapsed="false">
      <c r="A109" s="68"/>
      <c r="B109" s="69"/>
      <c r="C109" s="25"/>
      <c r="D109" s="25"/>
      <c r="E109" s="68"/>
      <c r="F109" s="76" t="str">
        <f aca="false">IF(E109="","",IFERROR(INDEX(ST_Design,MATCH(E109,ST_Code,0)),"Code inconnu"))</f>
        <v/>
      </c>
      <c r="G109" s="74" t="str">
        <f aca="false">IF(E109="","",IFERROR(INDEX(ST_Unite,MATCH(E109,ST_Code,0)),""))</f>
        <v/>
      </c>
      <c r="H109" s="82"/>
      <c r="I109" s="28"/>
      <c r="J109" s="31" t="str">
        <f aca="false">IF(H109="","",H109*N(I109))</f>
        <v/>
      </c>
      <c r="K109" s="69"/>
      <c r="L109" s="83" t="str">
        <f aca="false">IF(A109="","",SUMIFS(MV_Qte,MV_BC,A109,MV_Code,E109,MV_Type,"Entrée"))</f>
        <v/>
      </c>
      <c r="M109" s="83" t="str">
        <f aca="false">IF(A109="","",MAX(0,N(H109)-L109))</f>
        <v/>
      </c>
      <c r="N109" s="74" t="str">
        <f aca="false">IF(A109="","",IF(M109&lt;=0,"Livrée",IF(AND(K109&lt;&gt;"",P_DateRef&gt;K109),"En retard",IF(L109&gt;0,"Partielle","En attente"))))</f>
        <v/>
      </c>
      <c r="O109" s="25"/>
      <c r="P109" s="74" t="str">
        <f aca="false">IF(OR(A109="",N109="Livrée"),"",COUNTIFS($A$7:A109,"&lt;&gt;",$N$7:N109,"&lt;&gt;Livrée"))</f>
        <v/>
      </c>
    </row>
    <row r="110" customFormat="false" ht="15" hidden="false" customHeight="false" outlineLevel="0" collapsed="false">
      <c r="A110" s="68"/>
      <c r="B110" s="69"/>
      <c r="C110" s="25"/>
      <c r="D110" s="25"/>
      <c r="E110" s="68"/>
      <c r="F110" s="76" t="str">
        <f aca="false">IF(E110="","",IFERROR(INDEX(ST_Design,MATCH(E110,ST_Code,0)),"Code inconnu"))</f>
        <v/>
      </c>
      <c r="G110" s="74" t="str">
        <f aca="false">IF(E110="","",IFERROR(INDEX(ST_Unite,MATCH(E110,ST_Code,0)),""))</f>
        <v/>
      </c>
      <c r="H110" s="82"/>
      <c r="I110" s="28"/>
      <c r="J110" s="31" t="str">
        <f aca="false">IF(H110="","",H110*N(I110))</f>
        <v/>
      </c>
      <c r="K110" s="69"/>
      <c r="L110" s="83" t="str">
        <f aca="false">IF(A110="","",SUMIFS(MV_Qte,MV_BC,A110,MV_Code,E110,MV_Type,"Entrée"))</f>
        <v/>
      </c>
      <c r="M110" s="83" t="str">
        <f aca="false">IF(A110="","",MAX(0,N(H110)-L110))</f>
        <v/>
      </c>
      <c r="N110" s="74" t="str">
        <f aca="false">IF(A110="","",IF(M110&lt;=0,"Livrée",IF(AND(K110&lt;&gt;"",P_DateRef&gt;K110),"En retard",IF(L110&gt;0,"Partielle","En attente"))))</f>
        <v/>
      </c>
      <c r="O110" s="25"/>
      <c r="P110" s="74" t="str">
        <f aca="false">IF(OR(A110="",N110="Livrée"),"",COUNTIFS($A$7:A110,"&lt;&gt;",$N$7:N110,"&lt;&gt;Livrée"))</f>
        <v/>
      </c>
    </row>
    <row r="111" customFormat="false" ht="15" hidden="false" customHeight="false" outlineLevel="0" collapsed="false">
      <c r="A111" s="68"/>
      <c r="B111" s="69"/>
      <c r="C111" s="25"/>
      <c r="D111" s="25"/>
      <c r="E111" s="68"/>
      <c r="F111" s="76" t="str">
        <f aca="false">IF(E111="","",IFERROR(INDEX(ST_Design,MATCH(E111,ST_Code,0)),"Code inconnu"))</f>
        <v/>
      </c>
      <c r="G111" s="74" t="str">
        <f aca="false">IF(E111="","",IFERROR(INDEX(ST_Unite,MATCH(E111,ST_Code,0)),""))</f>
        <v/>
      </c>
      <c r="H111" s="82"/>
      <c r="I111" s="28"/>
      <c r="J111" s="31" t="str">
        <f aca="false">IF(H111="","",H111*N(I111))</f>
        <v/>
      </c>
      <c r="K111" s="69"/>
      <c r="L111" s="83" t="str">
        <f aca="false">IF(A111="","",SUMIFS(MV_Qte,MV_BC,A111,MV_Code,E111,MV_Type,"Entrée"))</f>
        <v/>
      </c>
      <c r="M111" s="83" t="str">
        <f aca="false">IF(A111="","",MAX(0,N(H111)-L111))</f>
        <v/>
      </c>
      <c r="N111" s="74" t="str">
        <f aca="false">IF(A111="","",IF(M111&lt;=0,"Livrée",IF(AND(K111&lt;&gt;"",P_DateRef&gt;K111),"En retard",IF(L111&gt;0,"Partielle","En attente"))))</f>
        <v/>
      </c>
      <c r="O111" s="25"/>
      <c r="P111" s="74" t="str">
        <f aca="false">IF(OR(A111="",N111="Livrée"),"",COUNTIFS($A$7:A111,"&lt;&gt;",$N$7:N111,"&lt;&gt;Livrée"))</f>
        <v/>
      </c>
    </row>
    <row r="112" customFormat="false" ht="15" hidden="false" customHeight="false" outlineLevel="0" collapsed="false">
      <c r="A112" s="68"/>
      <c r="B112" s="69"/>
      <c r="C112" s="25"/>
      <c r="D112" s="25"/>
      <c r="E112" s="68"/>
      <c r="F112" s="76" t="str">
        <f aca="false">IF(E112="","",IFERROR(INDEX(ST_Design,MATCH(E112,ST_Code,0)),"Code inconnu"))</f>
        <v/>
      </c>
      <c r="G112" s="74" t="str">
        <f aca="false">IF(E112="","",IFERROR(INDEX(ST_Unite,MATCH(E112,ST_Code,0)),""))</f>
        <v/>
      </c>
      <c r="H112" s="82"/>
      <c r="I112" s="28"/>
      <c r="J112" s="31" t="str">
        <f aca="false">IF(H112="","",H112*N(I112))</f>
        <v/>
      </c>
      <c r="K112" s="69"/>
      <c r="L112" s="83" t="str">
        <f aca="false">IF(A112="","",SUMIFS(MV_Qte,MV_BC,A112,MV_Code,E112,MV_Type,"Entrée"))</f>
        <v/>
      </c>
      <c r="M112" s="83" t="str">
        <f aca="false">IF(A112="","",MAX(0,N(H112)-L112))</f>
        <v/>
      </c>
      <c r="N112" s="74" t="str">
        <f aca="false">IF(A112="","",IF(M112&lt;=0,"Livrée",IF(AND(K112&lt;&gt;"",P_DateRef&gt;K112),"En retard",IF(L112&gt;0,"Partielle","En attente"))))</f>
        <v/>
      </c>
      <c r="O112" s="25"/>
      <c r="P112" s="74" t="str">
        <f aca="false">IF(OR(A112="",N112="Livrée"),"",COUNTIFS($A$7:A112,"&lt;&gt;",$N$7:N112,"&lt;&gt;Livrée"))</f>
        <v/>
      </c>
    </row>
    <row r="113" customFormat="false" ht="15" hidden="false" customHeight="false" outlineLevel="0" collapsed="false">
      <c r="A113" s="68"/>
      <c r="B113" s="69"/>
      <c r="C113" s="25"/>
      <c r="D113" s="25"/>
      <c r="E113" s="68"/>
      <c r="F113" s="76" t="str">
        <f aca="false">IF(E113="","",IFERROR(INDEX(ST_Design,MATCH(E113,ST_Code,0)),"Code inconnu"))</f>
        <v/>
      </c>
      <c r="G113" s="74" t="str">
        <f aca="false">IF(E113="","",IFERROR(INDEX(ST_Unite,MATCH(E113,ST_Code,0)),""))</f>
        <v/>
      </c>
      <c r="H113" s="82"/>
      <c r="I113" s="28"/>
      <c r="J113" s="31" t="str">
        <f aca="false">IF(H113="","",H113*N(I113))</f>
        <v/>
      </c>
      <c r="K113" s="69"/>
      <c r="L113" s="83" t="str">
        <f aca="false">IF(A113="","",SUMIFS(MV_Qte,MV_BC,A113,MV_Code,E113,MV_Type,"Entrée"))</f>
        <v/>
      </c>
      <c r="M113" s="83" t="str">
        <f aca="false">IF(A113="","",MAX(0,N(H113)-L113))</f>
        <v/>
      </c>
      <c r="N113" s="74" t="str">
        <f aca="false">IF(A113="","",IF(M113&lt;=0,"Livrée",IF(AND(K113&lt;&gt;"",P_DateRef&gt;K113),"En retard",IF(L113&gt;0,"Partielle","En attente"))))</f>
        <v/>
      </c>
      <c r="O113" s="25"/>
      <c r="P113" s="74" t="str">
        <f aca="false">IF(OR(A113="",N113="Livrée"),"",COUNTIFS($A$7:A113,"&lt;&gt;",$N$7:N113,"&lt;&gt;Livrée"))</f>
        <v/>
      </c>
    </row>
    <row r="114" customFormat="false" ht="15" hidden="false" customHeight="false" outlineLevel="0" collapsed="false">
      <c r="A114" s="68"/>
      <c r="B114" s="69"/>
      <c r="C114" s="25"/>
      <c r="D114" s="25"/>
      <c r="E114" s="68"/>
      <c r="F114" s="76" t="str">
        <f aca="false">IF(E114="","",IFERROR(INDEX(ST_Design,MATCH(E114,ST_Code,0)),"Code inconnu"))</f>
        <v/>
      </c>
      <c r="G114" s="74" t="str">
        <f aca="false">IF(E114="","",IFERROR(INDEX(ST_Unite,MATCH(E114,ST_Code,0)),""))</f>
        <v/>
      </c>
      <c r="H114" s="82"/>
      <c r="I114" s="28"/>
      <c r="J114" s="31" t="str">
        <f aca="false">IF(H114="","",H114*N(I114))</f>
        <v/>
      </c>
      <c r="K114" s="69"/>
      <c r="L114" s="83" t="str">
        <f aca="false">IF(A114="","",SUMIFS(MV_Qte,MV_BC,A114,MV_Code,E114,MV_Type,"Entrée"))</f>
        <v/>
      </c>
      <c r="M114" s="83" t="str">
        <f aca="false">IF(A114="","",MAX(0,N(H114)-L114))</f>
        <v/>
      </c>
      <c r="N114" s="74" t="str">
        <f aca="false">IF(A114="","",IF(M114&lt;=0,"Livrée",IF(AND(K114&lt;&gt;"",P_DateRef&gt;K114),"En retard",IF(L114&gt;0,"Partielle","En attente"))))</f>
        <v/>
      </c>
      <c r="O114" s="25"/>
      <c r="P114" s="74" t="str">
        <f aca="false">IF(OR(A114="",N114="Livrée"),"",COUNTIFS($A$7:A114,"&lt;&gt;",$N$7:N114,"&lt;&gt;Livrée"))</f>
        <v/>
      </c>
    </row>
    <row r="115" customFormat="false" ht="15" hidden="false" customHeight="false" outlineLevel="0" collapsed="false">
      <c r="A115" s="68"/>
      <c r="B115" s="69"/>
      <c r="C115" s="25"/>
      <c r="D115" s="25"/>
      <c r="E115" s="68"/>
      <c r="F115" s="76" t="str">
        <f aca="false">IF(E115="","",IFERROR(INDEX(ST_Design,MATCH(E115,ST_Code,0)),"Code inconnu"))</f>
        <v/>
      </c>
      <c r="G115" s="74" t="str">
        <f aca="false">IF(E115="","",IFERROR(INDEX(ST_Unite,MATCH(E115,ST_Code,0)),""))</f>
        <v/>
      </c>
      <c r="H115" s="82"/>
      <c r="I115" s="28"/>
      <c r="J115" s="31" t="str">
        <f aca="false">IF(H115="","",H115*N(I115))</f>
        <v/>
      </c>
      <c r="K115" s="69"/>
      <c r="L115" s="83" t="str">
        <f aca="false">IF(A115="","",SUMIFS(MV_Qte,MV_BC,A115,MV_Code,E115,MV_Type,"Entrée"))</f>
        <v/>
      </c>
      <c r="M115" s="83" t="str">
        <f aca="false">IF(A115="","",MAX(0,N(H115)-L115))</f>
        <v/>
      </c>
      <c r="N115" s="74" t="str">
        <f aca="false">IF(A115="","",IF(M115&lt;=0,"Livrée",IF(AND(K115&lt;&gt;"",P_DateRef&gt;K115),"En retard",IF(L115&gt;0,"Partielle","En attente"))))</f>
        <v/>
      </c>
      <c r="O115" s="25"/>
      <c r="P115" s="74" t="str">
        <f aca="false">IF(OR(A115="",N115="Livrée"),"",COUNTIFS($A$7:A115,"&lt;&gt;",$N$7:N115,"&lt;&gt;Livrée"))</f>
        <v/>
      </c>
    </row>
    <row r="116" customFormat="false" ht="15" hidden="false" customHeight="false" outlineLevel="0" collapsed="false">
      <c r="A116" s="68"/>
      <c r="B116" s="69"/>
      <c r="C116" s="25"/>
      <c r="D116" s="25"/>
      <c r="E116" s="68"/>
      <c r="F116" s="76" t="str">
        <f aca="false">IF(E116="","",IFERROR(INDEX(ST_Design,MATCH(E116,ST_Code,0)),"Code inconnu"))</f>
        <v/>
      </c>
      <c r="G116" s="74" t="str">
        <f aca="false">IF(E116="","",IFERROR(INDEX(ST_Unite,MATCH(E116,ST_Code,0)),""))</f>
        <v/>
      </c>
      <c r="H116" s="82"/>
      <c r="I116" s="28"/>
      <c r="J116" s="31" t="str">
        <f aca="false">IF(H116="","",H116*N(I116))</f>
        <v/>
      </c>
      <c r="K116" s="69"/>
      <c r="L116" s="83" t="str">
        <f aca="false">IF(A116="","",SUMIFS(MV_Qte,MV_BC,A116,MV_Code,E116,MV_Type,"Entrée"))</f>
        <v/>
      </c>
      <c r="M116" s="83" t="str">
        <f aca="false">IF(A116="","",MAX(0,N(H116)-L116))</f>
        <v/>
      </c>
      <c r="N116" s="74" t="str">
        <f aca="false">IF(A116="","",IF(M116&lt;=0,"Livrée",IF(AND(K116&lt;&gt;"",P_DateRef&gt;K116),"En retard",IF(L116&gt;0,"Partielle","En attente"))))</f>
        <v/>
      </c>
      <c r="O116" s="25"/>
      <c r="P116" s="74" t="str">
        <f aca="false">IF(OR(A116="",N116="Livrée"),"",COUNTIFS($A$7:A116,"&lt;&gt;",$N$7:N116,"&lt;&gt;Livrée"))</f>
        <v/>
      </c>
    </row>
    <row r="117" customFormat="false" ht="15" hidden="false" customHeight="false" outlineLevel="0" collapsed="false">
      <c r="A117" s="68"/>
      <c r="B117" s="69"/>
      <c r="C117" s="25"/>
      <c r="D117" s="25"/>
      <c r="E117" s="68"/>
      <c r="F117" s="76" t="str">
        <f aca="false">IF(E117="","",IFERROR(INDEX(ST_Design,MATCH(E117,ST_Code,0)),"Code inconnu"))</f>
        <v/>
      </c>
      <c r="G117" s="74" t="str">
        <f aca="false">IF(E117="","",IFERROR(INDEX(ST_Unite,MATCH(E117,ST_Code,0)),""))</f>
        <v/>
      </c>
      <c r="H117" s="82"/>
      <c r="I117" s="28"/>
      <c r="J117" s="31" t="str">
        <f aca="false">IF(H117="","",H117*N(I117))</f>
        <v/>
      </c>
      <c r="K117" s="69"/>
      <c r="L117" s="83" t="str">
        <f aca="false">IF(A117="","",SUMIFS(MV_Qte,MV_BC,A117,MV_Code,E117,MV_Type,"Entrée"))</f>
        <v/>
      </c>
      <c r="M117" s="83" t="str">
        <f aca="false">IF(A117="","",MAX(0,N(H117)-L117))</f>
        <v/>
      </c>
      <c r="N117" s="74" t="str">
        <f aca="false">IF(A117="","",IF(M117&lt;=0,"Livrée",IF(AND(K117&lt;&gt;"",P_DateRef&gt;K117),"En retard",IF(L117&gt;0,"Partielle","En attente"))))</f>
        <v/>
      </c>
      <c r="O117" s="25"/>
      <c r="P117" s="74" t="str">
        <f aca="false">IF(OR(A117="",N117="Livrée"),"",COUNTIFS($A$7:A117,"&lt;&gt;",$N$7:N117,"&lt;&gt;Livrée"))</f>
        <v/>
      </c>
    </row>
    <row r="118" customFormat="false" ht="15" hidden="false" customHeight="false" outlineLevel="0" collapsed="false">
      <c r="A118" s="68"/>
      <c r="B118" s="69"/>
      <c r="C118" s="25"/>
      <c r="D118" s="25"/>
      <c r="E118" s="68"/>
      <c r="F118" s="76" t="str">
        <f aca="false">IF(E118="","",IFERROR(INDEX(ST_Design,MATCH(E118,ST_Code,0)),"Code inconnu"))</f>
        <v/>
      </c>
      <c r="G118" s="74" t="str">
        <f aca="false">IF(E118="","",IFERROR(INDEX(ST_Unite,MATCH(E118,ST_Code,0)),""))</f>
        <v/>
      </c>
      <c r="H118" s="82"/>
      <c r="I118" s="28"/>
      <c r="J118" s="31" t="str">
        <f aca="false">IF(H118="","",H118*N(I118))</f>
        <v/>
      </c>
      <c r="K118" s="69"/>
      <c r="L118" s="83" t="str">
        <f aca="false">IF(A118="","",SUMIFS(MV_Qte,MV_BC,A118,MV_Code,E118,MV_Type,"Entrée"))</f>
        <v/>
      </c>
      <c r="M118" s="83" t="str">
        <f aca="false">IF(A118="","",MAX(0,N(H118)-L118))</f>
        <v/>
      </c>
      <c r="N118" s="74" t="str">
        <f aca="false">IF(A118="","",IF(M118&lt;=0,"Livrée",IF(AND(K118&lt;&gt;"",P_DateRef&gt;K118),"En retard",IF(L118&gt;0,"Partielle","En attente"))))</f>
        <v/>
      </c>
      <c r="O118" s="25"/>
      <c r="P118" s="74" t="str">
        <f aca="false">IF(OR(A118="",N118="Livrée"),"",COUNTIFS($A$7:A118,"&lt;&gt;",$N$7:N118,"&lt;&gt;Livrée"))</f>
        <v/>
      </c>
    </row>
    <row r="119" customFormat="false" ht="15" hidden="false" customHeight="false" outlineLevel="0" collapsed="false">
      <c r="A119" s="68"/>
      <c r="B119" s="69"/>
      <c r="C119" s="25"/>
      <c r="D119" s="25"/>
      <c r="E119" s="68"/>
      <c r="F119" s="76" t="str">
        <f aca="false">IF(E119="","",IFERROR(INDEX(ST_Design,MATCH(E119,ST_Code,0)),"Code inconnu"))</f>
        <v/>
      </c>
      <c r="G119" s="74" t="str">
        <f aca="false">IF(E119="","",IFERROR(INDEX(ST_Unite,MATCH(E119,ST_Code,0)),""))</f>
        <v/>
      </c>
      <c r="H119" s="82"/>
      <c r="I119" s="28"/>
      <c r="J119" s="31" t="str">
        <f aca="false">IF(H119="","",H119*N(I119))</f>
        <v/>
      </c>
      <c r="K119" s="69"/>
      <c r="L119" s="83" t="str">
        <f aca="false">IF(A119="","",SUMIFS(MV_Qte,MV_BC,A119,MV_Code,E119,MV_Type,"Entrée"))</f>
        <v/>
      </c>
      <c r="M119" s="83" t="str">
        <f aca="false">IF(A119="","",MAX(0,N(H119)-L119))</f>
        <v/>
      </c>
      <c r="N119" s="74" t="str">
        <f aca="false">IF(A119="","",IF(M119&lt;=0,"Livrée",IF(AND(K119&lt;&gt;"",P_DateRef&gt;K119),"En retard",IF(L119&gt;0,"Partielle","En attente"))))</f>
        <v/>
      </c>
      <c r="O119" s="25"/>
      <c r="P119" s="74" t="str">
        <f aca="false">IF(OR(A119="",N119="Livrée"),"",COUNTIFS($A$7:A119,"&lt;&gt;",$N$7:N119,"&lt;&gt;Livrée"))</f>
        <v/>
      </c>
    </row>
    <row r="120" customFormat="false" ht="15" hidden="false" customHeight="false" outlineLevel="0" collapsed="false">
      <c r="A120" s="68"/>
      <c r="B120" s="69"/>
      <c r="C120" s="25"/>
      <c r="D120" s="25"/>
      <c r="E120" s="68"/>
      <c r="F120" s="76" t="str">
        <f aca="false">IF(E120="","",IFERROR(INDEX(ST_Design,MATCH(E120,ST_Code,0)),"Code inconnu"))</f>
        <v/>
      </c>
      <c r="G120" s="74" t="str">
        <f aca="false">IF(E120="","",IFERROR(INDEX(ST_Unite,MATCH(E120,ST_Code,0)),""))</f>
        <v/>
      </c>
      <c r="H120" s="82"/>
      <c r="I120" s="28"/>
      <c r="J120" s="31" t="str">
        <f aca="false">IF(H120="","",H120*N(I120))</f>
        <v/>
      </c>
      <c r="K120" s="69"/>
      <c r="L120" s="83" t="str">
        <f aca="false">IF(A120="","",SUMIFS(MV_Qte,MV_BC,A120,MV_Code,E120,MV_Type,"Entrée"))</f>
        <v/>
      </c>
      <c r="M120" s="83" t="str">
        <f aca="false">IF(A120="","",MAX(0,N(H120)-L120))</f>
        <v/>
      </c>
      <c r="N120" s="74" t="str">
        <f aca="false">IF(A120="","",IF(M120&lt;=0,"Livrée",IF(AND(K120&lt;&gt;"",P_DateRef&gt;K120),"En retard",IF(L120&gt;0,"Partielle","En attente"))))</f>
        <v/>
      </c>
      <c r="O120" s="25"/>
      <c r="P120" s="74" t="str">
        <f aca="false">IF(OR(A120="",N120="Livrée"),"",COUNTIFS($A$7:A120,"&lt;&gt;",$N$7:N120,"&lt;&gt;Livrée"))</f>
        <v/>
      </c>
    </row>
    <row r="121" customFormat="false" ht="15" hidden="false" customHeight="false" outlineLevel="0" collapsed="false">
      <c r="A121" s="68"/>
      <c r="B121" s="69"/>
      <c r="C121" s="25"/>
      <c r="D121" s="25"/>
      <c r="E121" s="68"/>
      <c r="F121" s="76" t="str">
        <f aca="false">IF(E121="","",IFERROR(INDEX(ST_Design,MATCH(E121,ST_Code,0)),"Code inconnu"))</f>
        <v/>
      </c>
      <c r="G121" s="74" t="str">
        <f aca="false">IF(E121="","",IFERROR(INDEX(ST_Unite,MATCH(E121,ST_Code,0)),""))</f>
        <v/>
      </c>
      <c r="H121" s="82"/>
      <c r="I121" s="28"/>
      <c r="J121" s="31" t="str">
        <f aca="false">IF(H121="","",H121*N(I121))</f>
        <v/>
      </c>
      <c r="K121" s="69"/>
      <c r="L121" s="83" t="str">
        <f aca="false">IF(A121="","",SUMIFS(MV_Qte,MV_BC,A121,MV_Code,E121,MV_Type,"Entrée"))</f>
        <v/>
      </c>
      <c r="M121" s="83" t="str">
        <f aca="false">IF(A121="","",MAX(0,N(H121)-L121))</f>
        <v/>
      </c>
      <c r="N121" s="74" t="str">
        <f aca="false">IF(A121="","",IF(M121&lt;=0,"Livrée",IF(AND(K121&lt;&gt;"",P_DateRef&gt;K121),"En retard",IF(L121&gt;0,"Partielle","En attente"))))</f>
        <v/>
      </c>
      <c r="O121" s="25"/>
      <c r="P121" s="74" t="str">
        <f aca="false">IF(OR(A121="",N121="Livrée"),"",COUNTIFS($A$7:A121,"&lt;&gt;",$N$7:N121,"&lt;&gt;Livrée"))</f>
        <v/>
      </c>
    </row>
    <row r="122" customFormat="false" ht="15" hidden="false" customHeight="false" outlineLevel="0" collapsed="false">
      <c r="A122" s="68"/>
      <c r="B122" s="69"/>
      <c r="C122" s="25"/>
      <c r="D122" s="25"/>
      <c r="E122" s="68"/>
      <c r="F122" s="76" t="str">
        <f aca="false">IF(E122="","",IFERROR(INDEX(ST_Design,MATCH(E122,ST_Code,0)),"Code inconnu"))</f>
        <v/>
      </c>
      <c r="G122" s="74" t="str">
        <f aca="false">IF(E122="","",IFERROR(INDEX(ST_Unite,MATCH(E122,ST_Code,0)),""))</f>
        <v/>
      </c>
      <c r="H122" s="82"/>
      <c r="I122" s="28"/>
      <c r="J122" s="31" t="str">
        <f aca="false">IF(H122="","",H122*N(I122))</f>
        <v/>
      </c>
      <c r="K122" s="69"/>
      <c r="L122" s="83" t="str">
        <f aca="false">IF(A122="","",SUMIFS(MV_Qte,MV_BC,A122,MV_Code,E122,MV_Type,"Entrée"))</f>
        <v/>
      </c>
      <c r="M122" s="83" t="str">
        <f aca="false">IF(A122="","",MAX(0,N(H122)-L122))</f>
        <v/>
      </c>
      <c r="N122" s="74" t="str">
        <f aca="false">IF(A122="","",IF(M122&lt;=0,"Livrée",IF(AND(K122&lt;&gt;"",P_DateRef&gt;K122),"En retard",IF(L122&gt;0,"Partielle","En attente"))))</f>
        <v/>
      </c>
      <c r="O122" s="25"/>
      <c r="P122" s="74" t="str">
        <f aca="false">IF(OR(A122="",N122="Livrée"),"",COUNTIFS($A$7:A122,"&lt;&gt;",$N$7:N122,"&lt;&gt;Livrée"))</f>
        <v/>
      </c>
    </row>
    <row r="123" customFormat="false" ht="15" hidden="false" customHeight="false" outlineLevel="0" collapsed="false">
      <c r="A123" s="68"/>
      <c r="B123" s="69"/>
      <c r="C123" s="25"/>
      <c r="D123" s="25"/>
      <c r="E123" s="68"/>
      <c r="F123" s="76" t="str">
        <f aca="false">IF(E123="","",IFERROR(INDEX(ST_Design,MATCH(E123,ST_Code,0)),"Code inconnu"))</f>
        <v/>
      </c>
      <c r="G123" s="74" t="str">
        <f aca="false">IF(E123="","",IFERROR(INDEX(ST_Unite,MATCH(E123,ST_Code,0)),""))</f>
        <v/>
      </c>
      <c r="H123" s="82"/>
      <c r="I123" s="28"/>
      <c r="J123" s="31" t="str">
        <f aca="false">IF(H123="","",H123*N(I123))</f>
        <v/>
      </c>
      <c r="K123" s="69"/>
      <c r="L123" s="83" t="str">
        <f aca="false">IF(A123="","",SUMIFS(MV_Qte,MV_BC,A123,MV_Code,E123,MV_Type,"Entrée"))</f>
        <v/>
      </c>
      <c r="M123" s="83" t="str">
        <f aca="false">IF(A123="","",MAX(0,N(H123)-L123))</f>
        <v/>
      </c>
      <c r="N123" s="74" t="str">
        <f aca="false">IF(A123="","",IF(M123&lt;=0,"Livrée",IF(AND(K123&lt;&gt;"",P_DateRef&gt;K123),"En retard",IF(L123&gt;0,"Partielle","En attente"))))</f>
        <v/>
      </c>
      <c r="O123" s="25"/>
      <c r="P123" s="74" t="str">
        <f aca="false">IF(OR(A123="",N123="Livrée"),"",COUNTIFS($A$7:A123,"&lt;&gt;",$N$7:N123,"&lt;&gt;Livrée"))</f>
        <v/>
      </c>
    </row>
    <row r="124" customFormat="false" ht="15" hidden="false" customHeight="false" outlineLevel="0" collapsed="false">
      <c r="A124" s="68"/>
      <c r="B124" s="69"/>
      <c r="C124" s="25"/>
      <c r="D124" s="25"/>
      <c r="E124" s="68"/>
      <c r="F124" s="76" t="str">
        <f aca="false">IF(E124="","",IFERROR(INDEX(ST_Design,MATCH(E124,ST_Code,0)),"Code inconnu"))</f>
        <v/>
      </c>
      <c r="G124" s="74" t="str">
        <f aca="false">IF(E124="","",IFERROR(INDEX(ST_Unite,MATCH(E124,ST_Code,0)),""))</f>
        <v/>
      </c>
      <c r="H124" s="82"/>
      <c r="I124" s="28"/>
      <c r="J124" s="31" t="str">
        <f aca="false">IF(H124="","",H124*N(I124))</f>
        <v/>
      </c>
      <c r="K124" s="69"/>
      <c r="L124" s="83" t="str">
        <f aca="false">IF(A124="","",SUMIFS(MV_Qte,MV_BC,A124,MV_Code,E124,MV_Type,"Entrée"))</f>
        <v/>
      </c>
      <c r="M124" s="83" t="str">
        <f aca="false">IF(A124="","",MAX(0,N(H124)-L124))</f>
        <v/>
      </c>
      <c r="N124" s="74" t="str">
        <f aca="false">IF(A124="","",IF(M124&lt;=0,"Livrée",IF(AND(K124&lt;&gt;"",P_DateRef&gt;K124),"En retard",IF(L124&gt;0,"Partielle","En attente"))))</f>
        <v/>
      </c>
      <c r="O124" s="25"/>
      <c r="P124" s="74" t="str">
        <f aca="false">IF(OR(A124="",N124="Livrée"),"",COUNTIFS($A$7:A124,"&lt;&gt;",$N$7:N124,"&lt;&gt;Livrée"))</f>
        <v/>
      </c>
    </row>
    <row r="125" customFormat="false" ht="15" hidden="false" customHeight="false" outlineLevel="0" collapsed="false">
      <c r="A125" s="68"/>
      <c r="B125" s="69"/>
      <c r="C125" s="25"/>
      <c r="D125" s="25"/>
      <c r="E125" s="68"/>
      <c r="F125" s="76" t="str">
        <f aca="false">IF(E125="","",IFERROR(INDEX(ST_Design,MATCH(E125,ST_Code,0)),"Code inconnu"))</f>
        <v/>
      </c>
      <c r="G125" s="74" t="str">
        <f aca="false">IF(E125="","",IFERROR(INDEX(ST_Unite,MATCH(E125,ST_Code,0)),""))</f>
        <v/>
      </c>
      <c r="H125" s="82"/>
      <c r="I125" s="28"/>
      <c r="J125" s="31" t="str">
        <f aca="false">IF(H125="","",H125*N(I125))</f>
        <v/>
      </c>
      <c r="K125" s="69"/>
      <c r="L125" s="83" t="str">
        <f aca="false">IF(A125="","",SUMIFS(MV_Qte,MV_BC,A125,MV_Code,E125,MV_Type,"Entrée"))</f>
        <v/>
      </c>
      <c r="M125" s="83" t="str">
        <f aca="false">IF(A125="","",MAX(0,N(H125)-L125))</f>
        <v/>
      </c>
      <c r="N125" s="74" t="str">
        <f aca="false">IF(A125="","",IF(M125&lt;=0,"Livrée",IF(AND(K125&lt;&gt;"",P_DateRef&gt;K125),"En retard",IF(L125&gt;0,"Partielle","En attente"))))</f>
        <v/>
      </c>
      <c r="O125" s="25"/>
      <c r="P125" s="74" t="str">
        <f aca="false">IF(OR(A125="",N125="Livrée"),"",COUNTIFS($A$7:A125,"&lt;&gt;",$N$7:N125,"&lt;&gt;Livrée"))</f>
        <v/>
      </c>
    </row>
    <row r="126" customFormat="false" ht="15" hidden="false" customHeight="false" outlineLevel="0" collapsed="false">
      <c r="A126" s="68"/>
      <c r="B126" s="69"/>
      <c r="C126" s="25"/>
      <c r="D126" s="25"/>
      <c r="E126" s="68"/>
      <c r="F126" s="76" t="str">
        <f aca="false">IF(E126="","",IFERROR(INDEX(ST_Design,MATCH(E126,ST_Code,0)),"Code inconnu"))</f>
        <v/>
      </c>
      <c r="G126" s="74" t="str">
        <f aca="false">IF(E126="","",IFERROR(INDEX(ST_Unite,MATCH(E126,ST_Code,0)),""))</f>
        <v/>
      </c>
      <c r="H126" s="82"/>
      <c r="I126" s="28"/>
      <c r="J126" s="31" t="str">
        <f aca="false">IF(H126="","",H126*N(I126))</f>
        <v/>
      </c>
      <c r="K126" s="69"/>
      <c r="L126" s="83" t="str">
        <f aca="false">IF(A126="","",SUMIFS(MV_Qte,MV_BC,A126,MV_Code,E126,MV_Type,"Entrée"))</f>
        <v/>
      </c>
      <c r="M126" s="83" t="str">
        <f aca="false">IF(A126="","",MAX(0,N(H126)-L126))</f>
        <v/>
      </c>
      <c r="N126" s="74" t="str">
        <f aca="false">IF(A126="","",IF(M126&lt;=0,"Livrée",IF(AND(K126&lt;&gt;"",P_DateRef&gt;K126),"En retard",IF(L126&gt;0,"Partielle","En attente"))))</f>
        <v/>
      </c>
      <c r="O126" s="25"/>
      <c r="P126" s="74" t="str">
        <f aca="false">IF(OR(A126="",N126="Livrée"),"",COUNTIFS($A$7:A126,"&lt;&gt;",$N$7:N126,"&lt;&gt;Livrée"))</f>
        <v/>
      </c>
    </row>
    <row r="127" customFormat="false" ht="15" hidden="false" customHeight="false" outlineLevel="0" collapsed="false">
      <c r="A127" s="68"/>
      <c r="B127" s="69"/>
      <c r="C127" s="25"/>
      <c r="D127" s="25"/>
      <c r="E127" s="68"/>
      <c r="F127" s="76" t="str">
        <f aca="false">IF(E127="","",IFERROR(INDEX(ST_Design,MATCH(E127,ST_Code,0)),"Code inconnu"))</f>
        <v/>
      </c>
      <c r="G127" s="74" t="str">
        <f aca="false">IF(E127="","",IFERROR(INDEX(ST_Unite,MATCH(E127,ST_Code,0)),""))</f>
        <v/>
      </c>
      <c r="H127" s="82"/>
      <c r="I127" s="28"/>
      <c r="J127" s="31" t="str">
        <f aca="false">IF(H127="","",H127*N(I127))</f>
        <v/>
      </c>
      <c r="K127" s="69"/>
      <c r="L127" s="83" t="str">
        <f aca="false">IF(A127="","",SUMIFS(MV_Qte,MV_BC,A127,MV_Code,E127,MV_Type,"Entrée"))</f>
        <v/>
      </c>
      <c r="M127" s="83" t="str">
        <f aca="false">IF(A127="","",MAX(0,N(H127)-L127))</f>
        <v/>
      </c>
      <c r="N127" s="74" t="str">
        <f aca="false">IF(A127="","",IF(M127&lt;=0,"Livrée",IF(AND(K127&lt;&gt;"",P_DateRef&gt;K127),"En retard",IF(L127&gt;0,"Partielle","En attente"))))</f>
        <v/>
      </c>
      <c r="O127" s="25"/>
      <c r="P127" s="74" t="str">
        <f aca="false">IF(OR(A127="",N127="Livrée"),"",COUNTIFS($A$7:A127,"&lt;&gt;",$N$7:N127,"&lt;&gt;Livrée"))</f>
        <v/>
      </c>
    </row>
    <row r="128" customFormat="false" ht="15" hidden="false" customHeight="false" outlineLevel="0" collapsed="false">
      <c r="A128" s="68"/>
      <c r="B128" s="69"/>
      <c r="C128" s="25"/>
      <c r="D128" s="25"/>
      <c r="E128" s="68"/>
      <c r="F128" s="76" t="str">
        <f aca="false">IF(E128="","",IFERROR(INDEX(ST_Design,MATCH(E128,ST_Code,0)),"Code inconnu"))</f>
        <v/>
      </c>
      <c r="G128" s="74" t="str">
        <f aca="false">IF(E128="","",IFERROR(INDEX(ST_Unite,MATCH(E128,ST_Code,0)),""))</f>
        <v/>
      </c>
      <c r="H128" s="82"/>
      <c r="I128" s="28"/>
      <c r="J128" s="31" t="str">
        <f aca="false">IF(H128="","",H128*N(I128))</f>
        <v/>
      </c>
      <c r="K128" s="69"/>
      <c r="L128" s="83" t="str">
        <f aca="false">IF(A128="","",SUMIFS(MV_Qte,MV_BC,A128,MV_Code,E128,MV_Type,"Entrée"))</f>
        <v/>
      </c>
      <c r="M128" s="83" t="str">
        <f aca="false">IF(A128="","",MAX(0,N(H128)-L128))</f>
        <v/>
      </c>
      <c r="N128" s="74" t="str">
        <f aca="false">IF(A128="","",IF(M128&lt;=0,"Livrée",IF(AND(K128&lt;&gt;"",P_DateRef&gt;K128),"En retard",IF(L128&gt;0,"Partielle","En attente"))))</f>
        <v/>
      </c>
      <c r="O128" s="25"/>
      <c r="P128" s="74" t="str">
        <f aca="false">IF(OR(A128="",N128="Livrée"),"",COUNTIFS($A$7:A128,"&lt;&gt;",$N$7:N128,"&lt;&gt;Livrée"))</f>
        <v/>
      </c>
    </row>
    <row r="129" customFormat="false" ht="15" hidden="false" customHeight="false" outlineLevel="0" collapsed="false">
      <c r="A129" s="68"/>
      <c r="B129" s="69"/>
      <c r="C129" s="25"/>
      <c r="D129" s="25"/>
      <c r="E129" s="68"/>
      <c r="F129" s="76" t="str">
        <f aca="false">IF(E129="","",IFERROR(INDEX(ST_Design,MATCH(E129,ST_Code,0)),"Code inconnu"))</f>
        <v/>
      </c>
      <c r="G129" s="74" t="str">
        <f aca="false">IF(E129="","",IFERROR(INDEX(ST_Unite,MATCH(E129,ST_Code,0)),""))</f>
        <v/>
      </c>
      <c r="H129" s="82"/>
      <c r="I129" s="28"/>
      <c r="J129" s="31" t="str">
        <f aca="false">IF(H129="","",H129*N(I129))</f>
        <v/>
      </c>
      <c r="K129" s="69"/>
      <c r="L129" s="83" t="str">
        <f aca="false">IF(A129="","",SUMIFS(MV_Qte,MV_BC,A129,MV_Code,E129,MV_Type,"Entrée"))</f>
        <v/>
      </c>
      <c r="M129" s="83" t="str">
        <f aca="false">IF(A129="","",MAX(0,N(H129)-L129))</f>
        <v/>
      </c>
      <c r="N129" s="74" t="str">
        <f aca="false">IF(A129="","",IF(M129&lt;=0,"Livrée",IF(AND(K129&lt;&gt;"",P_DateRef&gt;K129),"En retard",IF(L129&gt;0,"Partielle","En attente"))))</f>
        <v/>
      </c>
      <c r="O129" s="25"/>
      <c r="P129" s="74" t="str">
        <f aca="false">IF(OR(A129="",N129="Livrée"),"",COUNTIFS($A$7:A129,"&lt;&gt;",$N$7:N129,"&lt;&gt;Livrée"))</f>
        <v/>
      </c>
    </row>
    <row r="130" customFormat="false" ht="15" hidden="false" customHeight="false" outlineLevel="0" collapsed="false">
      <c r="A130" s="68"/>
      <c r="B130" s="69"/>
      <c r="C130" s="25"/>
      <c r="D130" s="25"/>
      <c r="E130" s="68"/>
      <c r="F130" s="76" t="str">
        <f aca="false">IF(E130="","",IFERROR(INDEX(ST_Design,MATCH(E130,ST_Code,0)),"Code inconnu"))</f>
        <v/>
      </c>
      <c r="G130" s="74" t="str">
        <f aca="false">IF(E130="","",IFERROR(INDEX(ST_Unite,MATCH(E130,ST_Code,0)),""))</f>
        <v/>
      </c>
      <c r="H130" s="82"/>
      <c r="I130" s="28"/>
      <c r="J130" s="31" t="str">
        <f aca="false">IF(H130="","",H130*N(I130))</f>
        <v/>
      </c>
      <c r="K130" s="69"/>
      <c r="L130" s="83" t="str">
        <f aca="false">IF(A130="","",SUMIFS(MV_Qte,MV_BC,A130,MV_Code,E130,MV_Type,"Entrée"))</f>
        <v/>
      </c>
      <c r="M130" s="83" t="str">
        <f aca="false">IF(A130="","",MAX(0,N(H130)-L130))</f>
        <v/>
      </c>
      <c r="N130" s="74" t="str">
        <f aca="false">IF(A130="","",IF(M130&lt;=0,"Livrée",IF(AND(K130&lt;&gt;"",P_DateRef&gt;K130),"En retard",IF(L130&gt;0,"Partielle","En attente"))))</f>
        <v/>
      </c>
      <c r="O130" s="25"/>
      <c r="P130" s="74" t="str">
        <f aca="false">IF(OR(A130="",N130="Livrée"),"",COUNTIFS($A$7:A130,"&lt;&gt;",$N$7:N130,"&lt;&gt;Livrée"))</f>
        <v/>
      </c>
    </row>
    <row r="131" customFormat="false" ht="15" hidden="false" customHeight="false" outlineLevel="0" collapsed="false">
      <c r="A131" s="68"/>
      <c r="B131" s="69"/>
      <c r="C131" s="25"/>
      <c r="D131" s="25"/>
      <c r="E131" s="68"/>
      <c r="F131" s="76" t="str">
        <f aca="false">IF(E131="","",IFERROR(INDEX(ST_Design,MATCH(E131,ST_Code,0)),"Code inconnu"))</f>
        <v/>
      </c>
      <c r="G131" s="74" t="str">
        <f aca="false">IF(E131="","",IFERROR(INDEX(ST_Unite,MATCH(E131,ST_Code,0)),""))</f>
        <v/>
      </c>
      <c r="H131" s="82"/>
      <c r="I131" s="28"/>
      <c r="J131" s="31" t="str">
        <f aca="false">IF(H131="","",H131*N(I131))</f>
        <v/>
      </c>
      <c r="K131" s="69"/>
      <c r="L131" s="83" t="str">
        <f aca="false">IF(A131="","",SUMIFS(MV_Qte,MV_BC,A131,MV_Code,E131,MV_Type,"Entrée"))</f>
        <v/>
      </c>
      <c r="M131" s="83" t="str">
        <f aca="false">IF(A131="","",MAX(0,N(H131)-L131))</f>
        <v/>
      </c>
      <c r="N131" s="74" t="str">
        <f aca="false">IF(A131="","",IF(M131&lt;=0,"Livrée",IF(AND(K131&lt;&gt;"",P_DateRef&gt;K131),"En retard",IF(L131&gt;0,"Partielle","En attente"))))</f>
        <v/>
      </c>
      <c r="O131" s="25"/>
      <c r="P131" s="74" t="str">
        <f aca="false">IF(OR(A131="",N131="Livrée"),"",COUNTIFS($A$7:A131,"&lt;&gt;",$N$7:N131,"&lt;&gt;Livrée"))</f>
        <v/>
      </c>
    </row>
    <row r="132" customFormat="false" ht="15" hidden="false" customHeight="false" outlineLevel="0" collapsed="false">
      <c r="A132" s="68"/>
      <c r="B132" s="69"/>
      <c r="C132" s="25"/>
      <c r="D132" s="25"/>
      <c r="E132" s="68"/>
      <c r="F132" s="76" t="str">
        <f aca="false">IF(E132="","",IFERROR(INDEX(ST_Design,MATCH(E132,ST_Code,0)),"Code inconnu"))</f>
        <v/>
      </c>
      <c r="G132" s="74" t="str">
        <f aca="false">IF(E132="","",IFERROR(INDEX(ST_Unite,MATCH(E132,ST_Code,0)),""))</f>
        <v/>
      </c>
      <c r="H132" s="82"/>
      <c r="I132" s="28"/>
      <c r="J132" s="31" t="str">
        <f aca="false">IF(H132="","",H132*N(I132))</f>
        <v/>
      </c>
      <c r="K132" s="69"/>
      <c r="L132" s="83" t="str">
        <f aca="false">IF(A132="","",SUMIFS(MV_Qte,MV_BC,A132,MV_Code,E132,MV_Type,"Entrée"))</f>
        <v/>
      </c>
      <c r="M132" s="83" t="str">
        <f aca="false">IF(A132="","",MAX(0,N(H132)-L132))</f>
        <v/>
      </c>
      <c r="N132" s="74" t="str">
        <f aca="false">IF(A132="","",IF(M132&lt;=0,"Livrée",IF(AND(K132&lt;&gt;"",P_DateRef&gt;K132),"En retard",IF(L132&gt;0,"Partielle","En attente"))))</f>
        <v/>
      </c>
      <c r="O132" s="25"/>
      <c r="P132" s="74" t="str">
        <f aca="false">IF(OR(A132="",N132="Livrée"),"",COUNTIFS($A$7:A132,"&lt;&gt;",$N$7:N132,"&lt;&gt;Livrée"))</f>
        <v/>
      </c>
    </row>
    <row r="133" customFormat="false" ht="15" hidden="false" customHeight="false" outlineLevel="0" collapsed="false">
      <c r="A133" s="68"/>
      <c r="B133" s="69"/>
      <c r="C133" s="25"/>
      <c r="D133" s="25"/>
      <c r="E133" s="68"/>
      <c r="F133" s="76" t="str">
        <f aca="false">IF(E133="","",IFERROR(INDEX(ST_Design,MATCH(E133,ST_Code,0)),"Code inconnu"))</f>
        <v/>
      </c>
      <c r="G133" s="74" t="str">
        <f aca="false">IF(E133="","",IFERROR(INDEX(ST_Unite,MATCH(E133,ST_Code,0)),""))</f>
        <v/>
      </c>
      <c r="H133" s="82"/>
      <c r="I133" s="28"/>
      <c r="J133" s="31" t="str">
        <f aca="false">IF(H133="","",H133*N(I133))</f>
        <v/>
      </c>
      <c r="K133" s="69"/>
      <c r="L133" s="83" t="str">
        <f aca="false">IF(A133="","",SUMIFS(MV_Qte,MV_BC,A133,MV_Code,E133,MV_Type,"Entrée"))</f>
        <v/>
      </c>
      <c r="M133" s="83" t="str">
        <f aca="false">IF(A133="","",MAX(0,N(H133)-L133))</f>
        <v/>
      </c>
      <c r="N133" s="74" t="str">
        <f aca="false">IF(A133="","",IF(M133&lt;=0,"Livrée",IF(AND(K133&lt;&gt;"",P_DateRef&gt;K133),"En retard",IF(L133&gt;0,"Partielle","En attente"))))</f>
        <v/>
      </c>
      <c r="O133" s="25"/>
      <c r="P133" s="74" t="str">
        <f aca="false">IF(OR(A133="",N133="Livrée"),"",COUNTIFS($A$7:A133,"&lt;&gt;",$N$7:N133,"&lt;&gt;Livrée"))</f>
        <v/>
      </c>
    </row>
    <row r="134" customFormat="false" ht="15" hidden="false" customHeight="false" outlineLevel="0" collapsed="false">
      <c r="A134" s="68"/>
      <c r="B134" s="69"/>
      <c r="C134" s="25"/>
      <c r="D134" s="25"/>
      <c r="E134" s="68"/>
      <c r="F134" s="76" t="str">
        <f aca="false">IF(E134="","",IFERROR(INDEX(ST_Design,MATCH(E134,ST_Code,0)),"Code inconnu"))</f>
        <v/>
      </c>
      <c r="G134" s="74" t="str">
        <f aca="false">IF(E134="","",IFERROR(INDEX(ST_Unite,MATCH(E134,ST_Code,0)),""))</f>
        <v/>
      </c>
      <c r="H134" s="82"/>
      <c r="I134" s="28"/>
      <c r="J134" s="31" t="str">
        <f aca="false">IF(H134="","",H134*N(I134))</f>
        <v/>
      </c>
      <c r="K134" s="69"/>
      <c r="L134" s="83" t="str">
        <f aca="false">IF(A134="","",SUMIFS(MV_Qte,MV_BC,A134,MV_Code,E134,MV_Type,"Entrée"))</f>
        <v/>
      </c>
      <c r="M134" s="83" t="str">
        <f aca="false">IF(A134="","",MAX(0,N(H134)-L134))</f>
        <v/>
      </c>
      <c r="N134" s="74" t="str">
        <f aca="false">IF(A134="","",IF(M134&lt;=0,"Livrée",IF(AND(K134&lt;&gt;"",P_DateRef&gt;K134),"En retard",IF(L134&gt;0,"Partielle","En attente"))))</f>
        <v/>
      </c>
      <c r="O134" s="25"/>
      <c r="P134" s="74" t="str">
        <f aca="false">IF(OR(A134="",N134="Livrée"),"",COUNTIFS($A$7:A134,"&lt;&gt;",$N$7:N134,"&lt;&gt;Livrée"))</f>
        <v/>
      </c>
    </row>
    <row r="135" customFormat="false" ht="15" hidden="false" customHeight="false" outlineLevel="0" collapsed="false">
      <c r="A135" s="68"/>
      <c r="B135" s="69"/>
      <c r="C135" s="25"/>
      <c r="D135" s="25"/>
      <c r="E135" s="68"/>
      <c r="F135" s="76" t="str">
        <f aca="false">IF(E135="","",IFERROR(INDEX(ST_Design,MATCH(E135,ST_Code,0)),"Code inconnu"))</f>
        <v/>
      </c>
      <c r="G135" s="74" t="str">
        <f aca="false">IF(E135="","",IFERROR(INDEX(ST_Unite,MATCH(E135,ST_Code,0)),""))</f>
        <v/>
      </c>
      <c r="H135" s="82"/>
      <c r="I135" s="28"/>
      <c r="J135" s="31" t="str">
        <f aca="false">IF(H135="","",H135*N(I135))</f>
        <v/>
      </c>
      <c r="K135" s="69"/>
      <c r="L135" s="83" t="str">
        <f aca="false">IF(A135="","",SUMIFS(MV_Qte,MV_BC,A135,MV_Code,E135,MV_Type,"Entrée"))</f>
        <v/>
      </c>
      <c r="M135" s="83" t="str">
        <f aca="false">IF(A135="","",MAX(0,N(H135)-L135))</f>
        <v/>
      </c>
      <c r="N135" s="74" t="str">
        <f aca="false">IF(A135="","",IF(M135&lt;=0,"Livrée",IF(AND(K135&lt;&gt;"",P_DateRef&gt;K135),"En retard",IF(L135&gt;0,"Partielle","En attente"))))</f>
        <v/>
      </c>
      <c r="O135" s="25"/>
      <c r="P135" s="74" t="str">
        <f aca="false">IF(OR(A135="",N135="Livrée"),"",COUNTIFS($A$7:A135,"&lt;&gt;",$N$7:N135,"&lt;&gt;Livrée"))</f>
        <v/>
      </c>
    </row>
    <row r="136" customFormat="false" ht="15" hidden="false" customHeight="false" outlineLevel="0" collapsed="false">
      <c r="A136" s="68"/>
      <c r="B136" s="69"/>
      <c r="C136" s="25"/>
      <c r="D136" s="25"/>
      <c r="E136" s="68"/>
      <c r="F136" s="76" t="str">
        <f aca="false">IF(E136="","",IFERROR(INDEX(ST_Design,MATCH(E136,ST_Code,0)),"Code inconnu"))</f>
        <v/>
      </c>
      <c r="G136" s="74" t="str">
        <f aca="false">IF(E136="","",IFERROR(INDEX(ST_Unite,MATCH(E136,ST_Code,0)),""))</f>
        <v/>
      </c>
      <c r="H136" s="82"/>
      <c r="I136" s="28"/>
      <c r="J136" s="31" t="str">
        <f aca="false">IF(H136="","",H136*N(I136))</f>
        <v/>
      </c>
      <c r="K136" s="69"/>
      <c r="L136" s="83" t="str">
        <f aca="false">IF(A136="","",SUMIFS(MV_Qte,MV_BC,A136,MV_Code,E136,MV_Type,"Entrée"))</f>
        <v/>
      </c>
      <c r="M136" s="83" t="str">
        <f aca="false">IF(A136="","",MAX(0,N(H136)-L136))</f>
        <v/>
      </c>
      <c r="N136" s="74" t="str">
        <f aca="false">IF(A136="","",IF(M136&lt;=0,"Livrée",IF(AND(K136&lt;&gt;"",P_DateRef&gt;K136),"En retard",IF(L136&gt;0,"Partielle","En attente"))))</f>
        <v/>
      </c>
      <c r="O136" s="25"/>
      <c r="P136" s="74" t="str">
        <f aca="false">IF(OR(A136="",N136="Livrée"),"",COUNTIFS($A$7:A136,"&lt;&gt;",$N$7:N136,"&lt;&gt;Livrée"))</f>
        <v/>
      </c>
    </row>
    <row r="137" customFormat="false" ht="15" hidden="false" customHeight="false" outlineLevel="0" collapsed="false">
      <c r="A137" s="68"/>
      <c r="B137" s="69"/>
      <c r="C137" s="25"/>
      <c r="D137" s="25"/>
      <c r="E137" s="68"/>
      <c r="F137" s="76" t="str">
        <f aca="false">IF(E137="","",IFERROR(INDEX(ST_Design,MATCH(E137,ST_Code,0)),"Code inconnu"))</f>
        <v/>
      </c>
      <c r="G137" s="74" t="str">
        <f aca="false">IF(E137="","",IFERROR(INDEX(ST_Unite,MATCH(E137,ST_Code,0)),""))</f>
        <v/>
      </c>
      <c r="H137" s="82"/>
      <c r="I137" s="28"/>
      <c r="J137" s="31" t="str">
        <f aca="false">IF(H137="","",H137*N(I137))</f>
        <v/>
      </c>
      <c r="K137" s="69"/>
      <c r="L137" s="83" t="str">
        <f aca="false">IF(A137="","",SUMIFS(MV_Qte,MV_BC,A137,MV_Code,E137,MV_Type,"Entrée"))</f>
        <v/>
      </c>
      <c r="M137" s="83" t="str">
        <f aca="false">IF(A137="","",MAX(0,N(H137)-L137))</f>
        <v/>
      </c>
      <c r="N137" s="74" t="str">
        <f aca="false">IF(A137="","",IF(M137&lt;=0,"Livrée",IF(AND(K137&lt;&gt;"",P_DateRef&gt;K137),"En retard",IF(L137&gt;0,"Partielle","En attente"))))</f>
        <v/>
      </c>
      <c r="O137" s="25"/>
      <c r="P137" s="74" t="str">
        <f aca="false">IF(OR(A137="",N137="Livrée"),"",COUNTIFS($A$7:A137,"&lt;&gt;",$N$7:N137,"&lt;&gt;Livrée"))</f>
        <v/>
      </c>
    </row>
    <row r="138" customFormat="false" ht="15" hidden="false" customHeight="false" outlineLevel="0" collapsed="false">
      <c r="A138" s="68"/>
      <c r="B138" s="69"/>
      <c r="C138" s="25"/>
      <c r="D138" s="25"/>
      <c r="E138" s="68"/>
      <c r="F138" s="76" t="str">
        <f aca="false">IF(E138="","",IFERROR(INDEX(ST_Design,MATCH(E138,ST_Code,0)),"Code inconnu"))</f>
        <v/>
      </c>
      <c r="G138" s="74" t="str">
        <f aca="false">IF(E138="","",IFERROR(INDEX(ST_Unite,MATCH(E138,ST_Code,0)),""))</f>
        <v/>
      </c>
      <c r="H138" s="82"/>
      <c r="I138" s="28"/>
      <c r="J138" s="31" t="str">
        <f aca="false">IF(H138="","",H138*N(I138))</f>
        <v/>
      </c>
      <c r="K138" s="69"/>
      <c r="L138" s="83" t="str">
        <f aca="false">IF(A138="","",SUMIFS(MV_Qte,MV_BC,A138,MV_Code,E138,MV_Type,"Entrée"))</f>
        <v/>
      </c>
      <c r="M138" s="83" t="str">
        <f aca="false">IF(A138="","",MAX(0,N(H138)-L138))</f>
        <v/>
      </c>
      <c r="N138" s="74" t="str">
        <f aca="false">IF(A138="","",IF(M138&lt;=0,"Livrée",IF(AND(K138&lt;&gt;"",P_DateRef&gt;K138),"En retard",IF(L138&gt;0,"Partielle","En attente"))))</f>
        <v/>
      </c>
      <c r="O138" s="25"/>
      <c r="P138" s="74" t="str">
        <f aca="false">IF(OR(A138="",N138="Livrée"),"",COUNTIFS($A$7:A138,"&lt;&gt;",$N$7:N138,"&lt;&gt;Livrée"))</f>
        <v/>
      </c>
    </row>
    <row r="139" customFormat="false" ht="15" hidden="false" customHeight="false" outlineLevel="0" collapsed="false">
      <c r="A139" s="68"/>
      <c r="B139" s="69"/>
      <c r="C139" s="25"/>
      <c r="D139" s="25"/>
      <c r="E139" s="68"/>
      <c r="F139" s="76" t="str">
        <f aca="false">IF(E139="","",IFERROR(INDEX(ST_Design,MATCH(E139,ST_Code,0)),"Code inconnu"))</f>
        <v/>
      </c>
      <c r="G139" s="74" t="str">
        <f aca="false">IF(E139="","",IFERROR(INDEX(ST_Unite,MATCH(E139,ST_Code,0)),""))</f>
        <v/>
      </c>
      <c r="H139" s="82"/>
      <c r="I139" s="28"/>
      <c r="J139" s="31" t="str">
        <f aca="false">IF(H139="","",H139*N(I139))</f>
        <v/>
      </c>
      <c r="K139" s="69"/>
      <c r="L139" s="83" t="str">
        <f aca="false">IF(A139="","",SUMIFS(MV_Qte,MV_BC,A139,MV_Code,E139,MV_Type,"Entrée"))</f>
        <v/>
      </c>
      <c r="M139" s="83" t="str">
        <f aca="false">IF(A139="","",MAX(0,N(H139)-L139))</f>
        <v/>
      </c>
      <c r="N139" s="74" t="str">
        <f aca="false">IF(A139="","",IF(M139&lt;=0,"Livrée",IF(AND(K139&lt;&gt;"",P_DateRef&gt;K139),"En retard",IF(L139&gt;0,"Partielle","En attente"))))</f>
        <v/>
      </c>
      <c r="O139" s="25"/>
      <c r="P139" s="74" t="str">
        <f aca="false">IF(OR(A139="",N139="Livrée"),"",COUNTIFS($A$7:A139,"&lt;&gt;",$N$7:N139,"&lt;&gt;Livrée"))</f>
        <v/>
      </c>
    </row>
    <row r="140" customFormat="false" ht="15" hidden="false" customHeight="false" outlineLevel="0" collapsed="false">
      <c r="A140" s="68"/>
      <c r="B140" s="69"/>
      <c r="C140" s="25"/>
      <c r="D140" s="25"/>
      <c r="E140" s="68"/>
      <c r="F140" s="76" t="str">
        <f aca="false">IF(E140="","",IFERROR(INDEX(ST_Design,MATCH(E140,ST_Code,0)),"Code inconnu"))</f>
        <v/>
      </c>
      <c r="G140" s="74" t="str">
        <f aca="false">IF(E140="","",IFERROR(INDEX(ST_Unite,MATCH(E140,ST_Code,0)),""))</f>
        <v/>
      </c>
      <c r="H140" s="82"/>
      <c r="I140" s="28"/>
      <c r="J140" s="31" t="str">
        <f aca="false">IF(H140="","",H140*N(I140))</f>
        <v/>
      </c>
      <c r="K140" s="69"/>
      <c r="L140" s="83" t="str">
        <f aca="false">IF(A140="","",SUMIFS(MV_Qte,MV_BC,A140,MV_Code,E140,MV_Type,"Entrée"))</f>
        <v/>
      </c>
      <c r="M140" s="83" t="str">
        <f aca="false">IF(A140="","",MAX(0,N(H140)-L140))</f>
        <v/>
      </c>
      <c r="N140" s="74" t="str">
        <f aca="false">IF(A140="","",IF(M140&lt;=0,"Livrée",IF(AND(K140&lt;&gt;"",P_DateRef&gt;K140),"En retard",IF(L140&gt;0,"Partielle","En attente"))))</f>
        <v/>
      </c>
      <c r="O140" s="25"/>
      <c r="P140" s="74" t="str">
        <f aca="false">IF(OR(A140="",N140="Livrée"),"",COUNTIFS($A$7:A140,"&lt;&gt;",$N$7:N140,"&lt;&gt;Livrée"))</f>
        <v/>
      </c>
    </row>
    <row r="141" customFormat="false" ht="15" hidden="false" customHeight="false" outlineLevel="0" collapsed="false">
      <c r="A141" s="68"/>
      <c r="B141" s="69"/>
      <c r="C141" s="25"/>
      <c r="D141" s="25"/>
      <c r="E141" s="68"/>
      <c r="F141" s="76" t="str">
        <f aca="false">IF(E141="","",IFERROR(INDEX(ST_Design,MATCH(E141,ST_Code,0)),"Code inconnu"))</f>
        <v/>
      </c>
      <c r="G141" s="74" t="str">
        <f aca="false">IF(E141="","",IFERROR(INDEX(ST_Unite,MATCH(E141,ST_Code,0)),""))</f>
        <v/>
      </c>
      <c r="H141" s="82"/>
      <c r="I141" s="28"/>
      <c r="J141" s="31" t="str">
        <f aca="false">IF(H141="","",H141*N(I141))</f>
        <v/>
      </c>
      <c r="K141" s="69"/>
      <c r="L141" s="83" t="str">
        <f aca="false">IF(A141="","",SUMIFS(MV_Qte,MV_BC,A141,MV_Code,E141,MV_Type,"Entrée"))</f>
        <v/>
      </c>
      <c r="M141" s="83" t="str">
        <f aca="false">IF(A141="","",MAX(0,N(H141)-L141))</f>
        <v/>
      </c>
      <c r="N141" s="74" t="str">
        <f aca="false">IF(A141="","",IF(M141&lt;=0,"Livrée",IF(AND(K141&lt;&gt;"",P_DateRef&gt;K141),"En retard",IF(L141&gt;0,"Partielle","En attente"))))</f>
        <v/>
      </c>
      <c r="O141" s="25"/>
      <c r="P141" s="74" t="str">
        <f aca="false">IF(OR(A141="",N141="Livrée"),"",COUNTIFS($A$7:A141,"&lt;&gt;",$N$7:N141,"&lt;&gt;Livrée"))</f>
        <v/>
      </c>
    </row>
    <row r="142" customFormat="false" ht="15" hidden="false" customHeight="false" outlineLevel="0" collapsed="false">
      <c r="A142" s="68"/>
      <c r="B142" s="69"/>
      <c r="C142" s="25"/>
      <c r="D142" s="25"/>
      <c r="E142" s="68"/>
      <c r="F142" s="76" t="str">
        <f aca="false">IF(E142="","",IFERROR(INDEX(ST_Design,MATCH(E142,ST_Code,0)),"Code inconnu"))</f>
        <v/>
      </c>
      <c r="G142" s="74" t="str">
        <f aca="false">IF(E142="","",IFERROR(INDEX(ST_Unite,MATCH(E142,ST_Code,0)),""))</f>
        <v/>
      </c>
      <c r="H142" s="82"/>
      <c r="I142" s="28"/>
      <c r="J142" s="31" t="str">
        <f aca="false">IF(H142="","",H142*N(I142))</f>
        <v/>
      </c>
      <c r="K142" s="69"/>
      <c r="L142" s="83" t="str">
        <f aca="false">IF(A142="","",SUMIFS(MV_Qte,MV_BC,A142,MV_Code,E142,MV_Type,"Entrée"))</f>
        <v/>
      </c>
      <c r="M142" s="83" t="str">
        <f aca="false">IF(A142="","",MAX(0,N(H142)-L142))</f>
        <v/>
      </c>
      <c r="N142" s="74" t="str">
        <f aca="false">IF(A142="","",IF(M142&lt;=0,"Livrée",IF(AND(K142&lt;&gt;"",P_DateRef&gt;K142),"En retard",IF(L142&gt;0,"Partielle","En attente"))))</f>
        <v/>
      </c>
      <c r="O142" s="25"/>
      <c r="P142" s="74" t="str">
        <f aca="false">IF(OR(A142="",N142="Livrée"),"",COUNTIFS($A$7:A142,"&lt;&gt;",$N$7:N142,"&lt;&gt;Livrée"))</f>
        <v/>
      </c>
    </row>
    <row r="143" customFormat="false" ht="15" hidden="false" customHeight="false" outlineLevel="0" collapsed="false">
      <c r="A143" s="68"/>
      <c r="B143" s="69"/>
      <c r="C143" s="25"/>
      <c r="D143" s="25"/>
      <c r="E143" s="68"/>
      <c r="F143" s="76" t="str">
        <f aca="false">IF(E143="","",IFERROR(INDEX(ST_Design,MATCH(E143,ST_Code,0)),"Code inconnu"))</f>
        <v/>
      </c>
      <c r="G143" s="74" t="str">
        <f aca="false">IF(E143="","",IFERROR(INDEX(ST_Unite,MATCH(E143,ST_Code,0)),""))</f>
        <v/>
      </c>
      <c r="H143" s="82"/>
      <c r="I143" s="28"/>
      <c r="J143" s="31" t="str">
        <f aca="false">IF(H143="","",H143*N(I143))</f>
        <v/>
      </c>
      <c r="K143" s="69"/>
      <c r="L143" s="83" t="str">
        <f aca="false">IF(A143="","",SUMIFS(MV_Qte,MV_BC,A143,MV_Code,E143,MV_Type,"Entrée"))</f>
        <v/>
      </c>
      <c r="M143" s="83" t="str">
        <f aca="false">IF(A143="","",MAX(0,N(H143)-L143))</f>
        <v/>
      </c>
      <c r="N143" s="74" t="str">
        <f aca="false">IF(A143="","",IF(M143&lt;=0,"Livrée",IF(AND(K143&lt;&gt;"",P_DateRef&gt;K143),"En retard",IF(L143&gt;0,"Partielle","En attente"))))</f>
        <v/>
      </c>
      <c r="O143" s="25"/>
      <c r="P143" s="74" t="str">
        <f aca="false">IF(OR(A143="",N143="Livrée"),"",COUNTIFS($A$7:A143,"&lt;&gt;",$N$7:N143,"&lt;&gt;Livrée"))</f>
        <v/>
      </c>
    </row>
    <row r="144" customFormat="false" ht="15" hidden="false" customHeight="false" outlineLevel="0" collapsed="false">
      <c r="A144" s="68"/>
      <c r="B144" s="69"/>
      <c r="C144" s="25"/>
      <c r="D144" s="25"/>
      <c r="E144" s="68"/>
      <c r="F144" s="76" t="str">
        <f aca="false">IF(E144="","",IFERROR(INDEX(ST_Design,MATCH(E144,ST_Code,0)),"Code inconnu"))</f>
        <v/>
      </c>
      <c r="G144" s="74" t="str">
        <f aca="false">IF(E144="","",IFERROR(INDEX(ST_Unite,MATCH(E144,ST_Code,0)),""))</f>
        <v/>
      </c>
      <c r="H144" s="82"/>
      <c r="I144" s="28"/>
      <c r="J144" s="31" t="str">
        <f aca="false">IF(H144="","",H144*N(I144))</f>
        <v/>
      </c>
      <c r="K144" s="69"/>
      <c r="L144" s="83" t="str">
        <f aca="false">IF(A144="","",SUMIFS(MV_Qte,MV_BC,A144,MV_Code,E144,MV_Type,"Entrée"))</f>
        <v/>
      </c>
      <c r="M144" s="83" t="str">
        <f aca="false">IF(A144="","",MAX(0,N(H144)-L144))</f>
        <v/>
      </c>
      <c r="N144" s="74" t="str">
        <f aca="false">IF(A144="","",IF(M144&lt;=0,"Livrée",IF(AND(K144&lt;&gt;"",P_DateRef&gt;K144),"En retard",IF(L144&gt;0,"Partielle","En attente"))))</f>
        <v/>
      </c>
      <c r="O144" s="25"/>
      <c r="P144" s="74" t="str">
        <f aca="false">IF(OR(A144="",N144="Livrée"),"",COUNTIFS($A$7:A144,"&lt;&gt;",$N$7:N144,"&lt;&gt;Livrée"))</f>
        <v/>
      </c>
    </row>
    <row r="145" customFormat="false" ht="15" hidden="false" customHeight="false" outlineLevel="0" collapsed="false">
      <c r="A145" s="68"/>
      <c r="B145" s="69"/>
      <c r="C145" s="25"/>
      <c r="D145" s="25"/>
      <c r="E145" s="68"/>
      <c r="F145" s="76" t="str">
        <f aca="false">IF(E145="","",IFERROR(INDEX(ST_Design,MATCH(E145,ST_Code,0)),"Code inconnu"))</f>
        <v/>
      </c>
      <c r="G145" s="74" t="str">
        <f aca="false">IF(E145="","",IFERROR(INDEX(ST_Unite,MATCH(E145,ST_Code,0)),""))</f>
        <v/>
      </c>
      <c r="H145" s="82"/>
      <c r="I145" s="28"/>
      <c r="J145" s="31" t="str">
        <f aca="false">IF(H145="","",H145*N(I145))</f>
        <v/>
      </c>
      <c r="K145" s="69"/>
      <c r="L145" s="83" t="str">
        <f aca="false">IF(A145="","",SUMIFS(MV_Qte,MV_BC,A145,MV_Code,E145,MV_Type,"Entrée"))</f>
        <v/>
      </c>
      <c r="M145" s="83" t="str">
        <f aca="false">IF(A145="","",MAX(0,N(H145)-L145))</f>
        <v/>
      </c>
      <c r="N145" s="74" t="str">
        <f aca="false">IF(A145="","",IF(M145&lt;=0,"Livrée",IF(AND(K145&lt;&gt;"",P_DateRef&gt;K145),"En retard",IF(L145&gt;0,"Partielle","En attente"))))</f>
        <v/>
      </c>
      <c r="O145" s="25"/>
      <c r="P145" s="74" t="str">
        <f aca="false">IF(OR(A145="",N145="Livrée"),"",COUNTIFS($A$7:A145,"&lt;&gt;",$N$7:N145,"&lt;&gt;Livrée"))</f>
        <v/>
      </c>
    </row>
    <row r="146" customFormat="false" ht="15" hidden="false" customHeight="false" outlineLevel="0" collapsed="false">
      <c r="A146" s="68"/>
      <c r="B146" s="69"/>
      <c r="C146" s="25"/>
      <c r="D146" s="25"/>
      <c r="E146" s="68"/>
      <c r="F146" s="76" t="str">
        <f aca="false">IF(E146="","",IFERROR(INDEX(ST_Design,MATCH(E146,ST_Code,0)),"Code inconnu"))</f>
        <v/>
      </c>
      <c r="G146" s="74" t="str">
        <f aca="false">IF(E146="","",IFERROR(INDEX(ST_Unite,MATCH(E146,ST_Code,0)),""))</f>
        <v/>
      </c>
      <c r="H146" s="82"/>
      <c r="I146" s="28"/>
      <c r="J146" s="31" t="str">
        <f aca="false">IF(H146="","",H146*N(I146))</f>
        <v/>
      </c>
      <c r="K146" s="69"/>
      <c r="L146" s="83" t="str">
        <f aca="false">IF(A146="","",SUMIFS(MV_Qte,MV_BC,A146,MV_Code,E146,MV_Type,"Entrée"))</f>
        <v/>
      </c>
      <c r="M146" s="83" t="str">
        <f aca="false">IF(A146="","",MAX(0,N(H146)-L146))</f>
        <v/>
      </c>
      <c r="N146" s="74" t="str">
        <f aca="false">IF(A146="","",IF(M146&lt;=0,"Livrée",IF(AND(K146&lt;&gt;"",P_DateRef&gt;K146),"En retard",IF(L146&gt;0,"Partielle","En attente"))))</f>
        <v/>
      </c>
      <c r="O146" s="25"/>
      <c r="P146" s="74" t="str">
        <f aca="false">IF(OR(A146="",N146="Livrée"),"",COUNTIFS($A$7:A146,"&lt;&gt;",$N$7:N146,"&lt;&gt;Livrée"))</f>
        <v/>
      </c>
    </row>
    <row r="147" customFormat="false" ht="15" hidden="false" customHeight="false" outlineLevel="0" collapsed="false">
      <c r="A147" s="68"/>
      <c r="B147" s="69"/>
      <c r="C147" s="25"/>
      <c r="D147" s="25"/>
      <c r="E147" s="68"/>
      <c r="F147" s="76" t="str">
        <f aca="false">IF(E147="","",IFERROR(INDEX(ST_Design,MATCH(E147,ST_Code,0)),"Code inconnu"))</f>
        <v/>
      </c>
      <c r="G147" s="74" t="str">
        <f aca="false">IF(E147="","",IFERROR(INDEX(ST_Unite,MATCH(E147,ST_Code,0)),""))</f>
        <v/>
      </c>
      <c r="H147" s="82"/>
      <c r="I147" s="28"/>
      <c r="J147" s="31" t="str">
        <f aca="false">IF(H147="","",H147*N(I147))</f>
        <v/>
      </c>
      <c r="K147" s="69"/>
      <c r="L147" s="83" t="str">
        <f aca="false">IF(A147="","",SUMIFS(MV_Qte,MV_BC,A147,MV_Code,E147,MV_Type,"Entrée"))</f>
        <v/>
      </c>
      <c r="M147" s="83" t="str">
        <f aca="false">IF(A147="","",MAX(0,N(H147)-L147))</f>
        <v/>
      </c>
      <c r="N147" s="74" t="str">
        <f aca="false">IF(A147="","",IF(M147&lt;=0,"Livrée",IF(AND(K147&lt;&gt;"",P_DateRef&gt;K147),"En retard",IF(L147&gt;0,"Partielle","En attente"))))</f>
        <v/>
      </c>
      <c r="O147" s="25"/>
      <c r="P147" s="74" t="str">
        <f aca="false">IF(OR(A147="",N147="Livrée"),"",COUNTIFS($A$7:A147,"&lt;&gt;",$N$7:N147,"&lt;&gt;Livrée"))</f>
        <v/>
      </c>
    </row>
    <row r="148" customFormat="false" ht="15" hidden="false" customHeight="false" outlineLevel="0" collapsed="false">
      <c r="A148" s="68"/>
      <c r="B148" s="69"/>
      <c r="C148" s="25"/>
      <c r="D148" s="25"/>
      <c r="E148" s="68"/>
      <c r="F148" s="76" t="str">
        <f aca="false">IF(E148="","",IFERROR(INDEX(ST_Design,MATCH(E148,ST_Code,0)),"Code inconnu"))</f>
        <v/>
      </c>
      <c r="G148" s="74" t="str">
        <f aca="false">IF(E148="","",IFERROR(INDEX(ST_Unite,MATCH(E148,ST_Code,0)),""))</f>
        <v/>
      </c>
      <c r="H148" s="82"/>
      <c r="I148" s="28"/>
      <c r="J148" s="31" t="str">
        <f aca="false">IF(H148="","",H148*N(I148))</f>
        <v/>
      </c>
      <c r="K148" s="69"/>
      <c r="L148" s="83" t="str">
        <f aca="false">IF(A148="","",SUMIFS(MV_Qte,MV_BC,A148,MV_Code,E148,MV_Type,"Entrée"))</f>
        <v/>
      </c>
      <c r="M148" s="83" t="str">
        <f aca="false">IF(A148="","",MAX(0,N(H148)-L148))</f>
        <v/>
      </c>
      <c r="N148" s="74" t="str">
        <f aca="false">IF(A148="","",IF(M148&lt;=0,"Livrée",IF(AND(K148&lt;&gt;"",P_DateRef&gt;K148),"En retard",IF(L148&gt;0,"Partielle","En attente"))))</f>
        <v/>
      </c>
      <c r="O148" s="25"/>
      <c r="P148" s="74" t="str">
        <f aca="false">IF(OR(A148="",N148="Livrée"),"",COUNTIFS($A$7:A148,"&lt;&gt;",$N$7:N148,"&lt;&gt;Livrée"))</f>
        <v/>
      </c>
    </row>
    <row r="149" customFormat="false" ht="15" hidden="false" customHeight="false" outlineLevel="0" collapsed="false">
      <c r="A149" s="68"/>
      <c r="B149" s="69"/>
      <c r="C149" s="25"/>
      <c r="D149" s="25"/>
      <c r="E149" s="68"/>
      <c r="F149" s="76" t="str">
        <f aca="false">IF(E149="","",IFERROR(INDEX(ST_Design,MATCH(E149,ST_Code,0)),"Code inconnu"))</f>
        <v/>
      </c>
      <c r="G149" s="74" t="str">
        <f aca="false">IF(E149="","",IFERROR(INDEX(ST_Unite,MATCH(E149,ST_Code,0)),""))</f>
        <v/>
      </c>
      <c r="H149" s="82"/>
      <c r="I149" s="28"/>
      <c r="J149" s="31" t="str">
        <f aca="false">IF(H149="","",H149*N(I149))</f>
        <v/>
      </c>
      <c r="K149" s="69"/>
      <c r="L149" s="83" t="str">
        <f aca="false">IF(A149="","",SUMIFS(MV_Qte,MV_BC,A149,MV_Code,E149,MV_Type,"Entrée"))</f>
        <v/>
      </c>
      <c r="M149" s="83" t="str">
        <f aca="false">IF(A149="","",MAX(0,N(H149)-L149))</f>
        <v/>
      </c>
      <c r="N149" s="74" t="str">
        <f aca="false">IF(A149="","",IF(M149&lt;=0,"Livrée",IF(AND(K149&lt;&gt;"",P_DateRef&gt;K149),"En retard",IF(L149&gt;0,"Partielle","En attente"))))</f>
        <v/>
      </c>
      <c r="O149" s="25"/>
      <c r="P149" s="74" t="str">
        <f aca="false">IF(OR(A149="",N149="Livrée"),"",COUNTIFS($A$7:A149,"&lt;&gt;",$N$7:N149,"&lt;&gt;Livrée"))</f>
        <v/>
      </c>
    </row>
    <row r="150" customFormat="false" ht="15" hidden="false" customHeight="false" outlineLevel="0" collapsed="false">
      <c r="A150" s="68"/>
      <c r="B150" s="69"/>
      <c r="C150" s="25"/>
      <c r="D150" s="25"/>
      <c r="E150" s="68"/>
      <c r="F150" s="76" t="str">
        <f aca="false">IF(E150="","",IFERROR(INDEX(ST_Design,MATCH(E150,ST_Code,0)),"Code inconnu"))</f>
        <v/>
      </c>
      <c r="G150" s="74" t="str">
        <f aca="false">IF(E150="","",IFERROR(INDEX(ST_Unite,MATCH(E150,ST_Code,0)),""))</f>
        <v/>
      </c>
      <c r="H150" s="82"/>
      <c r="I150" s="28"/>
      <c r="J150" s="31" t="str">
        <f aca="false">IF(H150="","",H150*N(I150))</f>
        <v/>
      </c>
      <c r="K150" s="69"/>
      <c r="L150" s="83" t="str">
        <f aca="false">IF(A150="","",SUMIFS(MV_Qte,MV_BC,A150,MV_Code,E150,MV_Type,"Entrée"))</f>
        <v/>
      </c>
      <c r="M150" s="83" t="str">
        <f aca="false">IF(A150="","",MAX(0,N(H150)-L150))</f>
        <v/>
      </c>
      <c r="N150" s="74" t="str">
        <f aca="false">IF(A150="","",IF(M150&lt;=0,"Livrée",IF(AND(K150&lt;&gt;"",P_DateRef&gt;K150),"En retard",IF(L150&gt;0,"Partielle","En attente"))))</f>
        <v/>
      </c>
      <c r="O150" s="25"/>
      <c r="P150" s="74" t="str">
        <f aca="false">IF(OR(A150="",N150="Livrée"),"",COUNTIFS($A$7:A150,"&lt;&gt;",$N$7:N150,"&lt;&gt;Livrée"))</f>
        <v/>
      </c>
    </row>
    <row r="151" customFormat="false" ht="15" hidden="false" customHeight="false" outlineLevel="0" collapsed="false">
      <c r="A151" s="68"/>
      <c r="B151" s="69"/>
      <c r="C151" s="25"/>
      <c r="D151" s="25"/>
      <c r="E151" s="68"/>
      <c r="F151" s="76" t="str">
        <f aca="false">IF(E151="","",IFERROR(INDEX(ST_Design,MATCH(E151,ST_Code,0)),"Code inconnu"))</f>
        <v/>
      </c>
      <c r="G151" s="74" t="str">
        <f aca="false">IF(E151="","",IFERROR(INDEX(ST_Unite,MATCH(E151,ST_Code,0)),""))</f>
        <v/>
      </c>
      <c r="H151" s="82"/>
      <c r="I151" s="28"/>
      <c r="J151" s="31" t="str">
        <f aca="false">IF(H151="","",H151*N(I151))</f>
        <v/>
      </c>
      <c r="K151" s="69"/>
      <c r="L151" s="83" t="str">
        <f aca="false">IF(A151="","",SUMIFS(MV_Qte,MV_BC,A151,MV_Code,E151,MV_Type,"Entrée"))</f>
        <v/>
      </c>
      <c r="M151" s="83" t="str">
        <f aca="false">IF(A151="","",MAX(0,N(H151)-L151))</f>
        <v/>
      </c>
      <c r="N151" s="74" t="str">
        <f aca="false">IF(A151="","",IF(M151&lt;=0,"Livrée",IF(AND(K151&lt;&gt;"",P_DateRef&gt;K151),"En retard",IF(L151&gt;0,"Partielle","En attente"))))</f>
        <v/>
      </c>
      <c r="O151" s="25"/>
      <c r="P151" s="74" t="str">
        <f aca="false">IF(OR(A151="",N151="Livrée"),"",COUNTIFS($A$7:A151,"&lt;&gt;",$N$7:N151,"&lt;&gt;Livrée"))</f>
        <v/>
      </c>
    </row>
    <row r="152" customFormat="false" ht="15" hidden="false" customHeight="false" outlineLevel="0" collapsed="false">
      <c r="A152" s="68"/>
      <c r="B152" s="69"/>
      <c r="C152" s="25"/>
      <c r="D152" s="25"/>
      <c r="E152" s="68"/>
      <c r="F152" s="76" t="str">
        <f aca="false">IF(E152="","",IFERROR(INDEX(ST_Design,MATCH(E152,ST_Code,0)),"Code inconnu"))</f>
        <v/>
      </c>
      <c r="G152" s="74" t="str">
        <f aca="false">IF(E152="","",IFERROR(INDEX(ST_Unite,MATCH(E152,ST_Code,0)),""))</f>
        <v/>
      </c>
      <c r="H152" s="82"/>
      <c r="I152" s="28"/>
      <c r="J152" s="31" t="str">
        <f aca="false">IF(H152="","",H152*N(I152))</f>
        <v/>
      </c>
      <c r="K152" s="69"/>
      <c r="L152" s="83" t="str">
        <f aca="false">IF(A152="","",SUMIFS(MV_Qte,MV_BC,A152,MV_Code,E152,MV_Type,"Entrée"))</f>
        <v/>
      </c>
      <c r="M152" s="83" t="str">
        <f aca="false">IF(A152="","",MAX(0,N(H152)-L152))</f>
        <v/>
      </c>
      <c r="N152" s="74" t="str">
        <f aca="false">IF(A152="","",IF(M152&lt;=0,"Livrée",IF(AND(K152&lt;&gt;"",P_DateRef&gt;K152),"En retard",IF(L152&gt;0,"Partielle","En attente"))))</f>
        <v/>
      </c>
      <c r="O152" s="25"/>
      <c r="P152" s="74" t="str">
        <f aca="false">IF(OR(A152="",N152="Livrée"),"",COUNTIFS($A$7:A152,"&lt;&gt;",$N$7:N152,"&lt;&gt;Livrée"))</f>
        <v/>
      </c>
    </row>
    <row r="153" customFormat="false" ht="15" hidden="false" customHeight="false" outlineLevel="0" collapsed="false">
      <c r="A153" s="68"/>
      <c r="B153" s="69"/>
      <c r="C153" s="25"/>
      <c r="D153" s="25"/>
      <c r="E153" s="68"/>
      <c r="F153" s="76" t="str">
        <f aca="false">IF(E153="","",IFERROR(INDEX(ST_Design,MATCH(E153,ST_Code,0)),"Code inconnu"))</f>
        <v/>
      </c>
      <c r="G153" s="74" t="str">
        <f aca="false">IF(E153="","",IFERROR(INDEX(ST_Unite,MATCH(E153,ST_Code,0)),""))</f>
        <v/>
      </c>
      <c r="H153" s="82"/>
      <c r="I153" s="28"/>
      <c r="J153" s="31" t="str">
        <f aca="false">IF(H153="","",H153*N(I153))</f>
        <v/>
      </c>
      <c r="K153" s="69"/>
      <c r="L153" s="83" t="str">
        <f aca="false">IF(A153="","",SUMIFS(MV_Qte,MV_BC,A153,MV_Code,E153,MV_Type,"Entrée"))</f>
        <v/>
      </c>
      <c r="M153" s="83" t="str">
        <f aca="false">IF(A153="","",MAX(0,N(H153)-L153))</f>
        <v/>
      </c>
      <c r="N153" s="74" t="str">
        <f aca="false">IF(A153="","",IF(M153&lt;=0,"Livrée",IF(AND(K153&lt;&gt;"",P_DateRef&gt;K153),"En retard",IF(L153&gt;0,"Partielle","En attente"))))</f>
        <v/>
      </c>
      <c r="O153" s="25"/>
      <c r="P153" s="74" t="str">
        <f aca="false">IF(OR(A153="",N153="Livrée"),"",COUNTIFS($A$7:A153,"&lt;&gt;",$N$7:N153,"&lt;&gt;Livrée"))</f>
        <v/>
      </c>
    </row>
    <row r="154" customFormat="false" ht="15" hidden="false" customHeight="false" outlineLevel="0" collapsed="false">
      <c r="A154" s="68"/>
      <c r="B154" s="69"/>
      <c r="C154" s="25"/>
      <c r="D154" s="25"/>
      <c r="E154" s="68"/>
      <c r="F154" s="76" t="str">
        <f aca="false">IF(E154="","",IFERROR(INDEX(ST_Design,MATCH(E154,ST_Code,0)),"Code inconnu"))</f>
        <v/>
      </c>
      <c r="G154" s="74" t="str">
        <f aca="false">IF(E154="","",IFERROR(INDEX(ST_Unite,MATCH(E154,ST_Code,0)),""))</f>
        <v/>
      </c>
      <c r="H154" s="82"/>
      <c r="I154" s="28"/>
      <c r="J154" s="31" t="str">
        <f aca="false">IF(H154="","",H154*N(I154))</f>
        <v/>
      </c>
      <c r="K154" s="69"/>
      <c r="L154" s="83" t="str">
        <f aca="false">IF(A154="","",SUMIFS(MV_Qte,MV_BC,A154,MV_Code,E154,MV_Type,"Entrée"))</f>
        <v/>
      </c>
      <c r="M154" s="83" t="str">
        <f aca="false">IF(A154="","",MAX(0,N(H154)-L154))</f>
        <v/>
      </c>
      <c r="N154" s="74" t="str">
        <f aca="false">IF(A154="","",IF(M154&lt;=0,"Livrée",IF(AND(K154&lt;&gt;"",P_DateRef&gt;K154),"En retard",IF(L154&gt;0,"Partielle","En attente"))))</f>
        <v/>
      </c>
      <c r="O154" s="25"/>
      <c r="P154" s="74" t="str">
        <f aca="false">IF(OR(A154="",N154="Livrée"),"",COUNTIFS($A$7:A154,"&lt;&gt;",$N$7:N154,"&lt;&gt;Livrée"))</f>
        <v/>
      </c>
    </row>
    <row r="155" customFormat="false" ht="15" hidden="false" customHeight="false" outlineLevel="0" collapsed="false">
      <c r="A155" s="68"/>
      <c r="B155" s="69"/>
      <c r="C155" s="25"/>
      <c r="D155" s="25"/>
      <c r="E155" s="68"/>
      <c r="F155" s="76" t="str">
        <f aca="false">IF(E155="","",IFERROR(INDEX(ST_Design,MATCH(E155,ST_Code,0)),"Code inconnu"))</f>
        <v/>
      </c>
      <c r="G155" s="74" t="str">
        <f aca="false">IF(E155="","",IFERROR(INDEX(ST_Unite,MATCH(E155,ST_Code,0)),""))</f>
        <v/>
      </c>
      <c r="H155" s="82"/>
      <c r="I155" s="28"/>
      <c r="J155" s="31" t="str">
        <f aca="false">IF(H155="","",H155*N(I155))</f>
        <v/>
      </c>
      <c r="K155" s="69"/>
      <c r="L155" s="83" t="str">
        <f aca="false">IF(A155="","",SUMIFS(MV_Qte,MV_BC,A155,MV_Code,E155,MV_Type,"Entrée"))</f>
        <v/>
      </c>
      <c r="M155" s="83" t="str">
        <f aca="false">IF(A155="","",MAX(0,N(H155)-L155))</f>
        <v/>
      </c>
      <c r="N155" s="74" t="str">
        <f aca="false">IF(A155="","",IF(M155&lt;=0,"Livrée",IF(AND(K155&lt;&gt;"",P_DateRef&gt;K155),"En retard",IF(L155&gt;0,"Partielle","En attente"))))</f>
        <v/>
      </c>
      <c r="O155" s="25"/>
      <c r="P155" s="74" t="str">
        <f aca="false">IF(OR(A155="",N155="Livrée"),"",COUNTIFS($A$7:A155,"&lt;&gt;",$N$7:N155,"&lt;&gt;Livrée"))</f>
        <v/>
      </c>
    </row>
    <row r="156" customFormat="false" ht="15" hidden="false" customHeight="false" outlineLevel="0" collapsed="false">
      <c r="A156" s="68"/>
      <c r="B156" s="69"/>
      <c r="C156" s="25"/>
      <c r="D156" s="25"/>
      <c r="E156" s="68"/>
      <c r="F156" s="76" t="str">
        <f aca="false">IF(E156="","",IFERROR(INDEX(ST_Design,MATCH(E156,ST_Code,0)),"Code inconnu"))</f>
        <v/>
      </c>
      <c r="G156" s="74" t="str">
        <f aca="false">IF(E156="","",IFERROR(INDEX(ST_Unite,MATCH(E156,ST_Code,0)),""))</f>
        <v/>
      </c>
      <c r="H156" s="82"/>
      <c r="I156" s="28"/>
      <c r="J156" s="31" t="str">
        <f aca="false">IF(H156="","",H156*N(I156))</f>
        <v/>
      </c>
      <c r="K156" s="69"/>
      <c r="L156" s="83" t="str">
        <f aca="false">IF(A156="","",SUMIFS(MV_Qte,MV_BC,A156,MV_Code,E156,MV_Type,"Entrée"))</f>
        <v/>
      </c>
      <c r="M156" s="83" t="str">
        <f aca="false">IF(A156="","",MAX(0,N(H156)-L156))</f>
        <v/>
      </c>
      <c r="N156" s="74" t="str">
        <f aca="false">IF(A156="","",IF(M156&lt;=0,"Livrée",IF(AND(K156&lt;&gt;"",P_DateRef&gt;K156),"En retard",IF(L156&gt;0,"Partielle","En attente"))))</f>
        <v/>
      </c>
      <c r="O156" s="25"/>
      <c r="P156" s="74" t="str">
        <f aca="false">IF(OR(A156="",N156="Livrée"),"",COUNTIFS($A$7:A156,"&lt;&gt;",$N$7:N156,"&lt;&gt;Livrée"))</f>
        <v/>
      </c>
    </row>
  </sheetData>
  <autoFilter ref="A6:P156"/>
  <mergeCells count="4">
    <mergeCell ref="A1:P1"/>
    <mergeCell ref="A2:P2"/>
    <mergeCell ref="A3:P3"/>
    <mergeCell ref="A4:P4"/>
  </mergeCells>
  <conditionalFormatting sqref="N7:N156">
    <cfRule type="cellIs" priority="2" operator="equal" aboveAverage="0" equalAverage="0" bottom="0" percent="0" rank="0" text="" dxfId="3">
      <formula>"En retard"</formula>
    </cfRule>
    <cfRule type="cellIs" priority="3" operator="equal" aboveAverage="0" equalAverage="0" bottom="0" percent="0" rank="0" text="" dxfId="2">
      <formula>"Partielle"</formula>
    </cfRule>
    <cfRule type="cellIs" priority="4" operator="equal" aboveAverage="0" equalAverage="0" bottom="0" percent="0" rank="0" text="" dxfId="1">
      <formula>"Livrée"</formula>
    </cfRule>
    <cfRule type="cellIs" priority="5" operator="equal" aboveAverage="0" equalAverage="0" bottom="0" percent="0" rank="0" text="" dxfId="5">
      <formula>"En attente"</formula>
    </cfRule>
  </conditionalFormatting>
  <dataValidations count="3">
    <dataValidation allowBlank="true" errorStyle="stop" operator="between" showDropDown="false" showErrorMessage="false" showInputMessage="false" sqref="C7:C156" type="list">
      <formula1>L_Fourn</formula1>
      <formula2>0</formula2>
    </dataValidation>
    <dataValidation allowBlank="true" errorStyle="stop" operator="between" showDropDown="false" showErrorMessage="true" showInputMessage="false" sqref="D7:D156" type="list">
      <formula1>L_Lots</formula1>
      <formula2>0</formula2>
    </dataValidation>
    <dataValidation allowBlank="true" errorStyle="stop" operator="between" showDropDown="false" showErrorMessage="true" showInputMessage="false" sqref="E7:E156" type="list">
      <formula1>ST_Code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L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8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9.5" hidden="false" customHeight="true" outlineLevel="0" collapsed="false">
      <c r="A2" s="20" t="s">
        <v>639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21" t="s">
        <v>640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6" customFormat="false" ht="31.5" hidden="false" customHeight="true" outlineLevel="0" collapsed="false">
      <c r="A6" s="23" t="s">
        <v>641</v>
      </c>
      <c r="B6" s="23" t="s">
        <v>436</v>
      </c>
      <c r="C6" s="23" t="s">
        <v>302</v>
      </c>
      <c r="D6" s="23" t="s">
        <v>642</v>
      </c>
      <c r="E6" s="23" t="s">
        <v>643</v>
      </c>
      <c r="F6" s="23" t="s">
        <v>644</v>
      </c>
      <c r="G6" s="23" t="s">
        <v>645</v>
      </c>
      <c r="H6" s="23" t="s">
        <v>646</v>
      </c>
      <c r="I6" s="23" t="s">
        <v>306</v>
      </c>
      <c r="J6" s="23" t="s">
        <v>647</v>
      </c>
      <c r="K6" s="23" t="s">
        <v>648</v>
      </c>
      <c r="L6" s="23" t="s">
        <v>527</v>
      </c>
    </row>
    <row r="7" customFormat="false" ht="15" hidden="false" customHeight="false" outlineLevel="0" collapsed="false">
      <c r="A7" s="68" t="s">
        <v>626</v>
      </c>
      <c r="B7" s="25" t="s">
        <v>649</v>
      </c>
      <c r="C7" s="68" t="s">
        <v>246</v>
      </c>
      <c r="D7" s="82" t="n">
        <v>0</v>
      </c>
      <c r="E7" s="83" t="n">
        <f aca="false">IF(A7="","",SUMIFS(MV_Qte,MV_Code,A7,MV_Type,"Entrée"))</f>
        <v>1000</v>
      </c>
      <c r="F7" s="83" t="n">
        <f aca="false">IF(A7="","",SUMIFS(MV_Qte,MV_Code,A7,MV_Type,"Sortie"))</f>
        <v>850</v>
      </c>
      <c r="G7" s="83" t="n">
        <f aca="false">IF(A7="","",N(D7)+E7-F7)</f>
        <v>150</v>
      </c>
      <c r="H7" s="82" t="n">
        <v>150</v>
      </c>
      <c r="I7" s="74" t="str">
        <f aca="false">IF(A7="","",IF(G7&lt;=0,"Rupture",IF(G7&lt;=N(H7),"À commander","OK")))</f>
        <v>À commander</v>
      </c>
      <c r="J7" s="28" t="n">
        <v>5200</v>
      </c>
      <c r="K7" s="31" t="n">
        <f aca="false">IF(A7="","",MAX(0,G7)*N(J7))</f>
        <v>780000</v>
      </c>
      <c r="L7" s="74" t="n">
        <f aca="false">IF(OR(A7="",I7="OK"),"",COUNTIFS($A$7:A7,"&lt;&gt;",$I$7:I7,"&lt;&gt;OK"))</f>
        <v>1</v>
      </c>
    </row>
    <row r="8" customFormat="false" ht="15" hidden="false" customHeight="false" outlineLevel="0" collapsed="false">
      <c r="A8" s="68" t="s">
        <v>638</v>
      </c>
      <c r="B8" s="25" t="s">
        <v>650</v>
      </c>
      <c r="C8" s="68" t="s">
        <v>248</v>
      </c>
      <c r="D8" s="82" t="n">
        <v>120</v>
      </c>
      <c r="E8" s="83" t="n">
        <f aca="false">IF(A8="","",SUMIFS(MV_Qte,MV_Code,A8,MV_Type,"Entrée"))</f>
        <v>0</v>
      </c>
      <c r="F8" s="83" t="n">
        <f aca="false">IF(A8="","",SUMIFS(MV_Qte,MV_Code,A8,MV_Type,"Sortie"))</f>
        <v>100</v>
      </c>
      <c r="G8" s="83" t="n">
        <f aca="false">IF(A8="","",N(D8)+E8-F8)</f>
        <v>20</v>
      </c>
      <c r="H8" s="82" t="n">
        <v>40</v>
      </c>
      <c r="I8" s="74" t="str">
        <f aca="false">IF(A8="","",IF(G8&lt;=0,"Rupture",IF(G8&lt;=N(H8),"À commander","OK")))</f>
        <v>À commander</v>
      </c>
      <c r="J8" s="28" t="n">
        <v>2600</v>
      </c>
      <c r="K8" s="31" t="n">
        <f aca="false">IF(A8="","",MAX(0,G8)*N(J8))</f>
        <v>52000</v>
      </c>
      <c r="L8" s="74" t="n">
        <f aca="false">IF(OR(A8="",I8="OK"),"",COUNTIFS($A$7:A8,"&lt;&gt;",$I$7:I8,"&lt;&gt;OK"))</f>
        <v>2</v>
      </c>
    </row>
    <row r="9" customFormat="false" ht="15" hidden="false" customHeight="false" outlineLevel="0" collapsed="false">
      <c r="A9" s="68" t="s">
        <v>629</v>
      </c>
      <c r="B9" s="25" t="s">
        <v>651</v>
      </c>
      <c r="C9" s="68" t="s">
        <v>248</v>
      </c>
      <c r="D9" s="82" t="n">
        <v>0</v>
      </c>
      <c r="E9" s="83" t="n">
        <f aca="false">IF(A9="","",SUMIFS(MV_Qte,MV_Code,A9,MV_Type,"Entrée"))</f>
        <v>250</v>
      </c>
      <c r="F9" s="83" t="n">
        <f aca="false">IF(A9="","",SUMIFS(MV_Qte,MV_Code,A9,MV_Type,"Sortie"))</f>
        <v>150</v>
      </c>
      <c r="G9" s="83" t="n">
        <f aca="false">IF(A9="","",N(D9)+E9-F9)</f>
        <v>100</v>
      </c>
      <c r="H9" s="82" t="n">
        <v>30</v>
      </c>
      <c r="I9" s="74" t="str">
        <f aca="false">IF(A9="","",IF(G9&lt;=0,"Rupture",IF(G9&lt;=N(H9),"À commander","OK")))</f>
        <v>OK</v>
      </c>
      <c r="J9" s="28" t="n">
        <v>3900</v>
      </c>
      <c r="K9" s="31" t="n">
        <f aca="false">IF(A9="","",MAX(0,G9)*N(J9))</f>
        <v>390000</v>
      </c>
      <c r="L9" s="74" t="str">
        <f aca="false">IF(OR(A9="",I9="OK"),"",COUNTIFS($A$7:A9,"&lt;&gt;",$I$7:I9,"&lt;&gt;OK"))</f>
        <v/>
      </c>
    </row>
    <row r="10" customFormat="false" ht="15" hidden="false" customHeight="false" outlineLevel="0" collapsed="false">
      <c r="A10" s="68" t="s">
        <v>627</v>
      </c>
      <c r="B10" s="25" t="s">
        <v>652</v>
      </c>
      <c r="C10" s="68" t="s">
        <v>248</v>
      </c>
      <c r="D10" s="82" t="n">
        <v>0</v>
      </c>
      <c r="E10" s="83" t="n">
        <f aca="false">IF(A10="","",SUMIFS(MV_Qte,MV_Code,A10,MV_Type,"Entrée"))</f>
        <v>400</v>
      </c>
      <c r="F10" s="83" t="n">
        <f aca="false">IF(A10="","",SUMIFS(MV_Qte,MV_Code,A10,MV_Type,"Sortie"))</f>
        <v>360</v>
      </c>
      <c r="G10" s="83" t="n">
        <f aca="false">IF(A10="","",N(D10)+E10-F10)</f>
        <v>40</v>
      </c>
      <c r="H10" s="82" t="n">
        <v>50</v>
      </c>
      <c r="I10" s="74" t="str">
        <f aca="false">IF(A10="","",IF(G10&lt;=0,"Rupture",IF(G10&lt;=N(H10),"À commander","OK")))</f>
        <v>À commander</v>
      </c>
      <c r="J10" s="28" t="n">
        <v>5600</v>
      </c>
      <c r="K10" s="31" t="n">
        <f aca="false">IF(A10="","",MAX(0,G10)*N(J10))</f>
        <v>224000</v>
      </c>
      <c r="L10" s="74" t="n">
        <f aca="false">IF(OR(A10="",I10="OK"),"",COUNTIFS($A$7:A10,"&lt;&gt;",$I$7:I10,"&lt;&gt;OK"))</f>
        <v>3</v>
      </c>
    </row>
    <row r="11" customFormat="false" ht="15" hidden="false" customHeight="false" outlineLevel="0" collapsed="false">
      <c r="A11" s="68" t="s">
        <v>628</v>
      </c>
      <c r="B11" s="25" t="s">
        <v>653</v>
      </c>
      <c r="C11" s="68" t="s">
        <v>248</v>
      </c>
      <c r="D11" s="82" t="n">
        <v>0</v>
      </c>
      <c r="E11" s="83" t="n">
        <f aca="false">IF(A11="","",SUMIFS(MV_Qte,MV_Code,A11,MV_Type,"Entrée"))</f>
        <v>300</v>
      </c>
      <c r="F11" s="83" t="n">
        <f aca="false">IF(A11="","",SUMIFS(MV_Qte,MV_Code,A11,MV_Type,"Sortie"))</f>
        <v>180</v>
      </c>
      <c r="G11" s="83" t="n">
        <f aca="false">IF(A11="","",N(D11)+E11-F11)</f>
        <v>120</v>
      </c>
      <c r="H11" s="82" t="n">
        <v>40</v>
      </c>
      <c r="I11" s="74" t="str">
        <f aca="false">IF(A11="","",IF(G11&lt;=0,"Rupture",IF(G11&lt;=N(H11),"À commander","OK")))</f>
        <v>OK</v>
      </c>
      <c r="J11" s="28" t="n">
        <v>9800</v>
      </c>
      <c r="K11" s="31" t="n">
        <f aca="false">IF(A11="","",MAX(0,G11)*N(J11))</f>
        <v>1176000</v>
      </c>
      <c r="L11" s="74" t="str">
        <f aca="false">IF(OR(A11="",I11="OK"),"",COUNTIFS($A$7:A11,"&lt;&gt;",$I$7:I11,"&lt;&gt;OK"))</f>
        <v/>
      </c>
    </row>
    <row r="12" customFormat="false" ht="15" hidden="false" customHeight="false" outlineLevel="0" collapsed="false">
      <c r="A12" s="68" t="s">
        <v>630</v>
      </c>
      <c r="B12" s="25" t="s">
        <v>654</v>
      </c>
      <c r="C12" s="68" t="s">
        <v>235</v>
      </c>
      <c r="D12" s="82" t="n">
        <v>0</v>
      </c>
      <c r="E12" s="83" t="n">
        <f aca="false">IF(A12="","",SUMIFS(MV_Qte,MV_Code,A12,MV_Type,"Entrée"))</f>
        <v>120</v>
      </c>
      <c r="F12" s="83" t="n">
        <f aca="false">IF(A12="","",SUMIFS(MV_Qte,MV_Code,A12,MV_Type,"Sortie"))</f>
        <v>95</v>
      </c>
      <c r="G12" s="83" t="n">
        <f aca="false">IF(A12="","",N(D12)+E12-F12)</f>
        <v>25</v>
      </c>
      <c r="H12" s="82" t="n">
        <v>15</v>
      </c>
      <c r="I12" s="74" t="str">
        <f aca="false">IF(A12="","",IF(G12&lt;=0,"Rupture",IF(G12&lt;=N(H12),"À commander","OK")))</f>
        <v>OK</v>
      </c>
      <c r="J12" s="28" t="n">
        <v>12000</v>
      </c>
      <c r="K12" s="31" t="n">
        <f aca="false">IF(A12="","",MAX(0,G12)*N(J12))</f>
        <v>300000</v>
      </c>
      <c r="L12" s="74" t="str">
        <f aca="false">IF(OR(A12="",I12="OK"),"",COUNTIFS($A$7:A12,"&lt;&gt;",$I$7:I12,"&lt;&gt;OK"))</f>
        <v/>
      </c>
    </row>
    <row r="13" customFormat="false" ht="15" hidden="false" customHeight="false" outlineLevel="0" collapsed="false">
      <c r="A13" s="68" t="s">
        <v>631</v>
      </c>
      <c r="B13" s="25" t="s">
        <v>655</v>
      </c>
      <c r="C13" s="68" t="s">
        <v>235</v>
      </c>
      <c r="D13" s="82" t="n">
        <v>0</v>
      </c>
      <c r="E13" s="83" t="n">
        <f aca="false">IF(A13="","",SUMIFS(MV_Qte,MV_Code,A13,MV_Type,"Entrée"))</f>
        <v>200</v>
      </c>
      <c r="F13" s="83" t="n">
        <f aca="false">IF(A13="","",SUMIFS(MV_Qte,MV_Code,A13,MV_Type,"Sortie"))</f>
        <v>170</v>
      </c>
      <c r="G13" s="83" t="n">
        <f aca="false">IF(A13="","",N(D13)+E13-F13)</f>
        <v>30</v>
      </c>
      <c r="H13" s="82" t="n">
        <v>20</v>
      </c>
      <c r="I13" s="74" t="str">
        <f aca="false">IF(A13="","",IF(G13&lt;=0,"Rupture",IF(G13&lt;=N(H13),"À commander","OK")))</f>
        <v>OK</v>
      </c>
      <c r="J13" s="28" t="n">
        <v>22000</v>
      </c>
      <c r="K13" s="31" t="n">
        <f aca="false">IF(A13="","",MAX(0,G13)*N(J13))</f>
        <v>660000</v>
      </c>
      <c r="L13" s="74" t="str">
        <f aca="false">IF(OR(A13="",I13="OK"),"",COUNTIFS($A$7:A13,"&lt;&gt;",$I$7:I13,"&lt;&gt;OK"))</f>
        <v/>
      </c>
    </row>
    <row r="14" customFormat="false" ht="15" hidden="false" customHeight="false" outlineLevel="0" collapsed="false">
      <c r="A14" s="68" t="s">
        <v>634</v>
      </c>
      <c r="B14" s="25" t="s">
        <v>656</v>
      </c>
      <c r="C14" s="68" t="s">
        <v>142</v>
      </c>
      <c r="D14" s="82" t="n">
        <v>0</v>
      </c>
      <c r="E14" s="83" t="n">
        <f aca="false">IF(A14="","",SUMIFS(MV_Qte,MV_Code,A14,MV_Type,"Entrée"))</f>
        <v>12</v>
      </c>
      <c r="F14" s="83" t="n">
        <f aca="false">IF(A14="","",SUMIFS(MV_Qte,MV_Code,A14,MV_Type,"Sortie"))</f>
        <v>12</v>
      </c>
      <c r="G14" s="83" t="n">
        <f aca="false">IF(A14="","",N(D14)+E14-F14)</f>
        <v>0</v>
      </c>
      <c r="H14" s="82" t="n">
        <v>6</v>
      </c>
      <c r="I14" s="74" t="str">
        <f aca="false">IF(A14="","",IF(G14&lt;=0,"Rupture",IF(G14&lt;=N(H14),"À commander","OK")))</f>
        <v>Rupture</v>
      </c>
      <c r="J14" s="28" t="n">
        <v>85000</v>
      </c>
      <c r="K14" s="31" t="n">
        <f aca="false">IF(A14="","",MAX(0,G14)*N(J14))</f>
        <v>0</v>
      </c>
      <c r="L14" s="74" t="n">
        <f aca="false">IF(OR(A14="",I14="OK"),"",COUNTIFS($A$7:A14,"&lt;&gt;",$I$7:I14,"&lt;&gt;OK"))</f>
        <v>4</v>
      </c>
    </row>
    <row r="15" customFormat="false" ht="15" hidden="false" customHeight="false" outlineLevel="0" collapsed="false">
      <c r="A15" s="68" t="s">
        <v>632</v>
      </c>
      <c r="B15" s="25" t="s">
        <v>657</v>
      </c>
      <c r="C15" s="68" t="s">
        <v>142</v>
      </c>
      <c r="D15" s="82" t="n">
        <v>0</v>
      </c>
      <c r="E15" s="83" t="n">
        <f aca="false">IF(A15="","",SUMIFS(MV_Qte,MV_Code,A15,MV_Type,"Entrée"))</f>
        <v>36</v>
      </c>
      <c r="F15" s="83" t="n">
        <f aca="false">IF(A15="","",SUMIFS(MV_Qte,MV_Code,A15,MV_Type,"Sortie"))</f>
        <v>24</v>
      </c>
      <c r="G15" s="83" t="n">
        <f aca="false">IF(A15="","",N(D15)+E15-F15)</f>
        <v>12</v>
      </c>
      <c r="H15" s="82" t="n">
        <v>6</v>
      </c>
      <c r="I15" s="74" t="str">
        <f aca="false">IF(A15="","",IF(G15&lt;=0,"Rupture",IF(G15&lt;=N(H15),"À commander","OK")))</f>
        <v>OK</v>
      </c>
      <c r="J15" s="28" t="n">
        <v>125000</v>
      </c>
      <c r="K15" s="31" t="n">
        <f aca="false">IF(A15="","",MAX(0,G15)*N(J15))</f>
        <v>1500000</v>
      </c>
      <c r="L15" s="74" t="str">
        <f aca="false">IF(OR(A15="",I15="OK"),"",COUNTIFS($A$7:A15,"&lt;&gt;",$I$7:I15,"&lt;&gt;OK"))</f>
        <v/>
      </c>
    </row>
    <row r="16" customFormat="false" ht="15" hidden="false" customHeight="false" outlineLevel="0" collapsed="false">
      <c r="A16" s="68" t="s">
        <v>635</v>
      </c>
      <c r="B16" s="25" t="s">
        <v>658</v>
      </c>
      <c r="C16" s="68" t="s">
        <v>250</v>
      </c>
      <c r="D16" s="82" t="n">
        <v>0</v>
      </c>
      <c r="E16" s="83" t="n">
        <f aca="false">IF(A16="","",SUMIFS(MV_Qte,MV_Code,A16,MV_Type,"Entrée"))</f>
        <v>35000</v>
      </c>
      <c r="F16" s="83" t="n">
        <f aca="false">IF(A16="","",SUMIFS(MV_Qte,MV_Code,A16,MV_Type,"Sortie"))</f>
        <v>31500</v>
      </c>
      <c r="G16" s="83" t="n">
        <f aca="false">IF(A16="","",N(D16)+E16-F16)</f>
        <v>3500</v>
      </c>
      <c r="H16" s="82" t="n">
        <v>5000</v>
      </c>
      <c r="I16" s="74" t="str">
        <f aca="false">IF(A16="","",IF(G16&lt;=0,"Rupture",IF(G16&lt;=N(H16),"À commander","OK")))</f>
        <v>À commander</v>
      </c>
      <c r="J16" s="28" t="n">
        <v>715</v>
      </c>
      <c r="K16" s="31" t="n">
        <f aca="false">IF(A16="","",MAX(0,G16)*N(J16))</f>
        <v>2502500</v>
      </c>
      <c r="L16" s="74" t="n">
        <f aca="false">IF(OR(A16="",I16="OK"),"",COUNTIFS($A$7:A16,"&lt;&gt;",$I$7:I16,"&lt;&gt;OK"))</f>
        <v>5</v>
      </c>
    </row>
    <row r="17" customFormat="false" ht="15" hidden="false" customHeight="false" outlineLevel="0" collapsed="false">
      <c r="A17" s="68" t="s">
        <v>636</v>
      </c>
      <c r="B17" s="25" t="s">
        <v>659</v>
      </c>
      <c r="C17" s="68" t="s">
        <v>142</v>
      </c>
      <c r="D17" s="82" t="n">
        <v>0</v>
      </c>
      <c r="E17" s="83" t="n">
        <f aca="false">IF(A17="","",SUMIFS(MV_Qte,MV_Code,A17,MV_Type,"Entrée"))</f>
        <v>6000</v>
      </c>
      <c r="F17" s="83" t="n">
        <f aca="false">IF(A17="","",SUMIFS(MV_Qte,MV_Code,A17,MV_Type,"Sortie"))</f>
        <v>4800</v>
      </c>
      <c r="G17" s="83" t="n">
        <f aca="false">IF(A17="","",N(D17)+E17-F17)</f>
        <v>1200</v>
      </c>
      <c r="H17" s="82" t="n">
        <v>500</v>
      </c>
      <c r="I17" s="74" t="str">
        <f aca="false">IF(A17="","",IF(G17&lt;=0,"Rupture",IF(G17&lt;=N(H17),"À commander","OK")))</f>
        <v>OK</v>
      </c>
      <c r="J17" s="28" t="n">
        <v>375</v>
      </c>
      <c r="K17" s="31" t="n">
        <f aca="false">IF(A17="","",MAX(0,G17)*N(J17))</f>
        <v>450000</v>
      </c>
      <c r="L17" s="74" t="str">
        <f aca="false">IF(OR(A17="",I17="OK"),"",COUNTIFS($A$7:A17,"&lt;&gt;",$I$7:I17,"&lt;&gt;OK"))</f>
        <v/>
      </c>
    </row>
    <row r="18" customFormat="false" ht="15" hidden="false" customHeight="false" outlineLevel="0" collapsed="false">
      <c r="A18" s="68" t="s">
        <v>660</v>
      </c>
      <c r="B18" s="25" t="s">
        <v>661</v>
      </c>
      <c r="C18" s="68" t="s">
        <v>142</v>
      </c>
      <c r="D18" s="82" t="n">
        <v>100</v>
      </c>
      <c r="E18" s="83" t="n">
        <f aca="false">IF(A18="","",SUMIFS(MV_Qte,MV_Code,A18,MV_Type,"Entrée"))</f>
        <v>0</v>
      </c>
      <c r="F18" s="83" t="n">
        <f aca="false">IF(A18="","",SUMIFS(MV_Qte,MV_Code,A18,MV_Type,"Sortie"))</f>
        <v>40</v>
      </c>
      <c r="G18" s="83" t="n">
        <f aca="false">IF(A18="","",N(D18)+E18-F18)</f>
        <v>60</v>
      </c>
      <c r="H18" s="82" t="n">
        <v>30</v>
      </c>
      <c r="I18" s="74" t="str">
        <f aca="false">IF(A18="","",IF(G18&lt;=0,"Rupture",IF(G18&lt;=N(H18),"À commander","OK")))</f>
        <v>OK</v>
      </c>
      <c r="J18" s="28" t="n">
        <v>2500</v>
      </c>
      <c r="K18" s="31" t="n">
        <f aca="false">IF(A18="","",MAX(0,G18)*N(J18))</f>
        <v>150000</v>
      </c>
      <c r="L18" s="74" t="str">
        <f aca="false">IF(OR(A18="",I18="OK"),"",COUNTIFS($A$7:A18,"&lt;&gt;",$I$7:I18,"&lt;&gt;OK"))</f>
        <v/>
      </c>
    </row>
    <row r="19" customFormat="false" ht="15" hidden="false" customHeight="false" outlineLevel="0" collapsed="false">
      <c r="A19" s="68" t="s">
        <v>662</v>
      </c>
      <c r="B19" s="25" t="s">
        <v>663</v>
      </c>
      <c r="C19" s="68" t="s">
        <v>240</v>
      </c>
      <c r="D19" s="82" t="n">
        <v>50</v>
      </c>
      <c r="E19" s="83" t="n">
        <f aca="false">IF(A19="","",SUMIFS(MV_Qte,MV_Code,A19,MV_Type,"Entrée"))</f>
        <v>0</v>
      </c>
      <c r="F19" s="83" t="n">
        <f aca="false">IF(A19="","",SUMIFS(MV_Qte,MV_Code,A19,MV_Type,"Sortie"))</f>
        <v>30</v>
      </c>
      <c r="G19" s="83" t="n">
        <f aca="false">IF(A19="","",N(D19)+E19-F19)</f>
        <v>20</v>
      </c>
      <c r="H19" s="82" t="n">
        <v>15</v>
      </c>
      <c r="I19" s="74" t="str">
        <f aca="false">IF(A19="","",IF(G19&lt;=0,"Rupture",IF(G19&lt;=N(H19),"À commander","OK")))</f>
        <v>OK</v>
      </c>
      <c r="J19" s="28" t="n">
        <v>1500</v>
      </c>
      <c r="K19" s="31" t="n">
        <f aca="false">IF(A19="","",MAX(0,G19)*N(J19))</f>
        <v>30000</v>
      </c>
      <c r="L19" s="74" t="str">
        <f aca="false">IF(OR(A19="",I19="OK"),"",COUNTIFS($A$7:A19,"&lt;&gt;",$I$7:I19,"&lt;&gt;OK"))</f>
        <v/>
      </c>
    </row>
    <row r="20" customFormat="false" ht="15" hidden="false" customHeight="false" outlineLevel="0" collapsed="false">
      <c r="A20" s="68"/>
      <c r="B20" s="25"/>
      <c r="C20" s="68"/>
      <c r="D20" s="82"/>
      <c r="E20" s="83" t="str">
        <f aca="false">IF(A20="","",SUMIFS(MV_Qte,MV_Code,A20,MV_Type,"Entrée"))</f>
        <v/>
      </c>
      <c r="F20" s="83" t="str">
        <f aca="false">IF(A20="","",SUMIFS(MV_Qte,MV_Code,A20,MV_Type,"Sortie"))</f>
        <v/>
      </c>
      <c r="G20" s="83" t="str">
        <f aca="false">IF(A20="","",N(D20)+E20-F20)</f>
        <v/>
      </c>
      <c r="H20" s="82"/>
      <c r="I20" s="74" t="str">
        <f aca="false">IF(A20="","",IF(G20&lt;=0,"Rupture",IF(G20&lt;=N(H20),"À commander","OK")))</f>
        <v/>
      </c>
      <c r="J20" s="28"/>
      <c r="K20" s="31" t="str">
        <f aca="false">IF(A20="","",MAX(0,G20)*N(J20))</f>
        <v/>
      </c>
      <c r="L20" s="74" t="str">
        <f aca="false">IF(OR(A20="",I20="OK"),"",COUNTIFS($A$7:A20,"&lt;&gt;",$I$7:I20,"&lt;&gt;OK"))</f>
        <v/>
      </c>
    </row>
    <row r="21" customFormat="false" ht="15" hidden="false" customHeight="false" outlineLevel="0" collapsed="false">
      <c r="A21" s="68"/>
      <c r="B21" s="25"/>
      <c r="C21" s="68"/>
      <c r="D21" s="82"/>
      <c r="E21" s="83" t="str">
        <f aca="false">IF(A21="","",SUMIFS(MV_Qte,MV_Code,A21,MV_Type,"Entrée"))</f>
        <v/>
      </c>
      <c r="F21" s="83" t="str">
        <f aca="false">IF(A21="","",SUMIFS(MV_Qte,MV_Code,A21,MV_Type,"Sortie"))</f>
        <v/>
      </c>
      <c r="G21" s="83" t="str">
        <f aca="false">IF(A21="","",N(D21)+E21-F21)</f>
        <v/>
      </c>
      <c r="H21" s="82"/>
      <c r="I21" s="74" t="str">
        <f aca="false">IF(A21="","",IF(G21&lt;=0,"Rupture",IF(G21&lt;=N(H21),"À commander","OK")))</f>
        <v/>
      </c>
      <c r="J21" s="28"/>
      <c r="K21" s="31" t="str">
        <f aca="false">IF(A21="","",MAX(0,G21)*N(J21))</f>
        <v/>
      </c>
      <c r="L21" s="74" t="str">
        <f aca="false">IF(OR(A21="",I21="OK"),"",COUNTIFS($A$7:A21,"&lt;&gt;",$I$7:I21,"&lt;&gt;OK"))</f>
        <v/>
      </c>
    </row>
    <row r="22" customFormat="false" ht="15" hidden="false" customHeight="false" outlineLevel="0" collapsed="false">
      <c r="A22" s="68"/>
      <c r="B22" s="25"/>
      <c r="C22" s="68"/>
      <c r="D22" s="82"/>
      <c r="E22" s="83" t="str">
        <f aca="false">IF(A22="","",SUMIFS(MV_Qte,MV_Code,A22,MV_Type,"Entrée"))</f>
        <v/>
      </c>
      <c r="F22" s="83" t="str">
        <f aca="false">IF(A22="","",SUMIFS(MV_Qte,MV_Code,A22,MV_Type,"Sortie"))</f>
        <v/>
      </c>
      <c r="G22" s="83" t="str">
        <f aca="false">IF(A22="","",N(D22)+E22-F22)</f>
        <v/>
      </c>
      <c r="H22" s="82"/>
      <c r="I22" s="74" t="str">
        <f aca="false">IF(A22="","",IF(G22&lt;=0,"Rupture",IF(G22&lt;=N(H22),"À commander","OK")))</f>
        <v/>
      </c>
      <c r="J22" s="28"/>
      <c r="K22" s="31" t="str">
        <f aca="false">IF(A22="","",MAX(0,G22)*N(J22))</f>
        <v/>
      </c>
      <c r="L22" s="74" t="str">
        <f aca="false">IF(OR(A22="",I22="OK"),"",COUNTIFS($A$7:A22,"&lt;&gt;",$I$7:I22,"&lt;&gt;OK"))</f>
        <v/>
      </c>
    </row>
    <row r="23" customFormat="false" ht="15" hidden="false" customHeight="false" outlineLevel="0" collapsed="false">
      <c r="A23" s="68"/>
      <c r="B23" s="25"/>
      <c r="C23" s="68"/>
      <c r="D23" s="82"/>
      <c r="E23" s="83" t="str">
        <f aca="false">IF(A23="","",SUMIFS(MV_Qte,MV_Code,A23,MV_Type,"Entrée"))</f>
        <v/>
      </c>
      <c r="F23" s="83" t="str">
        <f aca="false">IF(A23="","",SUMIFS(MV_Qte,MV_Code,A23,MV_Type,"Sortie"))</f>
        <v/>
      </c>
      <c r="G23" s="83" t="str">
        <f aca="false">IF(A23="","",N(D23)+E23-F23)</f>
        <v/>
      </c>
      <c r="H23" s="82"/>
      <c r="I23" s="74" t="str">
        <f aca="false">IF(A23="","",IF(G23&lt;=0,"Rupture",IF(G23&lt;=N(H23),"À commander","OK")))</f>
        <v/>
      </c>
      <c r="J23" s="28"/>
      <c r="K23" s="31" t="str">
        <f aca="false">IF(A23="","",MAX(0,G23)*N(J23))</f>
        <v/>
      </c>
      <c r="L23" s="74" t="str">
        <f aca="false">IF(OR(A23="",I23="OK"),"",COUNTIFS($A$7:A23,"&lt;&gt;",$I$7:I23,"&lt;&gt;OK"))</f>
        <v/>
      </c>
    </row>
    <row r="24" customFormat="false" ht="15" hidden="false" customHeight="false" outlineLevel="0" collapsed="false">
      <c r="A24" s="68"/>
      <c r="B24" s="25"/>
      <c r="C24" s="68"/>
      <c r="D24" s="82"/>
      <c r="E24" s="83" t="str">
        <f aca="false">IF(A24="","",SUMIFS(MV_Qte,MV_Code,A24,MV_Type,"Entrée"))</f>
        <v/>
      </c>
      <c r="F24" s="83" t="str">
        <f aca="false">IF(A24="","",SUMIFS(MV_Qte,MV_Code,A24,MV_Type,"Sortie"))</f>
        <v/>
      </c>
      <c r="G24" s="83" t="str">
        <f aca="false">IF(A24="","",N(D24)+E24-F24)</f>
        <v/>
      </c>
      <c r="H24" s="82"/>
      <c r="I24" s="74" t="str">
        <f aca="false">IF(A24="","",IF(G24&lt;=0,"Rupture",IF(G24&lt;=N(H24),"À commander","OK")))</f>
        <v/>
      </c>
      <c r="J24" s="28"/>
      <c r="K24" s="31" t="str">
        <f aca="false">IF(A24="","",MAX(0,G24)*N(J24))</f>
        <v/>
      </c>
      <c r="L24" s="74" t="str">
        <f aca="false">IF(OR(A24="",I24="OK"),"",COUNTIFS($A$7:A24,"&lt;&gt;",$I$7:I24,"&lt;&gt;OK"))</f>
        <v/>
      </c>
    </row>
    <row r="25" customFormat="false" ht="15" hidden="false" customHeight="false" outlineLevel="0" collapsed="false">
      <c r="A25" s="68"/>
      <c r="B25" s="25"/>
      <c r="C25" s="68"/>
      <c r="D25" s="82"/>
      <c r="E25" s="83" t="str">
        <f aca="false">IF(A25="","",SUMIFS(MV_Qte,MV_Code,A25,MV_Type,"Entrée"))</f>
        <v/>
      </c>
      <c r="F25" s="83" t="str">
        <f aca="false">IF(A25="","",SUMIFS(MV_Qte,MV_Code,A25,MV_Type,"Sortie"))</f>
        <v/>
      </c>
      <c r="G25" s="83" t="str">
        <f aca="false">IF(A25="","",N(D25)+E25-F25)</f>
        <v/>
      </c>
      <c r="H25" s="82"/>
      <c r="I25" s="74" t="str">
        <f aca="false">IF(A25="","",IF(G25&lt;=0,"Rupture",IF(G25&lt;=N(H25),"À commander","OK")))</f>
        <v/>
      </c>
      <c r="J25" s="28"/>
      <c r="K25" s="31" t="str">
        <f aca="false">IF(A25="","",MAX(0,G25)*N(J25))</f>
        <v/>
      </c>
      <c r="L25" s="74" t="str">
        <f aca="false">IF(OR(A25="",I25="OK"),"",COUNTIFS($A$7:A25,"&lt;&gt;",$I$7:I25,"&lt;&gt;OK"))</f>
        <v/>
      </c>
    </row>
    <row r="26" customFormat="false" ht="15" hidden="false" customHeight="false" outlineLevel="0" collapsed="false">
      <c r="A26" s="68"/>
      <c r="B26" s="25"/>
      <c r="C26" s="68"/>
      <c r="D26" s="82"/>
      <c r="E26" s="83" t="str">
        <f aca="false">IF(A26="","",SUMIFS(MV_Qte,MV_Code,A26,MV_Type,"Entrée"))</f>
        <v/>
      </c>
      <c r="F26" s="83" t="str">
        <f aca="false">IF(A26="","",SUMIFS(MV_Qte,MV_Code,A26,MV_Type,"Sortie"))</f>
        <v/>
      </c>
      <c r="G26" s="83" t="str">
        <f aca="false">IF(A26="","",N(D26)+E26-F26)</f>
        <v/>
      </c>
      <c r="H26" s="82"/>
      <c r="I26" s="74" t="str">
        <f aca="false">IF(A26="","",IF(G26&lt;=0,"Rupture",IF(G26&lt;=N(H26),"À commander","OK")))</f>
        <v/>
      </c>
      <c r="J26" s="28"/>
      <c r="K26" s="31" t="str">
        <f aca="false">IF(A26="","",MAX(0,G26)*N(J26))</f>
        <v/>
      </c>
      <c r="L26" s="74" t="str">
        <f aca="false">IF(OR(A26="",I26="OK"),"",COUNTIFS($A$7:A26,"&lt;&gt;",$I$7:I26,"&lt;&gt;OK"))</f>
        <v/>
      </c>
    </row>
    <row r="27" customFormat="false" ht="15" hidden="false" customHeight="false" outlineLevel="0" collapsed="false">
      <c r="A27" s="68"/>
      <c r="B27" s="25"/>
      <c r="C27" s="68"/>
      <c r="D27" s="82"/>
      <c r="E27" s="83" t="str">
        <f aca="false">IF(A27="","",SUMIFS(MV_Qte,MV_Code,A27,MV_Type,"Entrée"))</f>
        <v/>
      </c>
      <c r="F27" s="83" t="str">
        <f aca="false">IF(A27="","",SUMIFS(MV_Qte,MV_Code,A27,MV_Type,"Sortie"))</f>
        <v/>
      </c>
      <c r="G27" s="83" t="str">
        <f aca="false">IF(A27="","",N(D27)+E27-F27)</f>
        <v/>
      </c>
      <c r="H27" s="82"/>
      <c r="I27" s="74" t="str">
        <f aca="false">IF(A27="","",IF(G27&lt;=0,"Rupture",IF(G27&lt;=N(H27),"À commander","OK")))</f>
        <v/>
      </c>
      <c r="J27" s="28"/>
      <c r="K27" s="31" t="str">
        <f aca="false">IF(A27="","",MAX(0,G27)*N(J27))</f>
        <v/>
      </c>
      <c r="L27" s="74" t="str">
        <f aca="false">IF(OR(A27="",I27="OK"),"",COUNTIFS($A$7:A27,"&lt;&gt;",$I$7:I27,"&lt;&gt;OK"))</f>
        <v/>
      </c>
    </row>
    <row r="28" customFormat="false" ht="15" hidden="false" customHeight="false" outlineLevel="0" collapsed="false">
      <c r="A28" s="68"/>
      <c r="B28" s="25"/>
      <c r="C28" s="68"/>
      <c r="D28" s="82"/>
      <c r="E28" s="83" t="str">
        <f aca="false">IF(A28="","",SUMIFS(MV_Qte,MV_Code,A28,MV_Type,"Entrée"))</f>
        <v/>
      </c>
      <c r="F28" s="83" t="str">
        <f aca="false">IF(A28="","",SUMIFS(MV_Qte,MV_Code,A28,MV_Type,"Sortie"))</f>
        <v/>
      </c>
      <c r="G28" s="83" t="str">
        <f aca="false">IF(A28="","",N(D28)+E28-F28)</f>
        <v/>
      </c>
      <c r="H28" s="82"/>
      <c r="I28" s="74" t="str">
        <f aca="false">IF(A28="","",IF(G28&lt;=0,"Rupture",IF(G28&lt;=N(H28),"À commander","OK")))</f>
        <v/>
      </c>
      <c r="J28" s="28"/>
      <c r="K28" s="31" t="str">
        <f aca="false">IF(A28="","",MAX(0,G28)*N(J28))</f>
        <v/>
      </c>
      <c r="L28" s="74" t="str">
        <f aca="false">IF(OR(A28="",I28="OK"),"",COUNTIFS($A$7:A28,"&lt;&gt;",$I$7:I28,"&lt;&gt;OK"))</f>
        <v/>
      </c>
    </row>
    <row r="29" customFormat="false" ht="15" hidden="false" customHeight="false" outlineLevel="0" collapsed="false">
      <c r="A29" s="68"/>
      <c r="B29" s="25"/>
      <c r="C29" s="68"/>
      <c r="D29" s="82"/>
      <c r="E29" s="83" t="str">
        <f aca="false">IF(A29="","",SUMIFS(MV_Qte,MV_Code,A29,MV_Type,"Entrée"))</f>
        <v/>
      </c>
      <c r="F29" s="83" t="str">
        <f aca="false">IF(A29="","",SUMIFS(MV_Qte,MV_Code,A29,MV_Type,"Sortie"))</f>
        <v/>
      </c>
      <c r="G29" s="83" t="str">
        <f aca="false">IF(A29="","",N(D29)+E29-F29)</f>
        <v/>
      </c>
      <c r="H29" s="82"/>
      <c r="I29" s="74" t="str">
        <f aca="false">IF(A29="","",IF(G29&lt;=0,"Rupture",IF(G29&lt;=N(H29),"À commander","OK")))</f>
        <v/>
      </c>
      <c r="J29" s="28"/>
      <c r="K29" s="31" t="str">
        <f aca="false">IF(A29="","",MAX(0,G29)*N(J29))</f>
        <v/>
      </c>
      <c r="L29" s="74" t="str">
        <f aca="false">IF(OR(A29="",I29="OK"),"",COUNTIFS($A$7:A29,"&lt;&gt;",$I$7:I29,"&lt;&gt;OK"))</f>
        <v/>
      </c>
    </row>
    <row r="30" customFormat="false" ht="15" hidden="false" customHeight="false" outlineLevel="0" collapsed="false">
      <c r="A30" s="68"/>
      <c r="B30" s="25"/>
      <c r="C30" s="68"/>
      <c r="D30" s="82"/>
      <c r="E30" s="83" t="str">
        <f aca="false">IF(A30="","",SUMIFS(MV_Qte,MV_Code,A30,MV_Type,"Entrée"))</f>
        <v/>
      </c>
      <c r="F30" s="83" t="str">
        <f aca="false">IF(A30="","",SUMIFS(MV_Qte,MV_Code,A30,MV_Type,"Sortie"))</f>
        <v/>
      </c>
      <c r="G30" s="83" t="str">
        <f aca="false">IF(A30="","",N(D30)+E30-F30)</f>
        <v/>
      </c>
      <c r="H30" s="82"/>
      <c r="I30" s="74" t="str">
        <f aca="false">IF(A30="","",IF(G30&lt;=0,"Rupture",IF(G30&lt;=N(H30),"À commander","OK")))</f>
        <v/>
      </c>
      <c r="J30" s="28"/>
      <c r="K30" s="31" t="str">
        <f aca="false">IF(A30="","",MAX(0,G30)*N(J30))</f>
        <v/>
      </c>
      <c r="L30" s="74" t="str">
        <f aca="false">IF(OR(A30="",I30="OK"),"",COUNTIFS($A$7:A30,"&lt;&gt;",$I$7:I30,"&lt;&gt;OK"))</f>
        <v/>
      </c>
    </row>
    <row r="31" customFormat="false" ht="15" hidden="false" customHeight="false" outlineLevel="0" collapsed="false">
      <c r="A31" s="68"/>
      <c r="B31" s="25"/>
      <c r="C31" s="68"/>
      <c r="D31" s="82"/>
      <c r="E31" s="83" t="str">
        <f aca="false">IF(A31="","",SUMIFS(MV_Qte,MV_Code,A31,MV_Type,"Entrée"))</f>
        <v/>
      </c>
      <c r="F31" s="83" t="str">
        <f aca="false">IF(A31="","",SUMIFS(MV_Qte,MV_Code,A31,MV_Type,"Sortie"))</f>
        <v/>
      </c>
      <c r="G31" s="83" t="str">
        <f aca="false">IF(A31="","",N(D31)+E31-F31)</f>
        <v/>
      </c>
      <c r="H31" s="82"/>
      <c r="I31" s="74" t="str">
        <f aca="false">IF(A31="","",IF(G31&lt;=0,"Rupture",IF(G31&lt;=N(H31),"À commander","OK")))</f>
        <v/>
      </c>
      <c r="J31" s="28"/>
      <c r="K31" s="31" t="str">
        <f aca="false">IF(A31="","",MAX(0,G31)*N(J31))</f>
        <v/>
      </c>
      <c r="L31" s="74" t="str">
        <f aca="false">IF(OR(A31="",I31="OK"),"",COUNTIFS($A$7:A31,"&lt;&gt;",$I$7:I31,"&lt;&gt;OK"))</f>
        <v/>
      </c>
    </row>
    <row r="32" customFormat="false" ht="15" hidden="false" customHeight="false" outlineLevel="0" collapsed="false">
      <c r="A32" s="68"/>
      <c r="B32" s="25"/>
      <c r="C32" s="68"/>
      <c r="D32" s="82"/>
      <c r="E32" s="83" t="str">
        <f aca="false">IF(A32="","",SUMIFS(MV_Qte,MV_Code,A32,MV_Type,"Entrée"))</f>
        <v/>
      </c>
      <c r="F32" s="83" t="str">
        <f aca="false">IF(A32="","",SUMIFS(MV_Qte,MV_Code,A32,MV_Type,"Sortie"))</f>
        <v/>
      </c>
      <c r="G32" s="83" t="str">
        <f aca="false">IF(A32="","",N(D32)+E32-F32)</f>
        <v/>
      </c>
      <c r="H32" s="82"/>
      <c r="I32" s="74" t="str">
        <f aca="false">IF(A32="","",IF(G32&lt;=0,"Rupture",IF(G32&lt;=N(H32),"À commander","OK")))</f>
        <v/>
      </c>
      <c r="J32" s="28"/>
      <c r="K32" s="31" t="str">
        <f aca="false">IF(A32="","",MAX(0,G32)*N(J32))</f>
        <v/>
      </c>
      <c r="L32" s="74" t="str">
        <f aca="false">IF(OR(A32="",I32="OK"),"",COUNTIFS($A$7:A32,"&lt;&gt;",$I$7:I32,"&lt;&gt;OK"))</f>
        <v/>
      </c>
    </row>
    <row r="33" customFormat="false" ht="15" hidden="false" customHeight="false" outlineLevel="0" collapsed="false">
      <c r="A33" s="68"/>
      <c r="B33" s="25"/>
      <c r="C33" s="68"/>
      <c r="D33" s="82"/>
      <c r="E33" s="83" t="str">
        <f aca="false">IF(A33="","",SUMIFS(MV_Qte,MV_Code,A33,MV_Type,"Entrée"))</f>
        <v/>
      </c>
      <c r="F33" s="83" t="str">
        <f aca="false">IF(A33="","",SUMIFS(MV_Qte,MV_Code,A33,MV_Type,"Sortie"))</f>
        <v/>
      </c>
      <c r="G33" s="83" t="str">
        <f aca="false">IF(A33="","",N(D33)+E33-F33)</f>
        <v/>
      </c>
      <c r="H33" s="82"/>
      <c r="I33" s="74" t="str">
        <f aca="false">IF(A33="","",IF(G33&lt;=0,"Rupture",IF(G33&lt;=N(H33),"À commander","OK")))</f>
        <v/>
      </c>
      <c r="J33" s="28"/>
      <c r="K33" s="31" t="str">
        <f aca="false">IF(A33="","",MAX(0,G33)*N(J33))</f>
        <v/>
      </c>
      <c r="L33" s="74" t="str">
        <f aca="false">IF(OR(A33="",I33="OK"),"",COUNTIFS($A$7:A33,"&lt;&gt;",$I$7:I33,"&lt;&gt;OK"))</f>
        <v/>
      </c>
    </row>
    <row r="34" customFormat="false" ht="15" hidden="false" customHeight="false" outlineLevel="0" collapsed="false">
      <c r="A34" s="68"/>
      <c r="B34" s="25"/>
      <c r="C34" s="68"/>
      <c r="D34" s="82"/>
      <c r="E34" s="83" t="str">
        <f aca="false">IF(A34="","",SUMIFS(MV_Qte,MV_Code,A34,MV_Type,"Entrée"))</f>
        <v/>
      </c>
      <c r="F34" s="83" t="str">
        <f aca="false">IF(A34="","",SUMIFS(MV_Qte,MV_Code,A34,MV_Type,"Sortie"))</f>
        <v/>
      </c>
      <c r="G34" s="83" t="str">
        <f aca="false">IF(A34="","",N(D34)+E34-F34)</f>
        <v/>
      </c>
      <c r="H34" s="82"/>
      <c r="I34" s="74" t="str">
        <f aca="false">IF(A34="","",IF(G34&lt;=0,"Rupture",IF(G34&lt;=N(H34),"À commander","OK")))</f>
        <v/>
      </c>
      <c r="J34" s="28"/>
      <c r="K34" s="31" t="str">
        <f aca="false">IF(A34="","",MAX(0,G34)*N(J34))</f>
        <v/>
      </c>
      <c r="L34" s="74" t="str">
        <f aca="false">IF(OR(A34="",I34="OK"),"",COUNTIFS($A$7:A34,"&lt;&gt;",$I$7:I34,"&lt;&gt;OK"))</f>
        <v/>
      </c>
    </row>
    <row r="35" customFormat="false" ht="15" hidden="false" customHeight="false" outlineLevel="0" collapsed="false">
      <c r="A35" s="68"/>
      <c r="B35" s="25"/>
      <c r="C35" s="68"/>
      <c r="D35" s="82"/>
      <c r="E35" s="83" t="str">
        <f aca="false">IF(A35="","",SUMIFS(MV_Qte,MV_Code,A35,MV_Type,"Entrée"))</f>
        <v/>
      </c>
      <c r="F35" s="83" t="str">
        <f aca="false">IF(A35="","",SUMIFS(MV_Qte,MV_Code,A35,MV_Type,"Sortie"))</f>
        <v/>
      </c>
      <c r="G35" s="83" t="str">
        <f aca="false">IF(A35="","",N(D35)+E35-F35)</f>
        <v/>
      </c>
      <c r="H35" s="82"/>
      <c r="I35" s="74" t="str">
        <f aca="false">IF(A35="","",IF(G35&lt;=0,"Rupture",IF(G35&lt;=N(H35),"À commander","OK")))</f>
        <v/>
      </c>
      <c r="J35" s="28"/>
      <c r="K35" s="31" t="str">
        <f aca="false">IF(A35="","",MAX(0,G35)*N(J35))</f>
        <v/>
      </c>
      <c r="L35" s="74" t="str">
        <f aca="false">IF(OR(A35="",I35="OK"),"",COUNTIFS($A$7:A35,"&lt;&gt;",$I$7:I35,"&lt;&gt;OK"))</f>
        <v/>
      </c>
    </row>
    <row r="36" customFormat="false" ht="15" hidden="false" customHeight="false" outlineLevel="0" collapsed="false">
      <c r="A36" s="68"/>
      <c r="B36" s="25"/>
      <c r="C36" s="68"/>
      <c r="D36" s="82"/>
      <c r="E36" s="83" t="str">
        <f aca="false">IF(A36="","",SUMIFS(MV_Qte,MV_Code,A36,MV_Type,"Entrée"))</f>
        <v/>
      </c>
      <c r="F36" s="83" t="str">
        <f aca="false">IF(A36="","",SUMIFS(MV_Qte,MV_Code,A36,MV_Type,"Sortie"))</f>
        <v/>
      </c>
      <c r="G36" s="83" t="str">
        <f aca="false">IF(A36="","",N(D36)+E36-F36)</f>
        <v/>
      </c>
      <c r="H36" s="82"/>
      <c r="I36" s="74" t="str">
        <f aca="false">IF(A36="","",IF(G36&lt;=0,"Rupture",IF(G36&lt;=N(H36),"À commander","OK")))</f>
        <v/>
      </c>
      <c r="J36" s="28"/>
      <c r="K36" s="31" t="str">
        <f aca="false">IF(A36="","",MAX(0,G36)*N(J36))</f>
        <v/>
      </c>
      <c r="L36" s="74" t="str">
        <f aca="false">IF(OR(A36="",I36="OK"),"",COUNTIFS($A$7:A36,"&lt;&gt;",$I$7:I36,"&lt;&gt;OK"))</f>
        <v/>
      </c>
    </row>
    <row r="37" customFormat="false" ht="15" hidden="false" customHeight="false" outlineLevel="0" collapsed="false">
      <c r="A37" s="68"/>
      <c r="B37" s="25"/>
      <c r="C37" s="68"/>
      <c r="D37" s="82"/>
      <c r="E37" s="83" t="str">
        <f aca="false">IF(A37="","",SUMIFS(MV_Qte,MV_Code,A37,MV_Type,"Entrée"))</f>
        <v/>
      </c>
      <c r="F37" s="83" t="str">
        <f aca="false">IF(A37="","",SUMIFS(MV_Qte,MV_Code,A37,MV_Type,"Sortie"))</f>
        <v/>
      </c>
      <c r="G37" s="83" t="str">
        <f aca="false">IF(A37="","",N(D37)+E37-F37)</f>
        <v/>
      </c>
      <c r="H37" s="82"/>
      <c r="I37" s="74" t="str">
        <f aca="false">IF(A37="","",IF(G37&lt;=0,"Rupture",IF(G37&lt;=N(H37),"À commander","OK")))</f>
        <v/>
      </c>
      <c r="J37" s="28"/>
      <c r="K37" s="31" t="str">
        <f aca="false">IF(A37="","",MAX(0,G37)*N(J37))</f>
        <v/>
      </c>
      <c r="L37" s="74" t="str">
        <f aca="false">IF(OR(A37="",I37="OK"),"",COUNTIFS($A$7:A37,"&lt;&gt;",$I$7:I37,"&lt;&gt;OK"))</f>
        <v/>
      </c>
    </row>
    <row r="38" customFormat="false" ht="15" hidden="false" customHeight="false" outlineLevel="0" collapsed="false">
      <c r="A38" s="68"/>
      <c r="B38" s="25"/>
      <c r="C38" s="68"/>
      <c r="D38" s="82"/>
      <c r="E38" s="83" t="str">
        <f aca="false">IF(A38="","",SUMIFS(MV_Qte,MV_Code,A38,MV_Type,"Entrée"))</f>
        <v/>
      </c>
      <c r="F38" s="83" t="str">
        <f aca="false">IF(A38="","",SUMIFS(MV_Qte,MV_Code,A38,MV_Type,"Sortie"))</f>
        <v/>
      </c>
      <c r="G38" s="83" t="str">
        <f aca="false">IF(A38="","",N(D38)+E38-F38)</f>
        <v/>
      </c>
      <c r="H38" s="82"/>
      <c r="I38" s="74" t="str">
        <f aca="false">IF(A38="","",IF(G38&lt;=0,"Rupture",IF(G38&lt;=N(H38),"À commander","OK")))</f>
        <v/>
      </c>
      <c r="J38" s="28"/>
      <c r="K38" s="31" t="str">
        <f aca="false">IF(A38="","",MAX(0,G38)*N(J38))</f>
        <v/>
      </c>
      <c r="L38" s="74" t="str">
        <f aca="false">IF(OR(A38="",I38="OK"),"",COUNTIFS($A$7:A38,"&lt;&gt;",$I$7:I38,"&lt;&gt;OK"))</f>
        <v/>
      </c>
    </row>
    <row r="39" customFormat="false" ht="15" hidden="false" customHeight="false" outlineLevel="0" collapsed="false">
      <c r="A39" s="68"/>
      <c r="B39" s="25"/>
      <c r="C39" s="68"/>
      <c r="D39" s="82"/>
      <c r="E39" s="83" t="str">
        <f aca="false">IF(A39="","",SUMIFS(MV_Qte,MV_Code,A39,MV_Type,"Entrée"))</f>
        <v/>
      </c>
      <c r="F39" s="83" t="str">
        <f aca="false">IF(A39="","",SUMIFS(MV_Qte,MV_Code,A39,MV_Type,"Sortie"))</f>
        <v/>
      </c>
      <c r="G39" s="83" t="str">
        <f aca="false">IF(A39="","",N(D39)+E39-F39)</f>
        <v/>
      </c>
      <c r="H39" s="82"/>
      <c r="I39" s="74" t="str">
        <f aca="false">IF(A39="","",IF(G39&lt;=0,"Rupture",IF(G39&lt;=N(H39),"À commander","OK")))</f>
        <v/>
      </c>
      <c r="J39" s="28"/>
      <c r="K39" s="31" t="str">
        <f aca="false">IF(A39="","",MAX(0,G39)*N(J39))</f>
        <v/>
      </c>
      <c r="L39" s="74" t="str">
        <f aca="false">IF(OR(A39="",I39="OK"),"",COUNTIFS($A$7:A39,"&lt;&gt;",$I$7:I39,"&lt;&gt;OK"))</f>
        <v/>
      </c>
    </row>
    <row r="40" customFormat="false" ht="15" hidden="false" customHeight="false" outlineLevel="0" collapsed="false">
      <c r="A40" s="68"/>
      <c r="B40" s="25"/>
      <c r="C40" s="68"/>
      <c r="D40" s="82"/>
      <c r="E40" s="83" t="str">
        <f aca="false">IF(A40="","",SUMIFS(MV_Qte,MV_Code,A40,MV_Type,"Entrée"))</f>
        <v/>
      </c>
      <c r="F40" s="83" t="str">
        <f aca="false">IF(A40="","",SUMIFS(MV_Qte,MV_Code,A40,MV_Type,"Sortie"))</f>
        <v/>
      </c>
      <c r="G40" s="83" t="str">
        <f aca="false">IF(A40="","",N(D40)+E40-F40)</f>
        <v/>
      </c>
      <c r="H40" s="82"/>
      <c r="I40" s="74" t="str">
        <f aca="false">IF(A40="","",IF(G40&lt;=0,"Rupture",IF(G40&lt;=N(H40),"À commander","OK")))</f>
        <v/>
      </c>
      <c r="J40" s="28"/>
      <c r="K40" s="31" t="str">
        <f aca="false">IF(A40="","",MAX(0,G40)*N(J40))</f>
        <v/>
      </c>
      <c r="L40" s="74" t="str">
        <f aca="false">IF(OR(A40="",I40="OK"),"",COUNTIFS($A$7:A40,"&lt;&gt;",$I$7:I40,"&lt;&gt;OK"))</f>
        <v/>
      </c>
    </row>
    <row r="41" customFormat="false" ht="15" hidden="false" customHeight="false" outlineLevel="0" collapsed="false">
      <c r="A41" s="68"/>
      <c r="B41" s="25"/>
      <c r="C41" s="68"/>
      <c r="D41" s="82"/>
      <c r="E41" s="83" t="str">
        <f aca="false">IF(A41="","",SUMIFS(MV_Qte,MV_Code,A41,MV_Type,"Entrée"))</f>
        <v/>
      </c>
      <c r="F41" s="83" t="str">
        <f aca="false">IF(A41="","",SUMIFS(MV_Qte,MV_Code,A41,MV_Type,"Sortie"))</f>
        <v/>
      </c>
      <c r="G41" s="83" t="str">
        <f aca="false">IF(A41="","",N(D41)+E41-F41)</f>
        <v/>
      </c>
      <c r="H41" s="82"/>
      <c r="I41" s="74" t="str">
        <f aca="false">IF(A41="","",IF(G41&lt;=0,"Rupture",IF(G41&lt;=N(H41),"À commander","OK")))</f>
        <v/>
      </c>
      <c r="J41" s="28"/>
      <c r="K41" s="31" t="str">
        <f aca="false">IF(A41="","",MAX(0,G41)*N(J41))</f>
        <v/>
      </c>
      <c r="L41" s="74" t="str">
        <f aca="false">IF(OR(A41="",I41="OK"),"",COUNTIFS($A$7:A41,"&lt;&gt;",$I$7:I41,"&lt;&gt;OK"))</f>
        <v/>
      </c>
    </row>
    <row r="42" customFormat="false" ht="15" hidden="false" customHeight="false" outlineLevel="0" collapsed="false">
      <c r="A42" s="68"/>
      <c r="B42" s="25"/>
      <c r="C42" s="68"/>
      <c r="D42" s="82"/>
      <c r="E42" s="83" t="str">
        <f aca="false">IF(A42="","",SUMIFS(MV_Qte,MV_Code,A42,MV_Type,"Entrée"))</f>
        <v/>
      </c>
      <c r="F42" s="83" t="str">
        <f aca="false">IF(A42="","",SUMIFS(MV_Qte,MV_Code,A42,MV_Type,"Sortie"))</f>
        <v/>
      </c>
      <c r="G42" s="83" t="str">
        <f aca="false">IF(A42="","",N(D42)+E42-F42)</f>
        <v/>
      </c>
      <c r="H42" s="82"/>
      <c r="I42" s="74" t="str">
        <f aca="false">IF(A42="","",IF(G42&lt;=0,"Rupture",IF(G42&lt;=N(H42),"À commander","OK")))</f>
        <v/>
      </c>
      <c r="J42" s="28"/>
      <c r="K42" s="31" t="str">
        <f aca="false">IF(A42="","",MAX(0,G42)*N(J42))</f>
        <v/>
      </c>
      <c r="L42" s="74" t="str">
        <f aca="false">IF(OR(A42="",I42="OK"),"",COUNTIFS($A$7:A42,"&lt;&gt;",$I$7:I42,"&lt;&gt;OK"))</f>
        <v/>
      </c>
    </row>
    <row r="43" customFormat="false" ht="15" hidden="false" customHeight="false" outlineLevel="0" collapsed="false">
      <c r="A43" s="68"/>
      <c r="B43" s="25"/>
      <c r="C43" s="68"/>
      <c r="D43" s="82"/>
      <c r="E43" s="83" t="str">
        <f aca="false">IF(A43="","",SUMIFS(MV_Qte,MV_Code,A43,MV_Type,"Entrée"))</f>
        <v/>
      </c>
      <c r="F43" s="83" t="str">
        <f aca="false">IF(A43="","",SUMIFS(MV_Qte,MV_Code,A43,MV_Type,"Sortie"))</f>
        <v/>
      </c>
      <c r="G43" s="83" t="str">
        <f aca="false">IF(A43="","",N(D43)+E43-F43)</f>
        <v/>
      </c>
      <c r="H43" s="82"/>
      <c r="I43" s="74" t="str">
        <f aca="false">IF(A43="","",IF(G43&lt;=0,"Rupture",IF(G43&lt;=N(H43),"À commander","OK")))</f>
        <v/>
      </c>
      <c r="J43" s="28"/>
      <c r="K43" s="31" t="str">
        <f aca="false">IF(A43="","",MAX(0,G43)*N(J43))</f>
        <v/>
      </c>
      <c r="L43" s="74" t="str">
        <f aca="false">IF(OR(A43="",I43="OK"),"",COUNTIFS($A$7:A43,"&lt;&gt;",$I$7:I43,"&lt;&gt;OK"))</f>
        <v/>
      </c>
    </row>
    <row r="44" customFormat="false" ht="15" hidden="false" customHeight="false" outlineLevel="0" collapsed="false">
      <c r="A44" s="68"/>
      <c r="B44" s="25"/>
      <c r="C44" s="68"/>
      <c r="D44" s="82"/>
      <c r="E44" s="83" t="str">
        <f aca="false">IF(A44="","",SUMIFS(MV_Qte,MV_Code,A44,MV_Type,"Entrée"))</f>
        <v/>
      </c>
      <c r="F44" s="83" t="str">
        <f aca="false">IF(A44="","",SUMIFS(MV_Qte,MV_Code,A44,MV_Type,"Sortie"))</f>
        <v/>
      </c>
      <c r="G44" s="83" t="str">
        <f aca="false">IF(A44="","",N(D44)+E44-F44)</f>
        <v/>
      </c>
      <c r="H44" s="82"/>
      <c r="I44" s="74" t="str">
        <f aca="false">IF(A44="","",IF(G44&lt;=0,"Rupture",IF(G44&lt;=N(H44),"À commander","OK")))</f>
        <v/>
      </c>
      <c r="J44" s="28"/>
      <c r="K44" s="31" t="str">
        <f aca="false">IF(A44="","",MAX(0,G44)*N(J44))</f>
        <v/>
      </c>
      <c r="L44" s="74" t="str">
        <f aca="false">IF(OR(A44="",I44="OK"),"",COUNTIFS($A$7:A44,"&lt;&gt;",$I$7:I44,"&lt;&gt;OK"))</f>
        <v/>
      </c>
    </row>
    <row r="45" customFormat="false" ht="15" hidden="false" customHeight="false" outlineLevel="0" collapsed="false">
      <c r="A45" s="68"/>
      <c r="B45" s="25"/>
      <c r="C45" s="68"/>
      <c r="D45" s="82"/>
      <c r="E45" s="83" t="str">
        <f aca="false">IF(A45="","",SUMIFS(MV_Qte,MV_Code,A45,MV_Type,"Entrée"))</f>
        <v/>
      </c>
      <c r="F45" s="83" t="str">
        <f aca="false">IF(A45="","",SUMIFS(MV_Qte,MV_Code,A45,MV_Type,"Sortie"))</f>
        <v/>
      </c>
      <c r="G45" s="83" t="str">
        <f aca="false">IF(A45="","",N(D45)+E45-F45)</f>
        <v/>
      </c>
      <c r="H45" s="82"/>
      <c r="I45" s="74" t="str">
        <f aca="false">IF(A45="","",IF(G45&lt;=0,"Rupture",IF(G45&lt;=N(H45),"À commander","OK")))</f>
        <v/>
      </c>
      <c r="J45" s="28"/>
      <c r="K45" s="31" t="str">
        <f aca="false">IF(A45="","",MAX(0,G45)*N(J45))</f>
        <v/>
      </c>
      <c r="L45" s="74" t="str">
        <f aca="false">IF(OR(A45="",I45="OK"),"",COUNTIFS($A$7:A45,"&lt;&gt;",$I$7:I45,"&lt;&gt;OK"))</f>
        <v/>
      </c>
    </row>
    <row r="46" customFormat="false" ht="15" hidden="false" customHeight="false" outlineLevel="0" collapsed="false">
      <c r="A46" s="68"/>
      <c r="B46" s="25"/>
      <c r="C46" s="68"/>
      <c r="D46" s="82"/>
      <c r="E46" s="83" t="str">
        <f aca="false">IF(A46="","",SUMIFS(MV_Qte,MV_Code,A46,MV_Type,"Entrée"))</f>
        <v/>
      </c>
      <c r="F46" s="83" t="str">
        <f aca="false">IF(A46="","",SUMIFS(MV_Qte,MV_Code,A46,MV_Type,"Sortie"))</f>
        <v/>
      </c>
      <c r="G46" s="83" t="str">
        <f aca="false">IF(A46="","",N(D46)+E46-F46)</f>
        <v/>
      </c>
      <c r="H46" s="82"/>
      <c r="I46" s="74" t="str">
        <f aca="false">IF(A46="","",IF(G46&lt;=0,"Rupture",IF(G46&lt;=N(H46),"À commander","OK")))</f>
        <v/>
      </c>
      <c r="J46" s="28"/>
      <c r="K46" s="31" t="str">
        <f aca="false">IF(A46="","",MAX(0,G46)*N(J46))</f>
        <v/>
      </c>
      <c r="L46" s="74" t="str">
        <f aca="false">IF(OR(A46="",I46="OK"),"",COUNTIFS($A$7:A46,"&lt;&gt;",$I$7:I46,"&lt;&gt;OK"))</f>
        <v/>
      </c>
    </row>
    <row r="47" customFormat="false" ht="15" hidden="false" customHeight="false" outlineLevel="0" collapsed="false">
      <c r="A47" s="68"/>
      <c r="B47" s="25"/>
      <c r="C47" s="68"/>
      <c r="D47" s="82"/>
      <c r="E47" s="83" t="str">
        <f aca="false">IF(A47="","",SUMIFS(MV_Qte,MV_Code,A47,MV_Type,"Entrée"))</f>
        <v/>
      </c>
      <c r="F47" s="83" t="str">
        <f aca="false">IF(A47="","",SUMIFS(MV_Qte,MV_Code,A47,MV_Type,"Sortie"))</f>
        <v/>
      </c>
      <c r="G47" s="83" t="str">
        <f aca="false">IF(A47="","",N(D47)+E47-F47)</f>
        <v/>
      </c>
      <c r="H47" s="82"/>
      <c r="I47" s="74" t="str">
        <f aca="false">IF(A47="","",IF(G47&lt;=0,"Rupture",IF(G47&lt;=N(H47),"À commander","OK")))</f>
        <v/>
      </c>
      <c r="J47" s="28"/>
      <c r="K47" s="31" t="str">
        <f aca="false">IF(A47="","",MAX(0,G47)*N(J47))</f>
        <v/>
      </c>
      <c r="L47" s="74" t="str">
        <f aca="false">IF(OR(A47="",I47="OK"),"",COUNTIFS($A$7:A47,"&lt;&gt;",$I$7:I47,"&lt;&gt;OK"))</f>
        <v/>
      </c>
    </row>
    <row r="48" customFormat="false" ht="15" hidden="false" customHeight="false" outlineLevel="0" collapsed="false">
      <c r="A48" s="68"/>
      <c r="B48" s="25"/>
      <c r="C48" s="68"/>
      <c r="D48" s="82"/>
      <c r="E48" s="83" t="str">
        <f aca="false">IF(A48="","",SUMIFS(MV_Qte,MV_Code,A48,MV_Type,"Entrée"))</f>
        <v/>
      </c>
      <c r="F48" s="83" t="str">
        <f aca="false">IF(A48="","",SUMIFS(MV_Qte,MV_Code,A48,MV_Type,"Sortie"))</f>
        <v/>
      </c>
      <c r="G48" s="83" t="str">
        <f aca="false">IF(A48="","",N(D48)+E48-F48)</f>
        <v/>
      </c>
      <c r="H48" s="82"/>
      <c r="I48" s="74" t="str">
        <f aca="false">IF(A48="","",IF(G48&lt;=0,"Rupture",IF(G48&lt;=N(H48),"À commander","OK")))</f>
        <v/>
      </c>
      <c r="J48" s="28"/>
      <c r="K48" s="31" t="str">
        <f aca="false">IF(A48="","",MAX(0,G48)*N(J48))</f>
        <v/>
      </c>
      <c r="L48" s="74" t="str">
        <f aca="false">IF(OR(A48="",I48="OK"),"",COUNTIFS($A$7:A48,"&lt;&gt;",$I$7:I48,"&lt;&gt;OK"))</f>
        <v/>
      </c>
    </row>
    <row r="49" customFormat="false" ht="15" hidden="false" customHeight="false" outlineLevel="0" collapsed="false">
      <c r="A49" s="68"/>
      <c r="B49" s="25"/>
      <c r="C49" s="68"/>
      <c r="D49" s="82"/>
      <c r="E49" s="83" t="str">
        <f aca="false">IF(A49="","",SUMIFS(MV_Qte,MV_Code,A49,MV_Type,"Entrée"))</f>
        <v/>
      </c>
      <c r="F49" s="83" t="str">
        <f aca="false">IF(A49="","",SUMIFS(MV_Qte,MV_Code,A49,MV_Type,"Sortie"))</f>
        <v/>
      </c>
      <c r="G49" s="83" t="str">
        <f aca="false">IF(A49="","",N(D49)+E49-F49)</f>
        <v/>
      </c>
      <c r="H49" s="82"/>
      <c r="I49" s="74" t="str">
        <f aca="false">IF(A49="","",IF(G49&lt;=0,"Rupture",IF(G49&lt;=N(H49),"À commander","OK")))</f>
        <v/>
      </c>
      <c r="J49" s="28"/>
      <c r="K49" s="31" t="str">
        <f aca="false">IF(A49="","",MAX(0,G49)*N(J49))</f>
        <v/>
      </c>
      <c r="L49" s="74" t="str">
        <f aca="false">IF(OR(A49="",I49="OK"),"",COUNTIFS($A$7:A49,"&lt;&gt;",$I$7:I49,"&lt;&gt;OK"))</f>
        <v/>
      </c>
    </row>
    <row r="50" customFormat="false" ht="15" hidden="false" customHeight="false" outlineLevel="0" collapsed="false">
      <c r="A50" s="68"/>
      <c r="B50" s="25"/>
      <c r="C50" s="68"/>
      <c r="D50" s="82"/>
      <c r="E50" s="83" t="str">
        <f aca="false">IF(A50="","",SUMIFS(MV_Qte,MV_Code,A50,MV_Type,"Entrée"))</f>
        <v/>
      </c>
      <c r="F50" s="83" t="str">
        <f aca="false">IF(A50="","",SUMIFS(MV_Qte,MV_Code,A50,MV_Type,"Sortie"))</f>
        <v/>
      </c>
      <c r="G50" s="83" t="str">
        <f aca="false">IF(A50="","",N(D50)+E50-F50)</f>
        <v/>
      </c>
      <c r="H50" s="82"/>
      <c r="I50" s="74" t="str">
        <f aca="false">IF(A50="","",IF(G50&lt;=0,"Rupture",IF(G50&lt;=N(H50),"À commander","OK")))</f>
        <v/>
      </c>
      <c r="J50" s="28"/>
      <c r="K50" s="31" t="str">
        <f aca="false">IF(A50="","",MAX(0,G50)*N(J50))</f>
        <v/>
      </c>
      <c r="L50" s="74" t="str">
        <f aca="false">IF(OR(A50="",I50="OK"),"",COUNTIFS($A$7:A50,"&lt;&gt;",$I$7:I50,"&lt;&gt;OK"))</f>
        <v/>
      </c>
    </row>
    <row r="51" customFormat="false" ht="15" hidden="false" customHeight="false" outlineLevel="0" collapsed="false">
      <c r="A51" s="68"/>
      <c r="B51" s="25"/>
      <c r="C51" s="68"/>
      <c r="D51" s="82"/>
      <c r="E51" s="83" t="str">
        <f aca="false">IF(A51="","",SUMIFS(MV_Qte,MV_Code,A51,MV_Type,"Entrée"))</f>
        <v/>
      </c>
      <c r="F51" s="83" t="str">
        <f aca="false">IF(A51="","",SUMIFS(MV_Qte,MV_Code,A51,MV_Type,"Sortie"))</f>
        <v/>
      </c>
      <c r="G51" s="83" t="str">
        <f aca="false">IF(A51="","",N(D51)+E51-F51)</f>
        <v/>
      </c>
      <c r="H51" s="82"/>
      <c r="I51" s="74" t="str">
        <f aca="false">IF(A51="","",IF(G51&lt;=0,"Rupture",IF(G51&lt;=N(H51),"À commander","OK")))</f>
        <v/>
      </c>
      <c r="J51" s="28"/>
      <c r="K51" s="31" t="str">
        <f aca="false">IF(A51="","",MAX(0,G51)*N(J51))</f>
        <v/>
      </c>
      <c r="L51" s="74" t="str">
        <f aca="false">IF(OR(A51="",I51="OK"),"",COUNTIFS($A$7:A51,"&lt;&gt;",$I$7:I51,"&lt;&gt;OK"))</f>
        <v/>
      </c>
    </row>
    <row r="52" customFormat="false" ht="15" hidden="false" customHeight="false" outlineLevel="0" collapsed="false">
      <c r="A52" s="68"/>
      <c r="B52" s="25"/>
      <c r="C52" s="68"/>
      <c r="D52" s="82"/>
      <c r="E52" s="83" t="str">
        <f aca="false">IF(A52="","",SUMIFS(MV_Qte,MV_Code,A52,MV_Type,"Entrée"))</f>
        <v/>
      </c>
      <c r="F52" s="83" t="str">
        <f aca="false">IF(A52="","",SUMIFS(MV_Qte,MV_Code,A52,MV_Type,"Sortie"))</f>
        <v/>
      </c>
      <c r="G52" s="83" t="str">
        <f aca="false">IF(A52="","",N(D52)+E52-F52)</f>
        <v/>
      </c>
      <c r="H52" s="82"/>
      <c r="I52" s="74" t="str">
        <f aca="false">IF(A52="","",IF(G52&lt;=0,"Rupture",IF(G52&lt;=N(H52),"À commander","OK")))</f>
        <v/>
      </c>
      <c r="J52" s="28"/>
      <c r="K52" s="31" t="str">
        <f aca="false">IF(A52="","",MAX(0,G52)*N(J52))</f>
        <v/>
      </c>
      <c r="L52" s="74" t="str">
        <f aca="false">IF(OR(A52="",I52="OK"),"",COUNTIFS($A$7:A52,"&lt;&gt;",$I$7:I52,"&lt;&gt;OK"))</f>
        <v/>
      </c>
    </row>
    <row r="53" customFormat="false" ht="15" hidden="false" customHeight="false" outlineLevel="0" collapsed="false">
      <c r="A53" s="68"/>
      <c r="B53" s="25"/>
      <c r="C53" s="68"/>
      <c r="D53" s="82"/>
      <c r="E53" s="83" t="str">
        <f aca="false">IF(A53="","",SUMIFS(MV_Qte,MV_Code,A53,MV_Type,"Entrée"))</f>
        <v/>
      </c>
      <c r="F53" s="83" t="str">
        <f aca="false">IF(A53="","",SUMIFS(MV_Qte,MV_Code,A53,MV_Type,"Sortie"))</f>
        <v/>
      </c>
      <c r="G53" s="83" t="str">
        <f aca="false">IF(A53="","",N(D53)+E53-F53)</f>
        <v/>
      </c>
      <c r="H53" s="82"/>
      <c r="I53" s="74" t="str">
        <f aca="false">IF(A53="","",IF(G53&lt;=0,"Rupture",IF(G53&lt;=N(H53),"À commander","OK")))</f>
        <v/>
      </c>
      <c r="J53" s="28"/>
      <c r="K53" s="31" t="str">
        <f aca="false">IF(A53="","",MAX(0,G53)*N(J53))</f>
        <v/>
      </c>
      <c r="L53" s="74" t="str">
        <f aca="false">IF(OR(A53="",I53="OK"),"",COUNTIFS($A$7:A53,"&lt;&gt;",$I$7:I53,"&lt;&gt;OK"))</f>
        <v/>
      </c>
    </row>
    <row r="54" customFormat="false" ht="15" hidden="false" customHeight="false" outlineLevel="0" collapsed="false">
      <c r="A54" s="68"/>
      <c r="B54" s="25"/>
      <c r="C54" s="68"/>
      <c r="D54" s="82"/>
      <c r="E54" s="83" t="str">
        <f aca="false">IF(A54="","",SUMIFS(MV_Qte,MV_Code,A54,MV_Type,"Entrée"))</f>
        <v/>
      </c>
      <c r="F54" s="83" t="str">
        <f aca="false">IF(A54="","",SUMIFS(MV_Qte,MV_Code,A54,MV_Type,"Sortie"))</f>
        <v/>
      </c>
      <c r="G54" s="83" t="str">
        <f aca="false">IF(A54="","",N(D54)+E54-F54)</f>
        <v/>
      </c>
      <c r="H54" s="82"/>
      <c r="I54" s="74" t="str">
        <f aca="false">IF(A54="","",IF(G54&lt;=0,"Rupture",IF(G54&lt;=N(H54),"À commander","OK")))</f>
        <v/>
      </c>
      <c r="J54" s="28"/>
      <c r="K54" s="31" t="str">
        <f aca="false">IF(A54="","",MAX(0,G54)*N(J54))</f>
        <v/>
      </c>
      <c r="L54" s="74" t="str">
        <f aca="false">IF(OR(A54="",I54="OK"),"",COUNTIFS($A$7:A54,"&lt;&gt;",$I$7:I54,"&lt;&gt;OK"))</f>
        <v/>
      </c>
    </row>
    <row r="55" customFormat="false" ht="15" hidden="false" customHeight="false" outlineLevel="0" collapsed="false">
      <c r="A55" s="68"/>
      <c r="B55" s="25"/>
      <c r="C55" s="68"/>
      <c r="D55" s="82"/>
      <c r="E55" s="83" t="str">
        <f aca="false">IF(A55="","",SUMIFS(MV_Qte,MV_Code,A55,MV_Type,"Entrée"))</f>
        <v/>
      </c>
      <c r="F55" s="83" t="str">
        <f aca="false">IF(A55="","",SUMIFS(MV_Qte,MV_Code,A55,MV_Type,"Sortie"))</f>
        <v/>
      </c>
      <c r="G55" s="83" t="str">
        <f aca="false">IF(A55="","",N(D55)+E55-F55)</f>
        <v/>
      </c>
      <c r="H55" s="82"/>
      <c r="I55" s="74" t="str">
        <f aca="false">IF(A55="","",IF(G55&lt;=0,"Rupture",IF(G55&lt;=N(H55),"À commander","OK")))</f>
        <v/>
      </c>
      <c r="J55" s="28"/>
      <c r="K55" s="31" t="str">
        <f aca="false">IF(A55="","",MAX(0,G55)*N(J55))</f>
        <v/>
      </c>
      <c r="L55" s="74" t="str">
        <f aca="false">IF(OR(A55="",I55="OK"),"",COUNTIFS($A$7:A55,"&lt;&gt;",$I$7:I55,"&lt;&gt;OK"))</f>
        <v/>
      </c>
    </row>
    <row r="56" customFormat="false" ht="15" hidden="false" customHeight="false" outlineLevel="0" collapsed="false">
      <c r="A56" s="68"/>
      <c r="B56" s="25"/>
      <c r="C56" s="68"/>
      <c r="D56" s="82"/>
      <c r="E56" s="83" t="str">
        <f aca="false">IF(A56="","",SUMIFS(MV_Qte,MV_Code,A56,MV_Type,"Entrée"))</f>
        <v/>
      </c>
      <c r="F56" s="83" t="str">
        <f aca="false">IF(A56="","",SUMIFS(MV_Qte,MV_Code,A56,MV_Type,"Sortie"))</f>
        <v/>
      </c>
      <c r="G56" s="83" t="str">
        <f aca="false">IF(A56="","",N(D56)+E56-F56)</f>
        <v/>
      </c>
      <c r="H56" s="82"/>
      <c r="I56" s="74" t="str">
        <f aca="false">IF(A56="","",IF(G56&lt;=0,"Rupture",IF(G56&lt;=N(H56),"À commander","OK")))</f>
        <v/>
      </c>
      <c r="J56" s="28"/>
      <c r="K56" s="31" t="str">
        <f aca="false">IF(A56="","",MAX(0,G56)*N(J56))</f>
        <v/>
      </c>
      <c r="L56" s="74" t="str">
        <f aca="false">IF(OR(A56="",I56="OK"),"",COUNTIFS($A$7:A56,"&lt;&gt;",$I$7:I56,"&lt;&gt;OK"))</f>
        <v/>
      </c>
    </row>
    <row r="57" customFormat="false" ht="15" hidden="false" customHeight="false" outlineLevel="0" collapsed="false">
      <c r="A57" s="68"/>
      <c r="B57" s="25"/>
      <c r="C57" s="68"/>
      <c r="D57" s="82"/>
      <c r="E57" s="83" t="str">
        <f aca="false">IF(A57="","",SUMIFS(MV_Qte,MV_Code,A57,MV_Type,"Entrée"))</f>
        <v/>
      </c>
      <c r="F57" s="83" t="str">
        <f aca="false">IF(A57="","",SUMIFS(MV_Qte,MV_Code,A57,MV_Type,"Sortie"))</f>
        <v/>
      </c>
      <c r="G57" s="83" t="str">
        <f aca="false">IF(A57="","",N(D57)+E57-F57)</f>
        <v/>
      </c>
      <c r="H57" s="82"/>
      <c r="I57" s="74" t="str">
        <f aca="false">IF(A57="","",IF(G57&lt;=0,"Rupture",IF(G57&lt;=N(H57),"À commander","OK")))</f>
        <v/>
      </c>
      <c r="J57" s="28"/>
      <c r="K57" s="31" t="str">
        <f aca="false">IF(A57="","",MAX(0,G57)*N(J57))</f>
        <v/>
      </c>
      <c r="L57" s="74" t="str">
        <f aca="false">IF(OR(A57="",I57="OK"),"",COUNTIFS($A$7:A57,"&lt;&gt;",$I$7:I57,"&lt;&gt;OK"))</f>
        <v/>
      </c>
    </row>
    <row r="58" customFormat="false" ht="15" hidden="false" customHeight="false" outlineLevel="0" collapsed="false">
      <c r="A58" s="68"/>
      <c r="B58" s="25"/>
      <c r="C58" s="68"/>
      <c r="D58" s="82"/>
      <c r="E58" s="83" t="str">
        <f aca="false">IF(A58="","",SUMIFS(MV_Qte,MV_Code,A58,MV_Type,"Entrée"))</f>
        <v/>
      </c>
      <c r="F58" s="83" t="str">
        <f aca="false">IF(A58="","",SUMIFS(MV_Qte,MV_Code,A58,MV_Type,"Sortie"))</f>
        <v/>
      </c>
      <c r="G58" s="83" t="str">
        <f aca="false">IF(A58="","",N(D58)+E58-F58)</f>
        <v/>
      </c>
      <c r="H58" s="82"/>
      <c r="I58" s="74" t="str">
        <f aca="false">IF(A58="","",IF(G58&lt;=0,"Rupture",IF(G58&lt;=N(H58),"À commander","OK")))</f>
        <v/>
      </c>
      <c r="J58" s="28"/>
      <c r="K58" s="31" t="str">
        <f aca="false">IF(A58="","",MAX(0,G58)*N(J58))</f>
        <v/>
      </c>
      <c r="L58" s="74" t="str">
        <f aca="false">IF(OR(A58="",I58="OK"),"",COUNTIFS($A$7:A58,"&lt;&gt;",$I$7:I58,"&lt;&gt;OK"))</f>
        <v/>
      </c>
    </row>
    <row r="59" customFormat="false" ht="15" hidden="false" customHeight="false" outlineLevel="0" collapsed="false">
      <c r="A59" s="68"/>
      <c r="B59" s="25"/>
      <c r="C59" s="68"/>
      <c r="D59" s="82"/>
      <c r="E59" s="83" t="str">
        <f aca="false">IF(A59="","",SUMIFS(MV_Qte,MV_Code,A59,MV_Type,"Entrée"))</f>
        <v/>
      </c>
      <c r="F59" s="83" t="str">
        <f aca="false">IF(A59="","",SUMIFS(MV_Qte,MV_Code,A59,MV_Type,"Sortie"))</f>
        <v/>
      </c>
      <c r="G59" s="83" t="str">
        <f aca="false">IF(A59="","",N(D59)+E59-F59)</f>
        <v/>
      </c>
      <c r="H59" s="82"/>
      <c r="I59" s="74" t="str">
        <f aca="false">IF(A59="","",IF(G59&lt;=0,"Rupture",IF(G59&lt;=N(H59),"À commander","OK")))</f>
        <v/>
      </c>
      <c r="J59" s="28"/>
      <c r="K59" s="31" t="str">
        <f aca="false">IF(A59="","",MAX(0,G59)*N(J59))</f>
        <v/>
      </c>
      <c r="L59" s="74" t="str">
        <f aca="false">IF(OR(A59="",I59="OK"),"",COUNTIFS($A$7:A59,"&lt;&gt;",$I$7:I59,"&lt;&gt;OK"))</f>
        <v/>
      </c>
    </row>
    <row r="60" customFormat="false" ht="15" hidden="false" customHeight="false" outlineLevel="0" collapsed="false">
      <c r="A60" s="68"/>
      <c r="B60" s="25"/>
      <c r="C60" s="68"/>
      <c r="D60" s="82"/>
      <c r="E60" s="83" t="str">
        <f aca="false">IF(A60="","",SUMIFS(MV_Qte,MV_Code,A60,MV_Type,"Entrée"))</f>
        <v/>
      </c>
      <c r="F60" s="83" t="str">
        <f aca="false">IF(A60="","",SUMIFS(MV_Qte,MV_Code,A60,MV_Type,"Sortie"))</f>
        <v/>
      </c>
      <c r="G60" s="83" t="str">
        <f aca="false">IF(A60="","",N(D60)+E60-F60)</f>
        <v/>
      </c>
      <c r="H60" s="82"/>
      <c r="I60" s="74" t="str">
        <f aca="false">IF(A60="","",IF(G60&lt;=0,"Rupture",IF(G60&lt;=N(H60),"À commander","OK")))</f>
        <v/>
      </c>
      <c r="J60" s="28"/>
      <c r="K60" s="31" t="str">
        <f aca="false">IF(A60="","",MAX(0,G60)*N(J60))</f>
        <v/>
      </c>
      <c r="L60" s="74" t="str">
        <f aca="false">IF(OR(A60="",I60="OK"),"",COUNTIFS($A$7:A60,"&lt;&gt;",$I$7:I60,"&lt;&gt;OK"))</f>
        <v/>
      </c>
    </row>
    <row r="61" customFormat="false" ht="15" hidden="false" customHeight="false" outlineLevel="0" collapsed="false">
      <c r="A61" s="68"/>
      <c r="B61" s="25"/>
      <c r="C61" s="68"/>
      <c r="D61" s="82"/>
      <c r="E61" s="83" t="str">
        <f aca="false">IF(A61="","",SUMIFS(MV_Qte,MV_Code,A61,MV_Type,"Entrée"))</f>
        <v/>
      </c>
      <c r="F61" s="83" t="str">
        <f aca="false">IF(A61="","",SUMIFS(MV_Qte,MV_Code,A61,MV_Type,"Sortie"))</f>
        <v/>
      </c>
      <c r="G61" s="83" t="str">
        <f aca="false">IF(A61="","",N(D61)+E61-F61)</f>
        <v/>
      </c>
      <c r="H61" s="82"/>
      <c r="I61" s="74" t="str">
        <f aca="false">IF(A61="","",IF(G61&lt;=0,"Rupture",IF(G61&lt;=N(H61),"À commander","OK")))</f>
        <v/>
      </c>
      <c r="J61" s="28"/>
      <c r="K61" s="31" t="str">
        <f aca="false">IF(A61="","",MAX(0,G61)*N(J61))</f>
        <v/>
      </c>
      <c r="L61" s="74" t="str">
        <f aca="false">IF(OR(A61="",I61="OK"),"",COUNTIFS($A$7:A61,"&lt;&gt;",$I$7:I61,"&lt;&gt;OK"))</f>
        <v/>
      </c>
    </row>
    <row r="62" customFormat="false" ht="15" hidden="false" customHeight="false" outlineLevel="0" collapsed="false">
      <c r="A62" s="68"/>
      <c r="B62" s="25"/>
      <c r="C62" s="68"/>
      <c r="D62" s="82"/>
      <c r="E62" s="83" t="str">
        <f aca="false">IF(A62="","",SUMIFS(MV_Qte,MV_Code,A62,MV_Type,"Entrée"))</f>
        <v/>
      </c>
      <c r="F62" s="83" t="str">
        <f aca="false">IF(A62="","",SUMIFS(MV_Qte,MV_Code,A62,MV_Type,"Sortie"))</f>
        <v/>
      </c>
      <c r="G62" s="83" t="str">
        <f aca="false">IF(A62="","",N(D62)+E62-F62)</f>
        <v/>
      </c>
      <c r="H62" s="82"/>
      <c r="I62" s="74" t="str">
        <f aca="false">IF(A62="","",IF(G62&lt;=0,"Rupture",IF(G62&lt;=N(H62),"À commander","OK")))</f>
        <v/>
      </c>
      <c r="J62" s="28"/>
      <c r="K62" s="31" t="str">
        <f aca="false">IF(A62="","",MAX(0,G62)*N(J62))</f>
        <v/>
      </c>
      <c r="L62" s="74" t="str">
        <f aca="false">IF(OR(A62="",I62="OK"),"",COUNTIFS($A$7:A62,"&lt;&gt;",$I$7:I62,"&lt;&gt;OK"))</f>
        <v/>
      </c>
    </row>
    <row r="63" customFormat="false" ht="15" hidden="false" customHeight="false" outlineLevel="0" collapsed="false">
      <c r="A63" s="68"/>
      <c r="B63" s="25"/>
      <c r="C63" s="68"/>
      <c r="D63" s="82"/>
      <c r="E63" s="83" t="str">
        <f aca="false">IF(A63="","",SUMIFS(MV_Qte,MV_Code,A63,MV_Type,"Entrée"))</f>
        <v/>
      </c>
      <c r="F63" s="83" t="str">
        <f aca="false">IF(A63="","",SUMIFS(MV_Qte,MV_Code,A63,MV_Type,"Sortie"))</f>
        <v/>
      </c>
      <c r="G63" s="83" t="str">
        <f aca="false">IF(A63="","",N(D63)+E63-F63)</f>
        <v/>
      </c>
      <c r="H63" s="82"/>
      <c r="I63" s="74" t="str">
        <f aca="false">IF(A63="","",IF(G63&lt;=0,"Rupture",IF(G63&lt;=N(H63),"À commander","OK")))</f>
        <v/>
      </c>
      <c r="J63" s="28"/>
      <c r="K63" s="31" t="str">
        <f aca="false">IF(A63="","",MAX(0,G63)*N(J63))</f>
        <v/>
      </c>
      <c r="L63" s="74" t="str">
        <f aca="false">IF(OR(A63="",I63="OK"),"",COUNTIFS($A$7:A63,"&lt;&gt;",$I$7:I63,"&lt;&gt;OK"))</f>
        <v/>
      </c>
    </row>
    <row r="64" customFormat="false" ht="15" hidden="false" customHeight="false" outlineLevel="0" collapsed="false">
      <c r="A64" s="68"/>
      <c r="B64" s="25"/>
      <c r="C64" s="68"/>
      <c r="D64" s="82"/>
      <c r="E64" s="83" t="str">
        <f aca="false">IF(A64="","",SUMIFS(MV_Qte,MV_Code,A64,MV_Type,"Entrée"))</f>
        <v/>
      </c>
      <c r="F64" s="83" t="str">
        <f aca="false">IF(A64="","",SUMIFS(MV_Qte,MV_Code,A64,MV_Type,"Sortie"))</f>
        <v/>
      </c>
      <c r="G64" s="83" t="str">
        <f aca="false">IF(A64="","",N(D64)+E64-F64)</f>
        <v/>
      </c>
      <c r="H64" s="82"/>
      <c r="I64" s="74" t="str">
        <f aca="false">IF(A64="","",IF(G64&lt;=0,"Rupture",IF(G64&lt;=N(H64),"À commander","OK")))</f>
        <v/>
      </c>
      <c r="J64" s="28"/>
      <c r="K64" s="31" t="str">
        <f aca="false">IF(A64="","",MAX(0,G64)*N(J64))</f>
        <v/>
      </c>
      <c r="L64" s="74" t="str">
        <f aca="false">IF(OR(A64="",I64="OK"),"",COUNTIFS($A$7:A64,"&lt;&gt;",$I$7:I64,"&lt;&gt;OK"))</f>
        <v/>
      </c>
    </row>
    <row r="65" customFormat="false" ht="15" hidden="false" customHeight="false" outlineLevel="0" collapsed="false">
      <c r="A65" s="68"/>
      <c r="B65" s="25"/>
      <c r="C65" s="68"/>
      <c r="D65" s="82"/>
      <c r="E65" s="83" t="str">
        <f aca="false">IF(A65="","",SUMIFS(MV_Qte,MV_Code,A65,MV_Type,"Entrée"))</f>
        <v/>
      </c>
      <c r="F65" s="83" t="str">
        <f aca="false">IF(A65="","",SUMIFS(MV_Qte,MV_Code,A65,MV_Type,"Sortie"))</f>
        <v/>
      </c>
      <c r="G65" s="83" t="str">
        <f aca="false">IF(A65="","",N(D65)+E65-F65)</f>
        <v/>
      </c>
      <c r="H65" s="82"/>
      <c r="I65" s="74" t="str">
        <f aca="false">IF(A65="","",IF(G65&lt;=0,"Rupture",IF(G65&lt;=N(H65),"À commander","OK")))</f>
        <v/>
      </c>
      <c r="J65" s="28"/>
      <c r="K65" s="31" t="str">
        <f aca="false">IF(A65="","",MAX(0,G65)*N(J65))</f>
        <v/>
      </c>
      <c r="L65" s="74" t="str">
        <f aca="false">IF(OR(A65="",I65="OK"),"",COUNTIFS($A$7:A65,"&lt;&gt;",$I$7:I65,"&lt;&gt;OK"))</f>
        <v/>
      </c>
    </row>
    <row r="66" customFormat="false" ht="15" hidden="false" customHeight="false" outlineLevel="0" collapsed="false">
      <c r="A66" s="68"/>
      <c r="B66" s="25"/>
      <c r="C66" s="68"/>
      <c r="D66" s="82"/>
      <c r="E66" s="83" t="str">
        <f aca="false">IF(A66="","",SUMIFS(MV_Qte,MV_Code,A66,MV_Type,"Entrée"))</f>
        <v/>
      </c>
      <c r="F66" s="83" t="str">
        <f aca="false">IF(A66="","",SUMIFS(MV_Qte,MV_Code,A66,MV_Type,"Sortie"))</f>
        <v/>
      </c>
      <c r="G66" s="83" t="str">
        <f aca="false">IF(A66="","",N(D66)+E66-F66)</f>
        <v/>
      </c>
      <c r="H66" s="82"/>
      <c r="I66" s="74" t="str">
        <f aca="false">IF(A66="","",IF(G66&lt;=0,"Rupture",IF(G66&lt;=N(H66),"À commander","OK")))</f>
        <v/>
      </c>
      <c r="J66" s="28"/>
      <c r="K66" s="31" t="str">
        <f aca="false">IF(A66="","",MAX(0,G66)*N(J66))</f>
        <v/>
      </c>
      <c r="L66" s="74" t="str">
        <f aca="false">IF(OR(A66="",I66="OK"),"",COUNTIFS($A$7:A66,"&lt;&gt;",$I$7:I66,"&lt;&gt;OK"))</f>
        <v/>
      </c>
    </row>
    <row r="67" customFormat="false" ht="15" hidden="false" customHeight="false" outlineLevel="0" collapsed="false">
      <c r="A67" s="68"/>
      <c r="B67" s="25"/>
      <c r="C67" s="68"/>
      <c r="D67" s="82"/>
      <c r="E67" s="83" t="str">
        <f aca="false">IF(A67="","",SUMIFS(MV_Qte,MV_Code,A67,MV_Type,"Entrée"))</f>
        <v/>
      </c>
      <c r="F67" s="83" t="str">
        <f aca="false">IF(A67="","",SUMIFS(MV_Qte,MV_Code,A67,MV_Type,"Sortie"))</f>
        <v/>
      </c>
      <c r="G67" s="83" t="str">
        <f aca="false">IF(A67="","",N(D67)+E67-F67)</f>
        <v/>
      </c>
      <c r="H67" s="82"/>
      <c r="I67" s="74" t="str">
        <f aca="false">IF(A67="","",IF(G67&lt;=0,"Rupture",IF(G67&lt;=N(H67),"À commander","OK")))</f>
        <v/>
      </c>
      <c r="J67" s="28"/>
      <c r="K67" s="31" t="str">
        <f aca="false">IF(A67="","",MAX(0,G67)*N(J67))</f>
        <v/>
      </c>
      <c r="L67" s="74" t="str">
        <f aca="false">IF(OR(A67="",I67="OK"),"",COUNTIFS($A$7:A67,"&lt;&gt;",$I$7:I67,"&lt;&gt;OK"))</f>
        <v/>
      </c>
    </row>
    <row r="68" customFormat="false" ht="15" hidden="false" customHeight="false" outlineLevel="0" collapsed="false">
      <c r="A68" s="68"/>
      <c r="B68" s="25"/>
      <c r="C68" s="68"/>
      <c r="D68" s="82"/>
      <c r="E68" s="83" t="str">
        <f aca="false">IF(A68="","",SUMIFS(MV_Qte,MV_Code,A68,MV_Type,"Entrée"))</f>
        <v/>
      </c>
      <c r="F68" s="83" t="str">
        <f aca="false">IF(A68="","",SUMIFS(MV_Qte,MV_Code,A68,MV_Type,"Sortie"))</f>
        <v/>
      </c>
      <c r="G68" s="83" t="str">
        <f aca="false">IF(A68="","",N(D68)+E68-F68)</f>
        <v/>
      </c>
      <c r="H68" s="82"/>
      <c r="I68" s="74" t="str">
        <f aca="false">IF(A68="","",IF(G68&lt;=0,"Rupture",IF(G68&lt;=N(H68),"À commander","OK")))</f>
        <v/>
      </c>
      <c r="J68" s="28"/>
      <c r="K68" s="31" t="str">
        <f aca="false">IF(A68="","",MAX(0,G68)*N(J68))</f>
        <v/>
      </c>
      <c r="L68" s="74" t="str">
        <f aca="false">IF(OR(A68="",I68="OK"),"",COUNTIFS($A$7:A68,"&lt;&gt;",$I$7:I68,"&lt;&gt;OK"))</f>
        <v/>
      </c>
    </row>
    <row r="69" customFormat="false" ht="15" hidden="false" customHeight="false" outlineLevel="0" collapsed="false">
      <c r="A69" s="68"/>
      <c r="B69" s="25"/>
      <c r="C69" s="68"/>
      <c r="D69" s="82"/>
      <c r="E69" s="83" t="str">
        <f aca="false">IF(A69="","",SUMIFS(MV_Qte,MV_Code,A69,MV_Type,"Entrée"))</f>
        <v/>
      </c>
      <c r="F69" s="83" t="str">
        <f aca="false">IF(A69="","",SUMIFS(MV_Qte,MV_Code,A69,MV_Type,"Sortie"))</f>
        <v/>
      </c>
      <c r="G69" s="83" t="str">
        <f aca="false">IF(A69="","",N(D69)+E69-F69)</f>
        <v/>
      </c>
      <c r="H69" s="82"/>
      <c r="I69" s="74" t="str">
        <f aca="false">IF(A69="","",IF(G69&lt;=0,"Rupture",IF(G69&lt;=N(H69),"À commander","OK")))</f>
        <v/>
      </c>
      <c r="J69" s="28"/>
      <c r="K69" s="31" t="str">
        <f aca="false">IF(A69="","",MAX(0,G69)*N(J69))</f>
        <v/>
      </c>
      <c r="L69" s="74" t="str">
        <f aca="false">IF(OR(A69="",I69="OK"),"",COUNTIFS($A$7:A69,"&lt;&gt;",$I$7:I69,"&lt;&gt;OK"))</f>
        <v/>
      </c>
    </row>
    <row r="70" customFormat="false" ht="15" hidden="false" customHeight="false" outlineLevel="0" collapsed="false">
      <c r="A70" s="68"/>
      <c r="B70" s="25"/>
      <c r="C70" s="68"/>
      <c r="D70" s="82"/>
      <c r="E70" s="83" t="str">
        <f aca="false">IF(A70="","",SUMIFS(MV_Qte,MV_Code,A70,MV_Type,"Entrée"))</f>
        <v/>
      </c>
      <c r="F70" s="83" t="str">
        <f aca="false">IF(A70="","",SUMIFS(MV_Qte,MV_Code,A70,MV_Type,"Sortie"))</f>
        <v/>
      </c>
      <c r="G70" s="83" t="str">
        <f aca="false">IF(A70="","",N(D70)+E70-F70)</f>
        <v/>
      </c>
      <c r="H70" s="82"/>
      <c r="I70" s="74" t="str">
        <f aca="false">IF(A70="","",IF(G70&lt;=0,"Rupture",IF(G70&lt;=N(H70),"À commander","OK")))</f>
        <v/>
      </c>
      <c r="J70" s="28"/>
      <c r="K70" s="31" t="str">
        <f aca="false">IF(A70="","",MAX(0,G70)*N(J70))</f>
        <v/>
      </c>
      <c r="L70" s="74" t="str">
        <f aca="false">IF(OR(A70="",I70="OK"),"",COUNTIFS($A$7:A70,"&lt;&gt;",$I$7:I70,"&lt;&gt;OK"))</f>
        <v/>
      </c>
    </row>
    <row r="71" customFormat="false" ht="15" hidden="false" customHeight="false" outlineLevel="0" collapsed="false">
      <c r="A71" s="68"/>
      <c r="B71" s="25"/>
      <c r="C71" s="68"/>
      <c r="D71" s="82"/>
      <c r="E71" s="83" t="str">
        <f aca="false">IF(A71="","",SUMIFS(MV_Qte,MV_Code,A71,MV_Type,"Entrée"))</f>
        <v/>
      </c>
      <c r="F71" s="83" t="str">
        <f aca="false">IF(A71="","",SUMIFS(MV_Qte,MV_Code,A71,MV_Type,"Sortie"))</f>
        <v/>
      </c>
      <c r="G71" s="83" t="str">
        <f aca="false">IF(A71="","",N(D71)+E71-F71)</f>
        <v/>
      </c>
      <c r="H71" s="82"/>
      <c r="I71" s="74" t="str">
        <f aca="false">IF(A71="","",IF(G71&lt;=0,"Rupture",IF(G71&lt;=N(H71),"À commander","OK")))</f>
        <v/>
      </c>
      <c r="J71" s="28"/>
      <c r="K71" s="31" t="str">
        <f aca="false">IF(A71="","",MAX(0,G71)*N(J71))</f>
        <v/>
      </c>
      <c r="L71" s="74" t="str">
        <f aca="false">IF(OR(A71="",I71="OK"),"",COUNTIFS($A$7:A71,"&lt;&gt;",$I$7:I71,"&lt;&gt;OK"))</f>
        <v/>
      </c>
    </row>
    <row r="72" customFormat="false" ht="15" hidden="false" customHeight="false" outlineLevel="0" collapsed="false">
      <c r="A72" s="68"/>
      <c r="B72" s="25"/>
      <c r="C72" s="68"/>
      <c r="D72" s="82"/>
      <c r="E72" s="83" t="str">
        <f aca="false">IF(A72="","",SUMIFS(MV_Qte,MV_Code,A72,MV_Type,"Entrée"))</f>
        <v/>
      </c>
      <c r="F72" s="83" t="str">
        <f aca="false">IF(A72="","",SUMIFS(MV_Qte,MV_Code,A72,MV_Type,"Sortie"))</f>
        <v/>
      </c>
      <c r="G72" s="83" t="str">
        <f aca="false">IF(A72="","",N(D72)+E72-F72)</f>
        <v/>
      </c>
      <c r="H72" s="82"/>
      <c r="I72" s="74" t="str">
        <f aca="false">IF(A72="","",IF(G72&lt;=0,"Rupture",IF(G72&lt;=N(H72),"À commander","OK")))</f>
        <v/>
      </c>
      <c r="J72" s="28"/>
      <c r="K72" s="31" t="str">
        <f aca="false">IF(A72="","",MAX(0,G72)*N(J72))</f>
        <v/>
      </c>
      <c r="L72" s="74" t="str">
        <f aca="false">IF(OR(A72="",I72="OK"),"",COUNTIFS($A$7:A72,"&lt;&gt;",$I$7:I72,"&lt;&gt;OK"))</f>
        <v/>
      </c>
    </row>
    <row r="73" customFormat="false" ht="15" hidden="false" customHeight="false" outlineLevel="0" collapsed="false">
      <c r="A73" s="68"/>
      <c r="B73" s="25"/>
      <c r="C73" s="68"/>
      <c r="D73" s="82"/>
      <c r="E73" s="83" t="str">
        <f aca="false">IF(A73="","",SUMIFS(MV_Qte,MV_Code,A73,MV_Type,"Entrée"))</f>
        <v/>
      </c>
      <c r="F73" s="83" t="str">
        <f aca="false">IF(A73="","",SUMIFS(MV_Qte,MV_Code,A73,MV_Type,"Sortie"))</f>
        <v/>
      </c>
      <c r="G73" s="83" t="str">
        <f aca="false">IF(A73="","",N(D73)+E73-F73)</f>
        <v/>
      </c>
      <c r="H73" s="82"/>
      <c r="I73" s="74" t="str">
        <f aca="false">IF(A73="","",IF(G73&lt;=0,"Rupture",IF(G73&lt;=N(H73),"À commander","OK")))</f>
        <v/>
      </c>
      <c r="J73" s="28"/>
      <c r="K73" s="31" t="str">
        <f aca="false">IF(A73="","",MAX(0,G73)*N(J73))</f>
        <v/>
      </c>
      <c r="L73" s="74" t="str">
        <f aca="false">IF(OR(A73="",I73="OK"),"",COUNTIFS($A$7:A73,"&lt;&gt;",$I$7:I73,"&lt;&gt;OK"))</f>
        <v/>
      </c>
    </row>
    <row r="74" customFormat="false" ht="15" hidden="false" customHeight="false" outlineLevel="0" collapsed="false">
      <c r="A74" s="68"/>
      <c r="B74" s="25"/>
      <c r="C74" s="68"/>
      <c r="D74" s="82"/>
      <c r="E74" s="83" t="str">
        <f aca="false">IF(A74="","",SUMIFS(MV_Qte,MV_Code,A74,MV_Type,"Entrée"))</f>
        <v/>
      </c>
      <c r="F74" s="83" t="str">
        <f aca="false">IF(A74="","",SUMIFS(MV_Qte,MV_Code,A74,MV_Type,"Sortie"))</f>
        <v/>
      </c>
      <c r="G74" s="83" t="str">
        <f aca="false">IF(A74="","",N(D74)+E74-F74)</f>
        <v/>
      </c>
      <c r="H74" s="82"/>
      <c r="I74" s="74" t="str">
        <f aca="false">IF(A74="","",IF(G74&lt;=0,"Rupture",IF(G74&lt;=N(H74),"À commander","OK")))</f>
        <v/>
      </c>
      <c r="J74" s="28"/>
      <c r="K74" s="31" t="str">
        <f aca="false">IF(A74="","",MAX(0,G74)*N(J74))</f>
        <v/>
      </c>
      <c r="L74" s="74" t="str">
        <f aca="false">IF(OR(A74="",I74="OK"),"",COUNTIFS($A$7:A74,"&lt;&gt;",$I$7:I74,"&lt;&gt;OK"))</f>
        <v/>
      </c>
    </row>
    <row r="75" customFormat="false" ht="15" hidden="false" customHeight="false" outlineLevel="0" collapsed="false">
      <c r="A75" s="68"/>
      <c r="B75" s="25"/>
      <c r="C75" s="68"/>
      <c r="D75" s="82"/>
      <c r="E75" s="83" t="str">
        <f aca="false">IF(A75="","",SUMIFS(MV_Qte,MV_Code,A75,MV_Type,"Entrée"))</f>
        <v/>
      </c>
      <c r="F75" s="83" t="str">
        <f aca="false">IF(A75="","",SUMIFS(MV_Qte,MV_Code,A75,MV_Type,"Sortie"))</f>
        <v/>
      </c>
      <c r="G75" s="83" t="str">
        <f aca="false">IF(A75="","",N(D75)+E75-F75)</f>
        <v/>
      </c>
      <c r="H75" s="82"/>
      <c r="I75" s="74" t="str">
        <f aca="false">IF(A75="","",IF(G75&lt;=0,"Rupture",IF(G75&lt;=N(H75),"À commander","OK")))</f>
        <v/>
      </c>
      <c r="J75" s="28"/>
      <c r="K75" s="31" t="str">
        <f aca="false">IF(A75="","",MAX(0,G75)*N(J75))</f>
        <v/>
      </c>
      <c r="L75" s="74" t="str">
        <f aca="false">IF(OR(A75="",I75="OK"),"",COUNTIFS($A$7:A75,"&lt;&gt;",$I$7:I75,"&lt;&gt;OK"))</f>
        <v/>
      </c>
    </row>
    <row r="76" customFormat="false" ht="15" hidden="false" customHeight="false" outlineLevel="0" collapsed="false">
      <c r="A76" s="68"/>
      <c r="B76" s="25"/>
      <c r="C76" s="68"/>
      <c r="D76" s="82"/>
      <c r="E76" s="83" t="str">
        <f aca="false">IF(A76="","",SUMIFS(MV_Qte,MV_Code,A76,MV_Type,"Entrée"))</f>
        <v/>
      </c>
      <c r="F76" s="83" t="str">
        <f aca="false">IF(A76="","",SUMIFS(MV_Qte,MV_Code,A76,MV_Type,"Sortie"))</f>
        <v/>
      </c>
      <c r="G76" s="83" t="str">
        <f aca="false">IF(A76="","",N(D76)+E76-F76)</f>
        <v/>
      </c>
      <c r="H76" s="82"/>
      <c r="I76" s="74" t="str">
        <f aca="false">IF(A76="","",IF(G76&lt;=0,"Rupture",IF(G76&lt;=N(H76),"À commander","OK")))</f>
        <v/>
      </c>
      <c r="J76" s="28"/>
      <c r="K76" s="31" t="str">
        <f aca="false">IF(A76="","",MAX(0,G76)*N(J76))</f>
        <v/>
      </c>
      <c r="L76" s="74" t="str">
        <f aca="false">IF(OR(A76="",I76="OK"),"",COUNTIFS($A$7:A76,"&lt;&gt;",$I$7:I76,"&lt;&gt;OK"))</f>
        <v/>
      </c>
    </row>
    <row r="77" customFormat="false" ht="15" hidden="false" customHeight="false" outlineLevel="0" collapsed="false">
      <c r="A77" s="68"/>
      <c r="B77" s="25"/>
      <c r="C77" s="68"/>
      <c r="D77" s="82"/>
      <c r="E77" s="83" t="str">
        <f aca="false">IF(A77="","",SUMIFS(MV_Qte,MV_Code,A77,MV_Type,"Entrée"))</f>
        <v/>
      </c>
      <c r="F77" s="83" t="str">
        <f aca="false">IF(A77="","",SUMIFS(MV_Qte,MV_Code,A77,MV_Type,"Sortie"))</f>
        <v/>
      </c>
      <c r="G77" s="83" t="str">
        <f aca="false">IF(A77="","",N(D77)+E77-F77)</f>
        <v/>
      </c>
      <c r="H77" s="82"/>
      <c r="I77" s="74" t="str">
        <f aca="false">IF(A77="","",IF(G77&lt;=0,"Rupture",IF(G77&lt;=N(H77),"À commander","OK")))</f>
        <v/>
      </c>
      <c r="J77" s="28"/>
      <c r="K77" s="31" t="str">
        <f aca="false">IF(A77="","",MAX(0,G77)*N(J77))</f>
        <v/>
      </c>
      <c r="L77" s="74" t="str">
        <f aca="false">IF(OR(A77="",I77="OK"),"",COUNTIFS($A$7:A77,"&lt;&gt;",$I$7:I77,"&lt;&gt;OK"))</f>
        <v/>
      </c>
    </row>
    <row r="78" customFormat="false" ht="15" hidden="false" customHeight="false" outlineLevel="0" collapsed="false">
      <c r="A78" s="68"/>
      <c r="B78" s="25"/>
      <c r="C78" s="68"/>
      <c r="D78" s="82"/>
      <c r="E78" s="83" t="str">
        <f aca="false">IF(A78="","",SUMIFS(MV_Qte,MV_Code,A78,MV_Type,"Entrée"))</f>
        <v/>
      </c>
      <c r="F78" s="83" t="str">
        <f aca="false">IF(A78="","",SUMIFS(MV_Qte,MV_Code,A78,MV_Type,"Sortie"))</f>
        <v/>
      </c>
      <c r="G78" s="83" t="str">
        <f aca="false">IF(A78="","",N(D78)+E78-F78)</f>
        <v/>
      </c>
      <c r="H78" s="82"/>
      <c r="I78" s="74" t="str">
        <f aca="false">IF(A78="","",IF(G78&lt;=0,"Rupture",IF(G78&lt;=N(H78),"À commander","OK")))</f>
        <v/>
      </c>
      <c r="J78" s="28"/>
      <c r="K78" s="31" t="str">
        <f aca="false">IF(A78="","",MAX(0,G78)*N(J78))</f>
        <v/>
      </c>
      <c r="L78" s="74" t="str">
        <f aca="false">IF(OR(A78="",I78="OK"),"",COUNTIFS($A$7:A78,"&lt;&gt;",$I$7:I78,"&lt;&gt;OK"))</f>
        <v/>
      </c>
    </row>
    <row r="79" customFormat="false" ht="15" hidden="false" customHeight="false" outlineLevel="0" collapsed="false">
      <c r="A79" s="68"/>
      <c r="B79" s="25"/>
      <c r="C79" s="68"/>
      <c r="D79" s="82"/>
      <c r="E79" s="83" t="str">
        <f aca="false">IF(A79="","",SUMIFS(MV_Qte,MV_Code,A79,MV_Type,"Entrée"))</f>
        <v/>
      </c>
      <c r="F79" s="83" t="str">
        <f aca="false">IF(A79="","",SUMIFS(MV_Qte,MV_Code,A79,MV_Type,"Sortie"))</f>
        <v/>
      </c>
      <c r="G79" s="83" t="str">
        <f aca="false">IF(A79="","",N(D79)+E79-F79)</f>
        <v/>
      </c>
      <c r="H79" s="82"/>
      <c r="I79" s="74" t="str">
        <f aca="false">IF(A79="","",IF(G79&lt;=0,"Rupture",IF(G79&lt;=N(H79),"À commander","OK")))</f>
        <v/>
      </c>
      <c r="J79" s="28"/>
      <c r="K79" s="31" t="str">
        <f aca="false">IF(A79="","",MAX(0,G79)*N(J79))</f>
        <v/>
      </c>
      <c r="L79" s="74" t="str">
        <f aca="false">IF(OR(A79="",I79="OK"),"",COUNTIFS($A$7:A79,"&lt;&gt;",$I$7:I79,"&lt;&gt;OK"))</f>
        <v/>
      </c>
    </row>
    <row r="80" customFormat="false" ht="15" hidden="false" customHeight="false" outlineLevel="0" collapsed="false">
      <c r="A80" s="68"/>
      <c r="B80" s="25"/>
      <c r="C80" s="68"/>
      <c r="D80" s="82"/>
      <c r="E80" s="83" t="str">
        <f aca="false">IF(A80="","",SUMIFS(MV_Qte,MV_Code,A80,MV_Type,"Entrée"))</f>
        <v/>
      </c>
      <c r="F80" s="83" t="str">
        <f aca="false">IF(A80="","",SUMIFS(MV_Qte,MV_Code,A80,MV_Type,"Sortie"))</f>
        <v/>
      </c>
      <c r="G80" s="83" t="str">
        <f aca="false">IF(A80="","",N(D80)+E80-F80)</f>
        <v/>
      </c>
      <c r="H80" s="82"/>
      <c r="I80" s="74" t="str">
        <f aca="false">IF(A80="","",IF(G80&lt;=0,"Rupture",IF(G80&lt;=N(H80),"À commander","OK")))</f>
        <v/>
      </c>
      <c r="J80" s="28"/>
      <c r="K80" s="31" t="str">
        <f aca="false">IF(A80="","",MAX(0,G80)*N(J80))</f>
        <v/>
      </c>
      <c r="L80" s="74" t="str">
        <f aca="false">IF(OR(A80="",I80="OK"),"",COUNTIFS($A$7:A80,"&lt;&gt;",$I$7:I80,"&lt;&gt;OK"))</f>
        <v/>
      </c>
    </row>
    <row r="81" customFormat="false" ht="15" hidden="false" customHeight="false" outlineLevel="0" collapsed="false">
      <c r="A81" s="68"/>
      <c r="B81" s="25"/>
      <c r="C81" s="68"/>
      <c r="D81" s="82"/>
      <c r="E81" s="83" t="str">
        <f aca="false">IF(A81="","",SUMIFS(MV_Qte,MV_Code,A81,MV_Type,"Entrée"))</f>
        <v/>
      </c>
      <c r="F81" s="83" t="str">
        <f aca="false">IF(A81="","",SUMIFS(MV_Qte,MV_Code,A81,MV_Type,"Sortie"))</f>
        <v/>
      </c>
      <c r="G81" s="83" t="str">
        <f aca="false">IF(A81="","",N(D81)+E81-F81)</f>
        <v/>
      </c>
      <c r="H81" s="82"/>
      <c r="I81" s="74" t="str">
        <f aca="false">IF(A81="","",IF(G81&lt;=0,"Rupture",IF(G81&lt;=N(H81),"À commander","OK")))</f>
        <v/>
      </c>
      <c r="J81" s="28"/>
      <c r="K81" s="31" t="str">
        <f aca="false">IF(A81="","",MAX(0,G81)*N(J81))</f>
        <v/>
      </c>
      <c r="L81" s="74" t="str">
        <f aca="false">IF(OR(A81="",I81="OK"),"",COUNTIFS($A$7:A81,"&lt;&gt;",$I$7:I81,"&lt;&gt;OK"))</f>
        <v/>
      </c>
    </row>
    <row r="82" customFormat="false" ht="15" hidden="false" customHeight="false" outlineLevel="0" collapsed="false">
      <c r="A82" s="68"/>
      <c r="B82" s="25"/>
      <c r="C82" s="68"/>
      <c r="D82" s="82"/>
      <c r="E82" s="83" t="str">
        <f aca="false">IF(A82="","",SUMIFS(MV_Qte,MV_Code,A82,MV_Type,"Entrée"))</f>
        <v/>
      </c>
      <c r="F82" s="83" t="str">
        <f aca="false">IF(A82="","",SUMIFS(MV_Qte,MV_Code,A82,MV_Type,"Sortie"))</f>
        <v/>
      </c>
      <c r="G82" s="83" t="str">
        <f aca="false">IF(A82="","",N(D82)+E82-F82)</f>
        <v/>
      </c>
      <c r="H82" s="82"/>
      <c r="I82" s="74" t="str">
        <f aca="false">IF(A82="","",IF(G82&lt;=0,"Rupture",IF(G82&lt;=N(H82),"À commander","OK")))</f>
        <v/>
      </c>
      <c r="J82" s="28"/>
      <c r="K82" s="31" t="str">
        <f aca="false">IF(A82="","",MAX(0,G82)*N(J82))</f>
        <v/>
      </c>
      <c r="L82" s="74" t="str">
        <f aca="false">IF(OR(A82="",I82="OK"),"",COUNTIFS($A$7:A82,"&lt;&gt;",$I$7:I82,"&lt;&gt;OK"))</f>
        <v/>
      </c>
    </row>
    <row r="83" customFormat="false" ht="15" hidden="false" customHeight="false" outlineLevel="0" collapsed="false">
      <c r="A83" s="68"/>
      <c r="B83" s="25"/>
      <c r="C83" s="68"/>
      <c r="D83" s="82"/>
      <c r="E83" s="83" t="str">
        <f aca="false">IF(A83="","",SUMIFS(MV_Qte,MV_Code,A83,MV_Type,"Entrée"))</f>
        <v/>
      </c>
      <c r="F83" s="83" t="str">
        <f aca="false">IF(A83="","",SUMIFS(MV_Qte,MV_Code,A83,MV_Type,"Sortie"))</f>
        <v/>
      </c>
      <c r="G83" s="83" t="str">
        <f aca="false">IF(A83="","",N(D83)+E83-F83)</f>
        <v/>
      </c>
      <c r="H83" s="82"/>
      <c r="I83" s="74" t="str">
        <f aca="false">IF(A83="","",IF(G83&lt;=0,"Rupture",IF(G83&lt;=N(H83),"À commander","OK")))</f>
        <v/>
      </c>
      <c r="J83" s="28"/>
      <c r="K83" s="31" t="str">
        <f aca="false">IF(A83="","",MAX(0,G83)*N(J83))</f>
        <v/>
      </c>
      <c r="L83" s="74" t="str">
        <f aca="false">IF(OR(A83="",I83="OK"),"",COUNTIFS($A$7:A83,"&lt;&gt;",$I$7:I83,"&lt;&gt;OK"))</f>
        <v/>
      </c>
    </row>
    <row r="84" customFormat="false" ht="15" hidden="false" customHeight="false" outlineLevel="0" collapsed="false">
      <c r="A84" s="68"/>
      <c r="B84" s="25"/>
      <c r="C84" s="68"/>
      <c r="D84" s="82"/>
      <c r="E84" s="83" t="str">
        <f aca="false">IF(A84="","",SUMIFS(MV_Qte,MV_Code,A84,MV_Type,"Entrée"))</f>
        <v/>
      </c>
      <c r="F84" s="83" t="str">
        <f aca="false">IF(A84="","",SUMIFS(MV_Qte,MV_Code,A84,MV_Type,"Sortie"))</f>
        <v/>
      </c>
      <c r="G84" s="83" t="str">
        <f aca="false">IF(A84="","",N(D84)+E84-F84)</f>
        <v/>
      </c>
      <c r="H84" s="82"/>
      <c r="I84" s="74" t="str">
        <f aca="false">IF(A84="","",IF(G84&lt;=0,"Rupture",IF(G84&lt;=N(H84),"À commander","OK")))</f>
        <v/>
      </c>
      <c r="J84" s="28"/>
      <c r="K84" s="31" t="str">
        <f aca="false">IF(A84="","",MAX(0,G84)*N(J84))</f>
        <v/>
      </c>
      <c r="L84" s="74" t="str">
        <f aca="false">IF(OR(A84="",I84="OK"),"",COUNTIFS($A$7:A84,"&lt;&gt;",$I$7:I84,"&lt;&gt;OK"))</f>
        <v/>
      </c>
    </row>
    <row r="85" customFormat="false" ht="15" hidden="false" customHeight="false" outlineLevel="0" collapsed="false">
      <c r="A85" s="68"/>
      <c r="B85" s="25"/>
      <c r="C85" s="68"/>
      <c r="D85" s="82"/>
      <c r="E85" s="83" t="str">
        <f aca="false">IF(A85="","",SUMIFS(MV_Qte,MV_Code,A85,MV_Type,"Entrée"))</f>
        <v/>
      </c>
      <c r="F85" s="83" t="str">
        <f aca="false">IF(A85="","",SUMIFS(MV_Qte,MV_Code,A85,MV_Type,"Sortie"))</f>
        <v/>
      </c>
      <c r="G85" s="83" t="str">
        <f aca="false">IF(A85="","",N(D85)+E85-F85)</f>
        <v/>
      </c>
      <c r="H85" s="82"/>
      <c r="I85" s="74" t="str">
        <f aca="false">IF(A85="","",IF(G85&lt;=0,"Rupture",IF(G85&lt;=N(H85),"À commander","OK")))</f>
        <v/>
      </c>
      <c r="J85" s="28"/>
      <c r="K85" s="31" t="str">
        <f aca="false">IF(A85="","",MAX(0,G85)*N(J85))</f>
        <v/>
      </c>
      <c r="L85" s="74" t="str">
        <f aca="false">IF(OR(A85="",I85="OK"),"",COUNTIFS($A$7:A85,"&lt;&gt;",$I$7:I85,"&lt;&gt;OK"))</f>
        <v/>
      </c>
    </row>
    <row r="86" customFormat="false" ht="15" hidden="false" customHeight="false" outlineLevel="0" collapsed="false">
      <c r="A86" s="68"/>
      <c r="B86" s="25"/>
      <c r="C86" s="68"/>
      <c r="D86" s="82"/>
      <c r="E86" s="83" t="str">
        <f aca="false">IF(A86="","",SUMIFS(MV_Qte,MV_Code,A86,MV_Type,"Entrée"))</f>
        <v/>
      </c>
      <c r="F86" s="83" t="str">
        <f aca="false">IF(A86="","",SUMIFS(MV_Qte,MV_Code,A86,MV_Type,"Sortie"))</f>
        <v/>
      </c>
      <c r="G86" s="83" t="str">
        <f aca="false">IF(A86="","",N(D86)+E86-F86)</f>
        <v/>
      </c>
      <c r="H86" s="82"/>
      <c r="I86" s="74" t="str">
        <f aca="false">IF(A86="","",IF(G86&lt;=0,"Rupture",IF(G86&lt;=N(H86),"À commander","OK")))</f>
        <v/>
      </c>
      <c r="J86" s="28"/>
      <c r="K86" s="31" t="str">
        <f aca="false">IF(A86="","",MAX(0,G86)*N(J86))</f>
        <v/>
      </c>
      <c r="L86" s="74" t="str">
        <f aca="false">IF(OR(A86="",I86="OK"),"",COUNTIFS($A$7:A86,"&lt;&gt;",$I$7:I86,"&lt;&gt;OK"))</f>
        <v/>
      </c>
    </row>
  </sheetData>
  <autoFilter ref="A6:L86"/>
  <mergeCells count="4">
    <mergeCell ref="A1:L1"/>
    <mergeCell ref="A2:L2"/>
    <mergeCell ref="A3:L3"/>
    <mergeCell ref="A4:L4"/>
  </mergeCells>
  <conditionalFormatting sqref="I7:I86">
    <cfRule type="cellIs" priority="2" operator="equal" aboveAverage="0" equalAverage="0" bottom="0" percent="0" rank="0" text="" dxfId="3">
      <formula>"Rupture"</formula>
    </cfRule>
    <cfRule type="cellIs" priority="3" operator="equal" aboveAverage="0" equalAverage="0" bottom="0" percent="0" rank="0" text="" dxfId="2">
      <formula>"À commander"</formula>
    </cfRule>
    <cfRule type="cellIs" priority="4" operator="equal" aboveAverage="0" equalAverage="0" bottom="0" percent="0" rank="0" text="" dxfId="1">
      <formula>"OK"</formula>
    </cfRule>
  </conditionalFormatting>
  <dataValidations count="1">
    <dataValidation allowBlank="true" errorStyle="stop" operator="between" showDropDown="false" showErrorMessage="true" showInputMessage="false" sqref="C7:C86" type="list">
      <formula1>L_Unites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L8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9"/>
    <col collapsed="false" customWidth="true" hidden="false" outlineLevel="0" max="4" min="4" style="0" width="28"/>
    <col collapsed="false" customWidth="true" hidden="false" outlineLevel="0" max="5" min="5" style="0" width="6"/>
    <col collapsed="false" customWidth="true" hidden="false" outlineLevel="0" max="7" min="6" style="0" width="9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26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9.5" hidden="false" customHeight="true" outlineLevel="0" collapsed="false">
      <c r="A2" s="20" t="s">
        <v>664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21" t="s">
        <v>665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6" customFormat="false" ht="31.5" hidden="false" customHeight="true" outlineLevel="0" collapsed="false">
      <c r="A6" s="23" t="s">
        <v>571</v>
      </c>
      <c r="B6" s="23" t="s">
        <v>666</v>
      </c>
      <c r="C6" s="23" t="s">
        <v>622</v>
      </c>
      <c r="D6" s="23" t="s">
        <v>436</v>
      </c>
      <c r="E6" s="23" t="s">
        <v>302</v>
      </c>
      <c r="F6" s="23" t="s">
        <v>667</v>
      </c>
      <c r="G6" s="23" t="s">
        <v>668</v>
      </c>
      <c r="H6" s="23" t="s">
        <v>336</v>
      </c>
      <c r="I6" s="23" t="s">
        <v>669</v>
      </c>
      <c r="J6" s="23" t="s">
        <v>670</v>
      </c>
      <c r="K6" s="23" t="s">
        <v>671</v>
      </c>
      <c r="L6" s="23" t="s">
        <v>672</v>
      </c>
    </row>
    <row r="7" customFormat="false" ht="15" hidden="false" customHeight="false" outlineLevel="0" collapsed="false">
      <c r="A7" s="69" t="n">
        <v>46239</v>
      </c>
      <c r="B7" s="68" t="s">
        <v>148</v>
      </c>
      <c r="C7" s="68" t="s">
        <v>635</v>
      </c>
      <c r="D7" s="76" t="str">
        <f aca="false">IF(C7="","",IFERROR(INDEX(ST_Design,MATCH(C7,ST_Code,0)),"Code inconnu"))</f>
        <v>Gasoil engins</v>
      </c>
      <c r="E7" s="74" t="str">
        <f aca="false">IF(C7="","",IFERROR(INDEX(ST_Unite,MATCH(C7,ST_Code,0)),""))</f>
        <v>l</v>
      </c>
      <c r="F7" s="82" t="n">
        <v>20000</v>
      </c>
      <c r="G7" s="68" t="s">
        <v>530</v>
      </c>
      <c r="H7" s="76" t="str">
        <f aca="false">IF(G7="","",IFERROR(INDEX(BC_Fourn,MATCH(G7,BC_Num,0)),""))</f>
        <v>Station-service (gasoil)</v>
      </c>
      <c r="I7" s="25" t="s">
        <v>673</v>
      </c>
      <c r="J7" s="25"/>
      <c r="K7" s="25" t="s">
        <v>615</v>
      </c>
      <c r="L7" s="25"/>
    </row>
    <row r="8" customFormat="false" ht="15" hidden="false" customHeight="false" outlineLevel="0" collapsed="false">
      <c r="A8" s="69" t="n">
        <v>46246</v>
      </c>
      <c r="B8" s="68" t="s">
        <v>148</v>
      </c>
      <c r="C8" s="68" t="s">
        <v>626</v>
      </c>
      <c r="D8" s="76" t="str">
        <f aca="false">IF(C8="","",IFERROR(INDEX(ST_Design,MATCH(C8,ST_Code,0)),"Code inconnu"))</f>
        <v>Ciment CPJ 42.5 (sac 50 kg)</v>
      </c>
      <c r="E8" s="74" t="str">
        <f aca="false">IF(C8="","",IFERROR(INDEX(ST_Unite,MATCH(C8,ST_Code,0)),""))</f>
        <v>sac</v>
      </c>
      <c r="F8" s="82" t="n">
        <v>600</v>
      </c>
      <c r="G8" s="68" t="s">
        <v>533</v>
      </c>
      <c r="H8" s="76" t="str">
        <f aca="false">IF(G8="","",IFERROR(INDEX(BC_Fourn,MATCH(G8,BC_Num,0)),""))</f>
        <v>Dépôt ciment</v>
      </c>
      <c r="I8" s="25" t="s">
        <v>674</v>
      </c>
      <c r="J8" s="25"/>
      <c r="K8" s="25" t="s">
        <v>615</v>
      </c>
      <c r="L8" s="25"/>
    </row>
    <row r="9" customFormat="false" ht="15" hidden="false" customHeight="false" outlineLevel="0" collapsed="false">
      <c r="A9" s="69" t="n">
        <v>46248</v>
      </c>
      <c r="B9" s="68" t="s">
        <v>148</v>
      </c>
      <c r="C9" s="68" t="s">
        <v>627</v>
      </c>
      <c r="D9" s="76" t="str">
        <f aca="false">IF(C9="","",IFERROR(INDEX(ST_Design,MATCH(C9,ST_Code,0)),"Code inconnu"))</f>
        <v>Acier HA12 (barre 12 m)</v>
      </c>
      <c r="E9" s="74" t="str">
        <f aca="false">IF(C9="","",IFERROR(INDEX(ST_Unite,MATCH(C9,ST_Code,0)),""))</f>
        <v>barre</v>
      </c>
      <c r="F9" s="82" t="n">
        <v>400</v>
      </c>
      <c r="G9" s="68" t="s">
        <v>536</v>
      </c>
      <c r="H9" s="76" t="str">
        <f aca="false">IF(G9="","",IFERROR(INDEX(BC_Fourn,MATCH(G9,BC_Num,0)),""))</f>
        <v>Quincaillerie générale</v>
      </c>
      <c r="I9" s="25" t="s">
        <v>675</v>
      </c>
      <c r="J9" s="25"/>
      <c r="K9" s="25" t="s">
        <v>615</v>
      </c>
      <c r="L9" s="25"/>
    </row>
    <row r="10" customFormat="false" ht="15" hidden="false" customHeight="false" outlineLevel="0" collapsed="false">
      <c r="A10" s="69" t="n">
        <v>46248</v>
      </c>
      <c r="B10" s="68" t="s">
        <v>148</v>
      </c>
      <c r="C10" s="68" t="s">
        <v>628</v>
      </c>
      <c r="D10" s="76" t="str">
        <f aca="false">IF(C10="","",IFERROR(INDEX(ST_Design,MATCH(C10,ST_Code,0)),"Code inconnu"))</f>
        <v>Acier HA16 (barre 12 m)</v>
      </c>
      <c r="E10" s="74" t="str">
        <f aca="false">IF(C10="","",IFERROR(INDEX(ST_Unite,MATCH(C10,ST_Code,0)),""))</f>
        <v>barre</v>
      </c>
      <c r="F10" s="82" t="n">
        <v>300</v>
      </c>
      <c r="G10" s="68" t="s">
        <v>539</v>
      </c>
      <c r="H10" s="76" t="str">
        <f aca="false">IF(G10="","",IFERROR(INDEX(BC_Fourn,MATCH(G10,BC_Num,0)),""))</f>
        <v>Quincaillerie générale</v>
      </c>
      <c r="I10" s="25" t="s">
        <v>675</v>
      </c>
      <c r="J10" s="25"/>
      <c r="K10" s="25" t="s">
        <v>615</v>
      </c>
      <c r="L10" s="25"/>
    </row>
    <row r="11" customFormat="false" ht="15" hidden="false" customHeight="false" outlineLevel="0" collapsed="false">
      <c r="A11" s="69" t="n">
        <v>46258</v>
      </c>
      <c r="B11" s="68" t="s">
        <v>148</v>
      </c>
      <c r="C11" s="68" t="s">
        <v>629</v>
      </c>
      <c r="D11" s="76" t="str">
        <f aca="false">IF(C11="","",IFERROR(INDEX(ST_Design,MATCH(C11,ST_Code,0)),"Code inconnu"))</f>
        <v>Acier HA10 (barre 12 m)</v>
      </c>
      <c r="E11" s="74" t="str">
        <f aca="false">IF(C11="","",IFERROR(INDEX(ST_Unite,MATCH(C11,ST_Code,0)),""))</f>
        <v>barre</v>
      </c>
      <c r="F11" s="82" t="n">
        <v>250</v>
      </c>
      <c r="G11" s="68" t="s">
        <v>548</v>
      </c>
      <c r="H11" s="76" t="str">
        <f aca="false">IF(G11="","",IFERROR(INDEX(BC_Fourn,MATCH(G11,BC_Num,0)),""))</f>
        <v>Quincaillerie générale</v>
      </c>
      <c r="I11" s="25" t="s">
        <v>676</v>
      </c>
      <c r="J11" s="25"/>
      <c r="K11" s="25" t="s">
        <v>615</v>
      </c>
      <c r="L11" s="25"/>
    </row>
    <row r="12" customFormat="false" ht="15" hidden="false" customHeight="false" outlineLevel="0" collapsed="false">
      <c r="A12" s="69" t="n">
        <v>46259</v>
      </c>
      <c r="B12" s="68" t="s">
        <v>148</v>
      </c>
      <c r="C12" s="68" t="s">
        <v>630</v>
      </c>
      <c r="D12" s="76" t="str">
        <f aca="false">IF(C12="","",IFERROR(INDEX(ST_Design,MATCH(C12,ST_Code,0)),"Code inconnu"))</f>
        <v>Sable</v>
      </c>
      <c r="E12" s="74" t="str">
        <f aca="false">IF(C12="","",IFERROR(INDEX(ST_Unite,MATCH(C12,ST_Code,0)),""))</f>
        <v>m³</v>
      </c>
      <c r="F12" s="82" t="n">
        <v>120</v>
      </c>
      <c r="G12" s="68" t="s">
        <v>542</v>
      </c>
      <c r="H12" s="76" t="str">
        <f aca="false">IF(G12="","",IFERROR(INDEX(BC_Fourn,MATCH(G12,BC_Num,0)),""))</f>
        <v>Sablière</v>
      </c>
      <c r="I12" s="25" t="s">
        <v>677</v>
      </c>
      <c r="J12" s="25"/>
      <c r="K12" s="25" t="s">
        <v>615</v>
      </c>
      <c r="L12" s="25"/>
    </row>
    <row r="13" customFormat="false" ht="15" hidden="false" customHeight="false" outlineLevel="0" collapsed="false">
      <c r="A13" s="69" t="n">
        <v>46260</v>
      </c>
      <c r="B13" s="68" t="s">
        <v>148</v>
      </c>
      <c r="C13" s="68" t="s">
        <v>631</v>
      </c>
      <c r="D13" s="76" t="str">
        <f aca="false">IF(C13="","",IFERROR(INDEX(ST_Design,MATCH(C13,ST_Code,0)),"Code inconnu"))</f>
        <v>Gravier concassé 5/15</v>
      </c>
      <c r="E13" s="74" t="str">
        <f aca="false">IF(C13="","",IFERROR(INDEX(ST_Unite,MATCH(C13,ST_Code,0)),""))</f>
        <v>m³</v>
      </c>
      <c r="F13" s="82" t="n">
        <v>200</v>
      </c>
      <c r="G13" s="68" t="s">
        <v>545</v>
      </c>
      <c r="H13" s="76" t="str">
        <f aca="false">IF(G13="","",IFERROR(INDEX(BC_Fourn,MATCH(G13,BC_Num,0)),""))</f>
        <v>Carrière de granite</v>
      </c>
      <c r="I13" s="25" t="s">
        <v>678</v>
      </c>
      <c r="J13" s="25"/>
      <c r="K13" s="25" t="s">
        <v>615</v>
      </c>
      <c r="L13" s="25"/>
    </row>
    <row r="14" customFormat="false" ht="23.85" hidden="false" customHeight="false" outlineLevel="0" collapsed="false">
      <c r="A14" s="69" t="n">
        <v>46265</v>
      </c>
      <c r="B14" s="68" t="s">
        <v>169</v>
      </c>
      <c r="C14" s="68" t="s">
        <v>635</v>
      </c>
      <c r="D14" s="76" t="str">
        <f aca="false">IF(C14="","",IFERROR(INDEX(ST_Design,MATCH(C14,ST_Code,0)),"Code inconnu"))</f>
        <v>Gasoil engins</v>
      </c>
      <c r="E14" s="74" t="str">
        <f aca="false">IF(C14="","",IFERROR(INDEX(ST_Unite,MATCH(C14,ST_Code,0)),""))</f>
        <v>l</v>
      </c>
      <c r="F14" s="82" t="n">
        <v>16500</v>
      </c>
      <c r="G14" s="68"/>
      <c r="H14" s="76" t="str">
        <f aca="false">IF(G14="","",IFERROR(INDEX(BC_Fourn,MATCH(G14,BC_Num,0)),""))</f>
        <v/>
      </c>
      <c r="I14" s="25" t="s">
        <v>679</v>
      </c>
      <c r="J14" s="25" t="s">
        <v>151</v>
      </c>
      <c r="K14" s="25" t="s">
        <v>615</v>
      </c>
      <c r="L14" s="25"/>
    </row>
    <row r="15" customFormat="false" ht="15" hidden="false" customHeight="false" outlineLevel="0" collapsed="false">
      <c r="A15" s="69" t="n">
        <v>46270</v>
      </c>
      <c r="B15" s="68" t="s">
        <v>169</v>
      </c>
      <c r="C15" s="68" t="s">
        <v>626</v>
      </c>
      <c r="D15" s="76" t="str">
        <f aca="false">IF(C15="","",IFERROR(INDEX(ST_Design,MATCH(C15,ST_Code,0)),"Code inconnu"))</f>
        <v>Ciment CPJ 42.5 (sac 50 kg)</v>
      </c>
      <c r="E15" s="74" t="str">
        <f aca="false">IF(C15="","",IFERROR(INDEX(ST_Unite,MATCH(C15,ST_Code,0)),""))</f>
        <v>sac</v>
      </c>
      <c r="F15" s="82" t="n">
        <v>520</v>
      </c>
      <c r="G15" s="68"/>
      <c r="H15" s="76" t="str">
        <f aca="false">IF(G15="","",IFERROR(INDEX(BC_Fourn,MATCH(G15,BC_Num,0)),""))</f>
        <v/>
      </c>
      <c r="I15" s="25" t="s">
        <v>680</v>
      </c>
      <c r="J15" s="25" t="s">
        <v>203</v>
      </c>
      <c r="K15" s="25" t="s">
        <v>615</v>
      </c>
      <c r="L15" s="25"/>
    </row>
    <row r="16" customFormat="false" ht="15" hidden="false" customHeight="false" outlineLevel="0" collapsed="false">
      <c r="A16" s="69" t="n">
        <v>46270</v>
      </c>
      <c r="B16" s="68" t="s">
        <v>169</v>
      </c>
      <c r="C16" s="68" t="s">
        <v>627</v>
      </c>
      <c r="D16" s="76" t="str">
        <f aca="false">IF(C16="","",IFERROR(INDEX(ST_Design,MATCH(C16,ST_Code,0)),"Code inconnu"))</f>
        <v>Acier HA12 (barre 12 m)</v>
      </c>
      <c r="E16" s="74" t="str">
        <f aca="false">IF(C16="","",IFERROR(INDEX(ST_Unite,MATCH(C16,ST_Code,0)),""))</f>
        <v>barre</v>
      </c>
      <c r="F16" s="82" t="n">
        <v>360</v>
      </c>
      <c r="G16" s="68"/>
      <c r="H16" s="76" t="str">
        <f aca="false">IF(G16="","",IFERROR(INDEX(BC_Fourn,MATCH(G16,BC_Num,0)),""))</f>
        <v/>
      </c>
      <c r="I16" s="25" t="s">
        <v>680</v>
      </c>
      <c r="J16" s="25" t="s">
        <v>203</v>
      </c>
      <c r="K16" s="25" t="s">
        <v>615</v>
      </c>
      <c r="L16" s="25"/>
    </row>
    <row r="17" customFormat="false" ht="15" hidden="false" customHeight="false" outlineLevel="0" collapsed="false">
      <c r="A17" s="69" t="n">
        <v>46270</v>
      </c>
      <c r="B17" s="68" t="s">
        <v>169</v>
      </c>
      <c r="C17" s="68" t="s">
        <v>628</v>
      </c>
      <c r="D17" s="76" t="str">
        <f aca="false">IF(C17="","",IFERROR(INDEX(ST_Design,MATCH(C17,ST_Code,0)),"Code inconnu"))</f>
        <v>Acier HA16 (barre 12 m)</v>
      </c>
      <c r="E17" s="74" t="str">
        <f aca="false">IF(C17="","",IFERROR(INDEX(ST_Unite,MATCH(C17,ST_Code,0)),""))</f>
        <v>barre</v>
      </c>
      <c r="F17" s="82" t="n">
        <v>180</v>
      </c>
      <c r="G17" s="68"/>
      <c r="H17" s="76" t="str">
        <f aca="false">IF(G17="","",IFERROR(INDEX(BC_Fourn,MATCH(G17,BC_Num,0)),""))</f>
        <v/>
      </c>
      <c r="I17" s="25" t="s">
        <v>680</v>
      </c>
      <c r="J17" s="25" t="s">
        <v>203</v>
      </c>
      <c r="K17" s="25" t="s">
        <v>615</v>
      </c>
      <c r="L17" s="25"/>
    </row>
    <row r="18" customFormat="false" ht="15" hidden="false" customHeight="false" outlineLevel="0" collapsed="false">
      <c r="A18" s="69" t="n">
        <v>46270</v>
      </c>
      <c r="B18" s="68" t="s">
        <v>169</v>
      </c>
      <c r="C18" s="68" t="s">
        <v>631</v>
      </c>
      <c r="D18" s="76" t="str">
        <f aca="false">IF(C18="","",IFERROR(INDEX(ST_Design,MATCH(C18,ST_Code,0)),"Code inconnu"))</f>
        <v>Gravier concassé 5/15</v>
      </c>
      <c r="E18" s="74" t="str">
        <f aca="false">IF(C18="","",IFERROR(INDEX(ST_Unite,MATCH(C18,ST_Code,0)),""))</f>
        <v>m³</v>
      </c>
      <c r="F18" s="82" t="n">
        <v>170</v>
      </c>
      <c r="G18" s="68"/>
      <c r="H18" s="76" t="str">
        <f aca="false">IF(G18="","",IFERROR(INDEX(BC_Fourn,MATCH(G18,BC_Num,0)),""))</f>
        <v/>
      </c>
      <c r="I18" s="25" t="s">
        <v>680</v>
      </c>
      <c r="J18" s="25" t="s">
        <v>203</v>
      </c>
      <c r="K18" s="25" t="s">
        <v>615</v>
      </c>
      <c r="L18" s="25"/>
    </row>
    <row r="19" customFormat="false" ht="15" hidden="false" customHeight="false" outlineLevel="0" collapsed="false">
      <c r="A19" s="69" t="n">
        <v>46270</v>
      </c>
      <c r="B19" s="68" t="s">
        <v>169</v>
      </c>
      <c r="C19" s="68" t="s">
        <v>630</v>
      </c>
      <c r="D19" s="76" t="str">
        <f aca="false">IF(C19="","",IFERROR(INDEX(ST_Design,MATCH(C19,ST_Code,0)),"Code inconnu"))</f>
        <v>Sable</v>
      </c>
      <c r="E19" s="74" t="str">
        <f aca="false">IF(C19="","",IFERROR(INDEX(ST_Unite,MATCH(C19,ST_Code,0)),""))</f>
        <v>m³</v>
      </c>
      <c r="F19" s="82" t="n">
        <v>95</v>
      </c>
      <c r="G19" s="68"/>
      <c r="H19" s="76" t="str">
        <f aca="false">IF(G19="","",IFERROR(INDEX(BC_Fourn,MATCH(G19,BC_Num,0)),""))</f>
        <v/>
      </c>
      <c r="I19" s="25" t="s">
        <v>680</v>
      </c>
      <c r="J19" s="25" t="s">
        <v>203</v>
      </c>
      <c r="K19" s="25" t="s">
        <v>615</v>
      </c>
      <c r="L19" s="25"/>
    </row>
    <row r="20" customFormat="false" ht="15" hidden="false" customHeight="false" outlineLevel="0" collapsed="false">
      <c r="A20" s="69" t="n">
        <v>46273</v>
      </c>
      <c r="B20" s="68" t="s">
        <v>148</v>
      </c>
      <c r="C20" s="68" t="s">
        <v>636</v>
      </c>
      <c r="D20" s="76" t="str">
        <f aca="false">IF(C20="","",IFERROR(INDEX(ST_Design,MATCH(C20,ST_Code,0)),"Code inconnu"))</f>
        <v>Agglos creux de 15</v>
      </c>
      <c r="E20" s="74" t="str">
        <f aca="false">IF(C20="","",IFERROR(INDEX(ST_Unite,MATCH(C20,ST_Code,0)),""))</f>
        <v>u</v>
      </c>
      <c r="F20" s="82" t="n">
        <v>6000</v>
      </c>
      <c r="G20" s="68" t="s">
        <v>553</v>
      </c>
      <c r="H20" s="76" t="str">
        <f aca="false">IF(G20="","",IFERROR(INDEX(BC_Fourn,MATCH(G20,BC_Num,0)),""))</f>
        <v>Briqueterie</v>
      </c>
      <c r="I20" s="25" t="s">
        <v>681</v>
      </c>
      <c r="J20" s="25"/>
      <c r="K20" s="25" t="s">
        <v>615</v>
      </c>
      <c r="L20" s="25"/>
    </row>
    <row r="21" customFormat="false" ht="23.85" hidden="false" customHeight="false" outlineLevel="0" collapsed="false">
      <c r="A21" s="69" t="n">
        <v>46275</v>
      </c>
      <c r="B21" s="68" t="s">
        <v>169</v>
      </c>
      <c r="C21" s="68" t="s">
        <v>629</v>
      </c>
      <c r="D21" s="76" t="str">
        <f aca="false">IF(C21="","",IFERROR(INDEX(ST_Design,MATCH(C21,ST_Code,0)),"Code inconnu"))</f>
        <v>Acier HA10 (barre 12 m)</v>
      </c>
      <c r="E21" s="74" t="str">
        <f aca="false">IF(C21="","",IFERROR(INDEX(ST_Unite,MATCH(C21,ST_Code,0)),""))</f>
        <v>barre</v>
      </c>
      <c r="F21" s="82" t="n">
        <v>150</v>
      </c>
      <c r="G21" s="68"/>
      <c r="H21" s="76" t="str">
        <f aca="false">IF(G21="","",IFERROR(INDEX(BC_Fourn,MATCH(G21,BC_Num,0)),""))</f>
        <v/>
      </c>
      <c r="I21" s="25" t="s">
        <v>682</v>
      </c>
      <c r="J21" s="25" t="s">
        <v>215</v>
      </c>
      <c r="K21" s="25" t="s">
        <v>615</v>
      </c>
      <c r="L21" s="25"/>
    </row>
    <row r="22" customFormat="false" ht="15" hidden="false" customHeight="false" outlineLevel="0" collapsed="false">
      <c r="A22" s="69" t="n">
        <v>46284</v>
      </c>
      <c r="B22" s="68" t="s">
        <v>148</v>
      </c>
      <c r="C22" s="68" t="s">
        <v>626</v>
      </c>
      <c r="D22" s="76" t="str">
        <f aca="false">IF(C22="","",IFERROR(INDEX(ST_Design,MATCH(C22,ST_Code,0)),"Code inconnu"))</f>
        <v>Ciment CPJ 42.5 (sac 50 kg)</v>
      </c>
      <c r="E22" s="74" t="str">
        <f aca="false">IF(C22="","",IFERROR(INDEX(ST_Unite,MATCH(C22,ST_Code,0)),""))</f>
        <v>sac</v>
      </c>
      <c r="F22" s="82" t="n">
        <v>400</v>
      </c>
      <c r="G22" s="68" t="s">
        <v>556</v>
      </c>
      <c r="H22" s="76" t="str">
        <f aca="false">IF(G22="","",IFERROR(INDEX(BC_Fourn,MATCH(G22,BC_Num,0)),""))</f>
        <v>Dépôt ciment</v>
      </c>
      <c r="I22" s="25" t="s">
        <v>683</v>
      </c>
      <c r="J22" s="25"/>
      <c r="K22" s="25" t="s">
        <v>615</v>
      </c>
      <c r="L22" s="25"/>
    </row>
    <row r="23" customFormat="false" ht="15" hidden="false" customHeight="false" outlineLevel="0" collapsed="false">
      <c r="A23" s="69" t="n">
        <v>46291</v>
      </c>
      <c r="B23" s="68" t="s">
        <v>148</v>
      </c>
      <c r="C23" s="68" t="s">
        <v>635</v>
      </c>
      <c r="D23" s="76" t="str">
        <f aca="false">IF(C23="","",IFERROR(INDEX(ST_Design,MATCH(C23,ST_Code,0)),"Code inconnu"))</f>
        <v>Gasoil engins</v>
      </c>
      <c r="E23" s="74" t="str">
        <f aca="false">IF(C23="","",IFERROR(INDEX(ST_Unite,MATCH(C23,ST_Code,0)),""))</f>
        <v>l</v>
      </c>
      <c r="F23" s="82" t="n">
        <v>15000</v>
      </c>
      <c r="G23" s="68" t="s">
        <v>559</v>
      </c>
      <c r="H23" s="76" t="str">
        <f aca="false">IF(G23="","",IFERROR(INDEX(BC_Fourn,MATCH(G23,BC_Num,0)),""))</f>
        <v>Station-service (gasoil)</v>
      </c>
      <c r="I23" s="25" t="s">
        <v>684</v>
      </c>
      <c r="J23" s="25"/>
      <c r="K23" s="25" t="s">
        <v>615</v>
      </c>
      <c r="L23" s="25"/>
    </row>
    <row r="24" customFormat="false" ht="23.85" hidden="false" customHeight="false" outlineLevel="0" collapsed="false">
      <c r="A24" s="69" t="n">
        <v>46295</v>
      </c>
      <c r="B24" s="68" t="s">
        <v>169</v>
      </c>
      <c r="C24" s="68" t="s">
        <v>635</v>
      </c>
      <c r="D24" s="76" t="str">
        <f aca="false">IF(C24="","",IFERROR(INDEX(ST_Design,MATCH(C24,ST_Code,0)),"Code inconnu"))</f>
        <v>Gasoil engins</v>
      </c>
      <c r="E24" s="74" t="str">
        <f aca="false">IF(C24="","",IFERROR(INDEX(ST_Unite,MATCH(C24,ST_Code,0)),""))</f>
        <v>l</v>
      </c>
      <c r="F24" s="82" t="n">
        <v>15000</v>
      </c>
      <c r="G24" s="68"/>
      <c r="H24" s="76" t="str">
        <f aca="false">IF(G24="","",IFERROR(INDEX(BC_Fourn,MATCH(G24,BC_Num,0)),""))</f>
        <v/>
      </c>
      <c r="I24" s="25" t="s">
        <v>685</v>
      </c>
      <c r="J24" s="25" t="s">
        <v>151</v>
      </c>
      <c r="K24" s="25" t="s">
        <v>615</v>
      </c>
      <c r="L24" s="25"/>
    </row>
    <row r="25" customFormat="false" ht="15" hidden="false" customHeight="false" outlineLevel="0" collapsed="false">
      <c r="A25" s="69" t="n">
        <v>46296</v>
      </c>
      <c r="B25" s="68" t="s">
        <v>148</v>
      </c>
      <c r="C25" s="68" t="s">
        <v>632</v>
      </c>
      <c r="D25" s="76" t="str">
        <f aca="false">IF(C25="","",IFERROR(INDEX(ST_Design,MATCH(C25,ST_Code,0)),"Code inconnu"))</f>
        <v>Buse BA Ø1000 (élément 1 m)</v>
      </c>
      <c r="E25" s="74" t="str">
        <f aca="false">IF(C25="","",IFERROR(INDEX(ST_Unite,MATCH(C25,ST_Code,0)),""))</f>
        <v>u</v>
      </c>
      <c r="F25" s="82" t="n">
        <v>36</v>
      </c>
      <c r="G25" s="68" t="s">
        <v>564</v>
      </c>
      <c r="H25" s="76" t="str">
        <f aca="false">IF(G25="","",IFERROR(INDEX(BC_Fourn,MATCH(G25,BC_Num,0)),""))</f>
        <v>Préfabricant buses BA</v>
      </c>
      <c r="I25" s="25" t="s">
        <v>686</v>
      </c>
      <c r="J25" s="25"/>
      <c r="K25" s="25" t="s">
        <v>615</v>
      </c>
      <c r="L25" s="25"/>
    </row>
    <row r="26" customFormat="false" ht="23.85" hidden="false" customHeight="false" outlineLevel="0" collapsed="false">
      <c r="A26" s="69" t="n">
        <v>46297</v>
      </c>
      <c r="B26" s="68" t="s">
        <v>169</v>
      </c>
      <c r="C26" s="68" t="s">
        <v>632</v>
      </c>
      <c r="D26" s="76" t="str">
        <f aca="false">IF(C26="","",IFERROR(INDEX(ST_Design,MATCH(C26,ST_Code,0)),"Code inconnu"))</f>
        <v>Buse BA Ø1000 (élément 1 m)</v>
      </c>
      <c r="E26" s="74" t="str">
        <f aca="false">IF(C26="","",IFERROR(INDEX(ST_Unite,MATCH(C26,ST_Code,0)),""))</f>
        <v>u</v>
      </c>
      <c r="F26" s="82" t="n">
        <v>24</v>
      </c>
      <c r="G26" s="68"/>
      <c r="H26" s="76" t="str">
        <f aca="false">IF(G26="","",IFERROR(INDEX(BC_Fourn,MATCH(G26,BC_Num,0)),""))</f>
        <v/>
      </c>
      <c r="I26" s="25" t="s">
        <v>687</v>
      </c>
      <c r="J26" s="25" t="s">
        <v>191</v>
      </c>
      <c r="K26" s="25" t="s">
        <v>615</v>
      </c>
      <c r="L26" s="25"/>
    </row>
    <row r="27" customFormat="false" ht="23.85" hidden="false" customHeight="false" outlineLevel="0" collapsed="false">
      <c r="A27" s="69" t="n">
        <v>46298</v>
      </c>
      <c r="B27" s="68" t="s">
        <v>169</v>
      </c>
      <c r="C27" s="68" t="s">
        <v>636</v>
      </c>
      <c r="D27" s="76" t="str">
        <f aca="false">IF(C27="","",IFERROR(INDEX(ST_Design,MATCH(C27,ST_Code,0)),"Code inconnu"))</f>
        <v>Agglos creux de 15</v>
      </c>
      <c r="E27" s="74" t="str">
        <f aca="false">IF(C27="","",IFERROR(INDEX(ST_Unite,MATCH(C27,ST_Code,0)),""))</f>
        <v>u</v>
      </c>
      <c r="F27" s="82" t="n">
        <v>4800</v>
      </c>
      <c r="G27" s="68"/>
      <c r="H27" s="76" t="str">
        <f aca="false">IF(G27="","",IFERROR(INDEX(BC_Fourn,MATCH(G27,BC_Num,0)),""))</f>
        <v/>
      </c>
      <c r="I27" s="25" t="s">
        <v>688</v>
      </c>
      <c r="J27" s="25" t="s">
        <v>215</v>
      </c>
      <c r="K27" s="25" t="s">
        <v>615</v>
      </c>
      <c r="L27" s="25"/>
    </row>
    <row r="28" customFormat="false" ht="15" hidden="false" customHeight="false" outlineLevel="0" collapsed="false">
      <c r="A28" s="69" t="n">
        <v>46300</v>
      </c>
      <c r="B28" s="68" t="s">
        <v>148</v>
      </c>
      <c r="C28" s="68" t="s">
        <v>634</v>
      </c>
      <c r="D28" s="76" t="str">
        <f aca="false">IF(C28="","",IFERROR(INDEX(ST_Design,MATCH(C28,ST_Code,0)),"Code inconnu"))</f>
        <v>Buse BA Ø800 (élément 1 m)</v>
      </c>
      <c r="E28" s="74" t="str">
        <f aca="false">IF(C28="","",IFERROR(INDEX(ST_Unite,MATCH(C28,ST_Code,0)),""))</f>
        <v>u</v>
      </c>
      <c r="F28" s="82" t="n">
        <v>12</v>
      </c>
      <c r="G28" s="68" t="s">
        <v>633</v>
      </c>
      <c r="H28" s="76" t="str">
        <f aca="false">IF(G28="","",IFERROR(INDEX(BC_Fourn,MATCH(G28,BC_Num,0)),""))</f>
        <v>Préfabricant buses BA</v>
      </c>
      <c r="I28" s="25" t="s">
        <v>689</v>
      </c>
      <c r="J28" s="25"/>
      <c r="K28" s="25" t="s">
        <v>615</v>
      </c>
      <c r="L28" s="25"/>
    </row>
    <row r="29" customFormat="false" ht="23.85" hidden="false" customHeight="false" outlineLevel="0" collapsed="false">
      <c r="A29" s="69" t="n">
        <v>46301</v>
      </c>
      <c r="B29" s="68" t="s">
        <v>169</v>
      </c>
      <c r="C29" s="68" t="s">
        <v>634</v>
      </c>
      <c r="D29" s="76" t="str">
        <f aca="false">IF(C29="","",IFERROR(INDEX(ST_Design,MATCH(C29,ST_Code,0)),"Code inconnu"))</f>
        <v>Buse BA Ø800 (élément 1 m)</v>
      </c>
      <c r="E29" s="74" t="str">
        <f aca="false">IF(C29="","",IFERROR(INDEX(ST_Unite,MATCH(C29,ST_Code,0)),""))</f>
        <v>u</v>
      </c>
      <c r="F29" s="82" t="n">
        <v>12</v>
      </c>
      <c r="G29" s="68"/>
      <c r="H29" s="76" t="str">
        <f aca="false">IF(G29="","",IFERROR(INDEX(BC_Fourn,MATCH(G29,BC_Num,0)),""))</f>
        <v/>
      </c>
      <c r="I29" s="25" t="s">
        <v>690</v>
      </c>
      <c r="J29" s="25" t="s">
        <v>191</v>
      </c>
      <c r="K29" s="25" t="s">
        <v>615</v>
      </c>
      <c r="L29" s="25"/>
    </row>
    <row r="30" customFormat="false" ht="15" hidden="false" customHeight="false" outlineLevel="0" collapsed="false">
      <c r="A30" s="69" t="n">
        <v>46310</v>
      </c>
      <c r="B30" s="68" t="s">
        <v>169</v>
      </c>
      <c r="C30" s="68" t="s">
        <v>626</v>
      </c>
      <c r="D30" s="76" t="str">
        <f aca="false">IF(C30="","",IFERROR(INDEX(ST_Design,MATCH(C30,ST_Code,0)),"Code inconnu"))</f>
        <v>Ciment CPJ 42.5 (sac 50 kg)</v>
      </c>
      <c r="E30" s="74" t="str">
        <f aca="false">IF(C30="","",IFERROR(INDEX(ST_Unite,MATCH(C30,ST_Code,0)),""))</f>
        <v>sac</v>
      </c>
      <c r="F30" s="82" t="n">
        <v>330</v>
      </c>
      <c r="G30" s="68"/>
      <c r="H30" s="76" t="str">
        <f aca="false">IF(G30="","",IFERROR(INDEX(BC_Fourn,MATCH(G30,BC_Num,0)),""))</f>
        <v/>
      </c>
      <c r="I30" s="25" t="s">
        <v>691</v>
      </c>
      <c r="J30" s="25" t="s">
        <v>203</v>
      </c>
      <c r="K30" s="25" t="s">
        <v>615</v>
      </c>
      <c r="L30" s="25"/>
    </row>
    <row r="31" customFormat="false" ht="15" hidden="false" customHeight="false" outlineLevel="0" collapsed="false">
      <c r="A31" s="69" t="n">
        <v>46310</v>
      </c>
      <c r="B31" s="68" t="s">
        <v>169</v>
      </c>
      <c r="C31" s="68" t="s">
        <v>660</v>
      </c>
      <c r="D31" s="76" t="str">
        <f aca="false">IF(C31="","",IFERROR(INDEX(ST_Design,MATCH(C31,ST_Code,0)),"Code inconnu"))</f>
        <v>Planche de coffrage</v>
      </c>
      <c r="E31" s="74" t="str">
        <f aca="false">IF(C31="","",IFERROR(INDEX(ST_Unite,MATCH(C31,ST_Code,0)),""))</f>
        <v>u</v>
      </c>
      <c r="F31" s="82" t="n">
        <v>40</v>
      </c>
      <c r="G31" s="68"/>
      <c r="H31" s="76" t="str">
        <f aca="false">IF(G31="","",IFERROR(INDEX(BC_Fourn,MATCH(G31,BC_Num,0)),""))</f>
        <v/>
      </c>
      <c r="I31" s="25" t="s">
        <v>691</v>
      </c>
      <c r="J31" s="25" t="s">
        <v>203</v>
      </c>
      <c r="K31" s="25" t="s">
        <v>615</v>
      </c>
      <c r="L31" s="25"/>
    </row>
    <row r="32" customFormat="false" ht="15" hidden="false" customHeight="false" outlineLevel="0" collapsed="false">
      <c r="A32" s="69" t="n">
        <v>46310</v>
      </c>
      <c r="B32" s="68" t="s">
        <v>169</v>
      </c>
      <c r="C32" s="68" t="s">
        <v>662</v>
      </c>
      <c r="D32" s="76" t="str">
        <f aca="false">IF(C32="","",IFERROR(INDEX(ST_Design,MATCH(C32,ST_Code,0)),"Code inconnu"))</f>
        <v>Fil à ligaturer recuit</v>
      </c>
      <c r="E32" s="74" t="str">
        <f aca="false">IF(C32="","",IFERROR(INDEX(ST_Unite,MATCH(C32,ST_Code,0)),""))</f>
        <v>kg</v>
      </c>
      <c r="F32" s="82" t="n">
        <v>30</v>
      </c>
      <c r="G32" s="68"/>
      <c r="H32" s="76" t="str">
        <f aca="false">IF(G32="","",IFERROR(INDEX(BC_Fourn,MATCH(G32,BC_Num,0)),""))</f>
        <v/>
      </c>
      <c r="I32" s="25" t="s">
        <v>691</v>
      </c>
      <c r="J32" s="25" t="s">
        <v>203</v>
      </c>
      <c r="K32" s="25" t="s">
        <v>615</v>
      </c>
      <c r="L32" s="25"/>
    </row>
    <row r="33" customFormat="false" ht="15" hidden="false" customHeight="false" outlineLevel="0" collapsed="false">
      <c r="A33" s="69" t="n">
        <v>46311</v>
      </c>
      <c r="B33" s="68" t="s">
        <v>169</v>
      </c>
      <c r="C33" s="68" t="s">
        <v>638</v>
      </c>
      <c r="D33" s="76" t="str">
        <f aca="false">IF(C33="","",IFERROR(INDEX(ST_Design,MATCH(C33,ST_Code,0)),"Code inconnu"))</f>
        <v>Acier HA8 (barre 12 m)</v>
      </c>
      <c r="E33" s="74" t="str">
        <f aca="false">IF(C33="","",IFERROR(INDEX(ST_Unite,MATCH(C33,ST_Code,0)),""))</f>
        <v>barre</v>
      </c>
      <c r="F33" s="82" t="n">
        <v>100</v>
      </c>
      <c r="G33" s="68"/>
      <c r="H33" s="76" t="str">
        <f aca="false">IF(G33="","",IFERROR(INDEX(BC_Fourn,MATCH(G33,BC_Num,0)),""))</f>
        <v/>
      </c>
      <c r="I33" s="25" t="s">
        <v>692</v>
      </c>
      <c r="J33" s="25" t="s">
        <v>232</v>
      </c>
      <c r="K33" s="25" t="s">
        <v>615</v>
      </c>
      <c r="L33" s="25"/>
    </row>
    <row r="34" customFormat="false" ht="15" hidden="false" customHeight="false" outlineLevel="0" collapsed="false">
      <c r="A34" s="69"/>
      <c r="B34" s="68"/>
      <c r="C34" s="68"/>
      <c r="D34" s="76" t="str">
        <f aca="false">IF(C34="","",IFERROR(INDEX(ST_Design,MATCH(C34,ST_Code,0)),"Code inconnu"))</f>
        <v/>
      </c>
      <c r="E34" s="74" t="str">
        <f aca="false">IF(C34="","",IFERROR(INDEX(ST_Unite,MATCH(C34,ST_Code,0)),""))</f>
        <v/>
      </c>
      <c r="F34" s="82"/>
      <c r="G34" s="68"/>
      <c r="H34" s="76" t="str">
        <f aca="false">IF(G34="","",IFERROR(INDEX(BC_Fourn,MATCH(G34,BC_Num,0)),""))</f>
        <v/>
      </c>
      <c r="I34" s="25"/>
      <c r="J34" s="25"/>
      <c r="K34" s="25"/>
      <c r="L34" s="25"/>
    </row>
    <row r="35" customFormat="false" ht="15" hidden="false" customHeight="false" outlineLevel="0" collapsed="false">
      <c r="A35" s="69"/>
      <c r="B35" s="68"/>
      <c r="C35" s="68"/>
      <c r="D35" s="76" t="str">
        <f aca="false">IF(C35="","",IFERROR(INDEX(ST_Design,MATCH(C35,ST_Code,0)),"Code inconnu"))</f>
        <v/>
      </c>
      <c r="E35" s="74" t="str">
        <f aca="false">IF(C35="","",IFERROR(INDEX(ST_Unite,MATCH(C35,ST_Code,0)),""))</f>
        <v/>
      </c>
      <c r="F35" s="82"/>
      <c r="G35" s="68"/>
      <c r="H35" s="76" t="str">
        <f aca="false">IF(G35="","",IFERROR(INDEX(BC_Fourn,MATCH(G35,BC_Num,0)),""))</f>
        <v/>
      </c>
      <c r="I35" s="25"/>
      <c r="J35" s="25"/>
      <c r="K35" s="25"/>
      <c r="L35" s="25"/>
    </row>
    <row r="36" customFormat="false" ht="15" hidden="false" customHeight="false" outlineLevel="0" collapsed="false">
      <c r="A36" s="69"/>
      <c r="B36" s="68"/>
      <c r="C36" s="68"/>
      <c r="D36" s="76" t="str">
        <f aca="false">IF(C36="","",IFERROR(INDEX(ST_Design,MATCH(C36,ST_Code,0)),"Code inconnu"))</f>
        <v/>
      </c>
      <c r="E36" s="74" t="str">
        <f aca="false">IF(C36="","",IFERROR(INDEX(ST_Unite,MATCH(C36,ST_Code,0)),""))</f>
        <v/>
      </c>
      <c r="F36" s="82"/>
      <c r="G36" s="68"/>
      <c r="H36" s="76" t="str">
        <f aca="false">IF(G36="","",IFERROR(INDEX(BC_Fourn,MATCH(G36,BC_Num,0)),""))</f>
        <v/>
      </c>
      <c r="I36" s="25"/>
      <c r="J36" s="25"/>
      <c r="K36" s="25"/>
      <c r="L36" s="25"/>
    </row>
    <row r="37" customFormat="false" ht="15" hidden="false" customHeight="false" outlineLevel="0" collapsed="false">
      <c r="A37" s="69"/>
      <c r="B37" s="68"/>
      <c r="C37" s="68"/>
      <c r="D37" s="76" t="str">
        <f aca="false">IF(C37="","",IFERROR(INDEX(ST_Design,MATCH(C37,ST_Code,0)),"Code inconnu"))</f>
        <v/>
      </c>
      <c r="E37" s="74" t="str">
        <f aca="false">IF(C37="","",IFERROR(INDEX(ST_Unite,MATCH(C37,ST_Code,0)),""))</f>
        <v/>
      </c>
      <c r="F37" s="82"/>
      <c r="G37" s="68"/>
      <c r="H37" s="76" t="str">
        <f aca="false">IF(G37="","",IFERROR(INDEX(BC_Fourn,MATCH(G37,BC_Num,0)),""))</f>
        <v/>
      </c>
      <c r="I37" s="25"/>
      <c r="J37" s="25"/>
      <c r="K37" s="25"/>
      <c r="L37" s="25"/>
    </row>
    <row r="38" customFormat="false" ht="15" hidden="false" customHeight="false" outlineLevel="0" collapsed="false">
      <c r="A38" s="69"/>
      <c r="B38" s="68"/>
      <c r="C38" s="68"/>
      <c r="D38" s="76" t="str">
        <f aca="false">IF(C38="","",IFERROR(INDEX(ST_Design,MATCH(C38,ST_Code,0)),"Code inconnu"))</f>
        <v/>
      </c>
      <c r="E38" s="74" t="str">
        <f aca="false">IF(C38="","",IFERROR(INDEX(ST_Unite,MATCH(C38,ST_Code,0)),""))</f>
        <v/>
      </c>
      <c r="F38" s="82"/>
      <c r="G38" s="68"/>
      <c r="H38" s="76" t="str">
        <f aca="false">IF(G38="","",IFERROR(INDEX(BC_Fourn,MATCH(G38,BC_Num,0)),""))</f>
        <v/>
      </c>
      <c r="I38" s="25"/>
      <c r="J38" s="25"/>
      <c r="K38" s="25"/>
      <c r="L38" s="25"/>
    </row>
    <row r="39" customFormat="false" ht="15" hidden="false" customHeight="false" outlineLevel="0" collapsed="false">
      <c r="A39" s="69"/>
      <c r="B39" s="68"/>
      <c r="C39" s="68"/>
      <c r="D39" s="76" t="str">
        <f aca="false">IF(C39="","",IFERROR(INDEX(ST_Design,MATCH(C39,ST_Code,0)),"Code inconnu"))</f>
        <v/>
      </c>
      <c r="E39" s="74" t="str">
        <f aca="false">IF(C39="","",IFERROR(INDEX(ST_Unite,MATCH(C39,ST_Code,0)),""))</f>
        <v/>
      </c>
      <c r="F39" s="82"/>
      <c r="G39" s="68"/>
      <c r="H39" s="76" t="str">
        <f aca="false">IF(G39="","",IFERROR(INDEX(BC_Fourn,MATCH(G39,BC_Num,0)),""))</f>
        <v/>
      </c>
      <c r="I39" s="25"/>
      <c r="J39" s="25"/>
      <c r="K39" s="25"/>
      <c r="L39" s="25"/>
    </row>
    <row r="40" customFormat="false" ht="15" hidden="false" customHeight="false" outlineLevel="0" collapsed="false">
      <c r="A40" s="69"/>
      <c r="B40" s="68"/>
      <c r="C40" s="68"/>
      <c r="D40" s="76" t="str">
        <f aca="false">IF(C40="","",IFERROR(INDEX(ST_Design,MATCH(C40,ST_Code,0)),"Code inconnu"))</f>
        <v/>
      </c>
      <c r="E40" s="74" t="str">
        <f aca="false">IF(C40="","",IFERROR(INDEX(ST_Unite,MATCH(C40,ST_Code,0)),""))</f>
        <v/>
      </c>
      <c r="F40" s="82"/>
      <c r="G40" s="68"/>
      <c r="H40" s="76" t="str">
        <f aca="false">IF(G40="","",IFERROR(INDEX(BC_Fourn,MATCH(G40,BC_Num,0)),""))</f>
        <v/>
      </c>
      <c r="I40" s="25"/>
      <c r="J40" s="25"/>
      <c r="K40" s="25"/>
      <c r="L40" s="25"/>
    </row>
    <row r="41" customFormat="false" ht="15" hidden="false" customHeight="false" outlineLevel="0" collapsed="false">
      <c r="A41" s="69"/>
      <c r="B41" s="68"/>
      <c r="C41" s="68"/>
      <c r="D41" s="76" t="str">
        <f aca="false">IF(C41="","",IFERROR(INDEX(ST_Design,MATCH(C41,ST_Code,0)),"Code inconnu"))</f>
        <v/>
      </c>
      <c r="E41" s="74" t="str">
        <f aca="false">IF(C41="","",IFERROR(INDEX(ST_Unite,MATCH(C41,ST_Code,0)),""))</f>
        <v/>
      </c>
      <c r="F41" s="82"/>
      <c r="G41" s="68"/>
      <c r="H41" s="76" t="str">
        <f aca="false">IF(G41="","",IFERROR(INDEX(BC_Fourn,MATCH(G41,BC_Num,0)),""))</f>
        <v/>
      </c>
      <c r="I41" s="25"/>
      <c r="J41" s="25"/>
      <c r="K41" s="25"/>
      <c r="L41" s="25"/>
    </row>
    <row r="42" customFormat="false" ht="15" hidden="false" customHeight="false" outlineLevel="0" collapsed="false">
      <c r="A42" s="69"/>
      <c r="B42" s="68"/>
      <c r="C42" s="68"/>
      <c r="D42" s="76" t="str">
        <f aca="false">IF(C42="","",IFERROR(INDEX(ST_Design,MATCH(C42,ST_Code,0)),"Code inconnu"))</f>
        <v/>
      </c>
      <c r="E42" s="74" t="str">
        <f aca="false">IF(C42="","",IFERROR(INDEX(ST_Unite,MATCH(C42,ST_Code,0)),""))</f>
        <v/>
      </c>
      <c r="F42" s="82"/>
      <c r="G42" s="68"/>
      <c r="H42" s="76" t="str">
        <f aca="false">IF(G42="","",IFERROR(INDEX(BC_Fourn,MATCH(G42,BC_Num,0)),""))</f>
        <v/>
      </c>
      <c r="I42" s="25"/>
      <c r="J42" s="25"/>
      <c r="K42" s="25"/>
      <c r="L42" s="25"/>
    </row>
    <row r="43" customFormat="false" ht="15" hidden="false" customHeight="false" outlineLevel="0" collapsed="false">
      <c r="A43" s="69"/>
      <c r="B43" s="68"/>
      <c r="C43" s="68"/>
      <c r="D43" s="76" t="str">
        <f aca="false">IF(C43="","",IFERROR(INDEX(ST_Design,MATCH(C43,ST_Code,0)),"Code inconnu"))</f>
        <v/>
      </c>
      <c r="E43" s="74" t="str">
        <f aca="false">IF(C43="","",IFERROR(INDEX(ST_Unite,MATCH(C43,ST_Code,0)),""))</f>
        <v/>
      </c>
      <c r="F43" s="82"/>
      <c r="G43" s="68"/>
      <c r="H43" s="76" t="str">
        <f aca="false">IF(G43="","",IFERROR(INDEX(BC_Fourn,MATCH(G43,BC_Num,0)),""))</f>
        <v/>
      </c>
      <c r="I43" s="25"/>
      <c r="J43" s="25"/>
      <c r="K43" s="25"/>
      <c r="L43" s="25"/>
    </row>
    <row r="44" customFormat="false" ht="15" hidden="false" customHeight="false" outlineLevel="0" collapsed="false">
      <c r="A44" s="69"/>
      <c r="B44" s="68"/>
      <c r="C44" s="68"/>
      <c r="D44" s="76" t="str">
        <f aca="false">IF(C44="","",IFERROR(INDEX(ST_Design,MATCH(C44,ST_Code,0)),"Code inconnu"))</f>
        <v/>
      </c>
      <c r="E44" s="74" t="str">
        <f aca="false">IF(C44="","",IFERROR(INDEX(ST_Unite,MATCH(C44,ST_Code,0)),""))</f>
        <v/>
      </c>
      <c r="F44" s="82"/>
      <c r="G44" s="68"/>
      <c r="H44" s="76" t="str">
        <f aca="false">IF(G44="","",IFERROR(INDEX(BC_Fourn,MATCH(G44,BC_Num,0)),""))</f>
        <v/>
      </c>
      <c r="I44" s="25"/>
      <c r="J44" s="25"/>
      <c r="K44" s="25"/>
      <c r="L44" s="25"/>
    </row>
    <row r="45" customFormat="false" ht="15" hidden="false" customHeight="false" outlineLevel="0" collapsed="false">
      <c r="A45" s="69"/>
      <c r="B45" s="68"/>
      <c r="C45" s="68"/>
      <c r="D45" s="76" t="str">
        <f aca="false">IF(C45="","",IFERROR(INDEX(ST_Design,MATCH(C45,ST_Code,0)),"Code inconnu"))</f>
        <v/>
      </c>
      <c r="E45" s="74" t="str">
        <f aca="false">IF(C45="","",IFERROR(INDEX(ST_Unite,MATCH(C45,ST_Code,0)),""))</f>
        <v/>
      </c>
      <c r="F45" s="82"/>
      <c r="G45" s="68"/>
      <c r="H45" s="76" t="str">
        <f aca="false">IF(G45="","",IFERROR(INDEX(BC_Fourn,MATCH(G45,BC_Num,0)),""))</f>
        <v/>
      </c>
      <c r="I45" s="25"/>
      <c r="J45" s="25"/>
      <c r="K45" s="25"/>
      <c r="L45" s="25"/>
    </row>
    <row r="46" customFormat="false" ht="15" hidden="false" customHeight="false" outlineLevel="0" collapsed="false">
      <c r="A46" s="69"/>
      <c r="B46" s="68"/>
      <c r="C46" s="68"/>
      <c r="D46" s="76" t="str">
        <f aca="false">IF(C46="","",IFERROR(INDEX(ST_Design,MATCH(C46,ST_Code,0)),"Code inconnu"))</f>
        <v/>
      </c>
      <c r="E46" s="74" t="str">
        <f aca="false">IF(C46="","",IFERROR(INDEX(ST_Unite,MATCH(C46,ST_Code,0)),""))</f>
        <v/>
      </c>
      <c r="F46" s="82"/>
      <c r="G46" s="68"/>
      <c r="H46" s="76" t="str">
        <f aca="false">IF(G46="","",IFERROR(INDEX(BC_Fourn,MATCH(G46,BC_Num,0)),""))</f>
        <v/>
      </c>
      <c r="I46" s="25"/>
      <c r="J46" s="25"/>
      <c r="K46" s="25"/>
      <c r="L46" s="25"/>
    </row>
    <row r="47" customFormat="false" ht="15" hidden="false" customHeight="false" outlineLevel="0" collapsed="false">
      <c r="A47" s="69"/>
      <c r="B47" s="68"/>
      <c r="C47" s="68"/>
      <c r="D47" s="76" t="str">
        <f aca="false">IF(C47="","",IFERROR(INDEX(ST_Design,MATCH(C47,ST_Code,0)),"Code inconnu"))</f>
        <v/>
      </c>
      <c r="E47" s="74" t="str">
        <f aca="false">IF(C47="","",IFERROR(INDEX(ST_Unite,MATCH(C47,ST_Code,0)),""))</f>
        <v/>
      </c>
      <c r="F47" s="82"/>
      <c r="G47" s="68"/>
      <c r="H47" s="76" t="str">
        <f aca="false">IF(G47="","",IFERROR(INDEX(BC_Fourn,MATCH(G47,BC_Num,0)),""))</f>
        <v/>
      </c>
      <c r="I47" s="25"/>
      <c r="J47" s="25"/>
      <c r="K47" s="25"/>
      <c r="L47" s="25"/>
    </row>
    <row r="48" customFormat="false" ht="15" hidden="false" customHeight="false" outlineLevel="0" collapsed="false">
      <c r="A48" s="69"/>
      <c r="B48" s="68"/>
      <c r="C48" s="68"/>
      <c r="D48" s="76" t="str">
        <f aca="false">IF(C48="","",IFERROR(INDEX(ST_Design,MATCH(C48,ST_Code,0)),"Code inconnu"))</f>
        <v/>
      </c>
      <c r="E48" s="74" t="str">
        <f aca="false">IF(C48="","",IFERROR(INDEX(ST_Unite,MATCH(C48,ST_Code,0)),""))</f>
        <v/>
      </c>
      <c r="F48" s="82"/>
      <c r="G48" s="68"/>
      <c r="H48" s="76" t="str">
        <f aca="false">IF(G48="","",IFERROR(INDEX(BC_Fourn,MATCH(G48,BC_Num,0)),""))</f>
        <v/>
      </c>
      <c r="I48" s="25"/>
      <c r="J48" s="25"/>
      <c r="K48" s="25"/>
      <c r="L48" s="25"/>
    </row>
    <row r="49" customFormat="false" ht="15" hidden="false" customHeight="false" outlineLevel="0" collapsed="false">
      <c r="A49" s="69"/>
      <c r="B49" s="68"/>
      <c r="C49" s="68"/>
      <c r="D49" s="76" t="str">
        <f aca="false">IF(C49="","",IFERROR(INDEX(ST_Design,MATCH(C49,ST_Code,0)),"Code inconnu"))</f>
        <v/>
      </c>
      <c r="E49" s="74" t="str">
        <f aca="false">IF(C49="","",IFERROR(INDEX(ST_Unite,MATCH(C49,ST_Code,0)),""))</f>
        <v/>
      </c>
      <c r="F49" s="82"/>
      <c r="G49" s="68"/>
      <c r="H49" s="76" t="str">
        <f aca="false">IF(G49="","",IFERROR(INDEX(BC_Fourn,MATCH(G49,BC_Num,0)),""))</f>
        <v/>
      </c>
      <c r="I49" s="25"/>
      <c r="J49" s="25"/>
      <c r="K49" s="25"/>
      <c r="L49" s="25"/>
    </row>
    <row r="50" customFormat="false" ht="15" hidden="false" customHeight="false" outlineLevel="0" collapsed="false">
      <c r="A50" s="69"/>
      <c r="B50" s="68"/>
      <c r="C50" s="68"/>
      <c r="D50" s="76" t="str">
        <f aca="false">IF(C50="","",IFERROR(INDEX(ST_Design,MATCH(C50,ST_Code,0)),"Code inconnu"))</f>
        <v/>
      </c>
      <c r="E50" s="74" t="str">
        <f aca="false">IF(C50="","",IFERROR(INDEX(ST_Unite,MATCH(C50,ST_Code,0)),""))</f>
        <v/>
      </c>
      <c r="F50" s="82"/>
      <c r="G50" s="68"/>
      <c r="H50" s="76" t="str">
        <f aca="false">IF(G50="","",IFERROR(INDEX(BC_Fourn,MATCH(G50,BC_Num,0)),""))</f>
        <v/>
      </c>
      <c r="I50" s="25"/>
      <c r="J50" s="25"/>
      <c r="K50" s="25"/>
      <c r="L50" s="25"/>
    </row>
    <row r="51" customFormat="false" ht="15" hidden="false" customHeight="false" outlineLevel="0" collapsed="false">
      <c r="A51" s="69"/>
      <c r="B51" s="68"/>
      <c r="C51" s="68"/>
      <c r="D51" s="76" t="str">
        <f aca="false">IF(C51="","",IFERROR(INDEX(ST_Design,MATCH(C51,ST_Code,0)),"Code inconnu"))</f>
        <v/>
      </c>
      <c r="E51" s="74" t="str">
        <f aca="false">IF(C51="","",IFERROR(INDEX(ST_Unite,MATCH(C51,ST_Code,0)),""))</f>
        <v/>
      </c>
      <c r="F51" s="82"/>
      <c r="G51" s="68"/>
      <c r="H51" s="76" t="str">
        <f aca="false">IF(G51="","",IFERROR(INDEX(BC_Fourn,MATCH(G51,BC_Num,0)),""))</f>
        <v/>
      </c>
      <c r="I51" s="25"/>
      <c r="J51" s="25"/>
      <c r="K51" s="25"/>
      <c r="L51" s="25"/>
    </row>
    <row r="52" customFormat="false" ht="15" hidden="false" customHeight="false" outlineLevel="0" collapsed="false">
      <c r="A52" s="69"/>
      <c r="B52" s="68"/>
      <c r="C52" s="68"/>
      <c r="D52" s="76" t="str">
        <f aca="false">IF(C52="","",IFERROR(INDEX(ST_Design,MATCH(C52,ST_Code,0)),"Code inconnu"))</f>
        <v/>
      </c>
      <c r="E52" s="74" t="str">
        <f aca="false">IF(C52="","",IFERROR(INDEX(ST_Unite,MATCH(C52,ST_Code,0)),""))</f>
        <v/>
      </c>
      <c r="F52" s="82"/>
      <c r="G52" s="68"/>
      <c r="H52" s="76" t="str">
        <f aca="false">IF(G52="","",IFERROR(INDEX(BC_Fourn,MATCH(G52,BC_Num,0)),""))</f>
        <v/>
      </c>
      <c r="I52" s="25"/>
      <c r="J52" s="25"/>
      <c r="K52" s="25"/>
      <c r="L52" s="25"/>
    </row>
    <row r="53" customFormat="false" ht="15" hidden="false" customHeight="false" outlineLevel="0" collapsed="false">
      <c r="A53" s="69"/>
      <c r="B53" s="68"/>
      <c r="C53" s="68"/>
      <c r="D53" s="76" t="str">
        <f aca="false">IF(C53="","",IFERROR(INDEX(ST_Design,MATCH(C53,ST_Code,0)),"Code inconnu"))</f>
        <v/>
      </c>
      <c r="E53" s="74" t="str">
        <f aca="false">IF(C53="","",IFERROR(INDEX(ST_Unite,MATCH(C53,ST_Code,0)),""))</f>
        <v/>
      </c>
      <c r="F53" s="82"/>
      <c r="G53" s="68"/>
      <c r="H53" s="76" t="str">
        <f aca="false">IF(G53="","",IFERROR(INDEX(BC_Fourn,MATCH(G53,BC_Num,0)),""))</f>
        <v/>
      </c>
      <c r="I53" s="25"/>
      <c r="J53" s="25"/>
      <c r="K53" s="25"/>
      <c r="L53" s="25"/>
    </row>
    <row r="54" customFormat="false" ht="15" hidden="false" customHeight="false" outlineLevel="0" collapsed="false">
      <c r="A54" s="69"/>
      <c r="B54" s="68"/>
      <c r="C54" s="68"/>
      <c r="D54" s="76" t="str">
        <f aca="false">IF(C54="","",IFERROR(INDEX(ST_Design,MATCH(C54,ST_Code,0)),"Code inconnu"))</f>
        <v/>
      </c>
      <c r="E54" s="74" t="str">
        <f aca="false">IF(C54="","",IFERROR(INDEX(ST_Unite,MATCH(C54,ST_Code,0)),""))</f>
        <v/>
      </c>
      <c r="F54" s="82"/>
      <c r="G54" s="68"/>
      <c r="H54" s="76" t="str">
        <f aca="false">IF(G54="","",IFERROR(INDEX(BC_Fourn,MATCH(G54,BC_Num,0)),""))</f>
        <v/>
      </c>
      <c r="I54" s="25"/>
      <c r="J54" s="25"/>
      <c r="K54" s="25"/>
      <c r="L54" s="25"/>
    </row>
    <row r="55" customFormat="false" ht="15" hidden="false" customHeight="false" outlineLevel="0" collapsed="false">
      <c r="A55" s="69"/>
      <c r="B55" s="68"/>
      <c r="C55" s="68"/>
      <c r="D55" s="76" t="str">
        <f aca="false">IF(C55="","",IFERROR(INDEX(ST_Design,MATCH(C55,ST_Code,0)),"Code inconnu"))</f>
        <v/>
      </c>
      <c r="E55" s="74" t="str">
        <f aca="false">IF(C55="","",IFERROR(INDEX(ST_Unite,MATCH(C55,ST_Code,0)),""))</f>
        <v/>
      </c>
      <c r="F55" s="82"/>
      <c r="G55" s="68"/>
      <c r="H55" s="76" t="str">
        <f aca="false">IF(G55="","",IFERROR(INDEX(BC_Fourn,MATCH(G55,BC_Num,0)),""))</f>
        <v/>
      </c>
      <c r="I55" s="25"/>
      <c r="J55" s="25"/>
      <c r="K55" s="25"/>
      <c r="L55" s="25"/>
    </row>
    <row r="56" customFormat="false" ht="15" hidden="false" customHeight="false" outlineLevel="0" collapsed="false">
      <c r="A56" s="69"/>
      <c r="B56" s="68"/>
      <c r="C56" s="68"/>
      <c r="D56" s="76" t="str">
        <f aca="false">IF(C56="","",IFERROR(INDEX(ST_Design,MATCH(C56,ST_Code,0)),"Code inconnu"))</f>
        <v/>
      </c>
      <c r="E56" s="74" t="str">
        <f aca="false">IF(C56="","",IFERROR(INDEX(ST_Unite,MATCH(C56,ST_Code,0)),""))</f>
        <v/>
      </c>
      <c r="F56" s="82"/>
      <c r="G56" s="68"/>
      <c r="H56" s="76" t="str">
        <f aca="false">IF(G56="","",IFERROR(INDEX(BC_Fourn,MATCH(G56,BC_Num,0)),""))</f>
        <v/>
      </c>
      <c r="I56" s="25"/>
      <c r="J56" s="25"/>
      <c r="K56" s="25"/>
      <c r="L56" s="25"/>
    </row>
    <row r="57" customFormat="false" ht="15" hidden="false" customHeight="false" outlineLevel="0" collapsed="false">
      <c r="A57" s="69"/>
      <c r="B57" s="68"/>
      <c r="C57" s="68"/>
      <c r="D57" s="76" t="str">
        <f aca="false">IF(C57="","",IFERROR(INDEX(ST_Design,MATCH(C57,ST_Code,0)),"Code inconnu"))</f>
        <v/>
      </c>
      <c r="E57" s="74" t="str">
        <f aca="false">IF(C57="","",IFERROR(INDEX(ST_Unite,MATCH(C57,ST_Code,0)),""))</f>
        <v/>
      </c>
      <c r="F57" s="82"/>
      <c r="G57" s="68"/>
      <c r="H57" s="76" t="str">
        <f aca="false">IF(G57="","",IFERROR(INDEX(BC_Fourn,MATCH(G57,BC_Num,0)),""))</f>
        <v/>
      </c>
      <c r="I57" s="25"/>
      <c r="J57" s="25"/>
      <c r="K57" s="25"/>
      <c r="L57" s="25"/>
    </row>
    <row r="58" customFormat="false" ht="15" hidden="false" customHeight="false" outlineLevel="0" collapsed="false">
      <c r="A58" s="69"/>
      <c r="B58" s="68"/>
      <c r="C58" s="68"/>
      <c r="D58" s="76" t="str">
        <f aca="false">IF(C58="","",IFERROR(INDEX(ST_Design,MATCH(C58,ST_Code,0)),"Code inconnu"))</f>
        <v/>
      </c>
      <c r="E58" s="74" t="str">
        <f aca="false">IF(C58="","",IFERROR(INDEX(ST_Unite,MATCH(C58,ST_Code,0)),""))</f>
        <v/>
      </c>
      <c r="F58" s="82"/>
      <c r="G58" s="68"/>
      <c r="H58" s="76" t="str">
        <f aca="false">IF(G58="","",IFERROR(INDEX(BC_Fourn,MATCH(G58,BC_Num,0)),""))</f>
        <v/>
      </c>
      <c r="I58" s="25"/>
      <c r="J58" s="25"/>
      <c r="K58" s="25"/>
      <c r="L58" s="25"/>
    </row>
    <row r="59" customFormat="false" ht="15" hidden="false" customHeight="false" outlineLevel="0" collapsed="false">
      <c r="A59" s="69"/>
      <c r="B59" s="68"/>
      <c r="C59" s="68"/>
      <c r="D59" s="76" t="str">
        <f aca="false">IF(C59="","",IFERROR(INDEX(ST_Design,MATCH(C59,ST_Code,0)),"Code inconnu"))</f>
        <v/>
      </c>
      <c r="E59" s="74" t="str">
        <f aca="false">IF(C59="","",IFERROR(INDEX(ST_Unite,MATCH(C59,ST_Code,0)),""))</f>
        <v/>
      </c>
      <c r="F59" s="82"/>
      <c r="G59" s="68"/>
      <c r="H59" s="76" t="str">
        <f aca="false">IF(G59="","",IFERROR(INDEX(BC_Fourn,MATCH(G59,BC_Num,0)),""))</f>
        <v/>
      </c>
      <c r="I59" s="25"/>
      <c r="J59" s="25"/>
      <c r="K59" s="25"/>
      <c r="L59" s="25"/>
    </row>
    <row r="60" customFormat="false" ht="15" hidden="false" customHeight="false" outlineLevel="0" collapsed="false">
      <c r="A60" s="69"/>
      <c r="B60" s="68"/>
      <c r="C60" s="68"/>
      <c r="D60" s="76" t="str">
        <f aca="false">IF(C60="","",IFERROR(INDEX(ST_Design,MATCH(C60,ST_Code,0)),"Code inconnu"))</f>
        <v/>
      </c>
      <c r="E60" s="74" t="str">
        <f aca="false">IF(C60="","",IFERROR(INDEX(ST_Unite,MATCH(C60,ST_Code,0)),""))</f>
        <v/>
      </c>
      <c r="F60" s="82"/>
      <c r="G60" s="68"/>
      <c r="H60" s="76" t="str">
        <f aca="false">IF(G60="","",IFERROR(INDEX(BC_Fourn,MATCH(G60,BC_Num,0)),""))</f>
        <v/>
      </c>
      <c r="I60" s="25"/>
      <c r="J60" s="25"/>
      <c r="K60" s="25"/>
      <c r="L60" s="25"/>
    </row>
    <row r="61" customFormat="false" ht="15" hidden="false" customHeight="false" outlineLevel="0" collapsed="false">
      <c r="A61" s="69"/>
      <c r="B61" s="68"/>
      <c r="C61" s="68"/>
      <c r="D61" s="76" t="str">
        <f aca="false">IF(C61="","",IFERROR(INDEX(ST_Design,MATCH(C61,ST_Code,0)),"Code inconnu"))</f>
        <v/>
      </c>
      <c r="E61" s="74" t="str">
        <f aca="false">IF(C61="","",IFERROR(INDEX(ST_Unite,MATCH(C61,ST_Code,0)),""))</f>
        <v/>
      </c>
      <c r="F61" s="82"/>
      <c r="G61" s="68"/>
      <c r="H61" s="76" t="str">
        <f aca="false">IF(G61="","",IFERROR(INDEX(BC_Fourn,MATCH(G61,BC_Num,0)),""))</f>
        <v/>
      </c>
      <c r="I61" s="25"/>
      <c r="J61" s="25"/>
      <c r="K61" s="25"/>
      <c r="L61" s="25"/>
    </row>
    <row r="62" customFormat="false" ht="15" hidden="false" customHeight="false" outlineLevel="0" collapsed="false">
      <c r="A62" s="69"/>
      <c r="B62" s="68"/>
      <c r="C62" s="68"/>
      <c r="D62" s="76" t="str">
        <f aca="false">IF(C62="","",IFERROR(INDEX(ST_Design,MATCH(C62,ST_Code,0)),"Code inconnu"))</f>
        <v/>
      </c>
      <c r="E62" s="74" t="str">
        <f aca="false">IF(C62="","",IFERROR(INDEX(ST_Unite,MATCH(C62,ST_Code,0)),""))</f>
        <v/>
      </c>
      <c r="F62" s="82"/>
      <c r="G62" s="68"/>
      <c r="H62" s="76" t="str">
        <f aca="false">IF(G62="","",IFERROR(INDEX(BC_Fourn,MATCH(G62,BC_Num,0)),""))</f>
        <v/>
      </c>
      <c r="I62" s="25"/>
      <c r="J62" s="25"/>
      <c r="K62" s="25"/>
      <c r="L62" s="25"/>
    </row>
    <row r="63" customFormat="false" ht="15" hidden="false" customHeight="false" outlineLevel="0" collapsed="false">
      <c r="A63" s="69"/>
      <c r="B63" s="68"/>
      <c r="C63" s="68"/>
      <c r="D63" s="76" t="str">
        <f aca="false">IF(C63="","",IFERROR(INDEX(ST_Design,MATCH(C63,ST_Code,0)),"Code inconnu"))</f>
        <v/>
      </c>
      <c r="E63" s="74" t="str">
        <f aca="false">IF(C63="","",IFERROR(INDEX(ST_Unite,MATCH(C63,ST_Code,0)),""))</f>
        <v/>
      </c>
      <c r="F63" s="82"/>
      <c r="G63" s="68"/>
      <c r="H63" s="76" t="str">
        <f aca="false">IF(G63="","",IFERROR(INDEX(BC_Fourn,MATCH(G63,BC_Num,0)),""))</f>
        <v/>
      </c>
      <c r="I63" s="25"/>
      <c r="J63" s="25"/>
      <c r="K63" s="25"/>
      <c r="L63" s="25"/>
    </row>
    <row r="64" customFormat="false" ht="15" hidden="false" customHeight="false" outlineLevel="0" collapsed="false">
      <c r="A64" s="69"/>
      <c r="B64" s="68"/>
      <c r="C64" s="68"/>
      <c r="D64" s="76" t="str">
        <f aca="false">IF(C64="","",IFERROR(INDEX(ST_Design,MATCH(C64,ST_Code,0)),"Code inconnu"))</f>
        <v/>
      </c>
      <c r="E64" s="74" t="str">
        <f aca="false">IF(C64="","",IFERROR(INDEX(ST_Unite,MATCH(C64,ST_Code,0)),""))</f>
        <v/>
      </c>
      <c r="F64" s="82"/>
      <c r="G64" s="68"/>
      <c r="H64" s="76" t="str">
        <f aca="false">IF(G64="","",IFERROR(INDEX(BC_Fourn,MATCH(G64,BC_Num,0)),""))</f>
        <v/>
      </c>
      <c r="I64" s="25"/>
      <c r="J64" s="25"/>
      <c r="K64" s="25"/>
      <c r="L64" s="25"/>
    </row>
    <row r="65" customFormat="false" ht="15" hidden="false" customHeight="false" outlineLevel="0" collapsed="false">
      <c r="A65" s="69"/>
      <c r="B65" s="68"/>
      <c r="C65" s="68"/>
      <c r="D65" s="76" t="str">
        <f aca="false">IF(C65="","",IFERROR(INDEX(ST_Design,MATCH(C65,ST_Code,0)),"Code inconnu"))</f>
        <v/>
      </c>
      <c r="E65" s="74" t="str">
        <f aca="false">IF(C65="","",IFERROR(INDEX(ST_Unite,MATCH(C65,ST_Code,0)),""))</f>
        <v/>
      </c>
      <c r="F65" s="82"/>
      <c r="G65" s="68"/>
      <c r="H65" s="76" t="str">
        <f aca="false">IF(G65="","",IFERROR(INDEX(BC_Fourn,MATCH(G65,BC_Num,0)),""))</f>
        <v/>
      </c>
      <c r="I65" s="25"/>
      <c r="J65" s="25"/>
      <c r="K65" s="25"/>
      <c r="L65" s="25"/>
    </row>
    <row r="66" customFormat="false" ht="15" hidden="false" customHeight="false" outlineLevel="0" collapsed="false">
      <c r="A66" s="69"/>
      <c r="B66" s="68"/>
      <c r="C66" s="68"/>
      <c r="D66" s="76" t="str">
        <f aca="false">IF(C66="","",IFERROR(INDEX(ST_Design,MATCH(C66,ST_Code,0)),"Code inconnu"))</f>
        <v/>
      </c>
      <c r="E66" s="74" t="str">
        <f aca="false">IF(C66="","",IFERROR(INDEX(ST_Unite,MATCH(C66,ST_Code,0)),""))</f>
        <v/>
      </c>
      <c r="F66" s="82"/>
      <c r="G66" s="68"/>
      <c r="H66" s="76" t="str">
        <f aca="false">IF(G66="","",IFERROR(INDEX(BC_Fourn,MATCH(G66,BC_Num,0)),""))</f>
        <v/>
      </c>
      <c r="I66" s="25"/>
      <c r="J66" s="25"/>
      <c r="K66" s="25"/>
      <c r="L66" s="25"/>
    </row>
    <row r="67" customFormat="false" ht="15" hidden="false" customHeight="false" outlineLevel="0" collapsed="false">
      <c r="A67" s="69"/>
      <c r="B67" s="68"/>
      <c r="C67" s="68"/>
      <c r="D67" s="76" t="str">
        <f aca="false">IF(C67="","",IFERROR(INDEX(ST_Design,MATCH(C67,ST_Code,0)),"Code inconnu"))</f>
        <v/>
      </c>
      <c r="E67" s="74" t="str">
        <f aca="false">IF(C67="","",IFERROR(INDEX(ST_Unite,MATCH(C67,ST_Code,0)),""))</f>
        <v/>
      </c>
      <c r="F67" s="82"/>
      <c r="G67" s="68"/>
      <c r="H67" s="76" t="str">
        <f aca="false">IF(G67="","",IFERROR(INDEX(BC_Fourn,MATCH(G67,BC_Num,0)),""))</f>
        <v/>
      </c>
      <c r="I67" s="25"/>
      <c r="J67" s="25"/>
      <c r="K67" s="25"/>
      <c r="L67" s="25"/>
    </row>
    <row r="68" customFormat="false" ht="15" hidden="false" customHeight="false" outlineLevel="0" collapsed="false">
      <c r="A68" s="69"/>
      <c r="B68" s="68"/>
      <c r="C68" s="68"/>
      <c r="D68" s="76" t="str">
        <f aca="false">IF(C68="","",IFERROR(INDEX(ST_Design,MATCH(C68,ST_Code,0)),"Code inconnu"))</f>
        <v/>
      </c>
      <c r="E68" s="74" t="str">
        <f aca="false">IF(C68="","",IFERROR(INDEX(ST_Unite,MATCH(C68,ST_Code,0)),""))</f>
        <v/>
      </c>
      <c r="F68" s="82"/>
      <c r="G68" s="68"/>
      <c r="H68" s="76" t="str">
        <f aca="false">IF(G68="","",IFERROR(INDEX(BC_Fourn,MATCH(G68,BC_Num,0)),""))</f>
        <v/>
      </c>
      <c r="I68" s="25"/>
      <c r="J68" s="25"/>
      <c r="K68" s="25"/>
      <c r="L68" s="25"/>
    </row>
    <row r="69" customFormat="false" ht="15" hidden="false" customHeight="false" outlineLevel="0" collapsed="false">
      <c r="A69" s="69"/>
      <c r="B69" s="68"/>
      <c r="C69" s="68"/>
      <c r="D69" s="76" t="str">
        <f aca="false">IF(C69="","",IFERROR(INDEX(ST_Design,MATCH(C69,ST_Code,0)),"Code inconnu"))</f>
        <v/>
      </c>
      <c r="E69" s="74" t="str">
        <f aca="false">IF(C69="","",IFERROR(INDEX(ST_Unite,MATCH(C69,ST_Code,0)),""))</f>
        <v/>
      </c>
      <c r="F69" s="82"/>
      <c r="G69" s="68"/>
      <c r="H69" s="76" t="str">
        <f aca="false">IF(G69="","",IFERROR(INDEX(BC_Fourn,MATCH(G69,BC_Num,0)),""))</f>
        <v/>
      </c>
      <c r="I69" s="25"/>
      <c r="J69" s="25"/>
      <c r="K69" s="25"/>
      <c r="L69" s="25"/>
    </row>
    <row r="70" customFormat="false" ht="15" hidden="false" customHeight="false" outlineLevel="0" collapsed="false">
      <c r="A70" s="69"/>
      <c r="B70" s="68"/>
      <c r="C70" s="68"/>
      <c r="D70" s="76" t="str">
        <f aca="false">IF(C70="","",IFERROR(INDEX(ST_Design,MATCH(C70,ST_Code,0)),"Code inconnu"))</f>
        <v/>
      </c>
      <c r="E70" s="74" t="str">
        <f aca="false">IF(C70="","",IFERROR(INDEX(ST_Unite,MATCH(C70,ST_Code,0)),""))</f>
        <v/>
      </c>
      <c r="F70" s="82"/>
      <c r="G70" s="68"/>
      <c r="H70" s="76" t="str">
        <f aca="false">IF(G70="","",IFERROR(INDEX(BC_Fourn,MATCH(G70,BC_Num,0)),""))</f>
        <v/>
      </c>
      <c r="I70" s="25"/>
      <c r="J70" s="25"/>
      <c r="K70" s="25"/>
      <c r="L70" s="25"/>
    </row>
    <row r="71" customFormat="false" ht="15" hidden="false" customHeight="false" outlineLevel="0" collapsed="false">
      <c r="A71" s="69"/>
      <c r="B71" s="68"/>
      <c r="C71" s="68"/>
      <c r="D71" s="76" t="str">
        <f aca="false">IF(C71="","",IFERROR(INDEX(ST_Design,MATCH(C71,ST_Code,0)),"Code inconnu"))</f>
        <v/>
      </c>
      <c r="E71" s="74" t="str">
        <f aca="false">IF(C71="","",IFERROR(INDEX(ST_Unite,MATCH(C71,ST_Code,0)),""))</f>
        <v/>
      </c>
      <c r="F71" s="82"/>
      <c r="G71" s="68"/>
      <c r="H71" s="76" t="str">
        <f aca="false">IF(G71="","",IFERROR(INDEX(BC_Fourn,MATCH(G71,BC_Num,0)),""))</f>
        <v/>
      </c>
      <c r="I71" s="25"/>
      <c r="J71" s="25"/>
      <c r="K71" s="25"/>
      <c r="L71" s="25"/>
    </row>
    <row r="72" customFormat="false" ht="15" hidden="false" customHeight="false" outlineLevel="0" collapsed="false">
      <c r="A72" s="69"/>
      <c r="B72" s="68"/>
      <c r="C72" s="68"/>
      <c r="D72" s="76" t="str">
        <f aca="false">IF(C72="","",IFERROR(INDEX(ST_Design,MATCH(C72,ST_Code,0)),"Code inconnu"))</f>
        <v/>
      </c>
      <c r="E72" s="74" t="str">
        <f aca="false">IF(C72="","",IFERROR(INDEX(ST_Unite,MATCH(C72,ST_Code,0)),""))</f>
        <v/>
      </c>
      <c r="F72" s="82"/>
      <c r="G72" s="68"/>
      <c r="H72" s="76" t="str">
        <f aca="false">IF(G72="","",IFERROR(INDEX(BC_Fourn,MATCH(G72,BC_Num,0)),""))</f>
        <v/>
      </c>
      <c r="I72" s="25"/>
      <c r="J72" s="25"/>
      <c r="K72" s="25"/>
      <c r="L72" s="25"/>
    </row>
    <row r="73" customFormat="false" ht="15" hidden="false" customHeight="false" outlineLevel="0" collapsed="false">
      <c r="A73" s="69"/>
      <c r="B73" s="68"/>
      <c r="C73" s="68"/>
      <c r="D73" s="76" t="str">
        <f aca="false">IF(C73="","",IFERROR(INDEX(ST_Design,MATCH(C73,ST_Code,0)),"Code inconnu"))</f>
        <v/>
      </c>
      <c r="E73" s="74" t="str">
        <f aca="false">IF(C73="","",IFERROR(INDEX(ST_Unite,MATCH(C73,ST_Code,0)),""))</f>
        <v/>
      </c>
      <c r="F73" s="82"/>
      <c r="G73" s="68"/>
      <c r="H73" s="76" t="str">
        <f aca="false">IF(G73="","",IFERROR(INDEX(BC_Fourn,MATCH(G73,BC_Num,0)),""))</f>
        <v/>
      </c>
      <c r="I73" s="25"/>
      <c r="J73" s="25"/>
      <c r="K73" s="25"/>
      <c r="L73" s="25"/>
    </row>
    <row r="74" customFormat="false" ht="15" hidden="false" customHeight="false" outlineLevel="0" collapsed="false">
      <c r="A74" s="69"/>
      <c r="B74" s="68"/>
      <c r="C74" s="68"/>
      <c r="D74" s="76" t="str">
        <f aca="false">IF(C74="","",IFERROR(INDEX(ST_Design,MATCH(C74,ST_Code,0)),"Code inconnu"))</f>
        <v/>
      </c>
      <c r="E74" s="74" t="str">
        <f aca="false">IF(C74="","",IFERROR(INDEX(ST_Unite,MATCH(C74,ST_Code,0)),""))</f>
        <v/>
      </c>
      <c r="F74" s="82"/>
      <c r="G74" s="68"/>
      <c r="H74" s="76" t="str">
        <f aca="false">IF(G74="","",IFERROR(INDEX(BC_Fourn,MATCH(G74,BC_Num,0)),""))</f>
        <v/>
      </c>
      <c r="I74" s="25"/>
      <c r="J74" s="25"/>
      <c r="K74" s="25"/>
      <c r="L74" s="25"/>
    </row>
    <row r="75" customFormat="false" ht="15" hidden="false" customHeight="false" outlineLevel="0" collapsed="false">
      <c r="A75" s="69"/>
      <c r="B75" s="68"/>
      <c r="C75" s="68"/>
      <c r="D75" s="76" t="str">
        <f aca="false">IF(C75="","",IFERROR(INDEX(ST_Design,MATCH(C75,ST_Code,0)),"Code inconnu"))</f>
        <v/>
      </c>
      <c r="E75" s="74" t="str">
        <f aca="false">IF(C75="","",IFERROR(INDEX(ST_Unite,MATCH(C75,ST_Code,0)),""))</f>
        <v/>
      </c>
      <c r="F75" s="82"/>
      <c r="G75" s="68"/>
      <c r="H75" s="76" t="str">
        <f aca="false">IF(G75="","",IFERROR(INDEX(BC_Fourn,MATCH(G75,BC_Num,0)),""))</f>
        <v/>
      </c>
      <c r="I75" s="25"/>
      <c r="J75" s="25"/>
      <c r="K75" s="25"/>
      <c r="L75" s="25"/>
    </row>
    <row r="76" customFormat="false" ht="15" hidden="false" customHeight="false" outlineLevel="0" collapsed="false">
      <c r="A76" s="69"/>
      <c r="B76" s="68"/>
      <c r="C76" s="68"/>
      <c r="D76" s="76" t="str">
        <f aca="false">IF(C76="","",IFERROR(INDEX(ST_Design,MATCH(C76,ST_Code,0)),"Code inconnu"))</f>
        <v/>
      </c>
      <c r="E76" s="74" t="str">
        <f aca="false">IF(C76="","",IFERROR(INDEX(ST_Unite,MATCH(C76,ST_Code,0)),""))</f>
        <v/>
      </c>
      <c r="F76" s="82"/>
      <c r="G76" s="68"/>
      <c r="H76" s="76" t="str">
        <f aca="false">IF(G76="","",IFERROR(INDEX(BC_Fourn,MATCH(G76,BC_Num,0)),""))</f>
        <v/>
      </c>
      <c r="I76" s="25"/>
      <c r="J76" s="25"/>
      <c r="K76" s="25"/>
      <c r="L76" s="25"/>
    </row>
    <row r="77" customFormat="false" ht="15" hidden="false" customHeight="false" outlineLevel="0" collapsed="false">
      <c r="A77" s="69"/>
      <c r="B77" s="68"/>
      <c r="C77" s="68"/>
      <c r="D77" s="76" t="str">
        <f aca="false">IF(C77="","",IFERROR(INDEX(ST_Design,MATCH(C77,ST_Code,0)),"Code inconnu"))</f>
        <v/>
      </c>
      <c r="E77" s="74" t="str">
        <f aca="false">IF(C77="","",IFERROR(INDEX(ST_Unite,MATCH(C77,ST_Code,0)),""))</f>
        <v/>
      </c>
      <c r="F77" s="82"/>
      <c r="G77" s="68"/>
      <c r="H77" s="76" t="str">
        <f aca="false">IF(G77="","",IFERROR(INDEX(BC_Fourn,MATCH(G77,BC_Num,0)),""))</f>
        <v/>
      </c>
      <c r="I77" s="25"/>
      <c r="J77" s="25"/>
      <c r="K77" s="25"/>
      <c r="L77" s="25"/>
    </row>
    <row r="78" customFormat="false" ht="15" hidden="false" customHeight="false" outlineLevel="0" collapsed="false">
      <c r="A78" s="69"/>
      <c r="B78" s="68"/>
      <c r="C78" s="68"/>
      <c r="D78" s="76" t="str">
        <f aca="false">IF(C78="","",IFERROR(INDEX(ST_Design,MATCH(C78,ST_Code,0)),"Code inconnu"))</f>
        <v/>
      </c>
      <c r="E78" s="74" t="str">
        <f aca="false">IF(C78="","",IFERROR(INDEX(ST_Unite,MATCH(C78,ST_Code,0)),""))</f>
        <v/>
      </c>
      <c r="F78" s="82"/>
      <c r="G78" s="68"/>
      <c r="H78" s="76" t="str">
        <f aca="false">IF(G78="","",IFERROR(INDEX(BC_Fourn,MATCH(G78,BC_Num,0)),""))</f>
        <v/>
      </c>
      <c r="I78" s="25"/>
      <c r="J78" s="25"/>
      <c r="K78" s="25"/>
      <c r="L78" s="25"/>
    </row>
    <row r="79" customFormat="false" ht="15" hidden="false" customHeight="false" outlineLevel="0" collapsed="false">
      <c r="A79" s="69"/>
      <c r="B79" s="68"/>
      <c r="C79" s="68"/>
      <c r="D79" s="76" t="str">
        <f aca="false">IF(C79="","",IFERROR(INDEX(ST_Design,MATCH(C79,ST_Code,0)),"Code inconnu"))</f>
        <v/>
      </c>
      <c r="E79" s="74" t="str">
        <f aca="false">IF(C79="","",IFERROR(INDEX(ST_Unite,MATCH(C79,ST_Code,0)),""))</f>
        <v/>
      </c>
      <c r="F79" s="82"/>
      <c r="G79" s="68"/>
      <c r="H79" s="76" t="str">
        <f aca="false">IF(G79="","",IFERROR(INDEX(BC_Fourn,MATCH(G79,BC_Num,0)),""))</f>
        <v/>
      </c>
      <c r="I79" s="25"/>
      <c r="J79" s="25"/>
      <c r="K79" s="25"/>
      <c r="L79" s="25"/>
    </row>
    <row r="80" customFormat="false" ht="15" hidden="false" customHeight="false" outlineLevel="0" collapsed="false">
      <c r="A80" s="69"/>
      <c r="B80" s="68"/>
      <c r="C80" s="68"/>
      <c r="D80" s="76" t="str">
        <f aca="false">IF(C80="","",IFERROR(INDEX(ST_Design,MATCH(C80,ST_Code,0)),"Code inconnu"))</f>
        <v/>
      </c>
      <c r="E80" s="74" t="str">
        <f aca="false">IF(C80="","",IFERROR(INDEX(ST_Unite,MATCH(C80,ST_Code,0)),""))</f>
        <v/>
      </c>
      <c r="F80" s="82"/>
      <c r="G80" s="68"/>
      <c r="H80" s="76" t="str">
        <f aca="false">IF(G80="","",IFERROR(INDEX(BC_Fourn,MATCH(G80,BC_Num,0)),""))</f>
        <v/>
      </c>
      <c r="I80" s="25"/>
      <c r="J80" s="25"/>
      <c r="K80" s="25"/>
      <c r="L80" s="25"/>
    </row>
    <row r="81" customFormat="false" ht="15" hidden="false" customHeight="false" outlineLevel="0" collapsed="false">
      <c r="A81" s="69"/>
      <c r="B81" s="68"/>
      <c r="C81" s="68"/>
      <c r="D81" s="76" t="str">
        <f aca="false">IF(C81="","",IFERROR(INDEX(ST_Design,MATCH(C81,ST_Code,0)),"Code inconnu"))</f>
        <v/>
      </c>
      <c r="E81" s="74" t="str">
        <f aca="false">IF(C81="","",IFERROR(INDEX(ST_Unite,MATCH(C81,ST_Code,0)),""))</f>
        <v/>
      </c>
      <c r="F81" s="82"/>
      <c r="G81" s="68"/>
      <c r="H81" s="76" t="str">
        <f aca="false">IF(G81="","",IFERROR(INDEX(BC_Fourn,MATCH(G81,BC_Num,0)),""))</f>
        <v/>
      </c>
      <c r="I81" s="25"/>
      <c r="J81" s="25"/>
      <c r="K81" s="25"/>
      <c r="L81" s="25"/>
    </row>
    <row r="82" customFormat="false" ht="15" hidden="false" customHeight="false" outlineLevel="0" collapsed="false">
      <c r="A82" s="69"/>
      <c r="B82" s="68"/>
      <c r="C82" s="68"/>
      <c r="D82" s="76" t="str">
        <f aca="false">IF(C82="","",IFERROR(INDEX(ST_Design,MATCH(C82,ST_Code,0)),"Code inconnu"))</f>
        <v/>
      </c>
      <c r="E82" s="74" t="str">
        <f aca="false">IF(C82="","",IFERROR(INDEX(ST_Unite,MATCH(C82,ST_Code,0)),""))</f>
        <v/>
      </c>
      <c r="F82" s="82"/>
      <c r="G82" s="68"/>
      <c r="H82" s="76" t="str">
        <f aca="false">IF(G82="","",IFERROR(INDEX(BC_Fourn,MATCH(G82,BC_Num,0)),""))</f>
        <v/>
      </c>
      <c r="I82" s="25"/>
      <c r="J82" s="25"/>
      <c r="K82" s="25"/>
      <c r="L82" s="25"/>
    </row>
    <row r="83" customFormat="false" ht="15" hidden="false" customHeight="false" outlineLevel="0" collapsed="false">
      <c r="A83" s="69"/>
      <c r="B83" s="68"/>
      <c r="C83" s="68"/>
      <c r="D83" s="76" t="str">
        <f aca="false">IF(C83="","",IFERROR(INDEX(ST_Design,MATCH(C83,ST_Code,0)),"Code inconnu"))</f>
        <v/>
      </c>
      <c r="E83" s="74" t="str">
        <f aca="false">IF(C83="","",IFERROR(INDEX(ST_Unite,MATCH(C83,ST_Code,0)),""))</f>
        <v/>
      </c>
      <c r="F83" s="82"/>
      <c r="G83" s="68"/>
      <c r="H83" s="76" t="str">
        <f aca="false">IF(G83="","",IFERROR(INDEX(BC_Fourn,MATCH(G83,BC_Num,0)),""))</f>
        <v/>
      </c>
      <c r="I83" s="25"/>
      <c r="J83" s="25"/>
      <c r="K83" s="25"/>
      <c r="L83" s="25"/>
    </row>
    <row r="84" customFormat="false" ht="15" hidden="false" customHeight="false" outlineLevel="0" collapsed="false">
      <c r="A84" s="69"/>
      <c r="B84" s="68"/>
      <c r="C84" s="68"/>
      <c r="D84" s="76" t="str">
        <f aca="false">IF(C84="","",IFERROR(INDEX(ST_Design,MATCH(C84,ST_Code,0)),"Code inconnu"))</f>
        <v/>
      </c>
      <c r="E84" s="74" t="str">
        <f aca="false">IF(C84="","",IFERROR(INDEX(ST_Unite,MATCH(C84,ST_Code,0)),""))</f>
        <v/>
      </c>
      <c r="F84" s="82"/>
      <c r="G84" s="68"/>
      <c r="H84" s="76" t="str">
        <f aca="false">IF(G84="","",IFERROR(INDEX(BC_Fourn,MATCH(G84,BC_Num,0)),""))</f>
        <v/>
      </c>
      <c r="I84" s="25"/>
      <c r="J84" s="25"/>
      <c r="K84" s="25"/>
      <c r="L84" s="25"/>
    </row>
    <row r="85" customFormat="false" ht="15" hidden="false" customHeight="false" outlineLevel="0" collapsed="false">
      <c r="A85" s="69"/>
      <c r="B85" s="68"/>
      <c r="C85" s="68"/>
      <c r="D85" s="76" t="str">
        <f aca="false">IF(C85="","",IFERROR(INDEX(ST_Design,MATCH(C85,ST_Code,0)),"Code inconnu"))</f>
        <v/>
      </c>
      <c r="E85" s="74" t="str">
        <f aca="false">IF(C85="","",IFERROR(INDEX(ST_Unite,MATCH(C85,ST_Code,0)),""))</f>
        <v/>
      </c>
      <c r="F85" s="82"/>
      <c r="G85" s="68"/>
      <c r="H85" s="76" t="str">
        <f aca="false">IF(G85="","",IFERROR(INDEX(BC_Fourn,MATCH(G85,BC_Num,0)),""))</f>
        <v/>
      </c>
      <c r="I85" s="25"/>
      <c r="J85" s="25"/>
      <c r="K85" s="25"/>
      <c r="L85" s="25"/>
    </row>
    <row r="86" customFormat="false" ht="15" hidden="false" customHeight="false" outlineLevel="0" collapsed="false">
      <c r="A86" s="69"/>
      <c r="B86" s="68"/>
      <c r="C86" s="68"/>
      <c r="D86" s="76" t="str">
        <f aca="false">IF(C86="","",IFERROR(INDEX(ST_Design,MATCH(C86,ST_Code,0)),"Code inconnu"))</f>
        <v/>
      </c>
      <c r="E86" s="74" t="str">
        <f aca="false">IF(C86="","",IFERROR(INDEX(ST_Unite,MATCH(C86,ST_Code,0)),""))</f>
        <v/>
      </c>
      <c r="F86" s="82"/>
      <c r="G86" s="68"/>
      <c r="H86" s="76" t="str">
        <f aca="false">IF(G86="","",IFERROR(INDEX(BC_Fourn,MATCH(G86,BC_Num,0)),""))</f>
        <v/>
      </c>
      <c r="I86" s="25"/>
      <c r="J86" s="25"/>
      <c r="K86" s="25"/>
      <c r="L86" s="25"/>
    </row>
    <row r="87" customFormat="false" ht="15" hidden="false" customHeight="false" outlineLevel="0" collapsed="false">
      <c r="A87" s="69"/>
      <c r="B87" s="68"/>
      <c r="C87" s="68"/>
      <c r="D87" s="76" t="str">
        <f aca="false">IF(C87="","",IFERROR(INDEX(ST_Design,MATCH(C87,ST_Code,0)),"Code inconnu"))</f>
        <v/>
      </c>
      <c r="E87" s="74" t="str">
        <f aca="false">IF(C87="","",IFERROR(INDEX(ST_Unite,MATCH(C87,ST_Code,0)),""))</f>
        <v/>
      </c>
      <c r="F87" s="82"/>
      <c r="G87" s="68"/>
      <c r="H87" s="76" t="str">
        <f aca="false">IF(G87="","",IFERROR(INDEX(BC_Fourn,MATCH(G87,BC_Num,0)),""))</f>
        <v/>
      </c>
      <c r="I87" s="25"/>
      <c r="J87" s="25"/>
      <c r="K87" s="25"/>
      <c r="L87" s="25"/>
    </row>
    <row r="88" customFormat="false" ht="15" hidden="false" customHeight="false" outlineLevel="0" collapsed="false">
      <c r="A88" s="69"/>
      <c r="B88" s="68"/>
      <c r="C88" s="68"/>
      <c r="D88" s="76" t="str">
        <f aca="false">IF(C88="","",IFERROR(INDEX(ST_Design,MATCH(C88,ST_Code,0)),"Code inconnu"))</f>
        <v/>
      </c>
      <c r="E88" s="74" t="str">
        <f aca="false">IF(C88="","",IFERROR(INDEX(ST_Unite,MATCH(C88,ST_Code,0)),""))</f>
        <v/>
      </c>
      <c r="F88" s="82"/>
      <c r="G88" s="68"/>
      <c r="H88" s="76" t="str">
        <f aca="false">IF(G88="","",IFERROR(INDEX(BC_Fourn,MATCH(G88,BC_Num,0)),""))</f>
        <v/>
      </c>
      <c r="I88" s="25"/>
      <c r="J88" s="25"/>
      <c r="K88" s="25"/>
      <c r="L88" s="25"/>
    </row>
    <row r="89" customFormat="false" ht="15" hidden="false" customHeight="false" outlineLevel="0" collapsed="false">
      <c r="A89" s="69"/>
      <c r="B89" s="68"/>
      <c r="C89" s="68"/>
      <c r="D89" s="76" t="str">
        <f aca="false">IF(C89="","",IFERROR(INDEX(ST_Design,MATCH(C89,ST_Code,0)),"Code inconnu"))</f>
        <v/>
      </c>
      <c r="E89" s="74" t="str">
        <f aca="false">IF(C89="","",IFERROR(INDEX(ST_Unite,MATCH(C89,ST_Code,0)),""))</f>
        <v/>
      </c>
      <c r="F89" s="82"/>
      <c r="G89" s="68"/>
      <c r="H89" s="76" t="str">
        <f aca="false">IF(G89="","",IFERROR(INDEX(BC_Fourn,MATCH(G89,BC_Num,0)),""))</f>
        <v/>
      </c>
      <c r="I89" s="25"/>
      <c r="J89" s="25"/>
      <c r="K89" s="25"/>
      <c r="L89" s="25"/>
    </row>
    <row r="90" customFormat="false" ht="15" hidden="false" customHeight="false" outlineLevel="0" collapsed="false">
      <c r="A90" s="69"/>
      <c r="B90" s="68"/>
      <c r="C90" s="68"/>
      <c r="D90" s="76" t="str">
        <f aca="false">IF(C90="","",IFERROR(INDEX(ST_Design,MATCH(C90,ST_Code,0)),"Code inconnu"))</f>
        <v/>
      </c>
      <c r="E90" s="74" t="str">
        <f aca="false">IF(C90="","",IFERROR(INDEX(ST_Unite,MATCH(C90,ST_Code,0)),""))</f>
        <v/>
      </c>
      <c r="F90" s="82"/>
      <c r="G90" s="68"/>
      <c r="H90" s="76" t="str">
        <f aca="false">IF(G90="","",IFERROR(INDEX(BC_Fourn,MATCH(G90,BC_Num,0)),""))</f>
        <v/>
      </c>
      <c r="I90" s="25"/>
      <c r="J90" s="25"/>
      <c r="K90" s="25"/>
      <c r="L90" s="25"/>
    </row>
    <row r="91" customFormat="false" ht="15" hidden="false" customHeight="false" outlineLevel="0" collapsed="false">
      <c r="A91" s="69"/>
      <c r="B91" s="68"/>
      <c r="C91" s="68"/>
      <c r="D91" s="76" t="str">
        <f aca="false">IF(C91="","",IFERROR(INDEX(ST_Design,MATCH(C91,ST_Code,0)),"Code inconnu"))</f>
        <v/>
      </c>
      <c r="E91" s="74" t="str">
        <f aca="false">IF(C91="","",IFERROR(INDEX(ST_Unite,MATCH(C91,ST_Code,0)),""))</f>
        <v/>
      </c>
      <c r="F91" s="82"/>
      <c r="G91" s="68"/>
      <c r="H91" s="76" t="str">
        <f aca="false">IF(G91="","",IFERROR(INDEX(BC_Fourn,MATCH(G91,BC_Num,0)),""))</f>
        <v/>
      </c>
      <c r="I91" s="25"/>
      <c r="J91" s="25"/>
      <c r="K91" s="25"/>
      <c r="L91" s="25"/>
    </row>
    <row r="92" customFormat="false" ht="15" hidden="false" customHeight="false" outlineLevel="0" collapsed="false">
      <c r="A92" s="69"/>
      <c r="B92" s="68"/>
      <c r="C92" s="68"/>
      <c r="D92" s="76" t="str">
        <f aca="false">IF(C92="","",IFERROR(INDEX(ST_Design,MATCH(C92,ST_Code,0)),"Code inconnu"))</f>
        <v/>
      </c>
      <c r="E92" s="74" t="str">
        <f aca="false">IF(C92="","",IFERROR(INDEX(ST_Unite,MATCH(C92,ST_Code,0)),""))</f>
        <v/>
      </c>
      <c r="F92" s="82"/>
      <c r="G92" s="68"/>
      <c r="H92" s="76" t="str">
        <f aca="false">IF(G92="","",IFERROR(INDEX(BC_Fourn,MATCH(G92,BC_Num,0)),""))</f>
        <v/>
      </c>
      <c r="I92" s="25"/>
      <c r="J92" s="25"/>
      <c r="K92" s="25"/>
      <c r="L92" s="25"/>
    </row>
    <row r="93" customFormat="false" ht="15" hidden="false" customHeight="false" outlineLevel="0" collapsed="false">
      <c r="A93" s="69"/>
      <c r="B93" s="68"/>
      <c r="C93" s="68"/>
      <c r="D93" s="76" t="str">
        <f aca="false">IF(C93="","",IFERROR(INDEX(ST_Design,MATCH(C93,ST_Code,0)),"Code inconnu"))</f>
        <v/>
      </c>
      <c r="E93" s="74" t="str">
        <f aca="false">IF(C93="","",IFERROR(INDEX(ST_Unite,MATCH(C93,ST_Code,0)),""))</f>
        <v/>
      </c>
      <c r="F93" s="82"/>
      <c r="G93" s="68"/>
      <c r="H93" s="76" t="str">
        <f aca="false">IF(G93="","",IFERROR(INDEX(BC_Fourn,MATCH(G93,BC_Num,0)),""))</f>
        <v/>
      </c>
      <c r="I93" s="25"/>
      <c r="J93" s="25"/>
      <c r="K93" s="25"/>
      <c r="L93" s="25"/>
    </row>
    <row r="94" customFormat="false" ht="15" hidden="false" customHeight="false" outlineLevel="0" collapsed="false">
      <c r="A94" s="69"/>
      <c r="B94" s="68"/>
      <c r="C94" s="68"/>
      <c r="D94" s="76" t="str">
        <f aca="false">IF(C94="","",IFERROR(INDEX(ST_Design,MATCH(C94,ST_Code,0)),"Code inconnu"))</f>
        <v/>
      </c>
      <c r="E94" s="74" t="str">
        <f aca="false">IF(C94="","",IFERROR(INDEX(ST_Unite,MATCH(C94,ST_Code,0)),""))</f>
        <v/>
      </c>
      <c r="F94" s="82"/>
      <c r="G94" s="68"/>
      <c r="H94" s="76" t="str">
        <f aca="false">IF(G94="","",IFERROR(INDEX(BC_Fourn,MATCH(G94,BC_Num,0)),""))</f>
        <v/>
      </c>
      <c r="I94" s="25"/>
      <c r="J94" s="25"/>
      <c r="K94" s="25"/>
      <c r="L94" s="25"/>
    </row>
    <row r="95" customFormat="false" ht="15" hidden="false" customHeight="false" outlineLevel="0" collapsed="false">
      <c r="A95" s="69"/>
      <c r="B95" s="68"/>
      <c r="C95" s="68"/>
      <c r="D95" s="76" t="str">
        <f aca="false">IF(C95="","",IFERROR(INDEX(ST_Design,MATCH(C95,ST_Code,0)),"Code inconnu"))</f>
        <v/>
      </c>
      <c r="E95" s="74" t="str">
        <f aca="false">IF(C95="","",IFERROR(INDEX(ST_Unite,MATCH(C95,ST_Code,0)),""))</f>
        <v/>
      </c>
      <c r="F95" s="82"/>
      <c r="G95" s="68"/>
      <c r="H95" s="76" t="str">
        <f aca="false">IF(G95="","",IFERROR(INDEX(BC_Fourn,MATCH(G95,BC_Num,0)),""))</f>
        <v/>
      </c>
      <c r="I95" s="25"/>
      <c r="J95" s="25"/>
      <c r="K95" s="25"/>
      <c r="L95" s="25"/>
    </row>
    <row r="96" customFormat="false" ht="15" hidden="false" customHeight="false" outlineLevel="0" collapsed="false">
      <c r="A96" s="69"/>
      <c r="B96" s="68"/>
      <c r="C96" s="68"/>
      <c r="D96" s="76" t="str">
        <f aca="false">IF(C96="","",IFERROR(INDEX(ST_Design,MATCH(C96,ST_Code,0)),"Code inconnu"))</f>
        <v/>
      </c>
      <c r="E96" s="74" t="str">
        <f aca="false">IF(C96="","",IFERROR(INDEX(ST_Unite,MATCH(C96,ST_Code,0)),""))</f>
        <v/>
      </c>
      <c r="F96" s="82"/>
      <c r="G96" s="68"/>
      <c r="H96" s="76" t="str">
        <f aca="false">IF(G96="","",IFERROR(INDEX(BC_Fourn,MATCH(G96,BC_Num,0)),""))</f>
        <v/>
      </c>
      <c r="I96" s="25"/>
      <c r="J96" s="25"/>
      <c r="K96" s="25"/>
      <c r="L96" s="25"/>
    </row>
    <row r="97" customFormat="false" ht="15" hidden="false" customHeight="false" outlineLevel="0" collapsed="false">
      <c r="A97" s="69"/>
      <c r="B97" s="68"/>
      <c r="C97" s="68"/>
      <c r="D97" s="76" t="str">
        <f aca="false">IF(C97="","",IFERROR(INDEX(ST_Design,MATCH(C97,ST_Code,0)),"Code inconnu"))</f>
        <v/>
      </c>
      <c r="E97" s="74" t="str">
        <f aca="false">IF(C97="","",IFERROR(INDEX(ST_Unite,MATCH(C97,ST_Code,0)),""))</f>
        <v/>
      </c>
      <c r="F97" s="82"/>
      <c r="G97" s="68"/>
      <c r="H97" s="76" t="str">
        <f aca="false">IF(G97="","",IFERROR(INDEX(BC_Fourn,MATCH(G97,BC_Num,0)),""))</f>
        <v/>
      </c>
      <c r="I97" s="25"/>
      <c r="J97" s="25"/>
      <c r="K97" s="25"/>
      <c r="L97" s="25"/>
    </row>
    <row r="98" customFormat="false" ht="15" hidden="false" customHeight="false" outlineLevel="0" collapsed="false">
      <c r="A98" s="69"/>
      <c r="B98" s="68"/>
      <c r="C98" s="68"/>
      <c r="D98" s="76" t="str">
        <f aca="false">IF(C98="","",IFERROR(INDEX(ST_Design,MATCH(C98,ST_Code,0)),"Code inconnu"))</f>
        <v/>
      </c>
      <c r="E98" s="74" t="str">
        <f aca="false">IF(C98="","",IFERROR(INDEX(ST_Unite,MATCH(C98,ST_Code,0)),""))</f>
        <v/>
      </c>
      <c r="F98" s="82"/>
      <c r="G98" s="68"/>
      <c r="H98" s="76" t="str">
        <f aca="false">IF(G98="","",IFERROR(INDEX(BC_Fourn,MATCH(G98,BC_Num,0)),""))</f>
        <v/>
      </c>
      <c r="I98" s="25"/>
      <c r="J98" s="25"/>
      <c r="K98" s="25"/>
      <c r="L98" s="25"/>
    </row>
    <row r="99" customFormat="false" ht="15" hidden="false" customHeight="false" outlineLevel="0" collapsed="false">
      <c r="A99" s="69"/>
      <c r="B99" s="68"/>
      <c r="C99" s="68"/>
      <c r="D99" s="76" t="str">
        <f aca="false">IF(C99="","",IFERROR(INDEX(ST_Design,MATCH(C99,ST_Code,0)),"Code inconnu"))</f>
        <v/>
      </c>
      <c r="E99" s="74" t="str">
        <f aca="false">IF(C99="","",IFERROR(INDEX(ST_Unite,MATCH(C99,ST_Code,0)),""))</f>
        <v/>
      </c>
      <c r="F99" s="82"/>
      <c r="G99" s="68"/>
      <c r="H99" s="76" t="str">
        <f aca="false">IF(G99="","",IFERROR(INDEX(BC_Fourn,MATCH(G99,BC_Num,0)),""))</f>
        <v/>
      </c>
      <c r="I99" s="25"/>
      <c r="J99" s="25"/>
      <c r="K99" s="25"/>
      <c r="L99" s="25"/>
    </row>
    <row r="100" customFormat="false" ht="15" hidden="false" customHeight="false" outlineLevel="0" collapsed="false">
      <c r="A100" s="69"/>
      <c r="B100" s="68"/>
      <c r="C100" s="68"/>
      <c r="D100" s="76" t="str">
        <f aca="false">IF(C100="","",IFERROR(INDEX(ST_Design,MATCH(C100,ST_Code,0)),"Code inconnu"))</f>
        <v/>
      </c>
      <c r="E100" s="74" t="str">
        <f aca="false">IF(C100="","",IFERROR(INDEX(ST_Unite,MATCH(C100,ST_Code,0)),""))</f>
        <v/>
      </c>
      <c r="F100" s="82"/>
      <c r="G100" s="68"/>
      <c r="H100" s="76" t="str">
        <f aca="false">IF(G100="","",IFERROR(INDEX(BC_Fourn,MATCH(G100,BC_Num,0)),""))</f>
        <v/>
      </c>
      <c r="I100" s="25"/>
      <c r="J100" s="25"/>
      <c r="K100" s="25"/>
      <c r="L100" s="25"/>
    </row>
    <row r="101" customFormat="false" ht="15" hidden="false" customHeight="false" outlineLevel="0" collapsed="false">
      <c r="A101" s="69"/>
      <c r="B101" s="68"/>
      <c r="C101" s="68"/>
      <c r="D101" s="76" t="str">
        <f aca="false">IF(C101="","",IFERROR(INDEX(ST_Design,MATCH(C101,ST_Code,0)),"Code inconnu"))</f>
        <v/>
      </c>
      <c r="E101" s="74" t="str">
        <f aca="false">IF(C101="","",IFERROR(INDEX(ST_Unite,MATCH(C101,ST_Code,0)),""))</f>
        <v/>
      </c>
      <c r="F101" s="82"/>
      <c r="G101" s="68"/>
      <c r="H101" s="76" t="str">
        <f aca="false">IF(G101="","",IFERROR(INDEX(BC_Fourn,MATCH(G101,BC_Num,0)),""))</f>
        <v/>
      </c>
      <c r="I101" s="25"/>
      <c r="J101" s="25"/>
      <c r="K101" s="25"/>
      <c r="L101" s="25"/>
    </row>
    <row r="102" customFormat="false" ht="15" hidden="false" customHeight="false" outlineLevel="0" collapsed="false">
      <c r="A102" s="69"/>
      <c r="B102" s="68"/>
      <c r="C102" s="68"/>
      <c r="D102" s="76" t="str">
        <f aca="false">IF(C102="","",IFERROR(INDEX(ST_Design,MATCH(C102,ST_Code,0)),"Code inconnu"))</f>
        <v/>
      </c>
      <c r="E102" s="74" t="str">
        <f aca="false">IF(C102="","",IFERROR(INDEX(ST_Unite,MATCH(C102,ST_Code,0)),""))</f>
        <v/>
      </c>
      <c r="F102" s="82"/>
      <c r="G102" s="68"/>
      <c r="H102" s="76" t="str">
        <f aca="false">IF(G102="","",IFERROR(INDEX(BC_Fourn,MATCH(G102,BC_Num,0)),""))</f>
        <v/>
      </c>
      <c r="I102" s="25"/>
      <c r="J102" s="25"/>
      <c r="K102" s="25"/>
      <c r="L102" s="25"/>
    </row>
    <row r="103" customFormat="false" ht="15" hidden="false" customHeight="false" outlineLevel="0" collapsed="false">
      <c r="A103" s="69"/>
      <c r="B103" s="68"/>
      <c r="C103" s="68"/>
      <c r="D103" s="76" t="str">
        <f aca="false">IF(C103="","",IFERROR(INDEX(ST_Design,MATCH(C103,ST_Code,0)),"Code inconnu"))</f>
        <v/>
      </c>
      <c r="E103" s="74" t="str">
        <f aca="false">IF(C103="","",IFERROR(INDEX(ST_Unite,MATCH(C103,ST_Code,0)),""))</f>
        <v/>
      </c>
      <c r="F103" s="82"/>
      <c r="G103" s="68"/>
      <c r="H103" s="76" t="str">
        <f aca="false">IF(G103="","",IFERROR(INDEX(BC_Fourn,MATCH(G103,BC_Num,0)),""))</f>
        <v/>
      </c>
      <c r="I103" s="25"/>
      <c r="J103" s="25"/>
      <c r="K103" s="25"/>
      <c r="L103" s="25"/>
    </row>
    <row r="104" customFormat="false" ht="15" hidden="false" customHeight="false" outlineLevel="0" collapsed="false">
      <c r="A104" s="69"/>
      <c r="B104" s="68"/>
      <c r="C104" s="68"/>
      <c r="D104" s="76" t="str">
        <f aca="false">IF(C104="","",IFERROR(INDEX(ST_Design,MATCH(C104,ST_Code,0)),"Code inconnu"))</f>
        <v/>
      </c>
      <c r="E104" s="74" t="str">
        <f aca="false">IF(C104="","",IFERROR(INDEX(ST_Unite,MATCH(C104,ST_Code,0)),""))</f>
        <v/>
      </c>
      <c r="F104" s="82"/>
      <c r="G104" s="68"/>
      <c r="H104" s="76" t="str">
        <f aca="false">IF(G104="","",IFERROR(INDEX(BC_Fourn,MATCH(G104,BC_Num,0)),""))</f>
        <v/>
      </c>
      <c r="I104" s="25"/>
      <c r="J104" s="25"/>
      <c r="K104" s="25"/>
      <c r="L104" s="25"/>
    </row>
    <row r="105" customFormat="false" ht="15" hidden="false" customHeight="false" outlineLevel="0" collapsed="false">
      <c r="A105" s="69"/>
      <c r="B105" s="68"/>
      <c r="C105" s="68"/>
      <c r="D105" s="76" t="str">
        <f aca="false">IF(C105="","",IFERROR(INDEX(ST_Design,MATCH(C105,ST_Code,0)),"Code inconnu"))</f>
        <v/>
      </c>
      <c r="E105" s="74" t="str">
        <f aca="false">IF(C105="","",IFERROR(INDEX(ST_Unite,MATCH(C105,ST_Code,0)),""))</f>
        <v/>
      </c>
      <c r="F105" s="82"/>
      <c r="G105" s="68"/>
      <c r="H105" s="76" t="str">
        <f aca="false">IF(G105="","",IFERROR(INDEX(BC_Fourn,MATCH(G105,BC_Num,0)),""))</f>
        <v/>
      </c>
      <c r="I105" s="25"/>
      <c r="J105" s="25"/>
      <c r="K105" s="25"/>
      <c r="L105" s="25"/>
    </row>
    <row r="106" customFormat="false" ht="15" hidden="false" customHeight="false" outlineLevel="0" collapsed="false">
      <c r="A106" s="69"/>
      <c r="B106" s="68"/>
      <c r="C106" s="68"/>
      <c r="D106" s="76" t="str">
        <f aca="false">IF(C106="","",IFERROR(INDEX(ST_Design,MATCH(C106,ST_Code,0)),"Code inconnu"))</f>
        <v/>
      </c>
      <c r="E106" s="74" t="str">
        <f aca="false">IF(C106="","",IFERROR(INDEX(ST_Unite,MATCH(C106,ST_Code,0)),""))</f>
        <v/>
      </c>
      <c r="F106" s="82"/>
      <c r="G106" s="68"/>
      <c r="H106" s="76" t="str">
        <f aca="false">IF(G106="","",IFERROR(INDEX(BC_Fourn,MATCH(G106,BC_Num,0)),""))</f>
        <v/>
      </c>
      <c r="I106" s="25"/>
      <c r="J106" s="25"/>
      <c r="K106" s="25"/>
      <c r="L106" s="25"/>
    </row>
    <row r="107" customFormat="false" ht="15" hidden="false" customHeight="false" outlineLevel="0" collapsed="false">
      <c r="A107" s="69"/>
      <c r="B107" s="68"/>
      <c r="C107" s="68"/>
      <c r="D107" s="76" t="str">
        <f aca="false">IF(C107="","",IFERROR(INDEX(ST_Design,MATCH(C107,ST_Code,0)),"Code inconnu"))</f>
        <v/>
      </c>
      <c r="E107" s="74" t="str">
        <f aca="false">IF(C107="","",IFERROR(INDEX(ST_Unite,MATCH(C107,ST_Code,0)),""))</f>
        <v/>
      </c>
      <c r="F107" s="82"/>
      <c r="G107" s="68"/>
      <c r="H107" s="76" t="str">
        <f aca="false">IF(G107="","",IFERROR(INDEX(BC_Fourn,MATCH(G107,BC_Num,0)),""))</f>
        <v/>
      </c>
      <c r="I107" s="25"/>
      <c r="J107" s="25"/>
      <c r="K107" s="25"/>
      <c r="L107" s="25"/>
    </row>
    <row r="108" customFormat="false" ht="15" hidden="false" customHeight="false" outlineLevel="0" collapsed="false">
      <c r="A108" s="69"/>
      <c r="B108" s="68"/>
      <c r="C108" s="68"/>
      <c r="D108" s="76" t="str">
        <f aca="false">IF(C108="","",IFERROR(INDEX(ST_Design,MATCH(C108,ST_Code,0)),"Code inconnu"))</f>
        <v/>
      </c>
      <c r="E108" s="74" t="str">
        <f aca="false">IF(C108="","",IFERROR(INDEX(ST_Unite,MATCH(C108,ST_Code,0)),""))</f>
        <v/>
      </c>
      <c r="F108" s="82"/>
      <c r="G108" s="68"/>
      <c r="H108" s="76" t="str">
        <f aca="false">IF(G108="","",IFERROR(INDEX(BC_Fourn,MATCH(G108,BC_Num,0)),""))</f>
        <v/>
      </c>
      <c r="I108" s="25"/>
      <c r="J108" s="25"/>
      <c r="K108" s="25"/>
      <c r="L108" s="25"/>
    </row>
    <row r="109" customFormat="false" ht="15" hidden="false" customHeight="false" outlineLevel="0" collapsed="false">
      <c r="A109" s="69"/>
      <c r="B109" s="68"/>
      <c r="C109" s="68"/>
      <c r="D109" s="76" t="str">
        <f aca="false">IF(C109="","",IFERROR(INDEX(ST_Design,MATCH(C109,ST_Code,0)),"Code inconnu"))</f>
        <v/>
      </c>
      <c r="E109" s="74" t="str">
        <f aca="false">IF(C109="","",IFERROR(INDEX(ST_Unite,MATCH(C109,ST_Code,0)),""))</f>
        <v/>
      </c>
      <c r="F109" s="82"/>
      <c r="G109" s="68"/>
      <c r="H109" s="76" t="str">
        <f aca="false">IF(G109="","",IFERROR(INDEX(BC_Fourn,MATCH(G109,BC_Num,0)),""))</f>
        <v/>
      </c>
      <c r="I109" s="25"/>
      <c r="J109" s="25"/>
      <c r="K109" s="25"/>
      <c r="L109" s="25"/>
    </row>
    <row r="110" customFormat="false" ht="15" hidden="false" customHeight="false" outlineLevel="0" collapsed="false">
      <c r="A110" s="69"/>
      <c r="B110" s="68"/>
      <c r="C110" s="68"/>
      <c r="D110" s="76" t="str">
        <f aca="false">IF(C110="","",IFERROR(INDEX(ST_Design,MATCH(C110,ST_Code,0)),"Code inconnu"))</f>
        <v/>
      </c>
      <c r="E110" s="74" t="str">
        <f aca="false">IF(C110="","",IFERROR(INDEX(ST_Unite,MATCH(C110,ST_Code,0)),""))</f>
        <v/>
      </c>
      <c r="F110" s="82"/>
      <c r="G110" s="68"/>
      <c r="H110" s="76" t="str">
        <f aca="false">IF(G110="","",IFERROR(INDEX(BC_Fourn,MATCH(G110,BC_Num,0)),""))</f>
        <v/>
      </c>
      <c r="I110" s="25"/>
      <c r="J110" s="25"/>
      <c r="K110" s="25"/>
      <c r="L110" s="25"/>
    </row>
    <row r="111" customFormat="false" ht="15" hidden="false" customHeight="false" outlineLevel="0" collapsed="false">
      <c r="A111" s="69"/>
      <c r="B111" s="68"/>
      <c r="C111" s="68"/>
      <c r="D111" s="76" t="str">
        <f aca="false">IF(C111="","",IFERROR(INDEX(ST_Design,MATCH(C111,ST_Code,0)),"Code inconnu"))</f>
        <v/>
      </c>
      <c r="E111" s="74" t="str">
        <f aca="false">IF(C111="","",IFERROR(INDEX(ST_Unite,MATCH(C111,ST_Code,0)),""))</f>
        <v/>
      </c>
      <c r="F111" s="82"/>
      <c r="G111" s="68"/>
      <c r="H111" s="76" t="str">
        <f aca="false">IF(G111="","",IFERROR(INDEX(BC_Fourn,MATCH(G111,BC_Num,0)),""))</f>
        <v/>
      </c>
      <c r="I111" s="25"/>
      <c r="J111" s="25"/>
      <c r="K111" s="25"/>
      <c r="L111" s="25"/>
    </row>
    <row r="112" customFormat="false" ht="15" hidden="false" customHeight="false" outlineLevel="0" collapsed="false">
      <c r="A112" s="69"/>
      <c r="B112" s="68"/>
      <c r="C112" s="68"/>
      <c r="D112" s="76" t="str">
        <f aca="false">IF(C112="","",IFERROR(INDEX(ST_Design,MATCH(C112,ST_Code,0)),"Code inconnu"))</f>
        <v/>
      </c>
      <c r="E112" s="74" t="str">
        <f aca="false">IF(C112="","",IFERROR(INDEX(ST_Unite,MATCH(C112,ST_Code,0)),""))</f>
        <v/>
      </c>
      <c r="F112" s="82"/>
      <c r="G112" s="68"/>
      <c r="H112" s="76" t="str">
        <f aca="false">IF(G112="","",IFERROR(INDEX(BC_Fourn,MATCH(G112,BC_Num,0)),""))</f>
        <v/>
      </c>
      <c r="I112" s="25"/>
      <c r="J112" s="25"/>
      <c r="K112" s="25"/>
      <c r="L112" s="25"/>
    </row>
    <row r="113" customFormat="false" ht="15" hidden="false" customHeight="false" outlineLevel="0" collapsed="false">
      <c r="A113" s="69"/>
      <c r="B113" s="68"/>
      <c r="C113" s="68"/>
      <c r="D113" s="76" t="str">
        <f aca="false">IF(C113="","",IFERROR(INDEX(ST_Design,MATCH(C113,ST_Code,0)),"Code inconnu"))</f>
        <v/>
      </c>
      <c r="E113" s="74" t="str">
        <f aca="false">IF(C113="","",IFERROR(INDEX(ST_Unite,MATCH(C113,ST_Code,0)),""))</f>
        <v/>
      </c>
      <c r="F113" s="82"/>
      <c r="G113" s="68"/>
      <c r="H113" s="76" t="str">
        <f aca="false">IF(G113="","",IFERROR(INDEX(BC_Fourn,MATCH(G113,BC_Num,0)),""))</f>
        <v/>
      </c>
      <c r="I113" s="25"/>
      <c r="J113" s="25"/>
      <c r="K113" s="25"/>
      <c r="L113" s="25"/>
    </row>
    <row r="114" customFormat="false" ht="15" hidden="false" customHeight="false" outlineLevel="0" collapsed="false">
      <c r="A114" s="69"/>
      <c r="B114" s="68"/>
      <c r="C114" s="68"/>
      <c r="D114" s="76" t="str">
        <f aca="false">IF(C114="","",IFERROR(INDEX(ST_Design,MATCH(C114,ST_Code,0)),"Code inconnu"))</f>
        <v/>
      </c>
      <c r="E114" s="74" t="str">
        <f aca="false">IF(C114="","",IFERROR(INDEX(ST_Unite,MATCH(C114,ST_Code,0)),""))</f>
        <v/>
      </c>
      <c r="F114" s="82"/>
      <c r="G114" s="68"/>
      <c r="H114" s="76" t="str">
        <f aca="false">IF(G114="","",IFERROR(INDEX(BC_Fourn,MATCH(G114,BC_Num,0)),""))</f>
        <v/>
      </c>
      <c r="I114" s="25"/>
      <c r="J114" s="25"/>
      <c r="K114" s="25"/>
      <c r="L114" s="25"/>
    </row>
    <row r="115" customFormat="false" ht="15" hidden="false" customHeight="false" outlineLevel="0" collapsed="false">
      <c r="A115" s="69"/>
      <c r="B115" s="68"/>
      <c r="C115" s="68"/>
      <c r="D115" s="76" t="str">
        <f aca="false">IF(C115="","",IFERROR(INDEX(ST_Design,MATCH(C115,ST_Code,0)),"Code inconnu"))</f>
        <v/>
      </c>
      <c r="E115" s="74" t="str">
        <f aca="false">IF(C115="","",IFERROR(INDEX(ST_Unite,MATCH(C115,ST_Code,0)),""))</f>
        <v/>
      </c>
      <c r="F115" s="82"/>
      <c r="G115" s="68"/>
      <c r="H115" s="76" t="str">
        <f aca="false">IF(G115="","",IFERROR(INDEX(BC_Fourn,MATCH(G115,BC_Num,0)),""))</f>
        <v/>
      </c>
      <c r="I115" s="25"/>
      <c r="J115" s="25"/>
      <c r="K115" s="25"/>
      <c r="L115" s="25"/>
    </row>
    <row r="116" customFormat="false" ht="15" hidden="false" customHeight="false" outlineLevel="0" collapsed="false">
      <c r="A116" s="69"/>
      <c r="B116" s="68"/>
      <c r="C116" s="68"/>
      <c r="D116" s="76" t="str">
        <f aca="false">IF(C116="","",IFERROR(INDEX(ST_Design,MATCH(C116,ST_Code,0)),"Code inconnu"))</f>
        <v/>
      </c>
      <c r="E116" s="74" t="str">
        <f aca="false">IF(C116="","",IFERROR(INDEX(ST_Unite,MATCH(C116,ST_Code,0)),""))</f>
        <v/>
      </c>
      <c r="F116" s="82"/>
      <c r="G116" s="68"/>
      <c r="H116" s="76" t="str">
        <f aca="false">IF(G116="","",IFERROR(INDEX(BC_Fourn,MATCH(G116,BC_Num,0)),""))</f>
        <v/>
      </c>
      <c r="I116" s="25"/>
      <c r="J116" s="25"/>
      <c r="K116" s="25"/>
      <c r="L116" s="25"/>
    </row>
    <row r="117" customFormat="false" ht="15" hidden="false" customHeight="false" outlineLevel="0" collapsed="false">
      <c r="A117" s="69"/>
      <c r="B117" s="68"/>
      <c r="C117" s="68"/>
      <c r="D117" s="76" t="str">
        <f aca="false">IF(C117="","",IFERROR(INDEX(ST_Design,MATCH(C117,ST_Code,0)),"Code inconnu"))</f>
        <v/>
      </c>
      <c r="E117" s="74" t="str">
        <f aca="false">IF(C117="","",IFERROR(INDEX(ST_Unite,MATCH(C117,ST_Code,0)),""))</f>
        <v/>
      </c>
      <c r="F117" s="82"/>
      <c r="G117" s="68"/>
      <c r="H117" s="76" t="str">
        <f aca="false">IF(G117="","",IFERROR(INDEX(BC_Fourn,MATCH(G117,BC_Num,0)),""))</f>
        <v/>
      </c>
      <c r="I117" s="25"/>
      <c r="J117" s="25"/>
      <c r="K117" s="25"/>
      <c r="L117" s="25"/>
    </row>
    <row r="118" customFormat="false" ht="15" hidden="false" customHeight="false" outlineLevel="0" collapsed="false">
      <c r="A118" s="69"/>
      <c r="B118" s="68"/>
      <c r="C118" s="68"/>
      <c r="D118" s="76" t="str">
        <f aca="false">IF(C118="","",IFERROR(INDEX(ST_Design,MATCH(C118,ST_Code,0)),"Code inconnu"))</f>
        <v/>
      </c>
      <c r="E118" s="74" t="str">
        <f aca="false">IF(C118="","",IFERROR(INDEX(ST_Unite,MATCH(C118,ST_Code,0)),""))</f>
        <v/>
      </c>
      <c r="F118" s="82"/>
      <c r="G118" s="68"/>
      <c r="H118" s="76" t="str">
        <f aca="false">IF(G118="","",IFERROR(INDEX(BC_Fourn,MATCH(G118,BC_Num,0)),""))</f>
        <v/>
      </c>
      <c r="I118" s="25"/>
      <c r="J118" s="25"/>
      <c r="K118" s="25"/>
      <c r="L118" s="25"/>
    </row>
    <row r="119" customFormat="false" ht="15" hidden="false" customHeight="false" outlineLevel="0" collapsed="false">
      <c r="A119" s="69"/>
      <c r="B119" s="68"/>
      <c r="C119" s="68"/>
      <c r="D119" s="76" t="str">
        <f aca="false">IF(C119="","",IFERROR(INDEX(ST_Design,MATCH(C119,ST_Code,0)),"Code inconnu"))</f>
        <v/>
      </c>
      <c r="E119" s="74" t="str">
        <f aca="false">IF(C119="","",IFERROR(INDEX(ST_Unite,MATCH(C119,ST_Code,0)),""))</f>
        <v/>
      </c>
      <c r="F119" s="82"/>
      <c r="G119" s="68"/>
      <c r="H119" s="76" t="str">
        <f aca="false">IF(G119="","",IFERROR(INDEX(BC_Fourn,MATCH(G119,BC_Num,0)),""))</f>
        <v/>
      </c>
      <c r="I119" s="25"/>
      <c r="J119" s="25"/>
      <c r="K119" s="25"/>
      <c r="L119" s="25"/>
    </row>
    <row r="120" customFormat="false" ht="15" hidden="false" customHeight="false" outlineLevel="0" collapsed="false">
      <c r="A120" s="69"/>
      <c r="B120" s="68"/>
      <c r="C120" s="68"/>
      <c r="D120" s="76" t="str">
        <f aca="false">IF(C120="","",IFERROR(INDEX(ST_Design,MATCH(C120,ST_Code,0)),"Code inconnu"))</f>
        <v/>
      </c>
      <c r="E120" s="74" t="str">
        <f aca="false">IF(C120="","",IFERROR(INDEX(ST_Unite,MATCH(C120,ST_Code,0)),""))</f>
        <v/>
      </c>
      <c r="F120" s="82"/>
      <c r="G120" s="68"/>
      <c r="H120" s="76" t="str">
        <f aca="false">IF(G120="","",IFERROR(INDEX(BC_Fourn,MATCH(G120,BC_Num,0)),""))</f>
        <v/>
      </c>
      <c r="I120" s="25"/>
      <c r="J120" s="25"/>
      <c r="K120" s="25"/>
      <c r="L120" s="25"/>
    </row>
    <row r="121" customFormat="false" ht="15" hidden="false" customHeight="false" outlineLevel="0" collapsed="false">
      <c r="A121" s="69"/>
      <c r="B121" s="68"/>
      <c r="C121" s="68"/>
      <c r="D121" s="76" t="str">
        <f aca="false">IF(C121="","",IFERROR(INDEX(ST_Design,MATCH(C121,ST_Code,0)),"Code inconnu"))</f>
        <v/>
      </c>
      <c r="E121" s="74" t="str">
        <f aca="false">IF(C121="","",IFERROR(INDEX(ST_Unite,MATCH(C121,ST_Code,0)),""))</f>
        <v/>
      </c>
      <c r="F121" s="82"/>
      <c r="G121" s="68"/>
      <c r="H121" s="76" t="str">
        <f aca="false">IF(G121="","",IFERROR(INDEX(BC_Fourn,MATCH(G121,BC_Num,0)),""))</f>
        <v/>
      </c>
      <c r="I121" s="25"/>
      <c r="J121" s="25"/>
      <c r="K121" s="25"/>
      <c r="L121" s="25"/>
    </row>
    <row r="122" customFormat="false" ht="15" hidden="false" customHeight="false" outlineLevel="0" collapsed="false">
      <c r="A122" s="69"/>
      <c r="B122" s="68"/>
      <c r="C122" s="68"/>
      <c r="D122" s="76" t="str">
        <f aca="false">IF(C122="","",IFERROR(INDEX(ST_Design,MATCH(C122,ST_Code,0)),"Code inconnu"))</f>
        <v/>
      </c>
      <c r="E122" s="74" t="str">
        <f aca="false">IF(C122="","",IFERROR(INDEX(ST_Unite,MATCH(C122,ST_Code,0)),""))</f>
        <v/>
      </c>
      <c r="F122" s="82"/>
      <c r="G122" s="68"/>
      <c r="H122" s="76" t="str">
        <f aca="false">IF(G122="","",IFERROR(INDEX(BC_Fourn,MATCH(G122,BC_Num,0)),""))</f>
        <v/>
      </c>
      <c r="I122" s="25"/>
      <c r="J122" s="25"/>
      <c r="K122" s="25"/>
      <c r="L122" s="25"/>
    </row>
    <row r="123" customFormat="false" ht="15" hidden="false" customHeight="false" outlineLevel="0" collapsed="false">
      <c r="A123" s="69"/>
      <c r="B123" s="68"/>
      <c r="C123" s="68"/>
      <c r="D123" s="76" t="str">
        <f aca="false">IF(C123="","",IFERROR(INDEX(ST_Design,MATCH(C123,ST_Code,0)),"Code inconnu"))</f>
        <v/>
      </c>
      <c r="E123" s="74" t="str">
        <f aca="false">IF(C123="","",IFERROR(INDEX(ST_Unite,MATCH(C123,ST_Code,0)),""))</f>
        <v/>
      </c>
      <c r="F123" s="82"/>
      <c r="G123" s="68"/>
      <c r="H123" s="76" t="str">
        <f aca="false">IF(G123="","",IFERROR(INDEX(BC_Fourn,MATCH(G123,BC_Num,0)),""))</f>
        <v/>
      </c>
      <c r="I123" s="25"/>
      <c r="J123" s="25"/>
      <c r="K123" s="25"/>
      <c r="L123" s="25"/>
    </row>
    <row r="124" customFormat="false" ht="15" hidden="false" customHeight="false" outlineLevel="0" collapsed="false">
      <c r="A124" s="69"/>
      <c r="B124" s="68"/>
      <c r="C124" s="68"/>
      <c r="D124" s="76" t="str">
        <f aca="false">IF(C124="","",IFERROR(INDEX(ST_Design,MATCH(C124,ST_Code,0)),"Code inconnu"))</f>
        <v/>
      </c>
      <c r="E124" s="74" t="str">
        <f aca="false">IF(C124="","",IFERROR(INDEX(ST_Unite,MATCH(C124,ST_Code,0)),""))</f>
        <v/>
      </c>
      <c r="F124" s="82"/>
      <c r="G124" s="68"/>
      <c r="H124" s="76" t="str">
        <f aca="false">IF(G124="","",IFERROR(INDEX(BC_Fourn,MATCH(G124,BC_Num,0)),""))</f>
        <v/>
      </c>
      <c r="I124" s="25"/>
      <c r="J124" s="25"/>
      <c r="K124" s="25"/>
      <c r="L124" s="25"/>
    </row>
    <row r="125" customFormat="false" ht="15" hidden="false" customHeight="false" outlineLevel="0" collapsed="false">
      <c r="A125" s="69"/>
      <c r="B125" s="68"/>
      <c r="C125" s="68"/>
      <c r="D125" s="76" t="str">
        <f aca="false">IF(C125="","",IFERROR(INDEX(ST_Design,MATCH(C125,ST_Code,0)),"Code inconnu"))</f>
        <v/>
      </c>
      <c r="E125" s="74" t="str">
        <f aca="false">IF(C125="","",IFERROR(INDEX(ST_Unite,MATCH(C125,ST_Code,0)),""))</f>
        <v/>
      </c>
      <c r="F125" s="82"/>
      <c r="G125" s="68"/>
      <c r="H125" s="76" t="str">
        <f aca="false">IF(G125="","",IFERROR(INDEX(BC_Fourn,MATCH(G125,BC_Num,0)),""))</f>
        <v/>
      </c>
      <c r="I125" s="25"/>
      <c r="J125" s="25"/>
      <c r="K125" s="25"/>
      <c r="L125" s="25"/>
    </row>
    <row r="126" customFormat="false" ht="15" hidden="false" customHeight="false" outlineLevel="0" collapsed="false">
      <c r="A126" s="69"/>
      <c r="B126" s="68"/>
      <c r="C126" s="68"/>
      <c r="D126" s="76" t="str">
        <f aca="false">IF(C126="","",IFERROR(INDEX(ST_Design,MATCH(C126,ST_Code,0)),"Code inconnu"))</f>
        <v/>
      </c>
      <c r="E126" s="74" t="str">
        <f aca="false">IF(C126="","",IFERROR(INDEX(ST_Unite,MATCH(C126,ST_Code,0)),""))</f>
        <v/>
      </c>
      <c r="F126" s="82"/>
      <c r="G126" s="68"/>
      <c r="H126" s="76" t="str">
        <f aca="false">IF(G126="","",IFERROR(INDEX(BC_Fourn,MATCH(G126,BC_Num,0)),""))</f>
        <v/>
      </c>
      <c r="I126" s="25"/>
      <c r="J126" s="25"/>
      <c r="K126" s="25"/>
      <c r="L126" s="25"/>
    </row>
    <row r="127" customFormat="false" ht="15" hidden="false" customHeight="false" outlineLevel="0" collapsed="false">
      <c r="A127" s="69"/>
      <c r="B127" s="68"/>
      <c r="C127" s="68"/>
      <c r="D127" s="76" t="str">
        <f aca="false">IF(C127="","",IFERROR(INDEX(ST_Design,MATCH(C127,ST_Code,0)),"Code inconnu"))</f>
        <v/>
      </c>
      <c r="E127" s="74" t="str">
        <f aca="false">IF(C127="","",IFERROR(INDEX(ST_Unite,MATCH(C127,ST_Code,0)),""))</f>
        <v/>
      </c>
      <c r="F127" s="82"/>
      <c r="G127" s="68"/>
      <c r="H127" s="76" t="str">
        <f aca="false">IF(G127="","",IFERROR(INDEX(BC_Fourn,MATCH(G127,BC_Num,0)),""))</f>
        <v/>
      </c>
      <c r="I127" s="25"/>
      <c r="J127" s="25"/>
      <c r="K127" s="25"/>
      <c r="L127" s="25"/>
    </row>
    <row r="128" customFormat="false" ht="15" hidden="false" customHeight="false" outlineLevel="0" collapsed="false">
      <c r="A128" s="69"/>
      <c r="B128" s="68"/>
      <c r="C128" s="68"/>
      <c r="D128" s="76" t="str">
        <f aca="false">IF(C128="","",IFERROR(INDEX(ST_Design,MATCH(C128,ST_Code,0)),"Code inconnu"))</f>
        <v/>
      </c>
      <c r="E128" s="74" t="str">
        <f aca="false">IF(C128="","",IFERROR(INDEX(ST_Unite,MATCH(C128,ST_Code,0)),""))</f>
        <v/>
      </c>
      <c r="F128" s="82"/>
      <c r="G128" s="68"/>
      <c r="H128" s="76" t="str">
        <f aca="false">IF(G128="","",IFERROR(INDEX(BC_Fourn,MATCH(G128,BC_Num,0)),""))</f>
        <v/>
      </c>
      <c r="I128" s="25"/>
      <c r="J128" s="25"/>
      <c r="K128" s="25"/>
      <c r="L128" s="25"/>
    </row>
    <row r="129" customFormat="false" ht="15" hidden="false" customHeight="false" outlineLevel="0" collapsed="false">
      <c r="A129" s="69"/>
      <c r="B129" s="68"/>
      <c r="C129" s="68"/>
      <c r="D129" s="76" t="str">
        <f aca="false">IF(C129="","",IFERROR(INDEX(ST_Design,MATCH(C129,ST_Code,0)),"Code inconnu"))</f>
        <v/>
      </c>
      <c r="E129" s="74" t="str">
        <f aca="false">IF(C129="","",IFERROR(INDEX(ST_Unite,MATCH(C129,ST_Code,0)),""))</f>
        <v/>
      </c>
      <c r="F129" s="82"/>
      <c r="G129" s="68"/>
      <c r="H129" s="76" t="str">
        <f aca="false">IF(G129="","",IFERROR(INDEX(BC_Fourn,MATCH(G129,BC_Num,0)),""))</f>
        <v/>
      </c>
      <c r="I129" s="25"/>
      <c r="J129" s="25"/>
      <c r="K129" s="25"/>
      <c r="L129" s="25"/>
    </row>
    <row r="130" customFormat="false" ht="15" hidden="false" customHeight="false" outlineLevel="0" collapsed="false">
      <c r="A130" s="69"/>
      <c r="B130" s="68"/>
      <c r="C130" s="68"/>
      <c r="D130" s="76" t="str">
        <f aca="false">IF(C130="","",IFERROR(INDEX(ST_Design,MATCH(C130,ST_Code,0)),"Code inconnu"))</f>
        <v/>
      </c>
      <c r="E130" s="74" t="str">
        <f aca="false">IF(C130="","",IFERROR(INDEX(ST_Unite,MATCH(C130,ST_Code,0)),""))</f>
        <v/>
      </c>
      <c r="F130" s="82"/>
      <c r="G130" s="68"/>
      <c r="H130" s="76" t="str">
        <f aca="false">IF(G130="","",IFERROR(INDEX(BC_Fourn,MATCH(G130,BC_Num,0)),""))</f>
        <v/>
      </c>
      <c r="I130" s="25"/>
      <c r="J130" s="25"/>
      <c r="K130" s="25"/>
      <c r="L130" s="25"/>
    </row>
    <row r="131" customFormat="false" ht="15" hidden="false" customHeight="false" outlineLevel="0" collapsed="false">
      <c r="A131" s="69"/>
      <c r="B131" s="68"/>
      <c r="C131" s="68"/>
      <c r="D131" s="76" t="str">
        <f aca="false">IF(C131="","",IFERROR(INDEX(ST_Design,MATCH(C131,ST_Code,0)),"Code inconnu"))</f>
        <v/>
      </c>
      <c r="E131" s="74" t="str">
        <f aca="false">IF(C131="","",IFERROR(INDEX(ST_Unite,MATCH(C131,ST_Code,0)),""))</f>
        <v/>
      </c>
      <c r="F131" s="82"/>
      <c r="G131" s="68"/>
      <c r="H131" s="76" t="str">
        <f aca="false">IF(G131="","",IFERROR(INDEX(BC_Fourn,MATCH(G131,BC_Num,0)),""))</f>
        <v/>
      </c>
      <c r="I131" s="25"/>
      <c r="J131" s="25"/>
      <c r="K131" s="25"/>
      <c r="L131" s="25"/>
    </row>
    <row r="132" customFormat="false" ht="15" hidden="false" customHeight="false" outlineLevel="0" collapsed="false">
      <c r="A132" s="69"/>
      <c r="B132" s="68"/>
      <c r="C132" s="68"/>
      <c r="D132" s="76" t="str">
        <f aca="false">IF(C132="","",IFERROR(INDEX(ST_Design,MATCH(C132,ST_Code,0)),"Code inconnu"))</f>
        <v/>
      </c>
      <c r="E132" s="74" t="str">
        <f aca="false">IF(C132="","",IFERROR(INDEX(ST_Unite,MATCH(C132,ST_Code,0)),""))</f>
        <v/>
      </c>
      <c r="F132" s="82"/>
      <c r="G132" s="68"/>
      <c r="H132" s="76" t="str">
        <f aca="false">IF(G132="","",IFERROR(INDEX(BC_Fourn,MATCH(G132,BC_Num,0)),""))</f>
        <v/>
      </c>
      <c r="I132" s="25"/>
      <c r="J132" s="25"/>
      <c r="K132" s="25"/>
      <c r="L132" s="25"/>
    </row>
    <row r="133" customFormat="false" ht="15" hidden="false" customHeight="false" outlineLevel="0" collapsed="false">
      <c r="A133" s="69"/>
      <c r="B133" s="68"/>
      <c r="C133" s="68"/>
      <c r="D133" s="76" t="str">
        <f aca="false">IF(C133="","",IFERROR(INDEX(ST_Design,MATCH(C133,ST_Code,0)),"Code inconnu"))</f>
        <v/>
      </c>
      <c r="E133" s="74" t="str">
        <f aca="false">IF(C133="","",IFERROR(INDEX(ST_Unite,MATCH(C133,ST_Code,0)),""))</f>
        <v/>
      </c>
      <c r="F133" s="82"/>
      <c r="G133" s="68"/>
      <c r="H133" s="76" t="str">
        <f aca="false">IF(G133="","",IFERROR(INDEX(BC_Fourn,MATCH(G133,BC_Num,0)),""))</f>
        <v/>
      </c>
      <c r="I133" s="25"/>
      <c r="J133" s="25"/>
      <c r="K133" s="25"/>
      <c r="L133" s="25"/>
    </row>
    <row r="134" customFormat="false" ht="15" hidden="false" customHeight="false" outlineLevel="0" collapsed="false">
      <c r="A134" s="69"/>
      <c r="B134" s="68"/>
      <c r="C134" s="68"/>
      <c r="D134" s="76" t="str">
        <f aca="false">IF(C134="","",IFERROR(INDEX(ST_Design,MATCH(C134,ST_Code,0)),"Code inconnu"))</f>
        <v/>
      </c>
      <c r="E134" s="74" t="str">
        <f aca="false">IF(C134="","",IFERROR(INDEX(ST_Unite,MATCH(C134,ST_Code,0)),""))</f>
        <v/>
      </c>
      <c r="F134" s="82"/>
      <c r="G134" s="68"/>
      <c r="H134" s="76" t="str">
        <f aca="false">IF(G134="","",IFERROR(INDEX(BC_Fourn,MATCH(G134,BC_Num,0)),""))</f>
        <v/>
      </c>
      <c r="I134" s="25"/>
      <c r="J134" s="25"/>
      <c r="K134" s="25"/>
      <c r="L134" s="25"/>
    </row>
    <row r="135" customFormat="false" ht="15" hidden="false" customHeight="false" outlineLevel="0" collapsed="false">
      <c r="A135" s="69"/>
      <c r="B135" s="68"/>
      <c r="C135" s="68"/>
      <c r="D135" s="76" t="str">
        <f aca="false">IF(C135="","",IFERROR(INDEX(ST_Design,MATCH(C135,ST_Code,0)),"Code inconnu"))</f>
        <v/>
      </c>
      <c r="E135" s="74" t="str">
        <f aca="false">IF(C135="","",IFERROR(INDEX(ST_Unite,MATCH(C135,ST_Code,0)),""))</f>
        <v/>
      </c>
      <c r="F135" s="82"/>
      <c r="G135" s="68"/>
      <c r="H135" s="76" t="str">
        <f aca="false">IF(G135="","",IFERROR(INDEX(BC_Fourn,MATCH(G135,BC_Num,0)),""))</f>
        <v/>
      </c>
      <c r="I135" s="25"/>
      <c r="J135" s="25"/>
      <c r="K135" s="25"/>
      <c r="L135" s="25"/>
    </row>
    <row r="136" customFormat="false" ht="15" hidden="false" customHeight="false" outlineLevel="0" collapsed="false">
      <c r="A136" s="69"/>
      <c r="B136" s="68"/>
      <c r="C136" s="68"/>
      <c r="D136" s="76" t="str">
        <f aca="false">IF(C136="","",IFERROR(INDEX(ST_Design,MATCH(C136,ST_Code,0)),"Code inconnu"))</f>
        <v/>
      </c>
      <c r="E136" s="74" t="str">
        <f aca="false">IF(C136="","",IFERROR(INDEX(ST_Unite,MATCH(C136,ST_Code,0)),""))</f>
        <v/>
      </c>
      <c r="F136" s="82"/>
      <c r="G136" s="68"/>
      <c r="H136" s="76" t="str">
        <f aca="false">IF(G136="","",IFERROR(INDEX(BC_Fourn,MATCH(G136,BC_Num,0)),""))</f>
        <v/>
      </c>
      <c r="I136" s="25"/>
      <c r="J136" s="25"/>
      <c r="K136" s="25"/>
      <c r="L136" s="25"/>
    </row>
    <row r="137" customFormat="false" ht="15" hidden="false" customHeight="false" outlineLevel="0" collapsed="false">
      <c r="A137" s="69"/>
      <c r="B137" s="68"/>
      <c r="C137" s="68"/>
      <c r="D137" s="76" t="str">
        <f aca="false">IF(C137="","",IFERROR(INDEX(ST_Design,MATCH(C137,ST_Code,0)),"Code inconnu"))</f>
        <v/>
      </c>
      <c r="E137" s="74" t="str">
        <f aca="false">IF(C137="","",IFERROR(INDEX(ST_Unite,MATCH(C137,ST_Code,0)),""))</f>
        <v/>
      </c>
      <c r="F137" s="82"/>
      <c r="G137" s="68"/>
      <c r="H137" s="76" t="str">
        <f aca="false">IF(G137="","",IFERROR(INDEX(BC_Fourn,MATCH(G137,BC_Num,0)),""))</f>
        <v/>
      </c>
      <c r="I137" s="25"/>
      <c r="J137" s="25"/>
      <c r="K137" s="25"/>
      <c r="L137" s="25"/>
    </row>
    <row r="138" customFormat="false" ht="15" hidden="false" customHeight="false" outlineLevel="0" collapsed="false">
      <c r="A138" s="69"/>
      <c r="B138" s="68"/>
      <c r="C138" s="68"/>
      <c r="D138" s="76" t="str">
        <f aca="false">IF(C138="","",IFERROR(INDEX(ST_Design,MATCH(C138,ST_Code,0)),"Code inconnu"))</f>
        <v/>
      </c>
      <c r="E138" s="74" t="str">
        <f aca="false">IF(C138="","",IFERROR(INDEX(ST_Unite,MATCH(C138,ST_Code,0)),""))</f>
        <v/>
      </c>
      <c r="F138" s="82"/>
      <c r="G138" s="68"/>
      <c r="H138" s="76" t="str">
        <f aca="false">IF(G138="","",IFERROR(INDEX(BC_Fourn,MATCH(G138,BC_Num,0)),""))</f>
        <v/>
      </c>
      <c r="I138" s="25"/>
      <c r="J138" s="25"/>
      <c r="K138" s="25"/>
      <c r="L138" s="25"/>
    </row>
    <row r="139" customFormat="false" ht="15" hidden="false" customHeight="false" outlineLevel="0" collapsed="false">
      <c r="A139" s="69"/>
      <c r="B139" s="68"/>
      <c r="C139" s="68"/>
      <c r="D139" s="76" t="str">
        <f aca="false">IF(C139="","",IFERROR(INDEX(ST_Design,MATCH(C139,ST_Code,0)),"Code inconnu"))</f>
        <v/>
      </c>
      <c r="E139" s="74" t="str">
        <f aca="false">IF(C139="","",IFERROR(INDEX(ST_Unite,MATCH(C139,ST_Code,0)),""))</f>
        <v/>
      </c>
      <c r="F139" s="82"/>
      <c r="G139" s="68"/>
      <c r="H139" s="76" t="str">
        <f aca="false">IF(G139="","",IFERROR(INDEX(BC_Fourn,MATCH(G139,BC_Num,0)),""))</f>
        <v/>
      </c>
      <c r="I139" s="25"/>
      <c r="J139" s="25"/>
      <c r="K139" s="25"/>
      <c r="L139" s="25"/>
    </row>
    <row r="140" customFormat="false" ht="15" hidden="false" customHeight="false" outlineLevel="0" collapsed="false">
      <c r="A140" s="69"/>
      <c r="B140" s="68"/>
      <c r="C140" s="68"/>
      <c r="D140" s="76" t="str">
        <f aca="false">IF(C140="","",IFERROR(INDEX(ST_Design,MATCH(C140,ST_Code,0)),"Code inconnu"))</f>
        <v/>
      </c>
      <c r="E140" s="74" t="str">
        <f aca="false">IF(C140="","",IFERROR(INDEX(ST_Unite,MATCH(C140,ST_Code,0)),""))</f>
        <v/>
      </c>
      <c r="F140" s="82"/>
      <c r="G140" s="68"/>
      <c r="H140" s="76" t="str">
        <f aca="false">IF(G140="","",IFERROR(INDEX(BC_Fourn,MATCH(G140,BC_Num,0)),""))</f>
        <v/>
      </c>
      <c r="I140" s="25"/>
      <c r="J140" s="25"/>
      <c r="K140" s="25"/>
      <c r="L140" s="25"/>
    </row>
    <row r="141" customFormat="false" ht="15" hidden="false" customHeight="false" outlineLevel="0" collapsed="false">
      <c r="A141" s="69"/>
      <c r="B141" s="68"/>
      <c r="C141" s="68"/>
      <c r="D141" s="76" t="str">
        <f aca="false">IF(C141="","",IFERROR(INDEX(ST_Design,MATCH(C141,ST_Code,0)),"Code inconnu"))</f>
        <v/>
      </c>
      <c r="E141" s="74" t="str">
        <f aca="false">IF(C141="","",IFERROR(INDEX(ST_Unite,MATCH(C141,ST_Code,0)),""))</f>
        <v/>
      </c>
      <c r="F141" s="82"/>
      <c r="G141" s="68"/>
      <c r="H141" s="76" t="str">
        <f aca="false">IF(G141="","",IFERROR(INDEX(BC_Fourn,MATCH(G141,BC_Num,0)),""))</f>
        <v/>
      </c>
      <c r="I141" s="25"/>
      <c r="J141" s="25"/>
      <c r="K141" s="25"/>
      <c r="L141" s="25"/>
    </row>
    <row r="142" customFormat="false" ht="15" hidden="false" customHeight="false" outlineLevel="0" collapsed="false">
      <c r="A142" s="69"/>
      <c r="B142" s="68"/>
      <c r="C142" s="68"/>
      <c r="D142" s="76" t="str">
        <f aca="false">IF(C142="","",IFERROR(INDEX(ST_Design,MATCH(C142,ST_Code,0)),"Code inconnu"))</f>
        <v/>
      </c>
      <c r="E142" s="74" t="str">
        <f aca="false">IF(C142="","",IFERROR(INDEX(ST_Unite,MATCH(C142,ST_Code,0)),""))</f>
        <v/>
      </c>
      <c r="F142" s="82"/>
      <c r="G142" s="68"/>
      <c r="H142" s="76" t="str">
        <f aca="false">IF(G142="","",IFERROR(INDEX(BC_Fourn,MATCH(G142,BC_Num,0)),""))</f>
        <v/>
      </c>
      <c r="I142" s="25"/>
      <c r="J142" s="25"/>
      <c r="K142" s="25"/>
      <c r="L142" s="25"/>
    </row>
    <row r="143" customFormat="false" ht="15" hidden="false" customHeight="false" outlineLevel="0" collapsed="false">
      <c r="A143" s="69"/>
      <c r="B143" s="68"/>
      <c r="C143" s="68"/>
      <c r="D143" s="76" t="str">
        <f aca="false">IF(C143="","",IFERROR(INDEX(ST_Design,MATCH(C143,ST_Code,0)),"Code inconnu"))</f>
        <v/>
      </c>
      <c r="E143" s="74" t="str">
        <f aca="false">IF(C143="","",IFERROR(INDEX(ST_Unite,MATCH(C143,ST_Code,0)),""))</f>
        <v/>
      </c>
      <c r="F143" s="82"/>
      <c r="G143" s="68"/>
      <c r="H143" s="76" t="str">
        <f aca="false">IF(G143="","",IFERROR(INDEX(BC_Fourn,MATCH(G143,BC_Num,0)),""))</f>
        <v/>
      </c>
      <c r="I143" s="25"/>
      <c r="J143" s="25"/>
      <c r="K143" s="25"/>
      <c r="L143" s="25"/>
    </row>
    <row r="144" customFormat="false" ht="15" hidden="false" customHeight="false" outlineLevel="0" collapsed="false">
      <c r="A144" s="69"/>
      <c r="B144" s="68"/>
      <c r="C144" s="68"/>
      <c r="D144" s="76" t="str">
        <f aca="false">IF(C144="","",IFERROR(INDEX(ST_Design,MATCH(C144,ST_Code,0)),"Code inconnu"))</f>
        <v/>
      </c>
      <c r="E144" s="74" t="str">
        <f aca="false">IF(C144="","",IFERROR(INDEX(ST_Unite,MATCH(C144,ST_Code,0)),""))</f>
        <v/>
      </c>
      <c r="F144" s="82"/>
      <c r="G144" s="68"/>
      <c r="H144" s="76" t="str">
        <f aca="false">IF(G144="","",IFERROR(INDEX(BC_Fourn,MATCH(G144,BC_Num,0)),""))</f>
        <v/>
      </c>
      <c r="I144" s="25"/>
      <c r="J144" s="25"/>
      <c r="K144" s="25"/>
      <c r="L144" s="25"/>
    </row>
    <row r="145" customFormat="false" ht="15" hidden="false" customHeight="false" outlineLevel="0" collapsed="false">
      <c r="A145" s="69"/>
      <c r="B145" s="68"/>
      <c r="C145" s="68"/>
      <c r="D145" s="76" t="str">
        <f aca="false">IF(C145="","",IFERROR(INDEX(ST_Design,MATCH(C145,ST_Code,0)),"Code inconnu"))</f>
        <v/>
      </c>
      <c r="E145" s="74" t="str">
        <f aca="false">IF(C145="","",IFERROR(INDEX(ST_Unite,MATCH(C145,ST_Code,0)),""))</f>
        <v/>
      </c>
      <c r="F145" s="82"/>
      <c r="G145" s="68"/>
      <c r="H145" s="76" t="str">
        <f aca="false">IF(G145="","",IFERROR(INDEX(BC_Fourn,MATCH(G145,BC_Num,0)),""))</f>
        <v/>
      </c>
      <c r="I145" s="25"/>
      <c r="J145" s="25"/>
      <c r="K145" s="25"/>
      <c r="L145" s="25"/>
    </row>
    <row r="146" customFormat="false" ht="15" hidden="false" customHeight="false" outlineLevel="0" collapsed="false">
      <c r="A146" s="69"/>
      <c r="B146" s="68"/>
      <c r="C146" s="68"/>
      <c r="D146" s="76" t="str">
        <f aca="false">IF(C146="","",IFERROR(INDEX(ST_Design,MATCH(C146,ST_Code,0)),"Code inconnu"))</f>
        <v/>
      </c>
      <c r="E146" s="74" t="str">
        <f aca="false">IF(C146="","",IFERROR(INDEX(ST_Unite,MATCH(C146,ST_Code,0)),""))</f>
        <v/>
      </c>
      <c r="F146" s="82"/>
      <c r="G146" s="68"/>
      <c r="H146" s="76" t="str">
        <f aca="false">IF(G146="","",IFERROR(INDEX(BC_Fourn,MATCH(G146,BC_Num,0)),""))</f>
        <v/>
      </c>
      <c r="I146" s="25"/>
      <c r="J146" s="25"/>
      <c r="K146" s="25"/>
      <c r="L146" s="25"/>
    </row>
    <row r="147" customFormat="false" ht="15" hidden="false" customHeight="false" outlineLevel="0" collapsed="false">
      <c r="A147" s="69"/>
      <c r="B147" s="68"/>
      <c r="C147" s="68"/>
      <c r="D147" s="76" t="str">
        <f aca="false">IF(C147="","",IFERROR(INDEX(ST_Design,MATCH(C147,ST_Code,0)),"Code inconnu"))</f>
        <v/>
      </c>
      <c r="E147" s="74" t="str">
        <f aca="false">IF(C147="","",IFERROR(INDEX(ST_Unite,MATCH(C147,ST_Code,0)),""))</f>
        <v/>
      </c>
      <c r="F147" s="82"/>
      <c r="G147" s="68"/>
      <c r="H147" s="76" t="str">
        <f aca="false">IF(G147="","",IFERROR(INDEX(BC_Fourn,MATCH(G147,BC_Num,0)),""))</f>
        <v/>
      </c>
      <c r="I147" s="25"/>
      <c r="J147" s="25"/>
      <c r="K147" s="25"/>
      <c r="L147" s="25"/>
    </row>
    <row r="148" customFormat="false" ht="15" hidden="false" customHeight="false" outlineLevel="0" collapsed="false">
      <c r="A148" s="69"/>
      <c r="B148" s="68"/>
      <c r="C148" s="68"/>
      <c r="D148" s="76" t="str">
        <f aca="false">IF(C148="","",IFERROR(INDEX(ST_Design,MATCH(C148,ST_Code,0)),"Code inconnu"))</f>
        <v/>
      </c>
      <c r="E148" s="74" t="str">
        <f aca="false">IF(C148="","",IFERROR(INDEX(ST_Unite,MATCH(C148,ST_Code,0)),""))</f>
        <v/>
      </c>
      <c r="F148" s="82"/>
      <c r="G148" s="68"/>
      <c r="H148" s="76" t="str">
        <f aca="false">IF(G148="","",IFERROR(INDEX(BC_Fourn,MATCH(G148,BC_Num,0)),""))</f>
        <v/>
      </c>
      <c r="I148" s="25"/>
      <c r="J148" s="25"/>
      <c r="K148" s="25"/>
      <c r="L148" s="25"/>
    </row>
    <row r="149" customFormat="false" ht="15" hidden="false" customHeight="false" outlineLevel="0" collapsed="false">
      <c r="A149" s="69"/>
      <c r="B149" s="68"/>
      <c r="C149" s="68"/>
      <c r="D149" s="76" t="str">
        <f aca="false">IF(C149="","",IFERROR(INDEX(ST_Design,MATCH(C149,ST_Code,0)),"Code inconnu"))</f>
        <v/>
      </c>
      <c r="E149" s="74" t="str">
        <f aca="false">IF(C149="","",IFERROR(INDEX(ST_Unite,MATCH(C149,ST_Code,0)),""))</f>
        <v/>
      </c>
      <c r="F149" s="82"/>
      <c r="G149" s="68"/>
      <c r="H149" s="76" t="str">
        <f aca="false">IF(G149="","",IFERROR(INDEX(BC_Fourn,MATCH(G149,BC_Num,0)),""))</f>
        <v/>
      </c>
      <c r="I149" s="25"/>
      <c r="J149" s="25"/>
      <c r="K149" s="25"/>
      <c r="L149" s="25"/>
    </row>
    <row r="150" customFormat="false" ht="15" hidden="false" customHeight="false" outlineLevel="0" collapsed="false">
      <c r="A150" s="69"/>
      <c r="B150" s="68"/>
      <c r="C150" s="68"/>
      <c r="D150" s="76" t="str">
        <f aca="false">IF(C150="","",IFERROR(INDEX(ST_Design,MATCH(C150,ST_Code,0)),"Code inconnu"))</f>
        <v/>
      </c>
      <c r="E150" s="74" t="str">
        <f aca="false">IF(C150="","",IFERROR(INDEX(ST_Unite,MATCH(C150,ST_Code,0)),""))</f>
        <v/>
      </c>
      <c r="F150" s="82"/>
      <c r="G150" s="68"/>
      <c r="H150" s="76" t="str">
        <f aca="false">IF(G150="","",IFERROR(INDEX(BC_Fourn,MATCH(G150,BC_Num,0)),""))</f>
        <v/>
      </c>
      <c r="I150" s="25"/>
      <c r="J150" s="25"/>
      <c r="K150" s="25"/>
      <c r="L150" s="25"/>
    </row>
    <row r="151" customFormat="false" ht="15" hidden="false" customHeight="false" outlineLevel="0" collapsed="false">
      <c r="A151" s="69"/>
      <c r="B151" s="68"/>
      <c r="C151" s="68"/>
      <c r="D151" s="76" t="str">
        <f aca="false">IF(C151="","",IFERROR(INDEX(ST_Design,MATCH(C151,ST_Code,0)),"Code inconnu"))</f>
        <v/>
      </c>
      <c r="E151" s="74" t="str">
        <f aca="false">IF(C151="","",IFERROR(INDEX(ST_Unite,MATCH(C151,ST_Code,0)),""))</f>
        <v/>
      </c>
      <c r="F151" s="82"/>
      <c r="G151" s="68"/>
      <c r="H151" s="76" t="str">
        <f aca="false">IF(G151="","",IFERROR(INDEX(BC_Fourn,MATCH(G151,BC_Num,0)),""))</f>
        <v/>
      </c>
      <c r="I151" s="25"/>
      <c r="J151" s="25"/>
      <c r="K151" s="25"/>
      <c r="L151" s="25"/>
    </row>
    <row r="152" customFormat="false" ht="15" hidden="false" customHeight="false" outlineLevel="0" collapsed="false">
      <c r="A152" s="69"/>
      <c r="B152" s="68"/>
      <c r="C152" s="68"/>
      <c r="D152" s="76" t="str">
        <f aca="false">IF(C152="","",IFERROR(INDEX(ST_Design,MATCH(C152,ST_Code,0)),"Code inconnu"))</f>
        <v/>
      </c>
      <c r="E152" s="74" t="str">
        <f aca="false">IF(C152="","",IFERROR(INDEX(ST_Unite,MATCH(C152,ST_Code,0)),""))</f>
        <v/>
      </c>
      <c r="F152" s="82"/>
      <c r="G152" s="68"/>
      <c r="H152" s="76" t="str">
        <f aca="false">IF(G152="","",IFERROR(INDEX(BC_Fourn,MATCH(G152,BC_Num,0)),""))</f>
        <v/>
      </c>
      <c r="I152" s="25"/>
      <c r="J152" s="25"/>
      <c r="K152" s="25"/>
      <c r="L152" s="25"/>
    </row>
    <row r="153" customFormat="false" ht="15" hidden="false" customHeight="false" outlineLevel="0" collapsed="false">
      <c r="A153" s="69"/>
      <c r="B153" s="68"/>
      <c r="C153" s="68"/>
      <c r="D153" s="76" t="str">
        <f aca="false">IF(C153="","",IFERROR(INDEX(ST_Design,MATCH(C153,ST_Code,0)),"Code inconnu"))</f>
        <v/>
      </c>
      <c r="E153" s="74" t="str">
        <f aca="false">IF(C153="","",IFERROR(INDEX(ST_Unite,MATCH(C153,ST_Code,0)),""))</f>
        <v/>
      </c>
      <c r="F153" s="82"/>
      <c r="G153" s="68"/>
      <c r="H153" s="76" t="str">
        <f aca="false">IF(G153="","",IFERROR(INDEX(BC_Fourn,MATCH(G153,BC_Num,0)),""))</f>
        <v/>
      </c>
      <c r="I153" s="25"/>
      <c r="J153" s="25"/>
      <c r="K153" s="25"/>
      <c r="L153" s="25"/>
    </row>
    <row r="154" customFormat="false" ht="15" hidden="false" customHeight="false" outlineLevel="0" collapsed="false">
      <c r="A154" s="69"/>
      <c r="B154" s="68"/>
      <c r="C154" s="68"/>
      <c r="D154" s="76" t="str">
        <f aca="false">IF(C154="","",IFERROR(INDEX(ST_Design,MATCH(C154,ST_Code,0)),"Code inconnu"))</f>
        <v/>
      </c>
      <c r="E154" s="74" t="str">
        <f aca="false">IF(C154="","",IFERROR(INDEX(ST_Unite,MATCH(C154,ST_Code,0)),""))</f>
        <v/>
      </c>
      <c r="F154" s="82"/>
      <c r="G154" s="68"/>
      <c r="H154" s="76" t="str">
        <f aca="false">IF(G154="","",IFERROR(INDEX(BC_Fourn,MATCH(G154,BC_Num,0)),""))</f>
        <v/>
      </c>
      <c r="I154" s="25"/>
      <c r="J154" s="25"/>
      <c r="K154" s="25"/>
      <c r="L154" s="25"/>
    </row>
    <row r="155" customFormat="false" ht="15" hidden="false" customHeight="false" outlineLevel="0" collapsed="false">
      <c r="A155" s="69"/>
      <c r="B155" s="68"/>
      <c r="C155" s="68"/>
      <c r="D155" s="76" t="str">
        <f aca="false">IF(C155="","",IFERROR(INDEX(ST_Design,MATCH(C155,ST_Code,0)),"Code inconnu"))</f>
        <v/>
      </c>
      <c r="E155" s="74" t="str">
        <f aca="false">IF(C155="","",IFERROR(INDEX(ST_Unite,MATCH(C155,ST_Code,0)),""))</f>
        <v/>
      </c>
      <c r="F155" s="82"/>
      <c r="G155" s="68"/>
      <c r="H155" s="76" t="str">
        <f aca="false">IF(G155="","",IFERROR(INDEX(BC_Fourn,MATCH(G155,BC_Num,0)),""))</f>
        <v/>
      </c>
      <c r="I155" s="25"/>
      <c r="J155" s="25"/>
      <c r="K155" s="25"/>
      <c r="L155" s="25"/>
    </row>
    <row r="156" customFormat="false" ht="15" hidden="false" customHeight="false" outlineLevel="0" collapsed="false">
      <c r="A156" s="69"/>
      <c r="B156" s="68"/>
      <c r="C156" s="68"/>
      <c r="D156" s="76" t="str">
        <f aca="false">IF(C156="","",IFERROR(INDEX(ST_Design,MATCH(C156,ST_Code,0)),"Code inconnu"))</f>
        <v/>
      </c>
      <c r="E156" s="74" t="str">
        <f aca="false">IF(C156="","",IFERROR(INDEX(ST_Unite,MATCH(C156,ST_Code,0)),""))</f>
        <v/>
      </c>
      <c r="F156" s="82"/>
      <c r="G156" s="68"/>
      <c r="H156" s="76" t="str">
        <f aca="false">IF(G156="","",IFERROR(INDEX(BC_Fourn,MATCH(G156,BC_Num,0)),""))</f>
        <v/>
      </c>
      <c r="I156" s="25"/>
      <c r="J156" s="25"/>
      <c r="K156" s="25"/>
      <c r="L156" s="25"/>
    </row>
    <row r="157" customFormat="false" ht="15" hidden="false" customHeight="false" outlineLevel="0" collapsed="false">
      <c r="A157" s="69"/>
      <c r="B157" s="68"/>
      <c r="C157" s="68"/>
      <c r="D157" s="76" t="str">
        <f aca="false">IF(C157="","",IFERROR(INDEX(ST_Design,MATCH(C157,ST_Code,0)),"Code inconnu"))</f>
        <v/>
      </c>
      <c r="E157" s="74" t="str">
        <f aca="false">IF(C157="","",IFERROR(INDEX(ST_Unite,MATCH(C157,ST_Code,0)),""))</f>
        <v/>
      </c>
      <c r="F157" s="82"/>
      <c r="G157" s="68"/>
      <c r="H157" s="76" t="str">
        <f aca="false">IF(G157="","",IFERROR(INDEX(BC_Fourn,MATCH(G157,BC_Num,0)),""))</f>
        <v/>
      </c>
      <c r="I157" s="25"/>
      <c r="J157" s="25"/>
      <c r="K157" s="25"/>
      <c r="L157" s="25"/>
    </row>
    <row r="158" customFormat="false" ht="15" hidden="false" customHeight="false" outlineLevel="0" collapsed="false">
      <c r="A158" s="69"/>
      <c r="B158" s="68"/>
      <c r="C158" s="68"/>
      <c r="D158" s="76" t="str">
        <f aca="false">IF(C158="","",IFERROR(INDEX(ST_Design,MATCH(C158,ST_Code,0)),"Code inconnu"))</f>
        <v/>
      </c>
      <c r="E158" s="74" t="str">
        <f aca="false">IF(C158="","",IFERROR(INDEX(ST_Unite,MATCH(C158,ST_Code,0)),""))</f>
        <v/>
      </c>
      <c r="F158" s="82"/>
      <c r="G158" s="68"/>
      <c r="H158" s="76" t="str">
        <f aca="false">IF(G158="","",IFERROR(INDEX(BC_Fourn,MATCH(G158,BC_Num,0)),""))</f>
        <v/>
      </c>
      <c r="I158" s="25"/>
      <c r="J158" s="25"/>
      <c r="K158" s="25"/>
      <c r="L158" s="25"/>
    </row>
    <row r="159" customFormat="false" ht="15" hidden="false" customHeight="false" outlineLevel="0" collapsed="false">
      <c r="A159" s="69"/>
      <c r="B159" s="68"/>
      <c r="C159" s="68"/>
      <c r="D159" s="76" t="str">
        <f aca="false">IF(C159="","",IFERROR(INDEX(ST_Design,MATCH(C159,ST_Code,0)),"Code inconnu"))</f>
        <v/>
      </c>
      <c r="E159" s="74" t="str">
        <f aca="false">IF(C159="","",IFERROR(INDEX(ST_Unite,MATCH(C159,ST_Code,0)),""))</f>
        <v/>
      </c>
      <c r="F159" s="82"/>
      <c r="G159" s="68"/>
      <c r="H159" s="76" t="str">
        <f aca="false">IF(G159="","",IFERROR(INDEX(BC_Fourn,MATCH(G159,BC_Num,0)),""))</f>
        <v/>
      </c>
      <c r="I159" s="25"/>
      <c r="J159" s="25"/>
      <c r="K159" s="25"/>
      <c r="L159" s="25"/>
    </row>
    <row r="160" customFormat="false" ht="15" hidden="false" customHeight="false" outlineLevel="0" collapsed="false">
      <c r="A160" s="69"/>
      <c r="B160" s="68"/>
      <c r="C160" s="68"/>
      <c r="D160" s="76" t="str">
        <f aca="false">IF(C160="","",IFERROR(INDEX(ST_Design,MATCH(C160,ST_Code,0)),"Code inconnu"))</f>
        <v/>
      </c>
      <c r="E160" s="74" t="str">
        <f aca="false">IF(C160="","",IFERROR(INDEX(ST_Unite,MATCH(C160,ST_Code,0)),""))</f>
        <v/>
      </c>
      <c r="F160" s="82"/>
      <c r="G160" s="68"/>
      <c r="H160" s="76" t="str">
        <f aca="false">IF(G160="","",IFERROR(INDEX(BC_Fourn,MATCH(G160,BC_Num,0)),""))</f>
        <v/>
      </c>
      <c r="I160" s="25"/>
      <c r="J160" s="25"/>
      <c r="K160" s="25"/>
      <c r="L160" s="25"/>
    </row>
    <row r="161" customFormat="false" ht="15" hidden="false" customHeight="false" outlineLevel="0" collapsed="false">
      <c r="A161" s="69"/>
      <c r="B161" s="68"/>
      <c r="C161" s="68"/>
      <c r="D161" s="76" t="str">
        <f aca="false">IF(C161="","",IFERROR(INDEX(ST_Design,MATCH(C161,ST_Code,0)),"Code inconnu"))</f>
        <v/>
      </c>
      <c r="E161" s="74" t="str">
        <f aca="false">IF(C161="","",IFERROR(INDEX(ST_Unite,MATCH(C161,ST_Code,0)),""))</f>
        <v/>
      </c>
      <c r="F161" s="82"/>
      <c r="G161" s="68"/>
      <c r="H161" s="76" t="str">
        <f aca="false">IF(G161="","",IFERROR(INDEX(BC_Fourn,MATCH(G161,BC_Num,0)),""))</f>
        <v/>
      </c>
      <c r="I161" s="25"/>
      <c r="J161" s="25"/>
      <c r="K161" s="25"/>
      <c r="L161" s="25"/>
    </row>
    <row r="162" customFormat="false" ht="15" hidden="false" customHeight="false" outlineLevel="0" collapsed="false">
      <c r="A162" s="69"/>
      <c r="B162" s="68"/>
      <c r="C162" s="68"/>
      <c r="D162" s="76" t="str">
        <f aca="false">IF(C162="","",IFERROR(INDEX(ST_Design,MATCH(C162,ST_Code,0)),"Code inconnu"))</f>
        <v/>
      </c>
      <c r="E162" s="74" t="str">
        <f aca="false">IF(C162="","",IFERROR(INDEX(ST_Unite,MATCH(C162,ST_Code,0)),""))</f>
        <v/>
      </c>
      <c r="F162" s="82"/>
      <c r="G162" s="68"/>
      <c r="H162" s="76" t="str">
        <f aca="false">IF(G162="","",IFERROR(INDEX(BC_Fourn,MATCH(G162,BC_Num,0)),""))</f>
        <v/>
      </c>
      <c r="I162" s="25"/>
      <c r="J162" s="25"/>
      <c r="K162" s="25"/>
      <c r="L162" s="25"/>
    </row>
    <row r="163" customFormat="false" ht="15" hidden="false" customHeight="false" outlineLevel="0" collapsed="false">
      <c r="A163" s="69"/>
      <c r="B163" s="68"/>
      <c r="C163" s="68"/>
      <c r="D163" s="76" t="str">
        <f aca="false">IF(C163="","",IFERROR(INDEX(ST_Design,MATCH(C163,ST_Code,0)),"Code inconnu"))</f>
        <v/>
      </c>
      <c r="E163" s="74" t="str">
        <f aca="false">IF(C163="","",IFERROR(INDEX(ST_Unite,MATCH(C163,ST_Code,0)),""))</f>
        <v/>
      </c>
      <c r="F163" s="82"/>
      <c r="G163" s="68"/>
      <c r="H163" s="76" t="str">
        <f aca="false">IF(G163="","",IFERROR(INDEX(BC_Fourn,MATCH(G163,BC_Num,0)),""))</f>
        <v/>
      </c>
      <c r="I163" s="25"/>
      <c r="J163" s="25"/>
      <c r="K163" s="25"/>
      <c r="L163" s="25"/>
    </row>
    <row r="164" customFormat="false" ht="15" hidden="false" customHeight="false" outlineLevel="0" collapsed="false">
      <c r="A164" s="69"/>
      <c r="B164" s="68"/>
      <c r="C164" s="68"/>
      <c r="D164" s="76" t="str">
        <f aca="false">IF(C164="","",IFERROR(INDEX(ST_Design,MATCH(C164,ST_Code,0)),"Code inconnu"))</f>
        <v/>
      </c>
      <c r="E164" s="74" t="str">
        <f aca="false">IF(C164="","",IFERROR(INDEX(ST_Unite,MATCH(C164,ST_Code,0)),""))</f>
        <v/>
      </c>
      <c r="F164" s="82"/>
      <c r="G164" s="68"/>
      <c r="H164" s="76" t="str">
        <f aca="false">IF(G164="","",IFERROR(INDEX(BC_Fourn,MATCH(G164,BC_Num,0)),""))</f>
        <v/>
      </c>
      <c r="I164" s="25"/>
      <c r="J164" s="25"/>
      <c r="K164" s="25"/>
      <c r="L164" s="25"/>
    </row>
    <row r="165" customFormat="false" ht="15" hidden="false" customHeight="false" outlineLevel="0" collapsed="false">
      <c r="A165" s="69"/>
      <c r="B165" s="68"/>
      <c r="C165" s="68"/>
      <c r="D165" s="76" t="str">
        <f aca="false">IF(C165="","",IFERROR(INDEX(ST_Design,MATCH(C165,ST_Code,0)),"Code inconnu"))</f>
        <v/>
      </c>
      <c r="E165" s="74" t="str">
        <f aca="false">IF(C165="","",IFERROR(INDEX(ST_Unite,MATCH(C165,ST_Code,0)),""))</f>
        <v/>
      </c>
      <c r="F165" s="82"/>
      <c r="G165" s="68"/>
      <c r="H165" s="76" t="str">
        <f aca="false">IF(G165="","",IFERROR(INDEX(BC_Fourn,MATCH(G165,BC_Num,0)),""))</f>
        <v/>
      </c>
      <c r="I165" s="25"/>
      <c r="J165" s="25"/>
      <c r="K165" s="25"/>
      <c r="L165" s="25"/>
    </row>
    <row r="166" customFormat="false" ht="15" hidden="false" customHeight="false" outlineLevel="0" collapsed="false">
      <c r="A166" s="69"/>
      <c r="B166" s="68"/>
      <c r="C166" s="68"/>
      <c r="D166" s="76" t="str">
        <f aca="false">IF(C166="","",IFERROR(INDEX(ST_Design,MATCH(C166,ST_Code,0)),"Code inconnu"))</f>
        <v/>
      </c>
      <c r="E166" s="74" t="str">
        <f aca="false">IF(C166="","",IFERROR(INDEX(ST_Unite,MATCH(C166,ST_Code,0)),""))</f>
        <v/>
      </c>
      <c r="F166" s="82"/>
      <c r="G166" s="68"/>
      <c r="H166" s="76" t="str">
        <f aca="false">IF(G166="","",IFERROR(INDEX(BC_Fourn,MATCH(G166,BC_Num,0)),""))</f>
        <v/>
      </c>
      <c r="I166" s="25"/>
      <c r="J166" s="25"/>
      <c r="K166" s="25"/>
      <c r="L166" s="25"/>
    </row>
    <row r="167" customFormat="false" ht="15" hidden="false" customHeight="false" outlineLevel="0" collapsed="false">
      <c r="A167" s="69"/>
      <c r="B167" s="68"/>
      <c r="C167" s="68"/>
      <c r="D167" s="76" t="str">
        <f aca="false">IF(C167="","",IFERROR(INDEX(ST_Design,MATCH(C167,ST_Code,0)),"Code inconnu"))</f>
        <v/>
      </c>
      <c r="E167" s="74" t="str">
        <f aca="false">IF(C167="","",IFERROR(INDEX(ST_Unite,MATCH(C167,ST_Code,0)),""))</f>
        <v/>
      </c>
      <c r="F167" s="82"/>
      <c r="G167" s="68"/>
      <c r="H167" s="76" t="str">
        <f aca="false">IF(G167="","",IFERROR(INDEX(BC_Fourn,MATCH(G167,BC_Num,0)),""))</f>
        <v/>
      </c>
      <c r="I167" s="25"/>
      <c r="J167" s="25"/>
      <c r="K167" s="25"/>
      <c r="L167" s="25"/>
    </row>
    <row r="168" customFormat="false" ht="15" hidden="false" customHeight="false" outlineLevel="0" collapsed="false">
      <c r="A168" s="69"/>
      <c r="B168" s="68"/>
      <c r="C168" s="68"/>
      <c r="D168" s="76" t="str">
        <f aca="false">IF(C168="","",IFERROR(INDEX(ST_Design,MATCH(C168,ST_Code,0)),"Code inconnu"))</f>
        <v/>
      </c>
      <c r="E168" s="74" t="str">
        <f aca="false">IF(C168="","",IFERROR(INDEX(ST_Unite,MATCH(C168,ST_Code,0)),""))</f>
        <v/>
      </c>
      <c r="F168" s="82"/>
      <c r="G168" s="68"/>
      <c r="H168" s="76" t="str">
        <f aca="false">IF(G168="","",IFERROR(INDEX(BC_Fourn,MATCH(G168,BC_Num,0)),""))</f>
        <v/>
      </c>
      <c r="I168" s="25"/>
      <c r="J168" s="25"/>
      <c r="K168" s="25"/>
      <c r="L168" s="25"/>
    </row>
    <row r="169" customFormat="false" ht="15" hidden="false" customHeight="false" outlineLevel="0" collapsed="false">
      <c r="A169" s="69"/>
      <c r="B169" s="68"/>
      <c r="C169" s="68"/>
      <c r="D169" s="76" t="str">
        <f aca="false">IF(C169="","",IFERROR(INDEX(ST_Design,MATCH(C169,ST_Code,0)),"Code inconnu"))</f>
        <v/>
      </c>
      <c r="E169" s="74" t="str">
        <f aca="false">IF(C169="","",IFERROR(INDEX(ST_Unite,MATCH(C169,ST_Code,0)),""))</f>
        <v/>
      </c>
      <c r="F169" s="82"/>
      <c r="G169" s="68"/>
      <c r="H169" s="76" t="str">
        <f aca="false">IF(G169="","",IFERROR(INDEX(BC_Fourn,MATCH(G169,BC_Num,0)),""))</f>
        <v/>
      </c>
      <c r="I169" s="25"/>
      <c r="J169" s="25"/>
      <c r="K169" s="25"/>
      <c r="L169" s="25"/>
    </row>
    <row r="170" customFormat="false" ht="15" hidden="false" customHeight="false" outlineLevel="0" collapsed="false">
      <c r="A170" s="69"/>
      <c r="B170" s="68"/>
      <c r="C170" s="68"/>
      <c r="D170" s="76" t="str">
        <f aca="false">IF(C170="","",IFERROR(INDEX(ST_Design,MATCH(C170,ST_Code,0)),"Code inconnu"))</f>
        <v/>
      </c>
      <c r="E170" s="74" t="str">
        <f aca="false">IF(C170="","",IFERROR(INDEX(ST_Unite,MATCH(C170,ST_Code,0)),""))</f>
        <v/>
      </c>
      <c r="F170" s="82"/>
      <c r="G170" s="68"/>
      <c r="H170" s="76" t="str">
        <f aca="false">IF(G170="","",IFERROR(INDEX(BC_Fourn,MATCH(G170,BC_Num,0)),""))</f>
        <v/>
      </c>
      <c r="I170" s="25"/>
      <c r="J170" s="25"/>
      <c r="K170" s="25"/>
      <c r="L170" s="25"/>
    </row>
    <row r="171" customFormat="false" ht="15" hidden="false" customHeight="false" outlineLevel="0" collapsed="false">
      <c r="A171" s="69"/>
      <c r="B171" s="68"/>
      <c r="C171" s="68"/>
      <c r="D171" s="76" t="str">
        <f aca="false">IF(C171="","",IFERROR(INDEX(ST_Design,MATCH(C171,ST_Code,0)),"Code inconnu"))</f>
        <v/>
      </c>
      <c r="E171" s="74" t="str">
        <f aca="false">IF(C171="","",IFERROR(INDEX(ST_Unite,MATCH(C171,ST_Code,0)),""))</f>
        <v/>
      </c>
      <c r="F171" s="82"/>
      <c r="G171" s="68"/>
      <c r="H171" s="76" t="str">
        <f aca="false">IF(G171="","",IFERROR(INDEX(BC_Fourn,MATCH(G171,BC_Num,0)),""))</f>
        <v/>
      </c>
      <c r="I171" s="25"/>
      <c r="J171" s="25"/>
      <c r="K171" s="25"/>
      <c r="L171" s="25"/>
    </row>
    <row r="172" customFormat="false" ht="15" hidden="false" customHeight="false" outlineLevel="0" collapsed="false">
      <c r="A172" s="69"/>
      <c r="B172" s="68"/>
      <c r="C172" s="68"/>
      <c r="D172" s="76" t="str">
        <f aca="false">IF(C172="","",IFERROR(INDEX(ST_Design,MATCH(C172,ST_Code,0)),"Code inconnu"))</f>
        <v/>
      </c>
      <c r="E172" s="74" t="str">
        <f aca="false">IF(C172="","",IFERROR(INDEX(ST_Unite,MATCH(C172,ST_Code,0)),""))</f>
        <v/>
      </c>
      <c r="F172" s="82"/>
      <c r="G172" s="68"/>
      <c r="H172" s="76" t="str">
        <f aca="false">IF(G172="","",IFERROR(INDEX(BC_Fourn,MATCH(G172,BC_Num,0)),""))</f>
        <v/>
      </c>
      <c r="I172" s="25"/>
      <c r="J172" s="25"/>
      <c r="K172" s="25"/>
      <c r="L172" s="25"/>
    </row>
    <row r="173" customFormat="false" ht="15" hidden="false" customHeight="false" outlineLevel="0" collapsed="false">
      <c r="A173" s="69"/>
      <c r="B173" s="68"/>
      <c r="C173" s="68"/>
      <c r="D173" s="76" t="str">
        <f aca="false">IF(C173="","",IFERROR(INDEX(ST_Design,MATCH(C173,ST_Code,0)),"Code inconnu"))</f>
        <v/>
      </c>
      <c r="E173" s="74" t="str">
        <f aca="false">IF(C173="","",IFERROR(INDEX(ST_Unite,MATCH(C173,ST_Code,0)),""))</f>
        <v/>
      </c>
      <c r="F173" s="82"/>
      <c r="G173" s="68"/>
      <c r="H173" s="76" t="str">
        <f aca="false">IF(G173="","",IFERROR(INDEX(BC_Fourn,MATCH(G173,BC_Num,0)),""))</f>
        <v/>
      </c>
      <c r="I173" s="25"/>
      <c r="J173" s="25"/>
      <c r="K173" s="25"/>
      <c r="L173" s="25"/>
    </row>
    <row r="174" customFormat="false" ht="15" hidden="false" customHeight="false" outlineLevel="0" collapsed="false">
      <c r="A174" s="69"/>
      <c r="B174" s="68"/>
      <c r="C174" s="68"/>
      <c r="D174" s="76" t="str">
        <f aca="false">IF(C174="","",IFERROR(INDEX(ST_Design,MATCH(C174,ST_Code,0)),"Code inconnu"))</f>
        <v/>
      </c>
      <c r="E174" s="74" t="str">
        <f aca="false">IF(C174="","",IFERROR(INDEX(ST_Unite,MATCH(C174,ST_Code,0)),""))</f>
        <v/>
      </c>
      <c r="F174" s="82"/>
      <c r="G174" s="68"/>
      <c r="H174" s="76" t="str">
        <f aca="false">IF(G174="","",IFERROR(INDEX(BC_Fourn,MATCH(G174,BC_Num,0)),""))</f>
        <v/>
      </c>
      <c r="I174" s="25"/>
      <c r="J174" s="25"/>
      <c r="K174" s="25"/>
      <c r="L174" s="25"/>
    </row>
    <row r="175" customFormat="false" ht="15" hidden="false" customHeight="false" outlineLevel="0" collapsed="false">
      <c r="A175" s="69"/>
      <c r="B175" s="68"/>
      <c r="C175" s="68"/>
      <c r="D175" s="76" t="str">
        <f aca="false">IF(C175="","",IFERROR(INDEX(ST_Design,MATCH(C175,ST_Code,0)),"Code inconnu"))</f>
        <v/>
      </c>
      <c r="E175" s="74" t="str">
        <f aca="false">IF(C175="","",IFERROR(INDEX(ST_Unite,MATCH(C175,ST_Code,0)),""))</f>
        <v/>
      </c>
      <c r="F175" s="82"/>
      <c r="G175" s="68"/>
      <c r="H175" s="76" t="str">
        <f aca="false">IF(G175="","",IFERROR(INDEX(BC_Fourn,MATCH(G175,BC_Num,0)),""))</f>
        <v/>
      </c>
      <c r="I175" s="25"/>
      <c r="J175" s="25"/>
      <c r="K175" s="25"/>
      <c r="L175" s="25"/>
    </row>
    <row r="176" customFormat="false" ht="15" hidden="false" customHeight="false" outlineLevel="0" collapsed="false">
      <c r="A176" s="69"/>
      <c r="B176" s="68"/>
      <c r="C176" s="68"/>
      <c r="D176" s="76" t="str">
        <f aca="false">IF(C176="","",IFERROR(INDEX(ST_Design,MATCH(C176,ST_Code,0)),"Code inconnu"))</f>
        <v/>
      </c>
      <c r="E176" s="74" t="str">
        <f aca="false">IF(C176="","",IFERROR(INDEX(ST_Unite,MATCH(C176,ST_Code,0)),""))</f>
        <v/>
      </c>
      <c r="F176" s="82"/>
      <c r="G176" s="68"/>
      <c r="H176" s="76" t="str">
        <f aca="false">IF(G176="","",IFERROR(INDEX(BC_Fourn,MATCH(G176,BC_Num,0)),""))</f>
        <v/>
      </c>
      <c r="I176" s="25"/>
      <c r="J176" s="25"/>
      <c r="K176" s="25"/>
      <c r="L176" s="25"/>
    </row>
    <row r="177" customFormat="false" ht="15" hidden="false" customHeight="false" outlineLevel="0" collapsed="false">
      <c r="A177" s="69"/>
      <c r="B177" s="68"/>
      <c r="C177" s="68"/>
      <c r="D177" s="76" t="str">
        <f aca="false">IF(C177="","",IFERROR(INDEX(ST_Design,MATCH(C177,ST_Code,0)),"Code inconnu"))</f>
        <v/>
      </c>
      <c r="E177" s="74" t="str">
        <f aca="false">IF(C177="","",IFERROR(INDEX(ST_Unite,MATCH(C177,ST_Code,0)),""))</f>
        <v/>
      </c>
      <c r="F177" s="82"/>
      <c r="G177" s="68"/>
      <c r="H177" s="76" t="str">
        <f aca="false">IF(G177="","",IFERROR(INDEX(BC_Fourn,MATCH(G177,BC_Num,0)),""))</f>
        <v/>
      </c>
      <c r="I177" s="25"/>
      <c r="J177" s="25"/>
      <c r="K177" s="25"/>
      <c r="L177" s="25"/>
    </row>
    <row r="178" customFormat="false" ht="15" hidden="false" customHeight="false" outlineLevel="0" collapsed="false">
      <c r="A178" s="69"/>
      <c r="B178" s="68"/>
      <c r="C178" s="68"/>
      <c r="D178" s="76" t="str">
        <f aca="false">IF(C178="","",IFERROR(INDEX(ST_Design,MATCH(C178,ST_Code,0)),"Code inconnu"))</f>
        <v/>
      </c>
      <c r="E178" s="74" t="str">
        <f aca="false">IF(C178="","",IFERROR(INDEX(ST_Unite,MATCH(C178,ST_Code,0)),""))</f>
        <v/>
      </c>
      <c r="F178" s="82"/>
      <c r="G178" s="68"/>
      <c r="H178" s="76" t="str">
        <f aca="false">IF(G178="","",IFERROR(INDEX(BC_Fourn,MATCH(G178,BC_Num,0)),""))</f>
        <v/>
      </c>
      <c r="I178" s="25"/>
      <c r="J178" s="25"/>
      <c r="K178" s="25"/>
      <c r="L178" s="25"/>
    </row>
    <row r="179" customFormat="false" ht="15" hidden="false" customHeight="false" outlineLevel="0" collapsed="false">
      <c r="A179" s="69"/>
      <c r="B179" s="68"/>
      <c r="C179" s="68"/>
      <c r="D179" s="76" t="str">
        <f aca="false">IF(C179="","",IFERROR(INDEX(ST_Design,MATCH(C179,ST_Code,0)),"Code inconnu"))</f>
        <v/>
      </c>
      <c r="E179" s="74" t="str">
        <f aca="false">IF(C179="","",IFERROR(INDEX(ST_Unite,MATCH(C179,ST_Code,0)),""))</f>
        <v/>
      </c>
      <c r="F179" s="82"/>
      <c r="G179" s="68"/>
      <c r="H179" s="76" t="str">
        <f aca="false">IF(G179="","",IFERROR(INDEX(BC_Fourn,MATCH(G179,BC_Num,0)),""))</f>
        <v/>
      </c>
      <c r="I179" s="25"/>
      <c r="J179" s="25"/>
      <c r="K179" s="25"/>
      <c r="L179" s="25"/>
    </row>
    <row r="180" customFormat="false" ht="15" hidden="false" customHeight="false" outlineLevel="0" collapsed="false">
      <c r="A180" s="69"/>
      <c r="B180" s="68"/>
      <c r="C180" s="68"/>
      <c r="D180" s="76" t="str">
        <f aca="false">IF(C180="","",IFERROR(INDEX(ST_Design,MATCH(C180,ST_Code,0)),"Code inconnu"))</f>
        <v/>
      </c>
      <c r="E180" s="74" t="str">
        <f aca="false">IF(C180="","",IFERROR(INDEX(ST_Unite,MATCH(C180,ST_Code,0)),""))</f>
        <v/>
      </c>
      <c r="F180" s="82"/>
      <c r="G180" s="68"/>
      <c r="H180" s="76" t="str">
        <f aca="false">IF(G180="","",IFERROR(INDEX(BC_Fourn,MATCH(G180,BC_Num,0)),""))</f>
        <v/>
      </c>
      <c r="I180" s="25"/>
      <c r="J180" s="25"/>
      <c r="K180" s="25"/>
      <c r="L180" s="25"/>
    </row>
    <row r="181" customFormat="false" ht="15" hidden="false" customHeight="false" outlineLevel="0" collapsed="false">
      <c r="A181" s="69"/>
      <c r="B181" s="68"/>
      <c r="C181" s="68"/>
      <c r="D181" s="76" t="str">
        <f aca="false">IF(C181="","",IFERROR(INDEX(ST_Design,MATCH(C181,ST_Code,0)),"Code inconnu"))</f>
        <v/>
      </c>
      <c r="E181" s="74" t="str">
        <f aca="false">IF(C181="","",IFERROR(INDEX(ST_Unite,MATCH(C181,ST_Code,0)),""))</f>
        <v/>
      </c>
      <c r="F181" s="82"/>
      <c r="G181" s="68"/>
      <c r="H181" s="76" t="str">
        <f aca="false">IF(G181="","",IFERROR(INDEX(BC_Fourn,MATCH(G181,BC_Num,0)),""))</f>
        <v/>
      </c>
      <c r="I181" s="25"/>
      <c r="J181" s="25"/>
      <c r="K181" s="25"/>
      <c r="L181" s="25"/>
    </row>
    <row r="182" customFormat="false" ht="15" hidden="false" customHeight="false" outlineLevel="0" collapsed="false">
      <c r="A182" s="69"/>
      <c r="B182" s="68"/>
      <c r="C182" s="68"/>
      <c r="D182" s="76" t="str">
        <f aca="false">IF(C182="","",IFERROR(INDEX(ST_Design,MATCH(C182,ST_Code,0)),"Code inconnu"))</f>
        <v/>
      </c>
      <c r="E182" s="74" t="str">
        <f aca="false">IF(C182="","",IFERROR(INDEX(ST_Unite,MATCH(C182,ST_Code,0)),""))</f>
        <v/>
      </c>
      <c r="F182" s="82"/>
      <c r="G182" s="68"/>
      <c r="H182" s="76" t="str">
        <f aca="false">IF(G182="","",IFERROR(INDEX(BC_Fourn,MATCH(G182,BC_Num,0)),""))</f>
        <v/>
      </c>
      <c r="I182" s="25"/>
      <c r="J182" s="25"/>
      <c r="K182" s="25"/>
      <c r="L182" s="25"/>
    </row>
    <row r="183" customFormat="false" ht="15" hidden="false" customHeight="false" outlineLevel="0" collapsed="false">
      <c r="A183" s="69"/>
      <c r="B183" s="68"/>
      <c r="C183" s="68"/>
      <c r="D183" s="76" t="str">
        <f aca="false">IF(C183="","",IFERROR(INDEX(ST_Design,MATCH(C183,ST_Code,0)),"Code inconnu"))</f>
        <v/>
      </c>
      <c r="E183" s="74" t="str">
        <f aca="false">IF(C183="","",IFERROR(INDEX(ST_Unite,MATCH(C183,ST_Code,0)),""))</f>
        <v/>
      </c>
      <c r="F183" s="82"/>
      <c r="G183" s="68"/>
      <c r="H183" s="76" t="str">
        <f aca="false">IF(G183="","",IFERROR(INDEX(BC_Fourn,MATCH(G183,BC_Num,0)),""))</f>
        <v/>
      </c>
      <c r="I183" s="25"/>
      <c r="J183" s="25"/>
      <c r="K183" s="25"/>
      <c r="L183" s="25"/>
    </row>
    <row r="184" customFormat="false" ht="15" hidden="false" customHeight="false" outlineLevel="0" collapsed="false">
      <c r="A184" s="69"/>
      <c r="B184" s="68"/>
      <c r="C184" s="68"/>
      <c r="D184" s="76" t="str">
        <f aca="false">IF(C184="","",IFERROR(INDEX(ST_Design,MATCH(C184,ST_Code,0)),"Code inconnu"))</f>
        <v/>
      </c>
      <c r="E184" s="74" t="str">
        <f aca="false">IF(C184="","",IFERROR(INDEX(ST_Unite,MATCH(C184,ST_Code,0)),""))</f>
        <v/>
      </c>
      <c r="F184" s="82"/>
      <c r="G184" s="68"/>
      <c r="H184" s="76" t="str">
        <f aca="false">IF(G184="","",IFERROR(INDEX(BC_Fourn,MATCH(G184,BC_Num,0)),""))</f>
        <v/>
      </c>
      <c r="I184" s="25"/>
      <c r="J184" s="25"/>
      <c r="K184" s="25"/>
      <c r="L184" s="25"/>
    </row>
    <row r="185" customFormat="false" ht="15" hidden="false" customHeight="false" outlineLevel="0" collapsed="false">
      <c r="A185" s="69"/>
      <c r="B185" s="68"/>
      <c r="C185" s="68"/>
      <c r="D185" s="76" t="str">
        <f aca="false">IF(C185="","",IFERROR(INDEX(ST_Design,MATCH(C185,ST_Code,0)),"Code inconnu"))</f>
        <v/>
      </c>
      <c r="E185" s="74" t="str">
        <f aca="false">IF(C185="","",IFERROR(INDEX(ST_Unite,MATCH(C185,ST_Code,0)),""))</f>
        <v/>
      </c>
      <c r="F185" s="82"/>
      <c r="G185" s="68"/>
      <c r="H185" s="76" t="str">
        <f aca="false">IF(G185="","",IFERROR(INDEX(BC_Fourn,MATCH(G185,BC_Num,0)),""))</f>
        <v/>
      </c>
      <c r="I185" s="25"/>
      <c r="J185" s="25"/>
      <c r="K185" s="25"/>
      <c r="L185" s="25"/>
    </row>
    <row r="186" customFormat="false" ht="15" hidden="false" customHeight="false" outlineLevel="0" collapsed="false">
      <c r="A186" s="69"/>
      <c r="B186" s="68"/>
      <c r="C186" s="68"/>
      <c r="D186" s="76" t="str">
        <f aca="false">IF(C186="","",IFERROR(INDEX(ST_Design,MATCH(C186,ST_Code,0)),"Code inconnu"))</f>
        <v/>
      </c>
      <c r="E186" s="74" t="str">
        <f aca="false">IF(C186="","",IFERROR(INDEX(ST_Unite,MATCH(C186,ST_Code,0)),""))</f>
        <v/>
      </c>
      <c r="F186" s="82"/>
      <c r="G186" s="68"/>
      <c r="H186" s="76" t="str">
        <f aca="false">IF(G186="","",IFERROR(INDEX(BC_Fourn,MATCH(G186,BC_Num,0)),""))</f>
        <v/>
      </c>
      <c r="I186" s="25"/>
      <c r="J186" s="25"/>
      <c r="K186" s="25"/>
      <c r="L186" s="25"/>
    </row>
    <row r="187" customFormat="false" ht="15" hidden="false" customHeight="false" outlineLevel="0" collapsed="false">
      <c r="A187" s="69"/>
      <c r="B187" s="68"/>
      <c r="C187" s="68"/>
      <c r="D187" s="76" t="str">
        <f aca="false">IF(C187="","",IFERROR(INDEX(ST_Design,MATCH(C187,ST_Code,0)),"Code inconnu"))</f>
        <v/>
      </c>
      <c r="E187" s="74" t="str">
        <f aca="false">IF(C187="","",IFERROR(INDEX(ST_Unite,MATCH(C187,ST_Code,0)),""))</f>
        <v/>
      </c>
      <c r="F187" s="82"/>
      <c r="G187" s="68"/>
      <c r="H187" s="76" t="str">
        <f aca="false">IF(G187="","",IFERROR(INDEX(BC_Fourn,MATCH(G187,BC_Num,0)),""))</f>
        <v/>
      </c>
      <c r="I187" s="25"/>
      <c r="J187" s="25"/>
      <c r="K187" s="25"/>
      <c r="L187" s="25"/>
    </row>
    <row r="188" customFormat="false" ht="15" hidden="false" customHeight="false" outlineLevel="0" collapsed="false">
      <c r="A188" s="69"/>
      <c r="B188" s="68"/>
      <c r="C188" s="68"/>
      <c r="D188" s="76" t="str">
        <f aca="false">IF(C188="","",IFERROR(INDEX(ST_Design,MATCH(C188,ST_Code,0)),"Code inconnu"))</f>
        <v/>
      </c>
      <c r="E188" s="74" t="str">
        <f aca="false">IF(C188="","",IFERROR(INDEX(ST_Unite,MATCH(C188,ST_Code,0)),""))</f>
        <v/>
      </c>
      <c r="F188" s="82"/>
      <c r="G188" s="68"/>
      <c r="H188" s="76" t="str">
        <f aca="false">IF(G188="","",IFERROR(INDEX(BC_Fourn,MATCH(G188,BC_Num,0)),""))</f>
        <v/>
      </c>
      <c r="I188" s="25"/>
      <c r="J188" s="25"/>
      <c r="K188" s="25"/>
      <c r="L188" s="25"/>
    </row>
    <row r="189" customFormat="false" ht="15" hidden="false" customHeight="false" outlineLevel="0" collapsed="false">
      <c r="A189" s="69"/>
      <c r="B189" s="68"/>
      <c r="C189" s="68"/>
      <c r="D189" s="76" t="str">
        <f aca="false">IF(C189="","",IFERROR(INDEX(ST_Design,MATCH(C189,ST_Code,0)),"Code inconnu"))</f>
        <v/>
      </c>
      <c r="E189" s="74" t="str">
        <f aca="false">IF(C189="","",IFERROR(INDEX(ST_Unite,MATCH(C189,ST_Code,0)),""))</f>
        <v/>
      </c>
      <c r="F189" s="82"/>
      <c r="G189" s="68"/>
      <c r="H189" s="76" t="str">
        <f aca="false">IF(G189="","",IFERROR(INDEX(BC_Fourn,MATCH(G189,BC_Num,0)),""))</f>
        <v/>
      </c>
      <c r="I189" s="25"/>
      <c r="J189" s="25"/>
      <c r="K189" s="25"/>
      <c r="L189" s="25"/>
    </row>
    <row r="190" customFormat="false" ht="15" hidden="false" customHeight="false" outlineLevel="0" collapsed="false">
      <c r="A190" s="69"/>
      <c r="B190" s="68"/>
      <c r="C190" s="68"/>
      <c r="D190" s="76" t="str">
        <f aca="false">IF(C190="","",IFERROR(INDEX(ST_Design,MATCH(C190,ST_Code,0)),"Code inconnu"))</f>
        <v/>
      </c>
      <c r="E190" s="74" t="str">
        <f aca="false">IF(C190="","",IFERROR(INDEX(ST_Unite,MATCH(C190,ST_Code,0)),""))</f>
        <v/>
      </c>
      <c r="F190" s="82"/>
      <c r="G190" s="68"/>
      <c r="H190" s="76" t="str">
        <f aca="false">IF(G190="","",IFERROR(INDEX(BC_Fourn,MATCH(G190,BC_Num,0)),""))</f>
        <v/>
      </c>
      <c r="I190" s="25"/>
      <c r="J190" s="25"/>
      <c r="K190" s="25"/>
      <c r="L190" s="25"/>
    </row>
    <row r="191" customFormat="false" ht="15" hidden="false" customHeight="false" outlineLevel="0" collapsed="false">
      <c r="A191" s="69"/>
      <c r="B191" s="68"/>
      <c r="C191" s="68"/>
      <c r="D191" s="76" t="str">
        <f aca="false">IF(C191="","",IFERROR(INDEX(ST_Design,MATCH(C191,ST_Code,0)),"Code inconnu"))</f>
        <v/>
      </c>
      <c r="E191" s="74" t="str">
        <f aca="false">IF(C191="","",IFERROR(INDEX(ST_Unite,MATCH(C191,ST_Code,0)),""))</f>
        <v/>
      </c>
      <c r="F191" s="82"/>
      <c r="G191" s="68"/>
      <c r="H191" s="76" t="str">
        <f aca="false">IF(G191="","",IFERROR(INDEX(BC_Fourn,MATCH(G191,BC_Num,0)),""))</f>
        <v/>
      </c>
      <c r="I191" s="25"/>
      <c r="J191" s="25"/>
      <c r="K191" s="25"/>
      <c r="L191" s="25"/>
    </row>
    <row r="192" customFormat="false" ht="15" hidden="false" customHeight="false" outlineLevel="0" collapsed="false">
      <c r="A192" s="69"/>
      <c r="B192" s="68"/>
      <c r="C192" s="68"/>
      <c r="D192" s="76" t="str">
        <f aca="false">IF(C192="","",IFERROR(INDEX(ST_Design,MATCH(C192,ST_Code,0)),"Code inconnu"))</f>
        <v/>
      </c>
      <c r="E192" s="74" t="str">
        <f aca="false">IF(C192="","",IFERROR(INDEX(ST_Unite,MATCH(C192,ST_Code,0)),""))</f>
        <v/>
      </c>
      <c r="F192" s="82"/>
      <c r="G192" s="68"/>
      <c r="H192" s="76" t="str">
        <f aca="false">IF(G192="","",IFERROR(INDEX(BC_Fourn,MATCH(G192,BC_Num,0)),""))</f>
        <v/>
      </c>
      <c r="I192" s="25"/>
      <c r="J192" s="25"/>
      <c r="K192" s="25"/>
      <c r="L192" s="25"/>
    </row>
    <row r="193" customFormat="false" ht="15" hidden="false" customHeight="false" outlineLevel="0" collapsed="false">
      <c r="A193" s="69"/>
      <c r="B193" s="68"/>
      <c r="C193" s="68"/>
      <c r="D193" s="76" t="str">
        <f aca="false">IF(C193="","",IFERROR(INDEX(ST_Design,MATCH(C193,ST_Code,0)),"Code inconnu"))</f>
        <v/>
      </c>
      <c r="E193" s="74" t="str">
        <f aca="false">IF(C193="","",IFERROR(INDEX(ST_Unite,MATCH(C193,ST_Code,0)),""))</f>
        <v/>
      </c>
      <c r="F193" s="82"/>
      <c r="G193" s="68"/>
      <c r="H193" s="76" t="str">
        <f aca="false">IF(G193="","",IFERROR(INDEX(BC_Fourn,MATCH(G193,BC_Num,0)),""))</f>
        <v/>
      </c>
      <c r="I193" s="25"/>
      <c r="J193" s="25"/>
      <c r="K193" s="25"/>
      <c r="L193" s="25"/>
    </row>
    <row r="194" customFormat="false" ht="15" hidden="false" customHeight="false" outlineLevel="0" collapsed="false">
      <c r="A194" s="69"/>
      <c r="B194" s="68"/>
      <c r="C194" s="68"/>
      <c r="D194" s="76" t="str">
        <f aca="false">IF(C194="","",IFERROR(INDEX(ST_Design,MATCH(C194,ST_Code,0)),"Code inconnu"))</f>
        <v/>
      </c>
      <c r="E194" s="74" t="str">
        <f aca="false">IF(C194="","",IFERROR(INDEX(ST_Unite,MATCH(C194,ST_Code,0)),""))</f>
        <v/>
      </c>
      <c r="F194" s="82"/>
      <c r="G194" s="68"/>
      <c r="H194" s="76" t="str">
        <f aca="false">IF(G194="","",IFERROR(INDEX(BC_Fourn,MATCH(G194,BC_Num,0)),""))</f>
        <v/>
      </c>
      <c r="I194" s="25"/>
      <c r="J194" s="25"/>
      <c r="K194" s="25"/>
      <c r="L194" s="25"/>
    </row>
    <row r="195" customFormat="false" ht="15" hidden="false" customHeight="false" outlineLevel="0" collapsed="false">
      <c r="A195" s="69"/>
      <c r="B195" s="68"/>
      <c r="C195" s="68"/>
      <c r="D195" s="76" t="str">
        <f aca="false">IF(C195="","",IFERROR(INDEX(ST_Design,MATCH(C195,ST_Code,0)),"Code inconnu"))</f>
        <v/>
      </c>
      <c r="E195" s="74" t="str">
        <f aca="false">IF(C195="","",IFERROR(INDEX(ST_Unite,MATCH(C195,ST_Code,0)),""))</f>
        <v/>
      </c>
      <c r="F195" s="82"/>
      <c r="G195" s="68"/>
      <c r="H195" s="76" t="str">
        <f aca="false">IF(G195="","",IFERROR(INDEX(BC_Fourn,MATCH(G195,BC_Num,0)),""))</f>
        <v/>
      </c>
      <c r="I195" s="25"/>
      <c r="J195" s="25"/>
      <c r="K195" s="25"/>
      <c r="L195" s="25"/>
    </row>
    <row r="196" customFormat="false" ht="15" hidden="false" customHeight="false" outlineLevel="0" collapsed="false">
      <c r="A196" s="69"/>
      <c r="B196" s="68"/>
      <c r="C196" s="68"/>
      <c r="D196" s="76" t="str">
        <f aca="false">IF(C196="","",IFERROR(INDEX(ST_Design,MATCH(C196,ST_Code,0)),"Code inconnu"))</f>
        <v/>
      </c>
      <c r="E196" s="74" t="str">
        <f aca="false">IF(C196="","",IFERROR(INDEX(ST_Unite,MATCH(C196,ST_Code,0)),""))</f>
        <v/>
      </c>
      <c r="F196" s="82"/>
      <c r="G196" s="68"/>
      <c r="H196" s="76" t="str">
        <f aca="false">IF(G196="","",IFERROR(INDEX(BC_Fourn,MATCH(G196,BC_Num,0)),""))</f>
        <v/>
      </c>
      <c r="I196" s="25"/>
      <c r="J196" s="25"/>
      <c r="K196" s="25"/>
      <c r="L196" s="25"/>
    </row>
    <row r="197" customFormat="false" ht="15" hidden="false" customHeight="false" outlineLevel="0" collapsed="false">
      <c r="A197" s="69"/>
      <c r="B197" s="68"/>
      <c r="C197" s="68"/>
      <c r="D197" s="76" t="str">
        <f aca="false">IF(C197="","",IFERROR(INDEX(ST_Design,MATCH(C197,ST_Code,0)),"Code inconnu"))</f>
        <v/>
      </c>
      <c r="E197" s="74" t="str">
        <f aca="false">IF(C197="","",IFERROR(INDEX(ST_Unite,MATCH(C197,ST_Code,0)),""))</f>
        <v/>
      </c>
      <c r="F197" s="82"/>
      <c r="G197" s="68"/>
      <c r="H197" s="76" t="str">
        <f aca="false">IF(G197="","",IFERROR(INDEX(BC_Fourn,MATCH(G197,BC_Num,0)),""))</f>
        <v/>
      </c>
      <c r="I197" s="25"/>
      <c r="J197" s="25"/>
      <c r="K197" s="25"/>
      <c r="L197" s="25"/>
    </row>
    <row r="198" customFormat="false" ht="15" hidden="false" customHeight="false" outlineLevel="0" collapsed="false">
      <c r="A198" s="69"/>
      <c r="B198" s="68"/>
      <c r="C198" s="68"/>
      <c r="D198" s="76" t="str">
        <f aca="false">IF(C198="","",IFERROR(INDEX(ST_Design,MATCH(C198,ST_Code,0)),"Code inconnu"))</f>
        <v/>
      </c>
      <c r="E198" s="74" t="str">
        <f aca="false">IF(C198="","",IFERROR(INDEX(ST_Unite,MATCH(C198,ST_Code,0)),""))</f>
        <v/>
      </c>
      <c r="F198" s="82"/>
      <c r="G198" s="68"/>
      <c r="H198" s="76" t="str">
        <f aca="false">IF(G198="","",IFERROR(INDEX(BC_Fourn,MATCH(G198,BC_Num,0)),""))</f>
        <v/>
      </c>
      <c r="I198" s="25"/>
      <c r="J198" s="25"/>
      <c r="K198" s="25"/>
      <c r="L198" s="25"/>
    </row>
    <row r="199" customFormat="false" ht="15" hidden="false" customHeight="false" outlineLevel="0" collapsed="false">
      <c r="A199" s="69"/>
      <c r="B199" s="68"/>
      <c r="C199" s="68"/>
      <c r="D199" s="76" t="str">
        <f aca="false">IF(C199="","",IFERROR(INDEX(ST_Design,MATCH(C199,ST_Code,0)),"Code inconnu"))</f>
        <v/>
      </c>
      <c r="E199" s="74" t="str">
        <f aca="false">IF(C199="","",IFERROR(INDEX(ST_Unite,MATCH(C199,ST_Code,0)),""))</f>
        <v/>
      </c>
      <c r="F199" s="82"/>
      <c r="G199" s="68"/>
      <c r="H199" s="76" t="str">
        <f aca="false">IF(G199="","",IFERROR(INDEX(BC_Fourn,MATCH(G199,BC_Num,0)),""))</f>
        <v/>
      </c>
      <c r="I199" s="25"/>
      <c r="J199" s="25"/>
      <c r="K199" s="25"/>
      <c r="L199" s="25"/>
    </row>
    <row r="200" customFormat="false" ht="15" hidden="false" customHeight="false" outlineLevel="0" collapsed="false">
      <c r="A200" s="69"/>
      <c r="B200" s="68"/>
      <c r="C200" s="68"/>
      <c r="D200" s="76" t="str">
        <f aca="false">IF(C200="","",IFERROR(INDEX(ST_Design,MATCH(C200,ST_Code,0)),"Code inconnu"))</f>
        <v/>
      </c>
      <c r="E200" s="74" t="str">
        <f aca="false">IF(C200="","",IFERROR(INDEX(ST_Unite,MATCH(C200,ST_Code,0)),""))</f>
        <v/>
      </c>
      <c r="F200" s="82"/>
      <c r="G200" s="68"/>
      <c r="H200" s="76" t="str">
        <f aca="false">IF(G200="","",IFERROR(INDEX(BC_Fourn,MATCH(G200,BC_Num,0)),""))</f>
        <v/>
      </c>
      <c r="I200" s="25"/>
      <c r="J200" s="25"/>
      <c r="K200" s="25"/>
      <c r="L200" s="25"/>
    </row>
    <row r="201" customFormat="false" ht="15" hidden="false" customHeight="false" outlineLevel="0" collapsed="false">
      <c r="A201" s="69"/>
      <c r="B201" s="68"/>
      <c r="C201" s="68"/>
      <c r="D201" s="76" t="str">
        <f aca="false">IF(C201="","",IFERROR(INDEX(ST_Design,MATCH(C201,ST_Code,0)),"Code inconnu"))</f>
        <v/>
      </c>
      <c r="E201" s="74" t="str">
        <f aca="false">IF(C201="","",IFERROR(INDEX(ST_Unite,MATCH(C201,ST_Code,0)),""))</f>
        <v/>
      </c>
      <c r="F201" s="82"/>
      <c r="G201" s="68"/>
      <c r="H201" s="76" t="str">
        <f aca="false">IF(G201="","",IFERROR(INDEX(BC_Fourn,MATCH(G201,BC_Num,0)),""))</f>
        <v/>
      </c>
      <c r="I201" s="25"/>
      <c r="J201" s="25"/>
      <c r="K201" s="25"/>
      <c r="L201" s="25"/>
    </row>
    <row r="202" customFormat="false" ht="15" hidden="false" customHeight="false" outlineLevel="0" collapsed="false">
      <c r="A202" s="69"/>
      <c r="B202" s="68"/>
      <c r="C202" s="68"/>
      <c r="D202" s="76" t="str">
        <f aca="false">IF(C202="","",IFERROR(INDEX(ST_Design,MATCH(C202,ST_Code,0)),"Code inconnu"))</f>
        <v/>
      </c>
      <c r="E202" s="74" t="str">
        <f aca="false">IF(C202="","",IFERROR(INDEX(ST_Unite,MATCH(C202,ST_Code,0)),""))</f>
        <v/>
      </c>
      <c r="F202" s="82"/>
      <c r="G202" s="68"/>
      <c r="H202" s="76" t="str">
        <f aca="false">IF(G202="","",IFERROR(INDEX(BC_Fourn,MATCH(G202,BC_Num,0)),""))</f>
        <v/>
      </c>
      <c r="I202" s="25"/>
      <c r="J202" s="25"/>
      <c r="K202" s="25"/>
      <c r="L202" s="25"/>
    </row>
    <row r="203" customFormat="false" ht="15" hidden="false" customHeight="false" outlineLevel="0" collapsed="false">
      <c r="A203" s="69"/>
      <c r="B203" s="68"/>
      <c r="C203" s="68"/>
      <c r="D203" s="76" t="str">
        <f aca="false">IF(C203="","",IFERROR(INDEX(ST_Design,MATCH(C203,ST_Code,0)),"Code inconnu"))</f>
        <v/>
      </c>
      <c r="E203" s="74" t="str">
        <f aca="false">IF(C203="","",IFERROR(INDEX(ST_Unite,MATCH(C203,ST_Code,0)),""))</f>
        <v/>
      </c>
      <c r="F203" s="82"/>
      <c r="G203" s="68"/>
      <c r="H203" s="76" t="str">
        <f aca="false">IF(G203="","",IFERROR(INDEX(BC_Fourn,MATCH(G203,BC_Num,0)),""))</f>
        <v/>
      </c>
      <c r="I203" s="25"/>
      <c r="J203" s="25"/>
      <c r="K203" s="25"/>
      <c r="L203" s="25"/>
    </row>
    <row r="204" customFormat="false" ht="15" hidden="false" customHeight="false" outlineLevel="0" collapsed="false">
      <c r="A204" s="69"/>
      <c r="B204" s="68"/>
      <c r="C204" s="68"/>
      <c r="D204" s="76" t="str">
        <f aca="false">IF(C204="","",IFERROR(INDEX(ST_Design,MATCH(C204,ST_Code,0)),"Code inconnu"))</f>
        <v/>
      </c>
      <c r="E204" s="74" t="str">
        <f aca="false">IF(C204="","",IFERROR(INDEX(ST_Unite,MATCH(C204,ST_Code,0)),""))</f>
        <v/>
      </c>
      <c r="F204" s="82"/>
      <c r="G204" s="68"/>
      <c r="H204" s="76" t="str">
        <f aca="false">IF(G204="","",IFERROR(INDEX(BC_Fourn,MATCH(G204,BC_Num,0)),""))</f>
        <v/>
      </c>
      <c r="I204" s="25"/>
      <c r="J204" s="25"/>
      <c r="K204" s="25"/>
      <c r="L204" s="25"/>
    </row>
    <row r="205" customFormat="false" ht="15" hidden="false" customHeight="false" outlineLevel="0" collapsed="false">
      <c r="A205" s="69"/>
      <c r="B205" s="68"/>
      <c r="C205" s="68"/>
      <c r="D205" s="76" t="str">
        <f aca="false">IF(C205="","",IFERROR(INDEX(ST_Design,MATCH(C205,ST_Code,0)),"Code inconnu"))</f>
        <v/>
      </c>
      <c r="E205" s="74" t="str">
        <f aca="false">IF(C205="","",IFERROR(INDEX(ST_Unite,MATCH(C205,ST_Code,0)),""))</f>
        <v/>
      </c>
      <c r="F205" s="82"/>
      <c r="G205" s="68"/>
      <c r="H205" s="76" t="str">
        <f aca="false">IF(G205="","",IFERROR(INDEX(BC_Fourn,MATCH(G205,BC_Num,0)),""))</f>
        <v/>
      </c>
      <c r="I205" s="25"/>
      <c r="J205" s="25"/>
      <c r="K205" s="25"/>
      <c r="L205" s="25"/>
    </row>
    <row r="206" customFormat="false" ht="15" hidden="false" customHeight="false" outlineLevel="0" collapsed="false">
      <c r="A206" s="69"/>
      <c r="B206" s="68"/>
      <c r="C206" s="68"/>
      <c r="D206" s="76" t="str">
        <f aca="false">IF(C206="","",IFERROR(INDEX(ST_Design,MATCH(C206,ST_Code,0)),"Code inconnu"))</f>
        <v/>
      </c>
      <c r="E206" s="74" t="str">
        <f aca="false">IF(C206="","",IFERROR(INDEX(ST_Unite,MATCH(C206,ST_Code,0)),""))</f>
        <v/>
      </c>
      <c r="F206" s="82"/>
      <c r="G206" s="68"/>
      <c r="H206" s="76" t="str">
        <f aca="false">IF(G206="","",IFERROR(INDEX(BC_Fourn,MATCH(G206,BC_Num,0)),""))</f>
        <v/>
      </c>
      <c r="I206" s="25"/>
      <c r="J206" s="25"/>
      <c r="K206" s="25"/>
      <c r="L206" s="25"/>
    </row>
    <row r="207" customFormat="false" ht="15" hidden="false" customHeight="false" outlineLevel="0" collapsed="false">
      <c r="A207" s="69"/>
      <c r="B207" s="68"/>
      <c r="C207" s="68"/>
      <c r="D207" s="76" t="str">
        <f aca="false">IF(C207="","",IFERROR(INDEX(ST_Design,MATCH(C207,ST_Code,0)),"Code inconnu"))</f>
        <v/>
      </c>
      <c r="E207" s="74" t="str">
        <f aca="false">IF(C207="","",IFERROR(INDEX(ST_Unite,MATCH(C207,ST_Code,0)),""))</f>
        <v/>
      </c>
      <c r="F207" s="82"/>
      <c r="G207" s="68"/>
      <c r="H207" s="76" t="str">
        <f aca="false">IF(G207="","",IFERROR(INDEX(BC_Fourn,MATCH(G207,BC_Num,0)),""))</f>
        <v/>
      </c>
      <c r="I207" s="25"/>
      <c r="J207" s="25"/>
      <c r="K207" s="25"/>
      <c r="L207" s="25"/>
    </row>
    <row r="208" customFormat="false" ht="15" hidden="false" customHeight="false" outlineLevel="0" collapsed="false">
      <c r="A208" s="69"/>
      <c r="B208" s="68"/>
      <c r="C208" s="68"/>
      <c r="D208" s="76" t="str">
        <f aca="false">IF(C208="","",IFERROR(INDEX(ST_Design,MATCH(C208,ST_Code,0)),"Code inconnu"))</f>
        <v/>
      </c>
      <c r="E208" s="74" t="str">
        <f aca="false">IF(C208="","",IFERROR(INDEX(ST_Unite,MATCH(C208,ST_Code,0)),""))</f>
        <v/>
      </c>
      <c r="F208" s="82"/>
      <c r="G208" s="68"/>
      <c r="H208" s="76" t="str">
        <f aca="false">IF(G208="","",IFERROR(INDEX(BC_Fourn,MATCH(G208,BC_Num,0)),""))</f>
        <v/>
      </c>
      <c r="I208" s="25"/>
      <c r="J208" s="25"/>
      <c r="K208" s="25"/>
      <c r="L208" s="25"/>
    </row>
    <row r="209" customFormat="false" ht="15" hidden="false" customHeight="false" outlineLevel="0" collapsed="false">
      <c r="A209" s="69"/>
      <c r="B209" s="68"/>
      <c r="C209" s="68"/>
      <c r="D209" s="76" t="str">
        <f aca="false">IF(C209="","",IFERROR(INDEX(ST_Design,MATCH(C209,ST_Code,0)),"Code inconnu"))</f>
        <v/>
      </c>
      <c r="E209" s="74" t="str">
        <f aca="false">IF(C209="","",IFERROR(INDEX(ST_Unite,MATCH(C209,ST_Code,0)),""))</f>
        <v/>
      </c>
      <c r="F209" s="82"/>
      <c r="G209" s="68"/>
      <c r="H209" s="76" t="str">
        <f aca="false">IF(G209="","",IFERROR(INDEX(BC_Fourn,MATCH(G209,BC_Num,0)),""))</f>
        <v/>
      </c>
      <c r="I209" s="25"/>
      <c r="J209" s="25"/>
      <c r="K209" s="25"/>
      <c r="L209" s="25"/>
    </row>
    <row r="210" customFormat="false" ht="15" hidden="false" customHeight="false" outlineLevel="0" collapsed="false">
      <c r="A210" s="69"/>
      <c r="B210" s="68"/>
      <c r="C210" s="68"/>
      <c r="D210" s="76" t="str">
        <f aca="false">IF(C210="","",IFERROR(INDEX(ST_Design,MATCH(C210,ST_Code,0)),"Code inconnu"))</f>
        <v/>
      </c>
      <c r="E210" s="74" t="str">
        <f aca="false">IF(C210="","",IFERROR(INDEX(ST_Unite,MATCH(C210,ST_Code,0)),""))</f>
        <v/>
      </c>
      <c r="F210" s="82"/>
      <c r="G210" s="68"/>
      <c r="H210" s="76" t="str">
        <f aca="false">IF(G210="","",IFERROR(INDEX(BC_Fourn,MATCH(G210,BC_Num,0)),""))</f>
        <v/>
      </c>
      <c r="I210" s="25"/>
      <c r="J210" s="25"/>
      <c r="K210" s="25"/>
      <c r="L210" s="25"/>
    </row>
    <row r="211" customFormat="false" ht="15" hidden="false" customHeight="false" outlineLevel="0" collapsed="false">
      <c r="A211" s="69"/>
      <c r="B211" s="68"/>
      <c r="C211" s="68"/>
      <c r="D211" s="76" t="str">
        <f aca="false">IF(C211="","",IFERROR(INDEX(ST_Design,MATCH(C211,ST_Code,0)),"Code inconnu"))</f>
        <v/>
      </c>
      <c r="E211" s="74" t="str">
        <f aca="false">IF(C211="","",IFERROR(INDEX(ST_Unite,MATCH(C211,ST_Code,0)),""))</f>
        <v/>
      </c>
      <c r="F211" s="82"/>
      <c r="G211" s="68"/>
      <c r="H211" s="76" t="str">
        <f aca="false">IF(G211="","",IFERROR(INDEX(BC_Fourn,MATCH(G211,BC_Num,0)),""))</f>
        <v/>
      </c>
      <c r="I211" s="25"/>
      <c r="J211" s="25"/>
      <c r="K211" s="25"/>
      <c r="L211" s="25"/>
    </row>
    <row r="212" customFormat="false" ht="15" hidden="false" customHeight="false" outlineLevel="0" collapsed="false">
      <c r="A212" s="69"/>
      <c r="B212" s="68"/>
      <c r="C212" s="68"/>
      <c r="D212" s="76" t="str">
        <f aca="false">IF(C212="","",IFERROR(INDEX(ST_Design,MATCH(C212,ST_Code,0)),"Code inconnu"))</f>
        <v/>
      </c>
      <c r="E212" s="74" t="str">
        <f aca="false">IF(C212="","",IFERROR(INDEX(ST_Unite,MATCH(C212,ST_Code,0)),""))</f>
        <v/>
      </c>
      <c r="F212" s="82"/>
      <c r="G212" s="68"/>
      <c r="H212" s="76" t="str">
        <f aca="false">IF(G212="","",IFERROR(INDEX(BC_Fourn,MATCH(G212,BC_Num,0)),""))</f>
        <v/>
      </c>
      <c r="I212" s="25"/>
      <c r="J212" s="25"/>
      <c r="K212" s="25"/>
      <c r="L212" s="25"/>
    </row>
    <row r="213" customFormat="false" ht="15" hidden="false" customHeight="false" outlineLevel="0" collapsed="false">
      <c r="A213" s="69"/>
      <c r="B213" s="68"/>
      <c r="C213" s="68"/>
      <c r="D213" s="76" t="str">
        <f aca="false">IF(C213="","",IFERROR(INDEX(ST_Design,MATCH(C213,ST_Code,0)),"Code inconnu"))</f>
        <v/>
      </c>
      <c r="E213" s="74" t="str">
        <f aca="false">IF(C213="","",IFERROR(INDEX(ST_Unite,MATCH(C213,ST_Code,0)),""))</f>
        <v/>
      </c>
      <c r="F213" s="82"/>
      <c r="G213" s="68"/>
      <c r="H213" s="76" t="str">
        <f aca="false">IF(G213="","",IFERROR(INDEX(BC_Fourn,MATCH(G213,BC_Num,0)),""))</f>
        <v/>
      </c>
      <c r="I213" s="25"/>
      <c r="J213" s="25"/>
      <c r="K213" s="25"/>
      <c r="L213" s="25"/>
    </row>
    <row r="214" customFormat="false" ht="15" hidden="false" customHeight="false" outlineLevel="0" collapsed="false">
      <c r="A214" s="69"/>
      <c r="B214" s="68"/>
      <c r="C214" s="68"/>
      <c r="D214" s="76" t="str">
        <f aca="false">IF(C214="","",IFERROR(INDEX(ST_Design,MATCH(C214,ST_Code,0)),"Code inconnu"))</f>
        <v/>
      </c>
      <c r="E214" s="74" t="str">
        <f aca="false">IF(C214="","",IFERROR(INDEX(ST_Unite,MATCH(C214,ST_Code,0)),""))</f>
        <v/>
      </c>
      <c r="F214" s="82"/>
      <c r="G214" s="68"/>
      <c r="H214" s="76" t="str">
        <f aca="false">IF(G214="","",IFERROR(INDEX(BC_Fourn,MATCH(G214,BC_Num,0)),""))</f>
        <v/>
      </c>
      <c r="I214" s="25"/>
      <c r="J214" s="25"/>
      <c r="K214" s="25"/>
      <c r="L214" s="25"/>
    </row>
    <row r="215" customFormat="false" ht="15" hidden="false" customHeight="false" outlineLevel="0" collapsed="false">
      <c r="A215" s="69"/>
      <c r="B215" s="68"/>
      <c r="C215" s="68"/>
      <c r="D215" s="76" t="str">
        <f aca="false">IF(C215="","",IFERROR(INDEX(ST_Design,MATCH(C215,ST_Code,0)),"Code inconnu"))</f>
        <v/>
      </c>
      <c r="E215" s="74" t="str">
        <f aca="false">IF(C215="","",IFERROR(INDEX(ST_Unite,MATCH(C215,ST_Code,0)),""))</f>
        <v/>
      </c>
      <c r="F215" s="82"/>
      <c r="G215" s="68"/>
      <c r="H215" s="76" t="str">
        <f aca="false">IF(G215="","",IFERROR(INDEX(BC_Fourn,MATCH(G215,BC_Num,0)),""))</f>
        <v/>
      </c>
      <c r="I215" s="25"/>
      <c r="J215" s="25"/>
      <c r="K215" s="25"/>
      <c r="L215" s="25"/>
    </row>
    <row r="216" customFormat="false" ht="15" hidden="false" customHeight="false" outlineLevel="0" collapsed="false">
      <c r="A216" s="69"/>
      <c r="B216" s="68"/>
      <c r="C216" s="68"/>
      <c r="D216" s="76" t="str">
        <f aca="false">IF(C216="","",IFERROR(INDEX(ST_Design,MATCH(C216,ST_Code,0)),"Code inconnu"))</f>
        <v/>
      </c>
      <c r="E216" s="74" t="str">
        <f aca="false">IF(C216="","",IFERROR(INDEX(ST_Unite,MATCH(C216,ST_Code,0)),""))</f>
        <v/>
      </c>
      <c r="F216" s="82"/>
      <c r="G216" s="68"/>
      <c r="H216" s="76" t="str">
        <f aca="false">IF(G216="","",IFERROR(INDEX(BC_Fourn,MATCH(G216,BC_Num,0)),""))</f>
        <v/>
      </c>
      <c r="I216" s="25"/>
      <c r="J216" s="25"/>
      <c r="K216" s="25"/>
      <c r="L216" s="25"/>
    </row>
    <row r="217" customFormat="false" ht="15" hidden="false" customHeight="false" outlineLevel="0" collapsed="false">
      <c r="A217" s="69"/>
      <c r="B217" s="68"/>
      <c r="C217" s="68"/>
      <c r="D217" s="76" t="str">
        <f aca="false">IF(C217="","",IFERROR(INDEX(ST_Design,MATCH(C217,ST_Code,0)),"Code inconnu"))</f>
        <v/>
      </c>
      <c r="E217" s="74" t="str">
        <f aca="false">IF(C217="","",IFERROR(INDEX(ST_Unite,MATCH(C217,ST_Code,0)),""))</f>
        <v/>
      </c>
      <c r="F217" s="82"/>
      <c r="G217" s="68"/>
      <c r="H217" s="76" t="str">
        <f aca="false">IF(G217="","",IFERROR(INDEX(BC_Fourn,MATCH(G217,BC_Num,0)),""))</f>
        <v/>
      </c>
      <c r="I217" s="25"/>
      <c r="J217" s="25"/>
      <c r="K217" s="25"/>
      <c r="L217" s="25"/>
    </row>
    <row r="218" customFormat="false" ht="15" hidden="false" customHeight="false" outlineLevel="0" collapsed="false">
      <c r="A218" s="69"/>
      <c r="B218" s="68"/>
      <c r="C218" s="68"/>
      <c r="D218" s="76" t="str">
        <f aca="false">IF(C218="","",IFERROR(INDEX(ST_Design,MATCH(C218,ST_Code,0)),"Code inconnu"))</f>
        <v/>
      </c>
      <c r="E218" s="74" t="str">
        <f aca="false">IF(C218="","",IFERROR(INDEX(ST_Unite,MATCH(C218,ST_Code,0)),""))</f>
        <v/>
      </c>
      <c r="F218" s="82"/>
      <c r="G218" s="68"/>
      <c r="H218" s="76" t="str">
        <f aca="false">IF(G218="","",IFERROR(INDEX(BC_Fourn,MATCH(G218,BC_Num,0)),""))</f>
        <v/>
      </c>
      <c r="I218" s="25"/>
      <c r="J218" s="25"/>
      <c r="K218" s="25"/>
      <c r="L218" s="25"/>
    </row>
    <row r="219" customFormat="false" ht="15" hidden="false" customHeight="false" outlineLevel="0" collapsed="false">
      <c r="A219" s="69"/>
      <c r="B219" s="68"/>
      <c r="C219" s="68"/>
      <c r="D219" s="76" t="str">
        <f aca="false">IF(C219="","",IFERROR(INDEX(ST_Design,MATCH(C219,ST_Code,0)),"Code inconnu"))</f>
        <v/>
      </c>
      <c r="E219" s="74" t="str">
        <f aca="false">IF(C219="","",IFERROR(INDEX(ST_Unite,MATCH(C219,ST_Code,0)),""))</f>
        <v/>
      </c>
      <c r="F219" s="82"/>
      <c r="G219" s="68"/>
      <c r="H219" s="76" t="str">
        <f aca="false">IF(G219="","",IFERROR(INDEX(BC_Fourn,MATCH(G219,BC_Num,0)),""))</f>
        <v/>
      </c>
      <c r="I219" s="25"/>
      <c r="J219" s="25"/>
      <c r="K219" s="25"/>
      <c r="L219" s="25"/>
    </row>
    <row r="220" customFormat="false" ht="15" hidden="false" customHeight="false" outlineLevel="0" collapsed="false">
      <c r="A220" s="69"/>
      <c r="B220" s="68"/>
      <c r="C220" s="68"/>
      <c r="D220" s="76" t="str">
        <f aca="false">IF(C220="","",IFERROR(INDEX(ST_Design,MATCH(C220,ST_Code,0)),"Code inconnu"))</f>
        <v/>
      </c>
      <c r="E220" s="74" t="str">
        <f aca="false">IF(C220="","",IFERROR(INDEX(ST_Unite,MATCH(C220,ST_Code,0)),""))</f>
        <v/>
      </c>
      <c r="F220" s="82"/>
      <c r="G220" s="68"/>
      <c r="H220" s="76" t="str">
        <f aca="false">IF(G220="","",IFERROR(INDEX(BC_Fourn,MATCH(G220,BC_Num,0)),""))</f>
        <v/>
      </c>
      <c r="I220" s="25"/>
      <c r="J220" s="25"/>
      <c r="K220" s="25"/>
      <c r="L220" s="25"/>
    </row>
    <row r="221" customFormat="false" ht="15" hidden="false" customHeight="false" outlineLevel="0" collapsed="false">
      <c r="A221" s="69"/>
      <c r="B221" s="68"/>
      <c r="C221" s="68"/>
      <c r="D221" s="76" t="str">
        <f aca="false">IF(C221="","",IFERROR(INDEX(ST_Design,MATCH(C221,ST_Code,0)),"Code inconnu"))</f>
        <v/>
      </c>
      <c r="E221" s="74" t="str">
        <f aca="false">IF(C221="","",IFERROR(INDEX(ST_Unite,MATCH(C221,ST_Code,0)),""))</f>
        <v/>
      </c>
      <c r="F221" s="82"/>
      <c r="G221" s="68"/>
      <c r="H221" s="76" t="str">
        <f aca="false">IF(G221="","",IFERROR(INDEX(BC_Fourn,MATCH(G221,BC_Num,0)),""))</f>
        <v/>
      </c>
      <c r="I221" s="25"/>
      <c r="J221" s="25"/>
      <c r="K221" s="25"/>
      <c r="L221" s="25"/>
    </row>
    <row r="222" customFormat="false" ht="15" hidden="false" customHeight="false" outlineLevel="0" collapsed="false">
      <c r="A222" s="69"/>
      <c r="B222" s="68"/>
      <c r="C222" s="68"/>
      <c r="D222" s="76" t="str">
        <f aca="false">IF(C222="","",IFERROR(INDEX(ST_Design,MATCH(C222,ST_Code,0)),"Code inconnu"))</f>
        <v/>
      </c>
      <c r="E222" s="74" t="str">
        <f aca="false">IF(C222="","",IFERROR(INDEX(ST_Unite,MATCH(C222,ST_Code,0)),""))</f>
        <v/>
      </c>
      <c r="F222" s="82"/>
      <c r="G222" s="68"/>
      <c r="H222" s="76" t="str">
        <f aca="false">IF(G222="","",IFERROR(INDEX(BC_Fourn,MATCH(G222,BC_Num,0)),""))</f>
        <v/>
      </c>
      <c r="I222" s="25"/>
      <c r="J222" s="25"/>
      <c r="K222" s="25"/>
      <c r="L222" s="25"/>
    </row>
    <row r="223" customFormat="false" ht="15" hidden="false" customHeight="false" outlineLevel="0" collapsed="false">
      <c r="A223" s="69"/>
      <c r="B223" s="68"/>
      <c r="C223" s="68"/>
      <c r="D223" s="76" t="str">
        <f aca="false">IF(C223="","",IFERROR(INDEX(ST_Design,MATCH(C223,ST_Code,0)),"Code inconnu"))</f>
        <v/>
      </c>
      <c r="E223" s="74" t="str">
        <f aca="false">IF(C223="","",IFERROR(INDEX(ST_Unite,MATCH(C223,ST_Code,0)),""))</f>
        <v/>
      </c>
      <c r="F223" s="82"/>
      <c r="G223" s="68"/>
      <c r="H223" s="76" t="str">
        <f aca="false">IF(G223="","",IFERROR(INDEX(BC_Fourn,MATCH(G223,BC_Num,0)),""))</f>
        <v/>
      </c>
      <c r="I223" s="25"/>
      <c r="J223" s="25"/>
      <c r="K223" s="25"/>
      <c r="L223" s="25"/>
    </row>
    <row r="224" customFormat="false" ht="15" hidden="false" customHeight="false" outlineLevel="0" collapsed="false">
      <c r="A224" s="69"/>
      <c r="B224" s="68"/>
      <c r="C224" s="68"/>
      <c r="D224" s="76" t="str">
        <f aca="false">IF(C224="","",IFERROR(INDEX(ST_Design,MATCH(C224,ST_Code,0)),"Code inconnu"))</f>
        <v/>
      </c>
      <c r="E224" s="74" t="str">
        <f aca="false">IF(C224="","",IFERROR(INDEX(ST_Unite,MATCH(C224,ST_Code,0)),""))</f>
        <v/>
      </c>
      <c r="F224" s="82"/>
      <c r="G224" s="68"/>
      <c r="H224" s="76" t="str">
        <f aca="false">IF(G224="","",IFERROR(INDEX(BC_Fourn,MATCH(G224,BC_Num,0)),""))</f>
        <v/>
      </c>
      <c r="I224" s="25"/>
      <c r="J224" s="25"/>
      <c r="K224" s="25"/>
      <c r="L224" s="25"/>
    </row>
    <row r="225" customFormat="false" ht="15" hidden="false" customHeight="false" outlineLevel="0" collapsed="false">
      <c r="A225" s="69"/>
      <c r="B225" s="68"/>
      <c r="C225" s="68"/>
      <c r="D225" s="76" t="str">
        <f aca="false">IF(C225="","",IFERROR(INDEX(ST_Design,MATCH(C225,ST_Code,0)),"Code inconnu"))</f>
        <v/>
      </c>
      <c r="E225" s="74" t="str">
        <f aca="false">IF(C225="","",IFERROR(INDEX(ST_Unite,MATCH(C225,ST_Code,0)),""))</f>
        <v/>
      </c>
      <c r="F225" s="82"/>
      <c r="G225" s="68"/>
      <c r="H225" s="76" t="str">
        <f aca="false">IF(G225="","",IFERROR(INDEX(BC_Fourn,MATCH(G225,BC_Num,0)),""))</f>
        <v/>
      </c>
      <c r="I225" s="25"/>
      <c r="J225" s="25"/>
      <c r="K225" s="25"/>
      <c r="L225" s="25"/>
    </row>
    <row r="226" customFormat="false" ht="15" hidden="false" customHeight="false" outlineLevel="0" collapsed="false">
      <c r="A226" s="69"/>
      <c r="B226" s="68"/>
      <c r="C226" s="68"/>
      <c r="D226" s="76" t="str">
        <f aca="false">IF(C226="","",IFERROR(INDEX(ST_Design,MATCH(C226,ST_Code,0)),"Code inconnu"))</f>
        <v/>
      </c>
      <c r="E226" s="74" t="str">
        <f aca="false">IF(C226="","",IFERROR(INDEX(ST_Unite,MATCH(C226,ST_Code,0)),""))</f>
        <v/>
      </c>
      <c r="F226" s="82"/>
      <c r="G226" s="68"/>
      <c r="H226" s="76" t="str">
        <f aca="false">IF(G226="","",IFERROR(INDEX(BC_Fourn,MATCH(G226,BC_Num,0)),""))</f>
        <v/>
      </c>
      <c r="I226" s="25"/>
      <c r="J226" s="25"/>
      <c r="K226" s="25"/>
      <c r="L226" s="25"/>
    </row>
    <row r="227" customFormat="false" ht="15" hidden="false" customHeight="false" outlineLevel="0" collapsed="false">
      <c r="A227" s="69"/>
      <c r="B227" s="68"/>
      <c r="C227" s="68"/>
      <c r="D227" s="76" t="str">
        <f aca="false">IF(C227="","",IFERROR(INDEX(ST_Design,MATCH(C227,ST_Code,0)),"Code inconnu"))</f>
        <v/>
      </c>
      <c r="E227" s="74" t="str">
        <f aca="false">IF(C227="","",IFERROR(INDEX(ST_Unite,MATCH(C227,ST_Code,0)),""))</f>
        <v/>
      </c>
      <c r="F227" s="82"/>
      <c r="G227" s="68"/>
      <c r="H227" s="76" t="str">
        <f aca="false">IF(G227="","",IFERROR(INDEX(BC_Fourn,MATCH(G227,BC_Num,0)),""))</f>
        <v/>
      </c>
      <c r="I227" s="25"/>
      <c r="J227" s="25"/>
      <c r="K227" s="25"/>
      <c r="L227" s="25"/>
    </row>
    <row r="228" customFormat="false" ht="15" hidden="false" customHeight="false" outlineLevel="0" collapsed="false">
      <c r="A228" s="69"/>
      <c r="B228" s="68"/>
      <c r="C228" s="68"/>
      <c r="D228" s="76" t="str">
        <f aca="false">IF(C228="","",IFERROR(INDEX(ST_Design,MATCH(C228,ST_Code,0)),"Code inconnu"))</f>
        <v/>
      </c>
      <c r="E228" s="74" t="str">
        <f aca="false">IF(C228="","",IFERROR(INDEX(ST_Unite,MATCH(C228,ST_Code,0)),""))</f>
        <v/>
      </c>
      <c r="F228" s="82"/>
      <c r="G228" s="68"/>
      <c r="H228" s="76" t="str">
        <f aca="false">IF(G228="","",IFERROR(INDEX(BC_Fourn,MATCH(G228,BC_Num,0)),""))</f>
        <v/>
      </c>
      <c r="I228" s="25"/>
      <c r="J228" s="25"/>
      <c r="K228" s="25"/>
      <c r="L228" s="25"/>
    </row>
    <row r="229" customFormat="false" ht="15" hidden="false" customHeight="false" outlineLevel="0" collapsed="false">
      <c r="A229" s="69"/>
      <c r="B229" s="68"/>
      <c r="C229" s="68"/>
      <c r="D229" s="76" t="str">
        <f aca="false">IF(C229="","",IFERROR(INDEX(ST_Design,MATCH(C229,ST_Code,0)),"Code inconnu"))</f>
        <v/>
      </c>
      <c r="E229" s="74" t="str">
        <f aca="false">IF(C229="","",IFERROR(INDEX(ST_Unite,MATCH(C229,ST_Code,0)),""))</f>
        <v/>
      </c>
      <c r="F229" s="82"/>
      <c r="G229" s="68"/>
      <c r="H229" s="76" t="str">
        <f aca="false">IF(G229="","",IFERROR(INDEX(BC_Fourn,MATCH(G229,BC_Num,0)),""))</f>
        <v/>
      </c>
      <c r="I229" s="25"/>
      <c r="J229" s="25"/>
      <c r="K229" s="25"/>
      <c r="L229" s="25"/>
    </row>
    <row r="230" customFormat="false" ht="15" hidden="false" customHeight="false" outlineLevel="0" collapsed="false">
      <c r="A230" s="69"/>
      <c r="B230" s="68"/>
      <c r="C230" s="68"/>
      <c r="D230" s="76" t="str">
        <f aca="false">IF(C230="","",IFERROR(INDEX(ST_Design,MATCH(C230,ST_Code,0)),"Code inconnu"))</f>
        <v/>
      </c>
      <c r="E230" s="74" t="str">
        <f aca="false">IF(C230="","",IFERROR(INDEX(ST_Unite,MATCH(C230,ST_Code,0)),""))</f>
        <v/>
      </c>
      <c r="F230" s="82"/>
      <c r="G230" s="68"/>
      <c r="H230" s="76" t="str">
        <f aca="false">IF(G230="","",IFERROR(INDEX(BC_Fourn,MATCH(G230,BC_Num,0)),""))</f>
        <v/>
      </c>
      <c r="I230" s="25"/>
      <c r="J230" s="25"/>
      <c r="K230" s="25"/>
      <c r="L230" s="25"/>
    </row>
    <row r="231" customFormat="false" ht="15" hidden="false" customHeight="false" outlineLevel="0" collapsed="false">
      <c r="A231" s="69"/>
      <c r="B231" s="68"/>
      <c r="C231" s="68"/>
      <c r="D231" s="76" t="str">
        <f aca="false">IF(C231="","",IFERROR(INDEX(ST_Design,MATCH(C231,ST_Code,0)),"Code inconnu"))</f>
        <v/>
      </c>
      <c r="E231" s="74" t="str">
        <f aca="false">IF(C231="","",IFERROR(INDEX(ST_Unite,MATCH(C231,ST_Code,0)),""))</f>
        <v/>
      </c>
      <c r="F231" s="82"/>
      <c r="G231" s="68"/>
      <c r="H231" s="76" t="str">
        <f aca="false">IF(G231="","",IFERROR(INDEX(BC_Fourn,MATCH(G231,BC_Num,0)),""))</f>
        <v/>
      </c>
      <c r="I231" s="25"/>
      <c r="J231" s="25"/>
      <c r="K231" s="25"/>
      <c r="L231" s="25"/>
    </row>
    <row r="232" customFormat="false" ht="15" hidden="false" customHeight="false" outlineLevel="0" collapsed="false">
      <c r="A232" s="69"/>
      <c r="B232" s="68"/>
      <c r="C232" s="68"/>
      <c r="D232" s="76" t="str">
        <f aca="false">IF(C232="","",IFERROR(INDEX(ST_Design,MATCH(C232,ST_Code,0)),"Code inconnu"))</f>
        <v/>
      </c>
      <c r="E232" s="74" t="str">
        <f aca="false">IF(C232="","",IFERROR(INDEX(ST_Unite,MATCH(C232,ST_Code,0)),""))</f>
        <v/>
      </c>
      <c r="F232" s="82"/>
      <c r="G232" s="68"/>
      <c r="H232" s="76" t="str">
        <f aca="false">IF(G232="","",IFERROR(INDEX(BC_Fourn,MATCH(G232,BC_Num,0)),""))</f>
        <v/>
      </c>
      <c r="I232" s="25"/>
      <c r="J232" s="25"/>
      <c r="K232" s="25"/>
      <c r="L232" s="25"/>
    </row>
    <row r="233" customFormat="false" ht="15" hidden="false" customHeight="false" outlineLevel="0" collapsed="false">
      <c r="A233" s="69"/>
      <c r="B233" s="68"/>
      <c r="C233" s="68"/>
      <c r="D233" s="76" t="str">
        <f aca="false">IF(C233="","",IFERROR(INDEX(ST_Design,MATCH(C233,ST_Code,0)),"Code inconnu"))</f>
        <v/>
      </c>
      <c r="E233" s="74" t="str">
        <f aca="false">IF(C233="","",IFERROR(INDEX(ST_Unite,MATCH(C233,ST_Code,0)),""))</f>
        <v/>
      </c>
      <c r="F233" s="82"/>
      <c r="G233" s="68"/>
      <c r="H233" s="76" t="str">
        <f aca="false">IF(G233="","",IFERROR(INDEX(BC_Fourn,MATCH(G233,BC_Num,0)),""))</f>
        <v/>
      </c>
      <c r="I233" s="25"/>
      <c r="J233" s="25"/>
      <c r="K233" s="25"/>
      <c r="L233" s="25"/>
    </row>
    <row r="234" customFormat="false" ht="15" hidden="false" customHeight="false" outlineLevel="0" collapsed="false">
      <c r="A234" s="69"/>
      <c r="B234" s="68"/>
      <c r="C234" s="68"/>
      <c r="D234" s="76" t="str">
        <f aca="false">IF(C234="","",IFERROR(INDEX(ST_Design,MATCH(C234,ST_Code,0)),"Code inconnu"))</f>
        <v/>
      </c>
      <c r="E234" s="74" t="str">
        <f aca="false">IF(C234="","",IFERROR(INDEX(ST_Unite,MATCH(C234,ST_Code,0)),""))</f>
        <v/>
      </c>
      <c r="F234" s="82"/>
      <c r="G234" s="68"/>
      <c r="H234" s="76" t="str">
        <f aca="false">IF(G234="","",IFERROR(INDEX(BC_Fourn,MATCH(G234,BC_Num,0)),""))</f>
        <v/>
      </c>
      <c r="I234" s="25"/>
      <c r="J234" s="25"/>
      <c r="K234" s="25"/>
      <c r="L234" s="25"/>
    </row>
    <row r="235" customFormat="false" ht="15" hidden="false" customHeight="false" outlineLevel="0" collapsed="false">
      <c r="A235" s="69"/>
      <c r="B235" s="68"/>
      <c r="C235" s="68"/>
      <c r="D235" s="76" t="str">
        <f aca="false">IF(C235="","",IFERROR(INDEX(ST_Design,MATCH(C235,ST_Code,0)),"Code inconnu"))</f>
        <v/>
      </c>
      <c r="E235" s="74" t="str">
        <f aca="false">IF(C235="","",IFERROR(INDEX(ST_Unite,MATCH(C235,ST_Code,0)),""))</f>
        <v/>
      </c>
      <c r="F235" s="82"/>
      <c r="G235" s="68"/>
      <c r="H235" s="76" t="str">
        <f aca="false">IF(G235="","",IFERROR(INDEX(BC_Fourn,MATCH(G235,BC_Num,0)),""))</f>
        <v/>
      </c>
      <c r="I235" s="25"/>
      <c r="J235" s="25"/>
      <c r="K235" s="25"/>
      <c r="L235" s="25"/>
    </row>
    <row r="236" customFormat="false" ht="15" hidden="false" customHeight="false" outlineLevel="0" collapsed="false">
      <c r="A236" s="69"/>
      <c r="B236" s="68"/>
      <c r="C236" s="68"/>
      <c r="D236" s="76" t="str">
        <f aca="false">IF(C236="","",IFERROR(INDEX(ST_Design,MATCH(C236,ST_Code,0)),"Code inconnu"))</f>
        <v/>
      </c>
      <c r="E236" s="74" t="str">
        <f aca="false">IF(C236="","",IFERROR(INDEX(ST_Unite,MATCH(C236,ST_Code,0)),""))</f>
        <v/>
      </c>
      <c r="F236" s="82"/>
      <c r="G236" s="68"/>
      <c r="H236" s="76" t="str">
        <f aca="false">IF(G236="","",IFERROR(INDEX(BC_Fourn,MATCH(G236,BC_Num,0)),""))</f>
        <v/>
      </c>
      <c r="I236" s="25"/>
      <c r="J236" s="25"/>
      <c r="K236" s="25"/>
      <c r="L236" s="25"/>
    </row>
    <row r="237" customFormat="false" ht="15" hidden="false" customHeight="false" outlineLevel="0" collapsed="false">
      <c r="A237" s="69"/>
      <c r="B237" s="68"/>
      <c r="C237" s="68"/>
      <c r="D237" s="76" t="str">
        <f aca="false">IF(C237="","",IFERROR(INDEX(ST_Design,MATCH(C237,ST_Code,0)),"Code inconnu"))</f>
        <v/>
      </c>
      <c r="E237" s="74" t="str">
        <f aca="false">IF(C237="","",IFERROR(INDEX(ST_Unite,MATCH(C237,ST_Code,0)),""))</f>
        <v/>
      </c>
      <c r="F237" s="82"/>
      <c r="G237" s="68"/>
      <c r="H237" s="76" t="str">
        <f aca="false">IF(G237="","",IFERROR(INDEX(BC_Fourn,MATCH(G237,BC_Num,0)),""))</f>
        <v/>
      </c>
      <c r="I237" s="25"/>
      <c r="J237" s="25"/>
      <c r="K237" s="25"/>
      <c r="L237" s="25"/>
    </row>
    <row r="238" customFormat="false" ht="15" hidden="false" customHeight="false" outlineLevel="0" collapsed="false">
      <c r="A238" s="69"/>
      <c r="B238" s="68"/>
      <c r="C238" s="68"/>
      <c r="D238" s="76" t="str">
        <f aca="false">IF(C238="","",IFERROR(INDEX(ST_Design,MATCH(C238,ST_Code,0)),"Code inconnu"))</f>
        <v/>
      </c>
      <c r="E238" s="74" t="str">
        <f aca="false">IF(C238="","",IFERROR(INDEX(ST_Unite,MATCH(C238,ST_Code,0)),""))</f>
        <v/>
      </c>
      <c r="F238" s="82"/>
      <c r="G238" s="68"/>
      <c r="H238" s="76" t="str">
        <f aca="false">IF(G238="","",IFERROR(INDEX(BC_Fourn,MATCH(G238,BC_Num,0)),""))</f>
        <v/>
      </c>
      <c r="I238" s="25"/>
      <c r="J238" s="25"/>
      <c r="K238" s="25"/>
      <c r="L238" s="25"/>
    </row>
    <row r="239" customFormat="false" ht="15" hidden="false" customHeight="false" outlineLevel="0" collapsed="false">
      <c r="A239" s="69"/>
      <c r="B239" s="68"/>
      <c r="C239" s="68"/>
      <c r="D239" s="76" t="str">
        <f aca="false">IF(C239="","",IFERROR(INDEX(ST_Design,MATCH(C239,ST_Code,0)),"Code inconnu"))</f>
        <v/>
      </c>
      <c r="E239" s="74" t="str">
        <f aca="false">IF(C239="","",IFERROR(INDEX(ST_Unite,MATCH(C239,ST_Code,0)),""))</f>
        <v/>
      </c>
      <c r="F239" s="82"/>
      <c r="G239" s="68"/>
      <c r="H239" s="76" t="str">
        <f aca="false">IF(G239="","",IFERROR(INDEX(BC_Fourn,MATCH(G239,BC_Num,0)),""))</f>
        <v/>
      </c>
      <c r="I239" s="25"/>
      <c r="J239" s="25"/>
      <c r="K239" s="25"/>
      <c r="L239" s="25"/>
    </row>
    <row r="240" customFormat="false" ht="15" hidden="false" customHeight="false" outlineLevel="0" collapsed="false">
      <c r="A240" s="69"/>
      <c r="B240" s="68"/>
      <c r="C240" s="68"/>
      <c r="D240" s="76" t="str">
        <f aca="false">IF(C240="","",IFERROR(INDEX(ST_Design,MATCH(C240,ST_Code,0)),"Code inconnu"))</f>
        <v/>
      </c>
      <c r="E240" s="74" t="str">
        <f aca="false">IF(C240="","",IFERROR(INDEX(ST_Unite,MATCH(C240,ST_Code,0)),""))</f>
        <v/>
      </c>
      <c r="F240" s="82"/>
      <c r="G240" s="68"/>
      <c r="H240" s="76" t="str">
        <f aca="false">IF(G240="","",IFERROR(INDEX(BC_Fourn,MATCH(G240,BC_Num,0)),""))</f>
        <v/>
      </c>
      <c r="I240" s="25"/>
      <c r="J240" s="25"/>
      <c r="K240" s="25"/>
      <c r="L240" s="25"/>
    </row>
    <row r="241" customFormat="false" ht="15" hidden="false" customHeight="false" outlineLevel="0" collapsed="false">
      <c r="A241" s="69"/>
      <c r="B241" s="68"/>
      <c r="C241" s="68"/>
      <c r="D241" s="76" t="str">
        <f aca="false">IF(C241="","",IFERROR(INDEX(ST_Design,MATCH(C241,ST_Code,0)),"Code inconnu"))</f>
        <v/>
      </c>
      <c r="E241" s="74" t="str">
        <f aca="false">IF(C241="","",IFERROR(INDEX(ST_Unite,MATCH(C241,ST_Code,0)),""))</f>
        <v/>
      </c>
      <c r="F241" s="82"/>
      <c r="G241" s="68"/>
      <c r="H241" s="76" t="str">
        <f aca="false">IF(G241="","",IFERROR(INDEX(BC_Fourn,MATCH(G241,BC_Num,0)),""))</f>
        <v/>
      </c>
      <c r="I241" s="25"/>
      <c r="J241" s="25"/>
      <c r="K241" s="25"/>
      <c r="L241" s="25"/>
    </row>
    <row r="242" customFormat="false" ht="15" hidden="false" customHeight="false" outlineLevel="0" collapsed="false">
      <c r="A242" s="69"/>
      <c r="B242" s="68"/>
      <c r="C242" s="68"/>
      <c r="D242" s="76" t="str">
        <f aca="false">IF(C242="","",IFERROR(INDEX(ST_Design,MATCH(C242,ST_Code,0)),"Code inconnu"))</f>
        <v/>
      </c>
      <c r="E242" s="74" t="str">
        <f aca="false">IF(C242="","",IFERROR(INDEX(ST_Unite,MATCH(C242,ST_Code,0)),""))</f>
        <v/>
      </c>
      <c r="F242" s="82"/>
      <c r="G242" s="68"/>
      <c r="H242" s="76" t="str">
        <f aca="false">IF(G242="","",IFERROR(INDEX(BC_Fourn,MATCH(G242,BC_Num,0)),""))</f>
        <v/>
      </c>
      <c r="I242" s="25"/>
      <c r="J242" s="25"/>
      <c r="K242" s="25"/>
      <c r="L242" s="25"/>
    </row>
    <row r="243" customFormat="false" ht="15" hidden="false" customHeight="false" outlineLevel="0" collapsed="false">
      <c r="A243" s="69"/>
      <c r="B243" s="68"/>
      <c r="C243" s="68"/>
      <c r="D243" s="76" t="str">
        <f aca="false">IF(C243="","",IFERROR(INDEX(ST_Design,MATCH(C243,ST_Code,0)),"Code inconnu"))</f>
        <v/>
      </c>
      <c r="E243" s="74" t="str">
        <f aca="false">IF(C243="","",IFERROR(INDEX(ST_Unite,MATCH(C243,ST_Code,0)),""))</f>
        <v/>
      </c>
      <c r="F243" s="82"/>
      <c r="G243" s="68"/>
      <c r="H243" s="76" t="str">
        <f aca="false">IF(G243="","",IFERROR(INDEX(BC_Fourn,MATCH(G243,BC_Num,0)),""))</f>
        <v/>
      </c>
      <c r="I243" s="25"/>
      <c r="J243" s="25"/>
      <c r="K243" s="25"/>
      <c r="L243" s="25"/>
    </row>
    <row r="244" customFormat="false" ht="15" hidden="false" customHeight="false" outlineLevel="0" collapsed="false">
      <c r="A244" s="69"/>
      <c r="B244" s="68"/>
      <c r="C244" s="68"/>
      <c r="D244" s="76" t="str">
        <f aca="false">IF(C244="","",IFERROR(INDEX(ST_Design,MATCH(C244,ST_Code,0)),"Code inconnu"))</f>
        <v/>
      </c>
      <c r="E244" s="74" t="str">
        <f aca="false">IF(C244="","",IFERROR(INDEX(ST_Unite,MATCH(C244,ST_Code,0)),""))</f>
        <v/>
      </c>
      <c r="F244" s="82"/>
      <c r="G244" s="68"/>
      <c r="H244" s="76" t="str">
        <f aca="false">IF(G244="","",IFERROR(INDEX(BC_Fourn,MATCH(G244,BC_Num,0)),""))</f>
        <v/>
      </c>
      <c r="I244" s="25"/>
      <c r="J244" s="25"/>
      <c r="K244" s="25"/>
      <c r="L244" s="25"/>
    </row>
    <row r="245" customFormat="false" ht="15" hidden="false" customHeight="false" outlineLevel="0" collapsed="false">
      <c r="A245" s="69"/>
      <c r="B245" s="68"/>
      <c r="C245" s="68"/>
      <c r="D245" s="76" t="str">
        <f aca="false">IF(C245="","",IFERROR(INDEX(ST_Design,MATCH(C245,ST_Code,0)),"Code inconnu"))</f>
        <v/>
      </c>
      <c r="E245" s="74" t="str">
        <f aca="false">IF(C245="","",IFERROR(INDEX(ST_Unite,MATCH(C245,ST_Code,0)),""))</f>
        <v/>
      </c>
      <c r="F245" s="82"/>
      <c r="G245" s="68"/>
      <c r="H245" s="76" t="str">
        <f aca="false">IF(G245="","",IFERROR(INDEX(BC_Fourn,MATCH(G245,BC_Num,0)),""))</f>
        <v/>
      </c>
      <c r="I245" s="25"/>
      <c r="J245" s="25"/>
      <c r="K245" s="25"/>
      <c r="L245" s="25"/>
    </row>
    <row r="246" customFormat="false" ht="15" hidden="false" customHeight="false" outlineLevel="0" collapsed="false">
      <c r="A246" s="69"/>
      <c r="B246" s="68"/>
      <c r="C246" s="68"/>
      <c r="D246" s="76" t="str">
        <f aca="false">IF(C246="","",IFERROR(INDEX(ST_Design,MATCH(C246,ST_Code,0)),"Code inconnu"))</f>
        <v/>
      </c>
      <c r="E246" s="74" t="str">
        <f aca="false">IF(C246="","",IFERROR(INDEX(ST_Unite,MATCH(C246,ST_Code,0)),""))</f>
        <v/>
      </c>
      <c r="F246" s="82"/>
      <c r="G246" s="68"/>
      <c r="H246" s="76" t="str">
        <f aca="false">IF(G246="","",IFERROR(INDEX(BC_Fourn,MATCH(G246,BC_Num,0)),""))</f>
        <v/>
      </c>
      <c r="I246" s="25"/>
      <c r="J246" s="25"/>
      <c r="K246" s="25"/>
      <c r="L246" s="25"/>
    </row>
    <row r="247" customFormat="false" ht="15" hidden="false" customHeight="false" outlineLevel="0" collapsed="false">
      <c r="A247" s="69"/>
      <c r="B247" s="68"/>
      <c r="C247" s="68"/>
      <c r="D247" s="76" t="str">
        <f aca="false">IF(C247="","",IFERROR(INDEX(ST_Design,MATCH(C247,ST_Code,0)),"Code inconnu"))</f>
        <v/>
      </c>
      <c r="E247" s="74" t="str">
        <f aca="false">IF(C247="","",IFERROR(INDEX(ST_Unite,MATCH(C247,ST_Code,0)),""))</f>
        <v/>
      </c>
      <c r="F247" s="82"/>
      <c r="G247" s="68"/>
      <c r="H247" s="76" t="str">
        <f aca="false">IF(G247="","",IFERROR(INDEX(BC_Fourn,MATCH(G247,BC_Num,0)),""))</f>
        <v/>
      </c>
      <c r="I247" s="25"/>
      <c r="J247" s="25"/>
      <c r="K247" s="25"/>
      <c r="L247" s="25"/>
    </row>
    <row r="248" customFormat="false" ht="15" hidden="false" customHeight="false" outlineLevel="0" collapsed="false">
      <c r="A248" s="69"/>
      <c r="B248" s="68"/>
      <c r="C248" s="68"/>
      <c r="D248" s="76" t="str">
        <f aca="false">IF(C248="","",IFERROR(INDEX(ST_Design,MATCH(C248,ST_Code,0)),"Code inconnu"))</f>
        <v/>
      </c>
      <c r="E248" s="74" t="str">
        <f aca="false">IF(C248="","",IFERROR(INDEX(ST_Unite,MATCH(C248,ST_Code,0)),""))</f>
        <v/>
      </c>
      <c r="F248" s="82"/>
      <c r="G248" s="68"/>
      <c r="H248" s="76" t="str">
        <f aca="false">IF(G248="","",IFERROR(INDEX(BC_Fourn,MATCH(G248,BC_Num,0)),""))</f>
        <v/>
      </c>
      <c r="I248" s="25"/>
      <c r="J248" s="25"/>
      <c r="K248" s="25"/>
      <c r="L248" s="25"/>
    </row>
    <row r="249" customFormat="false" ht="15" hidden="false" customHeight="false" outlineLevel="0" collapsed="false">
      <c r="A249" s="69"/>
      <c r="B249" s="68"/>
      <c r="C249" s="68"/>
      <c r="D249" s="76" t="str">
        <f aca="false">IF(C249="","",IFERROR(INDEX(ST_Design,MATCH(C249,ST_Code,0)),"Code inconnu"))</f>
        <v/>
      </c>
      <c r="E249" s="74" t="str">
        <f aca="false">IF(C249="","",IFERROR(INDEX(ST_Unite,MATCH(C249,ST_Code,0)),""))</f>
        <v/>
      </c>
      <c r="F249" s="82"/>
      <c r="G249" s="68"/>
      <c r="H249" s="76" t="str">
        <f aca="false">IF(G249="","",IFERROR(INDEX(BC_Fourn,MATCH(G249,BC_Num,0)),""))</f>
        <v/>
      </c>
      <c r="I249" s="25"/>
      <c r="J249" s="25"/>
      <c r="K249" s="25"/>
      <c r="L249" s="25"/>
    </row>
    <row r="250" customFormat="false" ht="15" hidden="false" customHeight="false" outlineLevel="0" collapsed="false">
      <c r="A250" s="69"/>
      <c r="B250" s="68"/>
      <c r="C250" s="68"/>
      <c r="D250" s="76" t="str">
        <f aca="false">IF(C250="","",IFERROR(INDEX(ST_Design,MATCH(C250,ST_Code,0)),"Code inconnu"))</f>
        <v/>
      </c>
      <c r="E250" s="74" t="str">
        <f aca="false">IF(C250="","",IFERROR(INDEX(ST_Unite,MATCH(C250,ST_Code,0)),""))</f>
        <v/>
      </c>
      <c r="F250" s="82"/>
      <c r="G250" s="68"/>
      <c r="H250" s="76" t="str">
        <f aca="false">IF(G250="","",IFERROR(INDEX(BC_Fourn,MATCH(G250,BC_Num,0)),""))</f>
        <v/>
      </c>
      <c r="I250" s="25"/>
      <c r="J250" s="25"/>
      <c r="K250" s="25"/>
      <c r="L250" s="25"/>
    </row>
    <row r="251" customFormat="false" ht="15" hidden="false" customHeight="false" outlineLevel="0" collapsed="false">
      <c r="A251" s="69"/>
      <c r="B251" s="68"/>
      <c r="C251" s="68"/>
      <c r="D251" s="76" t="str">
        <f aca="false">IF(C251="","",IFERROR(INDEX(ST_Design,MATCH(C251,ST_Code,0)),"Code inconnu"))</f>
        <v/>
      </c>
      <c r="E251" s="74" t="str">
        <f aca="false">IF(C251="","",IFERROR(INDEX(ST_Unite,MATCH(C251,ST_Code,0)),""))</f>
        <v/>
      </c>
      <c r="F251" s="82"/>
      <c r="G251" s="68"/>
      <c r="H251" s="76" t="str">
        <f aca="false">IF(G251="","",IFERROR(INDEX(BC_Fourn,MATCH(G251,BC_Num,0)),""))</f>
        <v/>
      </c>
      <c r="I251" s="25"/>
      <c r="J251" s="25"/>
      <c r="K251" s="25"/>
      <c r="L251" s="25"/>
    </row>
    <row r="252" customFormat="false" ht="15" hidden="false" customHeight="false" outlineLevel="0" collapsed="false">
      <c r="A252" s="69"/>
      <c r="B252" s="68"/>
      <c r="C252" s="68"/>
      <c r="D252" s="76" t="str">
        <f aca="false">IF(C252="","",IFERROR(INDEX(ST_Design,MATCH(C252,ST_Code,0)),"Code inconnu"))</f>
        <v/>
      </c>
      <c r="E252" s="74" t="str">
        <f aca="false">IF(C252="","",IFERROR(INDEX(ST_Unite,MATCH(C252,ST_Code,0)),""))</f>
        <v/>
      </c>
      <c r="F252" s="82"/>
      <c r="G252" s="68"/>
      <c r="H252" s="76" t="str">
        <f aca="false">IF(G252="","",IFERROR(INDEX(BC_Fourn,MATCH(G252,BC_Num,0)),""))</f>
        <v/>
      </c>
      <c r="I252" s="25"/>
      <c r="J252" s="25"/>
      <c r="K252" s="25"/>
      <c r="L252" s="25"/>
    </row>
    <row r="253" customFormat="false" ht="15" hidden="false" customHeight="false" outlineLevel="0" collapsed="false">
      <c r="A253" s="69"/>
      <c r="B253" s="68"/>
      <c r="C253" s="68"/>
      <c r="D253" s="76" t="str">
        <f aca="false">IF(C253="","",IFERROR(INDEX(ST_Design,MATCH(C253,ST_Code,0)),"Code inconnu"))</f>
        <v/>
      </c>
      <c r="E253" s="74" t="str">
        <f aca="false">IF(C253="","",IFERROR(INDEX(ST_Unite,MATCH(C253,ST_Code,0)),""))</f>
        <v/>
      </c>
      <c r="F253" s="82"/>
      <c r="G253" s="68"/>
      <c r="H253" s="76" t="str">
        <f aca="false">IF(G253="","",IFERROR(INDEX(BC_Fourn,MATCH(G253,BC_Num,0)),""))</f>
        <v/>
      </c>
      <c r="I253" s="25"/>
      <c r="J253" s="25"/>
      <c r="K253" s="25"/>
      <c r="L253" s="25"/>
    </row>
    <row r="254" customFormat="false" ht="15" hidden="false" customHeight="false" outlineLevel="0" collapsed="false">
      <c r="A254" s="69"/>
      <c r="B254" s="68"/>
      <c r="C254" s="68"/>
      <c r="D254" s="76" t="str">
        <f aca="false">IF(C254="","",IFERROR(INDEX(ST_Design,MATCH(C254,ST_Code,0)),"Code inconnu"))</f>
        <v/>
      </c>
      <c r="E254" s="74" t="str">
        <f aca="false">IF(C254="","",IFERROR(INDEX(ST_Unite,MATCH(C254,ST_Code,0)),""))</f>
        <v/>
      </c>
      <c r="F254" s="82"/>
      <c r="G254" s="68"/>
      <c r="H254" s="76" t="str">
        <f aca="false">IF(G254="","",IFERROR(INDEX(BC_Fourn,MATCH(G254,BC_Num,0)),""))</f>
        <v/>
      </c>
      <c r="I254" s="25"/>
      <c r="J254" s="25"/>
      <c r="K254" s="25"/>
      <c r="L254" s="25"/>
    </row>
    <row r="255" customFormat="false" ht="15" hidden="false" customHeight="false" outlineLevel="0" collapsed="false">
      <c r="A255" s="69"/>
      <c r="B255" s="68"/>
      <c r="C255" s="68"/>
      <c r="D255" s="76" t="str">
        <f aca="false">IF(C255="","",IFERROR(INDEX(ST_Design,MATCH(C255,ST_Code,0)),"Code inconnu"))</f>
        <v/>
      </c>
      <c r="E255" s="74" t="str">
        <f aca="false">IF(C255="","",IFERROR(INDEX(ST_Unite,MATCH(C255,ST_Code,0)),""))</f>
        <v/>
      </c>
      <c r="F255" s="82"/>
      <c r="G255" s="68"/>
      <c r="H255" s="76" t="str">
        <f aca="false">IF(G255="","",IFERROR(INDEX(BC_Fourn,MATCH(G255,BC_Num,0)),""))</f>
        <v/>
      </c>
      <c r="I255" s="25"/>
      <c r="J255" s="25"/>
      <c r="K255" s="25"/>
      <c r="L255" s="25"/>
    </row>
    <row r="256" customFormat="false" ht="15" hidden="false" customHeight="false" outlineLevel="0" collapsed="false">
      <c r="A256" s="69"/>
      <c r="B256" s="68"/>
      <c r="C256" s="68"/>
      <c r="D256" s="76" t="str">
        <f aca="false">IF(C256="","",IFERROR(INDEX(ST_Design,MATCH(C256,ST_Code,0)),"Code inconnu"))</f>
        <v/>
      </c>
      <c r="E256" s="74" t="str">
        <f aca="false">IF(C256="","",IFERROR(INDEX(ST_Unite,MATCH(C256,ST_Code,0)),""))</f>
        <v/>
      </c>
      <c r="F256" s="82"/>
      <c r="G256" s="68"/>
      <c r="H256" s="76" t="str">
        <f aca="false">IF(G256="","",IFERROR(INDEX(BC_Fourn,MATCH(G256,BC_Num,0)),""))</f>
        <v/>
      </c>
      <c r="I256" s="25"/>
      <c r="J256" s="25"/>
      <c r="K256" s="25"/>
      <c r="L256" s="25"/>
    </row>
    <row r="257" customFormat="false" ht="15" hidden="false" customHeight="false" outlineLevel="0" collapsed="false">
      <c r="A257" s="69"/>
      <c r="B257" s="68"/>
      <c r="C257" s="68"/>
      <c r="D257" s="76" t="str">
        <f aca="false">IF(C257="","",IFERROR(INDEX(ST_Design,MATCH(C257,ST_Code,0)),"Code inconnu"))</f>
        <v/>
      </c>
      <c r="E257" s="74" t="str">
        <f aca="false">IF(C257="","",IFERROR(INDEX(ST_Unite,MATCH(C257,ST_Code,0)),""))</f>
        <v/>
      </c>
      <c r="F257" s="82"/>
      <c r="G257" s="68"/>
      <c r="H257" s="76" t="str">
        <f aca="false">IF(G257="","",IFERROR(INDEX(BC_Fourn,MATCH(G257,BC_Num,0)),""))</f>
        <v/>
      </c>
      <c r="I257" s="25"/>
      <c r="J257" s="25"/>
      <c r="K257" s="25"/>
      <c r="L257" s="25"/>
    </row>
    <row r="258" customFormat="false" ht="15" hidden="false" customHeight="false" outlineLevel="0" collapsed="false">
      <c r="A258" s="69"/>
      <c r="B258" s="68"/>
      <c r="C258" s="68"/>
      <c r="D258" s="76" t="str">
        <f aca="false">IF(C258="","",IFERROR(INDEX(ST_Design,MATCH(C258,ST_Code,0)),"Code inconnu"))</f>
        <v/>
      </c>
      <c r="E258" s="74" t="str">
        <f aca="false">IF(C258="","",IFERROR(INDEX(ST_Unite,MATCH(C258,ST_Code,0)),""))</f>
        <v/>
      </c>
      <c r="F258" s="82"/>
      <c r="G258" s="68"/>
      <c r="H258" s="76" t="str">
        <f aca="false">IF(G258="","",IFERROR(INDEX(BC_Fourn,MATCH(G258,BC_Num,0)),""))</f>
        <v/>
      </c>
      <c r="I258" s="25"/>
      <c r="J258" s="25"/>
      <c r="K258" s="25"/>
      <c r="L258" s="25"/>
    </row>
    <row r="259" customFormat="false" ht="15" hidden="false" customHeight="false" outlineLevel="0" collapsed="false">
      <c r="A259" s="69"/>
      <c r="B259" s="68"/>
      <c r="C259" s="68"/>
      <c r="D259" s="76" t="str">
        <f aca="false">IF(C259="","",IFERROR(INDEX(ST_Design,MATCH(C259,ST_Code,0)),"Code inconnu"))</f>
        <v/>
      </c>
      <c r="E259" s="74" t="str">
        <f aca="false">IF(C259="","",IFERROR(INDEX(ST_Unite,MATCH(C259,ST_Code,0)),""))</f>
        <v/>
      </c>
      <c r="F259" s="82"/>
      <c r="G259" s="68"/>
      <c r="H259" s="76" t="str">
        <f aca="false">IF(G259="","",IFERROR(INDEX(BC_Fourn,MATCH(G259,BC_Num,0)),""))</f>
        <v/>
      </c>
      <c r="I259" s="25"/>
      <c r="J259" s="25"/>
      <c r="K259" s="25"/>
      <c r="L259" s="25"/>
    </row>
    <row r="260" customFormat="false" ht="15" hidden="false" customHeight="false" outlineLevel="0" collapsed="false">
      <c r="A260" s="69"/>
      <c r="B260" s="68"/>
      <c r="C260" s="68"/>
      <c r="D260" s="76" t="str">
        <f aca="false">IF(C260="","",IFERROR(INDEX(ST_Design,MATCH(C260,ST_Code,0)),"Code inconnu"))</f>
        <v/>
      </c>
      <c r="E260" s="74" t="str">
        <f aca="false">IF(C260="","",IFERROR(INDEX(ST_Unite,MATCH(C260,ST_Code,0)),""))</f>
        <v/>
      </c>
      <c r="F260" s="82"/>
      <c r="G260" s="68"/>
      <c r="H260" s="76" t="str">
        <f aca="false">IF(G260="","",IFERROR(INDEX(BC_Fourn,MATCH(G260,BC_Num,0)),""))</f>
        <v/>
      </c>
      <c r="I260" s="25"/>
      <c r="J260" s="25"/>
      <c r="K260" s="25"/>
      <c r="L260" s="25"/>
    </row>
    <row r="261" customFormat="false" ht="15" hidden="false" customHeight="false" outlineLevel="0" collapsed="false">
      <c r="A261" s="69"/>
      <c r="B261" s="68"/>
      <c r="C261" s="68"/>
      <c r="D261" s="76" t="str">
        <f aca="false">IF(C261="","",IFERROR(INDEX(ST_Design,MATCH(C261,ST_Code,0)),"Code inconnu"))</f>
        <v/>
      </c>
      <c r="E261" s="74" t="str">
        <f aca="false">IF(C261="","",IFERROR(INDEX(ST_Unite,MATCH(C261,ST_Code,0)),""))</f>
        <v/>
      </c>
      <c r="F261" s="82"/>
      <c r="G261" s="68"/>
      <c r="H261" s="76" t="str">
        <f aca="false">IF(G261="","",IFERROR(INDEX(BC_Fourn,MATCH(G261,BC_Num,0)),""))</f>
        <v/>
      </c>
      <c r="I261" s="25"/>
      <c r="J261" s="25"/>
      <c r="K261" s="25"/>
      <c r="L261" s="25"/>
    </row>
    <row r="262" customFormat="false" ht="15" hidden="false" customHeight="false" outlineLevel="0" collapsed="false">
      <c r="A262" s="69"/>
      <c r="B262" s="68"/>
      <c r="C262" s="68"/>
      <c r="D262" s="76" t="str">
        <f aca="false">IF(C262="","",IFERROR(INDEX(ST_Design,MATCH(C262,ST_Code,0)),"Code inconnu"))</f>
        <v/>
      </c>
      <c r="E262" s="74" t="str">
        <f aca="false">IF(C262="","",IFERROR(INDEX(ST_Unite,MATCH(C262,ST_Code,0)),""))</f>
        <v/>
      </c>
      <c r="F262" s="82"/>
      <c r="G262" s="68"/>
      <c r="H262" s="76" t="str">
        <f aca="false">IF(G262="","",IFERROR(INDEX(BC_Fourn,MATCH(G262,BC_Num,0)),""))</f>
        <v/>
      </c>
      <c r="I262" s="25"/>
      <c r="J262" s="25"/>
      <c r="K262" s="25"/>
      <c r="L262" s="25"/>
    </row>
    <row r="263" customFormat="false" ht="15" hidden="false" customHeight="false" outlineLevel="0" collapsed="false">
      <c r="A263" s="69"/>
      <c r="B263" s="68"/>
      <c r="C263" s="68"/>
      <c r="D263" s="76" t="str">
        <f aca="false">IF(C263="","",IFERROR(INDEX(ST_Design,MATCH(C263,ST_Code,0)),"Code inconnu"))</f>
        <v/>
      </c>
      <c r="E263" s="74" t="str">
        <f aca="false">IF(C263="","",IFERROR(INDEX(ST_Unite,MATCH(C263,ST_Code,0)),""))</f>
        <v/>
      </c>
      <c r="F263" s="82"/>
      <c r="G263" s="68"/>
      <c r="H263" s="76" t="str">
        <f aca="false">IF(G263="","",IFERROR(INDEX(BC_Fourn,MATCH(G263,BC_Num,0)),""))</f>
        <v/>
      </c>
      <c r="I263" s="25"/>
      <c r="J263" s="25"/>
      <c r="K263" s="25"/>
      <c r="L263" s="25"/>
    </row>
    <row r="264" customFormat="false" ht="15" hidden="false" customHeight="false" outlineLevel="0" collapsed="false">
      <c r="A264" s="69"/>
      <c r="B264" s="68"/>
      <c r="C264" s="68"/>
      <c r="D264" s="76" t="str">
        <f aca="false">IF(C264="","",IFERROR(INDEX(ST_Design,MATCH(C264,ST_Code,0)),"Code inconnu"))</f>
        <v/>
      </c>
      <c r="E264" s="74" t="str">
        <f aca="false">IF(C264="","",IFERROR(INDEX(ST_Unite,MATCH(C264,ST_Code,0)),""))</f>
        <v/>
      </c>
      <c r="F264" s="82"/>
      <c r="G264" s="68"/>
      <c r="H264" s="76" t="str">
        <f aca="false">IF(G264="","",IFERROR(INDEX(BC_Fourn,MATCH(G264,BC_Num,0)),""))</f>
        <v/>
      </c>
      <c r="I264" s="25"/>
      <c r="J264" s="25"/>
      <c r="K264" s="25"/>
      <c r="L264" s="25"/>
    </row>
    <row r="265" customFormat="false" ht="15" hidden="false" customHeight="false" outlineLevel="0" collapsed="false">
      <c r="A265" s="69"/>
      <c r="B265" s="68"/>
      <c r="C265" s="68"/>
      <c r="D265" s="76" t="str">
        <f aca="false">IF(C265="","",IFERROR(INDEX(ST_Design,MATCH(C265,ST_Code,0)),"Code inconnu"))</f>
        <v/>
      </c>
      <c r="E265" s="74" t="str">
        <f aca="false">IF(C265="","",IFERROR(INDEX(ST_Unite,MATCH(C265,ST_Code,0)),""))</f>
        <v/>
      </c>
      <c r="F265" s="82"/>
      <c r="G265" s="68"/>
      <c r="H265" s="76" t="str">
        <f aca="false">IF(G265="","",IFERROR(INDEX(BC_Fourn,MATCH(G265,BC_Num,0)),""))</f>
        <v/>
      </c>
      <c r="I265" s="25"/>
      <c r="J265" s="25"/>
      <c r="K265" s="25"/>
      <c r="L265" s="25"/>
    </row>
    <row r="266" customFormat="false" ht="15" hidden="false" customHeight="false" outlineLevel="0" collapsed="false">
      <c r="A266" s="69"/>
      <c r="B266" s="68"/>
      <c r="C266" s="68"/>
      <c r="D266" s="76" t="str">
        <f aca="false">IF(C266="","",IFERROR(INDEX(ST_Design,MATCH(C266,ST_Code,0)),"Code inconnu"))</f>
        <v/>
      </c>
      <c r="E266" s="74" t="str">
        <f aca="false">IF(C266="","",IFERROR(INDEX(ST_Unite,MATCH(C266,ST_Code,0)),""))</f>
        <v/>
      </c>
      <c r="F266" s="82"/>
      <c r="G266" s="68"/>
      <c r="H266" s="76" t="str">
        <f aca="false">IF(G266="","",IFERROR(INDEX(BC_Fourn,MATCH(G266,BC_Num,0)),""))</f>
        <v/>
      </c>
      <c r="I266" s="25"/>
      <c r="J266" s="25"/>
      <c r="K266" s="25"/>
      <c r="L266" s="25"/>
    </row>
    <row r="267" customFormat="false" ht="15" hidden="false" customHeight="false" outlineLevel="0" collapsed="false">
      <c r="A267" s="69"/>
      <c r="B267" s="68"/>
      <c r="C267" s="68"/>
      <c r="D267" s="76" t="str">
        <f aca="false">IF(C267="","",IFERROR(INDEX(ST_Design,MATCH(C267,ST_Code,0)),"Code inconnu"))</f>
        <v/>
      </c>
      <c r="E267" s="74" t="str">
        <f aca="false">IF(C267="","",IFERROR(INDEX(ST_Unite,MATCH(C267,ST_Code,0)),""))</f>
        <v/>
      </c>
      <c r="F267" s="82"/>
      <c r="G267" s="68"/>
      <c r="H267" s="76" t="str">
        <f aca="false">IF(G267="","",IFERROR(INDEX(BC_Fourn,MATCH(G267,BC_Num,0)),""))</f>
        <v/>
      </c>
      <c r="I267" s="25"/>
      <c r="J267" s="25"/>
      <c r="K267" s="25"/>
      <c r="L267" s="25"/>
    </row>
    <row r="268" customFormat="false" ht="15" hidden="false" customHeight="false" outlineLevel="0" collapsed="false">
      <c r="A268" s="69"/>
      <c r="B268" s="68"/>
      <c r="C268" s="68"/>
      <c r="D268" s="76" t="str">
        <f aca="false">IF(C268="","",IFERROR(INDEX(ST_Design,MATCH(C268,ST_Code,0)),"Code inconnu"))</f>
        <v/>
      </c>
      <c r="E268" s="74" t="str">
        <f aca="false">IF(C268="","",IFERROR(INDEX(ST_Unite,MATCH(C268,ST_Code,0)),""))</f>
        <v/>
      </c>
      <c r="F268" s="82"/>
      <c r="G268" s="68"/>
      <c r="H268" s="76" t="str">
        <f aca="false">IF(G268="","",IFERROR(INDEX(BC_Fourn,MATCH(G268,BC_Num,0)),""))</f>
        <v/>
      </c>
      <c r="I268" s="25"/>
      <c r="J268" s="25"/>
      <c r="K268" s="25"/>
      <c r="L268" s="25"/>
    </row>
    <row r="269" customFormat="false" ht="15" hidden="false" customHeight="false" outlineLevel="0" collapsed="false">
      <c r="A269" s="69"/>
      <c r="B269" s="68"/>
      <c r="C269" s="68"/>
      <c r="D269" s="76" t="str">
        <f aca="false">IF(C269="","",IFERROR(INDEX(ST_Design,MATCH(C269,ST_Code,0)),"Code inconnu"))</f>
        <v/>
      </c>
      <c r="E269" s="74" t="str">
        <f aca="false">IF(C269="","",IFERROR(INDEX(ST_Unite,MATCH(C269,ST_Code,0)),""))</f>
        <v/>
      </c>
      <c r="F269" s="82"/>
      <c r="G269" s="68"/>
      <c r="H269" s="76" t="str">
        <f aca="false">IF(G269="","",IFERROR(INDEX(BC_Fourn,MATCH(G269,BC_Num,0)),""))</f>
        <v/>
      </c>
      <c r="I269" s="25"/>
      <c r="J269" s="25"/>
      <c r="K269" s="25"/>
      <c r="L269" s="25"/>
    </row>
    <row r="270" customFormat="false" ht="15" hidden="false" customHeight="false" outlineLevel="0" collapsed="false">
      <c r="A270" s="69"/>
      <c r="B270" s="68"/>
      <c r="C270" s="68"/>
      <c r="D270" s="76" t="str">
        <f aca="false">IF(C270="","",IFERROR(INDEX(ST_Design,MATCH(C270,ST_Code,0)),"Code inconnu"))</f>
        <v/>
      </c>
      <c r="E270" s="74" t="str">
        <f aca="false">IF(C270="","",IFERROR(INDEX(ST_Unite,MATCH(C270,ST_Code,0)),""))</f>
        <v/>
      </c>
      <c r="F270" s="82"/>
      <c r="G270" s="68"/>
      <c r="H270" s="76" t="str">
        <f aca="false">IF(G270="","",IFERROR(INDEX(BC_Fourn,MATCH(G270,BC_Num,0)),""))</f>
        <v/>
      </c>
      <c r="I270" s="25"/>
      <c r="J270" s="25"/>
      <c r="K270" s="25"/>
      <c r="L270" s="25"/>
    </row>
    <row r="271" customFormat="false" ht="15" hidden="false" customHeight="false" outlineLevel="0" collapsed="false">
      <c r="A271" s="69"/>
      <c r="B271" s="68"/>
      <c r="C271" s="68"/>
      <c r="D271" s="76" t="str">
        <f aca="false">IF(C271="","",IFERROR(INDEX(ST_Design,MATCH(C271,ST_Code,0)),"Code inconnu"))</f>
        <v/>
      </c>
      <c r="E271" s="74" t="str">
        <f aca="false">IF(C271="","",IFERROR(INDEX(ST_Unite,MATCH(C271,ST_Code,0)),""))</f>
        <v/>
      </c>
      <c r="F271" s="82"/>
      <c r="G271" s="68"/>
      <c r="H271" s="76" t="str">
        <f aca="false">IF(G271="","",IFERROR(INDEX(BC_Fourn,MATCH(G271,BC_Num,0)),""))</f>
        <v/>
      </c>
      <c r="I271" s="25"/>
      <c r="J271" s="25"/>
      <c r="K271" s="25"/>
      <c r="L271" s="25"/>
    </row>
    <row r="272" customFormat="false" ht="15" hidden="false" customHeight="false" outlineLevel="0" collapsed="false">
      <c r="A272" s="69"/>
      <c r="B272" s="68"/>
      <c r="C272" s="68"/>
      <c r="D272" s="76" t="str">
        <f aca="false">IF(C272="","",IFERROR(INDEX(ST_Design,MATCH(C272,ST_Code,0)),"Code inconnu"))</f>
        <v/>
      </c>
      <c r="E272" s="74" t="str">
        <f aca="false">IF(C272="","",IFERROR(INDEX(ST_Unite,MATCH(C272,ST_Code,0)),""))</f>
        <v/>
      </c>
      <c r="F272" s="82"/>
      <c r="G272" s="68"/>
      <c r="H272" s="76" t="str">
        <f aca="false">IF(G272="","",IFERROR(INDEX(BC_Fourn,MATCH(G272,BC_Num,0)),""))</f>
        <v/>
      </c>
      <c r="I272" s="25"/>
      <c r="J272" s="25"/>
      <c r="K272" s="25"/>
      <c r="L272" s="25"/>
    </row>
    <row r="273" customFormat="false" ht="15" hidden="false" customHeight="false" outlineLevel="0" collapsed="false">
      <c r="A273" s="69"/>
      <c r="B273" s="68"/>
      <c r="C273" s="68"/>
      <c r="D273" s="76" t="str">
        <f aca="false">IF(C273="","",IFERROR(INDEX(ST_Design,MATCH(C273,ST_Code,0)),"Code inconnu"))</f>
        <v/>
      </c>
      <c r="E273" s="74" t="str">
        <f aca="false">IF(C273="","",IFERROR(INDEX(ST_Unite,MATCH(C273,ST_Code,0)),""))</f>
        <v/>
      </c>
      <c r="F273" s="82"/>
      <c r="G273" s="68"/>
      <c r="H273" s="76" t="str">
        <f aca="false">IF(G273="","",IFERROR(INDEX(BC_Fourn,MATCH(G273,BC_Num,0)),""))</f>
        <v/>
      </c>
      <c r="I273" s="25"/>
      <c r="J273" s="25"/>
      <c r="K273" s="25"/>
      <c r="L273" s="25"/>
    </row>
    <row r="274" customFormat="false" ht="15" hidden="false" customHeight="false" outlineLevel="0" collapsed="false">
      <c r="A274" s="69"/>
      <c r="B274" s="68"/>
      <c r="C274" s="68"/>
      <c r="D274" s="76" t="str">
        <f aca="false">IF(C274="","",IFERROR(INDEX(ST_Design,MATCH(C274,ST_Code,0)),"Code inconnu"))</f>
        <v/>
      </c>
      <c r="E274" s="74" t="str">
        <f aca="false">IF(C274="","",IFERROR(INDEX(ST_Unite,MATCH(C274,ST_Code,0)),""))</f>
        <v/>
      </c>
      <c r="F274" s="82"/>
      <c r="G274" s="68"/>
      <c r="H274" s="76" t="str">
        <f aca="false">IF(G274="","",IFERROR(INDEX(BC_Fourn,MATCH(G274,BC_Num,0)),""))</f>
        <v/>
      </c>
      <c r="I274" s="25"/>
      <c r="J274" s="25"/>
      <c r="K274" s="25"/>
      <c r="L274" s="25"/>
    </row>
    <row r="275" customFormat="false" ht="15" hidden="false" customHeight="false" outlineLevel="0" collapsed="false">
      <c r="A275" s="69"/>
      <c r="B275" s="68"/>
      <c r="C275" s="68"/>
      <c r="D275" s="76" t="str">
        <f aca="false">IF(C275="","",IFERROR(INDEX(ST_Design,MATCH(C275,ST_Code,0)),"Code inconnu"))</f>
        <v/>
      </c>
      <c r="E275" s="74" t="str">
        <f aca="false">IF(C275="","",IFERROR(INDEX(ST_Unite,MATCH(C275,ST_Code,0)),""))</f>
        <v/>
      </c>
      <c r="F275" s="82"/>
      <c r="G275" s="68"/>
      <c r="H275" s="76" t="str">
        <f aca="false">IF(G275="","",IFERROR(INDEX(BC_Fourn,MATCH(G275,BC_Num,0)),""))</f>
        <v/>
      </c>
      <c r="I275" s="25"/>
      <c r="J275" s="25"/>
      <c r="K275" s="25"/>
      <c r="L275" s="25"/>
    </row>
    <row r="276" customFormat="false" ht="15" hidden="false" customHeight="false" outlineLevel="0" collapsed="false">
      <c r="A276" s="69"/>
      <c r="B276" s="68"/>
      <c r="C276" s="68"/>
      <c r="D276" s="76" t="str">
        <f aca="false">IF(C276="","",IFERROR(INDEX(ST_Design,MATCH(C276,ST_Code,0)),"Code inconnu"))</f>
        <v/>
      </c>
      <c r="E276" s="74" t="str">
        <f aca="false">IF(C276="","",IFERROR(INDEX(ST_Unite,MATCH(C276,ST_Code,0)),""))</f>
        <v/>
      </c>
      <c r="F276" s="82"/>
      <c r="G276" s="68"/>
      <c r="H276" s="76" t="str">
        <f aca="false">IF(G276="","",IFERROR(INDEX(BC_Fourn,MATCH(G276,BC_Num,0)),""))</f>
        <v/>
      </c>
      <c r="I276" s="25"/>
      <c r="J276" s="25"/>
      <c r="K276" s="25"/>
      <c r="L276" s="25"/>
    </row>
    <row r="277" customFormat="false" ht="15" hidden="false" customHeight="false" outlineLevel="0" collapsed="false">
      <c r="A277" s="69"/>
      <c r="B277" s="68"/>
      <c r="C277" s="68"/>
      <c r="D277" s="76" t="str">
        <f aca="false">IF(C277="","",IFERROR(INDEX(ST_Design,MATCH(C277,ST_Code,0)),"Code inconnu"))</f>
        <v/>
      </c>
      <c r="E277" s="74" t="str">
        <f aca="false">IF(C277="","",IFERROR(INDEX(ST_Unite,MATCH(C277,ST_Code,0)),""))</f>
        <v/>
      </c>
      <c r="F277" s="82"/>
      <c r="G277" s="68"/>
      <c r="H277" s="76" t="str">
        <f aca="false">IF(G277="","",IFERROR(INDEX(BC_Fourn,MATCH(G277,BC_Num,0)),""))</f>
        <v/>
      </c>
      <c r="I277" s="25"/>
      <c r="J277" s="25"/>
      <c r="K277" s="25"/>
      <c r="L277" s="25"/>
    </row>
    <row r="278" customFormat="false" ht="15" hidden="false" customHeight="false" outlineLevel="0" collapsed="false">
      <c r="A278" s="69"/>
      <c r="B278" s="68"/>
      <c r="C278" s="68"/>
      <c r="D278" s="76" t="str">
        <f aca="false">IF(C278="","",IFERROR(INDEX(ST_Design,MATCH(C278,ST_Code,0)),"Code inconnu"))</f>
        <v/>
      </c>
      <c r="E278" s="74" t="str">
        <f aca="false">IF(C278="","",IFERROR(INDEX(ST_Unite,MATCH(C278,ST_Code,0)),""))</f>
        <v/>
      </c>
      <c r="F278" s="82"/>
      <c r="G278" s="68"/>
      <c r="H278" s="76" t="str">
        <f aca="false">IF(G278="","",IFERROR(INDEX(BC_Fourn,MATCH(G278,BC_Num,0)),""))</f>
        <v/>
      </c>
      <c r="I278" s="25"/>
      <c r="J278" s="25"/>
      <c r="K278" s="25"/>
      <c r="L278" s="25"/>
    </row>
    <row r="279" customFormat="false" ht="15" hidden="false" customHeight="false" outlineLevel="0" collapsed="false">
      <c r="A279" s="69"/>
      <c r="B279" s="68"/>
      <c r="C279" s="68"/>
      <c r="D279" s="76" t="str">
        <f aca="false">IF(C279="","",IFERROR(INDEX(ST_Design,MATCH(C279,ST_Code,0)),"Code inconnu"))</f>
        <v/>
      </c>
      <c r="E279" s="74" t="str">
        <f aca="false">IF(C279="","",IFERROR(INDEX(ST_Unite,MATCH(C279,ST_Code,0)),""))</f>
        <v/>
      </c>
      <c r="F279" s="82"/>
      <c r="G279" s="68"/>
      <c r="H279" s="76" t="str">
        <f aca="false">IF(G279="","",IFERROR(INDEX(BC_Fourn,MATCH(G279,BC_Num,0)),""))</f>
        <v/>
      </c>
      <c r="I279" s="25"/>
      <c r="J279" s="25"/>
      <c r="K279" s="25"/>
      <c r="L279" s="25"/>
    </row>
    <row r="280" customFormat="false" ht="15" hidden="false" customHeight="false" outlineLevel="0" collapsed="false">
      <c r="A280" s="69"/>
      <c r="B280" s="68"/>
      <c r="C280" s="68"/>
      <c r="D280" s="76" t="str">
        <f aca="false">IF(C280="","",IFERROR(INDEX(ST_Design,MATCH(C280,ST_Code,0)),"Code inconnu"))</f>
        <v/>
      </c>
      <c r="E280" s="74" t="str">
        <f aca="false">IF(C280="","",IFERROR(INDEX(ST_Unite,MATCH(C280,ST_Code,0)),""))</f>
        <v/>
      </c>
      <c r="F280" s="82"/>
      <c r="G280" s="68"/>
      <c r="H280" s="76" t="str">
        <f aca="false">IF(G280="","",IFERROR(INDEX(BC_Fourn,MATCH(G280,BC_Num,0)),""))</f>
        <v/>
      </c>
      <c r="I280" s="25"/>
      <c r="J280" s="25"/>
      <c r="K280" s="25"/>
      <c r="L280" s="25"/>
    </row>
    <row r="281" customFormat="false" ht="15" hidden="false" customHeight="false" outlineLevel="0" collapsed="false">
      <c r="A281" s="69"/>
      <c r="B281" s="68"/>
      <c r="C281" s="68"/>
      <c r="D281" s="76" t="str">
        <f aca="false">IF(C281="","",IFERROR(INDEX(ST_Design,MATCH(C281,ST_Code,0)),"Code inconnu"))</f>
        <v/>
      </c>
      <c r="E281" s="74" t="str">
        <f aca="false">IF(C281="","",IFERROR(INDEX(ST_Unite,MATCH(C281,ST_Code,0)),""))</f>
        <v/>
      </c>
      <c r="F281" s="82"/>
      <c r="G281" s="68"/>
      <c r="H281" s="76" t="str">
        <f aca="false">IF(G281="","",IFERROR(INDEX(BC_Fourn,MATCH(G281,BC_Num,0)),""))</f>
        <v/>
      </c>
      <c r="I281" s="25"/>
      <c r="J281" s="25"/>
      <c r="K281" s="25"/>
      <c r="L281" s="25"/>
    </row>
    <row r="282" customFormat="false" ht="15" hidden="false" customHeight="false" outlineLevel="0" collapsed="false">
      <c r="A282" s="69"/>
      <c r="B282" s="68"/>
      <c r="C282" s="68"/>
      <c r="D282" s="76" t="str">
        <f aca="false">IF(C282="","",IFERROR(INDEX(ST_Design,MATCH(C282,ST_Code,0)),"Code inconnu"))</f>
        <v/>
      </c>
      <c r="E282" s="74" t="str">
        <f aca="false">IF(C282="","",IFERROR(INDEX(ST_Unite,MATCH(C282,ST_Code,0)),""))</f>
        <v/>
      </c>
      <c r="F282" s="82"/>
      <c r="G282" s="68"/>
      <c r="H282" s="76" t="str">
        <f aca="false">IF(G282="","",IFERROR(INDEX(BC_Fourn,MATCH(G282,BC_Num,0)),""))</f>
        <v/>
      </c>
      <c r="I282" s="25"/>
      <c r="J282" s="25"/>
      <c r="K282" s="25"/>
      <c r="L282" s="25"/>
    </row>
    <row r="283" customFormat="false" ht="15" hidden="false" customHeight="false" outlineLevel="0" collapsed="false">
      <c r="A283" s="69"/>
      <c r="B283" s="68"/>
      <c r="C283" s="68"/>
      <c r="D283" s="76" t="str">
        <f aca="false">IF(C283="","",IFERROR(INDEX(ST_Design,MATCH(C283,ST_Code,0)),"Code inconnu"))</f>
        <v/>
      </c>
      <c r="E283" s="74" t="str">
        <f aca="false">IF(C283="","",IFERROR(INDEX(ST_Unite,MATCH(C283,ST_Code,0)),""))</f>
        <v/>
      </c>
      <c r="F283" s="82"/>
      <c r="G283" s="68"/>
      <c r="H283" s="76" t="str">
        <f aca="false">IF(G283="","",IFERROR(INDEX(BC_Fourn,MATCH(G283,BC_Num,0)),""))</f>
        <v/>
      </c>
      <c r="I283" s="25"/>
      <c r="J283" s="25"/>
      <c r="K283" s="25"/>
      <c r="L283" s="25"/>
    </row>
    <row r="284" customFormat="false" ht="15" hidden="false" customHeight="false" outlineLevel="0" collapsed="false">
      <c r="A284" s="69"/>
      <c r="B284" s="68"/>
      <c r="C284" s="68"/>
      <c r="D284" s="76" t="str">
        <f aca="false">IF(C284="","",IFERROR(INDEX(ST_Design,MATCH(C284,ST_Code,0)),"Code inconnu"))</f>
        <v/>
      </c>
      <c r="E284" s="74" t="str">
        <f aca="false">IF(C284="","",IFERROR(INDEX(ST_Unite,MATCH(C284,ST_Code,0)),""))</f>
        <v/>
      </c>
      <c r="F284" s="82"/>
      <c r="G284" s="68"/>
      <c r="H284" s="76" t="str">
        <f aca="false">IF(G284="","",IFERROR(INDEX(BC_Fourn,MATCH(G284,BC_Num,0)),""))</f>
        <v/>
      </c>
      <c r="I284" s="25"/>
      <c r="J284" s="25"/>
      <c r="K284" s="25"/>
      <c r="L284" s="25"/>
    </row>
    <row r="285" customFormat="false" ht="15" hidden="false" customHeight="false" outlineLevel="0" collapsed="false">
      <c r="A285" s="69"/>
      <c r="B285" s="68"/>
      <c r="C285" s="68"/>
      <c r="D285" s="76" t="str">
        <f aca="false">IF(C285="","",IFERROR(INDEX(ST_Design,MATCH(C285,ST_Code,0)),"Code inconnu"))</f>
        <v/>
      </c>
      <c r="E285" s="74" t="str">
        <f aca="false">IF(C285="","",IFERROR(INDEX(ST_Unite,MATCH(C285,ST_Code,0)),""))</f>
        <v/>
      </c>
      <c r="F285" s="82"/>
      <c r="G285" s="68"/>
      <c r="H285" s="76" t="str">
        <f aca="false">IF(G285="","",IFERROR(INDEX(BC_Fourn,MATCH(G285,BC_Num,0)),""))</f>
        <v/>
      </c>
      <c r="I285" s="25"/>
      <c r="J285" s="25"/>
      <c r="K285" s="25"/>
      <c r="L285" s="25"/>
    </row>
    <row r="286" customFormat="false" ht="15" hidden="false" customHeight="false" outlineLevel="0" collapsed="false">
      <c r="A286" s="69"/>
      <c r="B286" s="68"/>
      <c r="C286" s="68"/>
      <c r="D286" s="76" t="str">
        <f aca="false">IF(C286="","",IFERROR(INDEX(ST_Design,MATCH(C286,ST_Code,0)),"Code inconnu"))</f>
        <v/>
      </c>
      <c r="E286" s="74" t="str">
        <f aca="false">IF(C286="","",IFERROR(INDEX(ST_Unite,MATCH(C286,ST_Code,0)),""))</f>
        <v/>
      </c>
      <c r="F286" s="82"/>
      <c r="G286" s="68"/>
      <c r="H286" s="76" t="str">
        <f aca="false">IF(G286="","",IFERROR(INDEX(BC_Fourn,MATCH(G286,BC_Num,0)),""))</f>
        <v/>
      </c>
      <c r="I286" s="25"/>
      <c r="J286" s="25"/>
      <c r="K286" s="25"/>
      <c r="L286" s="25"/>
    </row>
    <row r="287" customFormat="false" ht="15" hidden="false" customHeight="false" outlineLevel="0" collapsed="false">
      <c r="A287" s="69"/>
      <c r="B287" s="68"/>
      <c r="C287" s="68"/>
      <c r="D287" s="76" t="str">
        <f aca="false">IF(C287="","",IFERROR(INDEX(ST_Design,MATCH(C287,ST_Code,0)),"Code inconnu"))</f>
        <v/>
      </c>
      <c r="E287" s="74" t="str">
        <f aca="false">IF(C287="","",IFERROR(INDEX(ST_Unite,MATCH(C287,ST_Code,0)),""))</f>
        <v/>
      </c>
      <c r="F287" s="82"/>
      <c r="G287" s="68"/>
      <c r="H287" s="76" t="str">
        <f aca="false">IF(G287="","",IFERROR(INDEX(BC_Fourn,MATCH(G287,BC_Num,0)),""))</f>
        <v/>
      </c>
      <c r="I287" s="25"/>
      <c r="J287" s="25"/>
      <c r="K287" s="25"/>
      <c r="L287" s="25"/>
    </row>
    <row r="288" customFormat="false" ht="15" hidden="false" customHeight="false" outlineLevel="0" collapsed="false">
      <c r="A288" s="69"/>
      <c r="B288" s="68"/>
      <c r="C288" s="68"/>
      <c r="D288" s="76" t="str">
        <f aca="false">IF(C288="","",IFERROR(INDEX(ST_Design,MATCH(C288,ST_Code,0)),"Code inconnu"))</f>
        <v/>
      </c>
      <c r="E288" s="74" t="str">
        <f aca="false">IF(C288="","",IFERROR(INDEX(ST_Unite,MATCH(C288,ST_Code,0)),""))</f>
        <v/>
      </c>
      <c r="F288" s="82"/>
      <c r="G288" s="68"/>
      <c r="H288" s="76" t="str">
        <f aca="false">IF(G288="","",IFERROR(INDEX(BC_Fourn,MATCH(G288,BC_Num,0)),""))</f>
        <v/>
      </c>
      <c r="I288" s="25"/>
      <c r="J288" s="25"/>
      <c r="K288" s="25"/>
      <c r="L288" s="25"/>
    </row>
    <row r="289" customFormat="false" ht="15" hidden="false" customHeight="false" outlineLevel="0" collapsed="false">
      <c r="A289" s="69"/>
      <c r="B289" s="68"/>
      <c r="C289" s="68"/>
      <c r="D289" s="76" t="str">
        <f aca="false">IF(C289="","",IFERROR(INDEX(ST_Design,MATCH(C289,ST_Code,0)),"Code inconnu"))</f>
        <v/>
      </c>
      <c r="E289" s="74" t="str">
        <f aca="false">IF(C289="","",IFERROR(INDEX(ST_Unite,MATCH(C289,ST_Code,0)),""))</f>
        <v/>
      </c>
      <c r="F289" s="82"/>
      <c r="G289" s="68"/>
      <c r="H289" s="76" t="str">
        <f aca="false">IF(G289="","",IFERROR(INDEX(BC_Fourn,MATCH(G289,BC_Num,0)),""))</f>
        <v/>
      </c>
      <c r="I289" s="25"/>
      <c r="J289" s="25"/>
      <c r="K289" s="25"/>
      <c r="L289" s="25"/>
    </row>
    <row r="290" customFormat="false" ht="15" hidden="false" customHeight="false" outlineLevel="0" collapsed="false">
      <c r="A290" s="69"/>
      <c r="B290" s="68"/>
      <c r="C290" s="68"/>
      <c r="D290" s="76" t="str">
        <f aca="false">IF(C290="","",IFERROR(INDEX(ST_Design,MATCH(C290,ST_Code,0)),"Code inconnu"))</f>
        <v/>
      </c>
      <c r="E290" s="74" t="str">
        <f aca="false">IF(C290="","",IFERROR(INDEX(ST_Unite,MATCH(C290,ST_Code,0)),""))</f>
        <v/>
      </c>
      <c r="F290" s="82"/>
      <c r="G290" s="68"/>
      <c r="H290" s="76" t="str">
        <f aca="false">IF(G290="","",IFERROR(INDEX(BC_Fourn,MATCH(G290,BC_Num,0)),""))</f>
        <v/>
      </c>
      <c r="I290" s="25"/>
      <c r="J290" s="25"/>
      <c r="K290" s="25"/>
      <c r="L290" s="25"/>
    </row>
    <row r="291" customFormat="false" ht="15" hidden="false" customHeight="false" outlineLevel="0" collapsed="false">
      <c r="A291" s="69"/>
      <c r="B291" s="68"/>
      <c r="C291" s="68"/>
      <c r="D291" s="76" t="str">
        <f aca="false">IF(C291="","",IFERROR(INDEX(ST_Design,MATCH(C291,ST_Code,0)),"Code inconnu"))</f>
        <v/>
      </c>
      <c r="E291" s="74" t="str">
        <f aca="false">IF(C291="","",IFERROR(INDEX(ST_Unite,MATCH(C291,ST_Code,0)),""))</f>
        <v/>
      </c>
      <c r="F291" s="82"/>
      <c r="G291" s="68"/>
      <c r="H291" s="76" t="str">
        <f aca="false">IF(G291="","",IFERROR(INDEX(BC_Fourn,MATCH(G291,BC_Num,0)),""))</f>
        <v/>
      </c>
      <c r="I291" s="25"/>
      <c r="J291" s="25"/>
      <c r="K291" s="25"/>
      <c r="L291" s="25"/>
    </row>
    <row r="292" customFormat="false" ht="15" hidden="false" customHeight="false" outlineLevel="0" collapsed="false">
      <c r="A292" s="69"/>
      <c r="B292" s="68"/>
      <c r="C292" s="68"/>
      <c r="D292" s="76" t="str">
        <f aca="false">IF(C292="","",IFERROR(INDEX(ST_Design,MATCH(C292,ST_Code,0)),"Code inconnu"))</f>
        <v/>
      </c>
      <c r="E292" s="74" t="str">
        <f aca="false">IF(C292="","",IFERROR(INDEX(ST_Unite,MATCH(C292,ST_Code,0)),""))</f>
        <v/>
      </c>
      <c r="F292" s="82"/>
      <c r="G292" s="68"/>
      <c r="H292" s="76" t="str">
        <f aca="false">IF(G292="","",IFERROR(INDEX(BC_Fourn,MATCH(G292,BC_Num,0)),""))</f>
        <v/>
      </c>
      <c r="I292" s="25"/>
      <c r="J292" s="25"/>
      <c r="K292" s="25"/>
      <c r="L292" s="25"/>
    </row>
    <row r="293" customFormat="false" ht="15" hidden="false" customHeight="false" outlineLevel="0" collapsed="false">
      <c r="A293" s="69"/>
      <c r="B293" s="68"/>
      <c r="C293" s="68"/>
      <c r="D293" s="76" t="str">
        <f aca="false">IF(C293="","",IFERROR(INDEX(ST_Design,MATCH(C293,ST_Code,0)),"Code inconnu"))</f>
        <v/>
      </c>
      <c r="E293" s="74" t="str">
        <f aca="false">IF(C293="","",IFERROR(INDEX(ST_Unite,MATCH(C293,ST_Code,0)),""))</f>
        <v/>
      </c>
      <c r="F293" s="82"/>
      <c r="G293" s="68"/>
      <c r="H293" s="76" t="str">
        <f aca="false">IF(G293="","",IFERROR(INDEX(BC_Fourn,MATCH(G293,BC_Num,0)),""))</f>
        <v/>
      </c>
      <c r="I293" s="25"/>
      <c r="J293" s="25"/>
      <c r="K293" s="25"/>
      <c r="L293" s="25"/>
    </row>
    <row r="294" customFormat="false" ht="15" hidden="false" customHeight="false" outlineLevel="0" collapsed="false">
      <c r="A294" s="69"/>
      <c r="B294" s="68"/>
      <c r="C294" s="68"/>
      <c r="D294" s="76" t="str">
        <f aca="false">IF(C294="","",IFERROR(INDEX(ST_Design,MATCH(C294,ST_Code,0)),"Code inconnu"))</f>
        <v/>
      </c>
      <c r="E294" s="74" t="str">
        <f aca="false">IF(C294="","",IFERROR(INDEX(ST_Unite,MATCH(C294,ST_Code,0)),""))</f>
        <v/>
      </c>
      <c r="F294" s="82"/>
      <c r="G294" s="68"/>
      <c r="H294" s="76" t="str">
        <f aca="false">IF(G294="","",IFERROR(INDEX(BC_Fourn,MATCH(G294,BC_Num,0)),""))</f>
        <v/>
      </c>
      <c r="I294" s="25"/>
      <c r="J294" s="25"/>
      <c r="K294" s="25"/>
      <c r="L294" s="25"/>
    </row>
    <row r="295" customFormat="false" ht="15" hidden="false" customHeight="false" outlineLevel="0" collapsed="false">
      <c r="A295" s="69"/>
      <c r="B295" s="68"/>
      <c r="C295" s="68"/>
      <c r="D295" s="76" t="str">
        <f aca="false">IF(C295="","",IFERROR(INDEX(ST_Design,MATCH(C295,ST_Code,0)),"Code inconnu"))</f>
        <v/>
      </c>
      <c r="E295" s="74" t="str">
        <f aca="false">IF(C295="","",IFERROR(INDEX(ST_Unite,MATCH(C295,ST_Code,0)),""))</f>
        <v/>
      </c>
      <c r="F295" s="82"/>
      <c r="G295" s="68"/>
      <c r="H295" s="76" t="str">
        <f aca="false">IF(G295="","",IFERROR(INDEX(BC_Fourn,MATCH(G295,BC_Num,0)),""))</f>
        <v/>
      </c>
      <c r="I295" s="25"/>
      <c r="J295" s="25"/>
      <c r="K295" s="25"/>
      <c r="L295" s="25"/>
    </row>
    <row r="296" customFormat="false" ht="15" hidden="false" customHeight="false" outlineLevel="0" collapsed="false">
      <c r="A296" s="69"/>
      <c r="B296" s="68"/>
      <c r="C296" s="68"/>
      <c r="D296" s="76" t="str">
        <f aca="false">IF(C296="","",IFERROR(INDEX(ST_Design,MATCH(C296,ST_Code,0)),"Code inconnu"))</f>
        <v/>
      </c>
      <c r="E296" s="74" t="str">
        <f aca="false">IF(C296="","",IFERROR(INDEX(ST_Unite,MATCH(C296,ST_Code,0)),""))</f>
        <v/>
      </c>
      <c r="F296" s="82"/>
      <c r="G296" s="68"/>
      <c r="H296" s="76" t="str">
        <f aca="false">IF(G296="","",IFERROR(INDEX(BC_Fourn,MATCH(G296,BC_Num,0)),""))</f>
        <v/>
      </c>
      <c r="I296" s="25"/>
      <c r="J296" s="25"/>
      <c r="K296" s="25"/>
      <c r="L296" s="25"/>
    </row>
    <row r="297" customFormat="false" ht="15" hidden="false" customHeight="false" outlineLevel="0" collapsed="false">
      <c r="A297" s="69"/>
      <c r="B297" s="68"/>
      <c r="C297" s="68"/>
      <c r="D297" s="76" t="str">
        <f aca="false">IF(C297="","",IFERROR(INDEX(ST_Design,MATCH(C297,ST_Code,0)),"Code inconnu"))</f>
        <v/>
      </c>
      <c r="E297" s="74" t="str">
        <f aca="false">IF(C297="","",IFERROR(INDEX(ST_Unite,MATCH(C297,ST_Code,0)),""))</f>
        <v/>
      </c>
      <c r="F297" s="82"/>
      <c r="G297" s="68"/>
      <c r="H297" s="76" t="str">
        <f aca="false">IF(G297="","",IFERROR(INDEX(BC_Fourn,MATCH(G297,BC_Num,0)),""))</f>
        <v/>
      </c>
      <c r="I297" s="25"/>
      <c r="J297" s="25"/>
      <c r="K297" s="25"/>
      <c r="L297" s="25"/>
    </row>
    <row r="298" customFormat="false" ht="15" hidden="false" customHeight="false" outlineLevel="0" collapsed="false">
      <c r="A298" s="69"/>
      <c r="B298" s="68"/>
      <c r="C298" s="68"/>
      <c r="D298" s="76" t="str">
        <f aca="false">IF(C298="","",IFERROR(INDEX(ST_Design,MATCH(C298,ST_Code,0)),"Code inconnu"))</f>
        <v/>
      </c>
      <c r="E298" s="74" t="str">
        <f aca="false">IF(C298="","",IFERROR(INDEX(ST_Unite,MATCH(C298,ST_Code,0)),""))</f>
        <v/>
      </c>
      <c r="F298" s="82"/>
      <c r="G298" s="68"/>
      <c r="H298" s="76" t="str">
        <f aca="false">IF(G298="","",IFERROR(INDEX(BC_Fourn,MATCH(G298,BC_Num,0)),""))</f>
        <v/>
      </c>
      <c r="I298" s="25"/>
      <c r="J298" s="25"/>
      <c r="K298" s="25"/>
      <c r="L298" s="25"/>
    </row>
    <row r="299" customFormat="false" ht="15" hidden="false" customHeight="false" outlineLevel="0" collapsed="false">
      <c r="A299" s="69"/>
      <c r="B299" s="68"/>
      <c r="C299" s="68"/>
      <c r="D299" s="76" t="str">
        <f aca="false">IF(C299="","",IFERROR(INDEX(ST_Design,MATCH(C299,ST_Code,0)),"Code inconnu"))</f>
        <v/>
      </c>
      <c r="E299" s="74" t="str">
        <f aca="false">IF(C299="","",IFERROR(INDEX(ST_Unite,MATCH(C299,ST_Code,0)),""))</f>
        <v/>
      </c>
      <c r="F299" s="82"/>
      <c r="G299" s="68"/>
      <c r="H299" s="76" t="str">
        <f aca="false">IF(G299="","",IFERROR(INDEX(BC_Fourn,MATCH(G299,BC_Num,0)),""))</f>
        <v/>
      </c>
      <c r="I299" s="25"/>
      <c r="J299" s="25"/>
      <c r="K299" s="25"/>
      <c r="L299" s="25"/>
    </row>
    <row r="300" customFormat="false" ht="15" hidden="false" customHeight="false" outlineLevel="0" collapsed="false">
      <c r="A300" s="69"/>
      <c r="B300" s="68"/>
      <c r="C300" s="68"/>
      <c r="D300" s="76" t="str">
        <f aca="false">IF(C300="","",IFERROR(INDEX(ST_Design,MATCH(C300,ST_Code,0)),"Code inconnu"))</f>
        <v/>
      </c>
      <c r="E300" s="74" t="str">
        <f aca="false">IF(C300="","",IFERROR(INDEX(ST_Unite,MATCH(C300,ST_Code,0)),""))</f>
        <v/>
      </c>
      <c r="F300" s="82"/>
      <c r="G300" s="68"/>
      <c r="H300" s="76" t="str">
        <f aca="false">IF(G300="","",IFERROR(INDEX(BC_Fourn,MATCH(G300,BC_Num,0)),""))</f>
        <v/>
      </c>
      <c r="I300" s="25"/>
      <c r="J300" s="25"/>
      <c r="K300" s="25"/>
      <c r="L300" s="25"/>
    </row>
    <row r="301" customFormat="false" ht="15" hidden="false" customHeight="false" outlineLevel="0" collapsed="false">
      <c r="A301" s="69"/>
      <c r="B301" s="68"/>
      <c r="C301" s="68"/>
      <c r="D301" s="76" t="str">
        <f aca="false">IF(C301="","",IFERROR(INDEX(ST_Design,MATCH(C301,ST_Code,0)),"Code inconnu"))</f>
        <v/>
      </c>
      <c r="E301" s="74" t="str">
        <f aca="false">IF(C301="","",IFERROR(INDEX(ST_Unite,MATCH(C301,ST_Code,0)),""))</f>
        <v/>
      </c>
      <c r="F301" s="82"/>
      <c r="G301" s="68"/>
      <c r="H301" s="76" t="str">
        <f aca="false">IF(G301="","",IFERROR(INDEX(BC_Fourn,MATCH(G301,BC_Num,0)),""))</f>
        <v/>
      </c>
      <c r="I301" s="25"/>
      <c r="J301" s="25"/>
      <c r="K301" s="25"/>
      <c r="L301" s="25"/>
    </row>
    <row r="302" customFormat="false" ht="15" hidden="false" customHeight="false" outlineLevel="0" collapsed="false">
      <c r="A302" s="69"/>
      <c r="B302" s="68"/>
      <c r="C302" s="68"/>
      <c r="D302" s="76" t="str">
        <f aca="false">IF(C302="","",IFERROR(INDEX(ST_Design,MATCH(C302,ST_Code,0)),"Code inconnu"))</f>
        <v/>
      </c>
      <c r="E302" s="74" t="str">
        <f aca="false">IF(C302="","",IFERROR(INDEX(ST_Unite,MATCH(C302,ST_Code,0)),""))</f>
        <v/>
      </c>
      <c r="F302" s="82"/>
      <c r="G302" s="68"/>
      <c r="H302" s="76" t="str">
        <f aca="false">IF(G302="","",IFERROR(INDEX(BC_Fourn,MATCH(G302,BC_Num,0)),""))</f>
        <v/>
      </c>
      <c r="I302" s="25"/>
      <c r="J302" s="25"/>
      <c r="K302" s="25"/>
      <c r="L302" s="25"/>
    </row>
    <row r="303" customFormat="false" ht="15" hidden="false" customHeight="false" outlineLevel="0" collapsed="false">
      <c r="A303" s="69"/>
      <c r="B303" s="68"/>
      <c r="C303" s="68"/>
      <c r="D303" s="76" t="str">
        <f aca="false">IF(C303="","",IFERROR(INDEX(ST_Design,MATCH(C303,ST_Code,0)),"Code inconnu"))</f>
        <v/>
      </c>
      <c r="E303" s="74" t="str">
        <f aca="false">IF(C303="","",IFERROR(INDEX(ST_Unite,MATCH(C303,ST_Code,0)),""))</f>
        <v/>
      </c>
      <c r="F303" s="82"/>
      <c r="G303" s="68"/>
      <c r="H303" s="76" t="str">
        <f aca="false">IF(G303="","",IFERROR(INDEX(BC_Fourn,MATCH(G303,BC_Num,0)),""))</f>
        <v/>
      </c>
      <c r="I303" s="25"/>
      <c r="J303" s="25"/>
      <c r="K303" s="25"/>
      <c r="L303" s="25"/>
    </row>
    <row r="304" customFormat="false" ht="15" hidden="false" customHeight="false" outlineLevel="0" collapsed="false">
      <c r="A304" s="69"/>
      <c r="B304" s="68"/>
      <c r="C304" s="68"/>
      <c r="D304" s="76" t="str">
        <f aca="false">IF(C304="","",IFERROR(INDEX(ST_Design,MATCH(C304,ST_Code,0)),"Code inconnu"))</f>
        <v/>
      </c>
      <c r="E304" s="74" t="str">
        <f aca="false">IF(C304="","",IFERROR(INDEX(ST_Unite,MATCH(C304,ST_Code,0)),""))</f>
        <v/>
      </c>
      <c r="F304" s="82"/>
      <c r="G304" s="68"/>
      <c r="H304" s="76" t="str">
        <f aca="false">IF(G304="","",IFERROR(INDEX(BC_Fourn,MATCH(G304,BC_Num,0)),""))</f>
        <v/>
      </c>
      <c r="I304" s="25"/>
      <c r="J304" s="25"/>
      <c r="K304" s="25"/>
      <c r="L304" s="25"/>
    </row>
    <row r="305" customFormat="false" ht="15" hidden="false" customHeight="false" outlineLevel="0" collapsed="false">
      <c r="A305" s="69"/>
      <c r="B305" s="68"/>
      <c r="C305" s="68"/>
      <c r="D305" s="76" t="str">
        <f aca="false">IF(C305="","",IFERROR(INDEX(ST_Design,MATCH(C305,ST_Code,0)),"Code inconnu"))</f>
        <v/>
      </c>
      <c r="E305" s="74" t="str">
        <f aca="false">IF(C305="","",IFERROR(INDEX(ST_Unite,MATCH(C305,ST_Code,0)),""))</f>
        <v/>
      </c>
      <c r="F305" s="82"/>
      <c r="G305" s="68"/>
      <c r="H305" s="76" t="str">
        <f aca="false">IF(G305="","",IFERROR(INDEX(BC_Fourn,MATCH(G305,BC_Num,0)),""))</f>
        <v/>
      </c>
      <c r="I305" s="25"/>
      <c r="J305" s="25"/>
      <c r="K305" s="25"/>
      <c r="L305" s="25"/>
    </row>
    <row r="306" customFormat="false" ht="15" hidden="false" customHeight="false" outlineLevel="0" collapsed="false">
      <c r="A306" s="69"/>
      <c r="B306" s="68"/>
      <c r="C306" s="68"/>
      <c r="D306" s="76" t="str">
        <f aca="false">IF(C306="","",IFERROR(INDEX(ST_Design,MATCH(C306,ST_Code,0)),"Code inconnu"))</f>
        <v/>
      </c>
      <c r="E306" s="74" t="str">
        <f aca="false">IF(C306="","",IFERROR(INDEX(ST_Unite,MATCH(C306,ST_Code,0)),""))</f>
        <v/>
      </c>
      <c r="F306" s="82"/>
      <c r="G306" s="68"/>
      <c r="H306" s="76" t="str">
        <f aca="false">IF(G306="","",IFERROR(INDEX(BC_Fourn,MATCH(G306,BC_Num,0)),""))</f>
        <v/>
      </c>
      <c r="I306" s="25"/>
      <c r="J306" s="25"/>
      <c r="K306" s="25"/>
      <c r="L306" s="25"/>
    </row>
    <row r="307" customFormat="false" ht="15" hidden="false" customHeight="false" outlineLevel="0" collapsed="false">
      <c r="A307" s="69"/>
      <c r="B307" s="68"/>
      <c r="C307" s="68"/>
      <c r="D307" s="76" t="str">
        <f aca="false">IF(C307="","",IFERROR(INDEX(ST_Design,MATCH(C307,ST_Code,0)),"Code inconnu"))</f>
        <v/>
      </c>
      <c r="E307" s="74" t="str">
        <f aca="false">IF(C307="","",IFERROR(INDEX(ST_Unite,MATCH(C307,ST_Code,0)),""))</f>
        <v/>
      </c>
      <c r="F307" s="82"/>
      <c r="G307" s="68"/>
      <c r="H307" s="76" t="str">
        <f aca="false">IF(G307="","",IFERROR(INDEX(BC_Fourn,MATCH(G307,BC_Num,0)),""))</f>
        <v/>
      </c>
      <c r="I307" s="25"/>
      <c r="J307" s="25"/>
      <c r="K307" s="25"/>
      <c r="L307" s="25"/>
    </row>
    <row r="308" customFormat="false" ht="15" hidden="false" customHeight="false" outlineLevel="0" collapsed="false">
      <c r="A308" s="69"/>
      <c r="B308" s="68"/>
      <c r="C308" s="68"/>
      <c r="D308" s="76" t="str">
        <f aca="false">IF(C308="","",IFERROR(INDEX(ST_Design,MATCH(C308,ST_Code,0)),"Code inconnu"))</f>
        <v/>
      </c>
      <c r="E308" s="74" t="str">
        <f aca="false">IF(C308="","",IFERROR(INDEX(ST_Unite,MATCH(C308,ST_Code,0)),""))</f>
        <v/>
      </c>
      <c r="F308" s="82"/>
      <c r="G308" s="68"/>
      <c r="H308" s="76" t="str">
        <f aca="false">IF(G308="","",IFERROR(INDEX(BC_Fourn,MATCH(G308,BC_Num,0)),""))</f>
        <v/>
      </c>
      <c r="I308" s="25"/>
      <c r="J308" s="25"/>
      <c r="K308" s="25"/>
      <c r="L308" s="25"/>
    </row>
    <row r="309" customFormat="false" ht="15" hidden="false" customHeight="false" outlineLevel="0" collapsed="false">
      <c r="A309" s="69"/>
      <c r="B309" s="68"/>
      <c r="C309" s="68"/>
      <c r="D309" s="76" t="str">
        <f aca="false">IF(C309="","",IFERROR(INDEX(ST_Design,MATCH(C309,ST_Code,0)),"Code inconnu"))</f>
        <v/>
      </c>
      <c r="E309" s="74" t="str">
        <f aca="false">IF(C309="","",IFERROR(INDEX(ST_Unite,MATCH(C309,ST_Code,0)),""))</f>
        <v/>
      </c>
      <c r="F309" s="82"/>
      <c r="G309" s="68"/>
      <c r="H309" s="76" t="str">
        <f aca="false">IF(G309="","",IFERROR(INDEX(BC_Fourn,MATCH(G309,BC_Num,0)),""))</f>
        <v/>
      </c>
      <c r="I309" s="25"/>
      <c r="J309" s="25"/>
      <c r="K309" s="25"/>
      <c r="L309" s="25"/>
    </row>
    <row r="310" customFormat="false" ht="15" hidden="false" customHeight="false" outlineLevel="0" collapsed="false">
      <c r="A310" s="69"/>
      <c r="B310" s="68"/>
      <c r="C310" s="68"/>
      <c r="D310" s="76" t="str">
        <f aca="false">IF(C310="","",IFERROR(INDEX(ST_Design,MATCH(C310,ST_Code,0)),"Code inconnu"))</f>
        <v/>
      </c>
      <c r="E310" s="74" t="str">
        <f aca="false">IF(C310="","",IFERROR(INDEX(ST_Unite,MATCH(C310,ST_Code,0)),""))</f>
        <v/>
      </c>
      <c r="F310" s="82"/>
      <c r="G310" s="68"/>
      <c r="H310" s="76" t="str">
        <f aca="false">IF(G310="","",IFERROR(INDEX(BC_Fourn,MATCH(G310,BC_Num,0)),""))</f>
        <v/>
      </c>
      <c r="I310" s="25"/>
      <c r="J310" s="25"/>
      <c r="K310" s="25"/>
      <c r="L310" s="25"/>
    </row>
    <row r="311" customFormat="false" ht="15" hidden="false" customHeight="false" outlineLevel="0" collapsed="false">
      <c r="A311" s="69"/>
      <c r="B311" s="68"/>
      <c r="C311" s="68"/>
      <c r="D311" s="76" t="str">
        <f aca="false">IF(C311="","",IFERROR(INDEX(ST_Design,MATCH(C311,ST_Code,0)),"Code inconnu"))</f>
        <v/>
      </c>
      <c r="E311" s="74" t="str">
        <f aca="false">IF(C311="","",IFERROR(INDEX(ST_Unite,MATCH(C311,ST_Code,0)),""))</f>
        <v/>
      </c>
      <c r="F311" s="82"/>
      <c r="G311" s="68"/>
      <c r="H311" s="76" t="str">
        <f aca="false">IF(G311="","",IFERROR(INDEX(BC_Fourn,MATCH(G311,BC_Num,0)),""))</f>
        <v/>
      </c>
      <c r="I311" s="25"/>
      <c r="J311" s="25"/>
      <c r="K311" s="25"/>
      <c r="L311" s="25"/>
    </row>
    <row r="312" customFormat="false" ht="15" hidden="false" customHeight="false" outlineLevel="0" collapsed="false">
      <c r="A312" s="69"/>
      <c r="B312" s="68"/>
      <c r="C312" s="68"/>
      <c r="D312" s="76" t="str">
        <f aca="false">IF(C312="","",IFERROR(INDEX(ST_Design,MATCH(C312,ST_Code,0)),"Code inconnu"))</f>
        <v/>
      </c>
      <c r="E312" s="74" t="str">
        <f aca="false">IF(C312="","",IFERROR(INDEX(ST_Unite,MATCH(C312,ST_Code,0)),""))</f>
        <v/>
      </c>
      <c r="F312" s="82"/>
      <c r="G312" s="68"/>
      <c r="H312" s="76" t="str">
        <f aca="false">IF(G312="","",IFERROR(INDEX(BC_Fourn,MATCH(G312,BC_Num,0)),""))</f>
        <v/>
      </c>
      <c r="I312" s="25"/>
      <c r="J312" s="25"/>
      <c r="K312" s="25"/>
      <c r="L312" s="25"/>
    </row>
    <row r="313" customFormat="false" ht="15" hidden="false" customHeight="false" outlineLevel="0" collapsed="false">
      <c r="A313" s="69"/>
      <c r="B313" s="68"/>
      <c r="C313" s="68"/>
      <c r="D313" s="76" t="str">
        <f aca="false">IF(C313="","",IFERROR(INDEX(ST_Design,MATCH(C313,ST_Code,0)),"Code inconnu"))</f>
        <v/>
      </c>
      <c r="E313" s="74" t="str">
        <f aca="false">IF(C313="","",IFERROR(INDEX(ST_Unite,MATCH(C313,ST_Code,0)),""))</f>
        <v/>
      </c>
      <c r="F313" s="82"/>
      <c r="G313" s="68"/>
      <c r="H313" s="76" t="str">
        <f aca="false">IF(G313="","",IFERROR(INDEX(BC_Fourn,MATCH(G313,BC_Num,0)),""))</f>
        <v/>
      </c>
      <c r="I313" s="25"/>
      <c r="J313" s="25"/>
      <c r="K313" s="25"/>
      <c r="L313" s="25"/>
    </row>
    <row r="314" customFormat="false" ht="15" hidden="false" customHeight="false" outlineLevel="0" collapsed="false">
      <c r="A314" s="69"/>
      <c r="B314" s="68"/>
      <c r="C314" s="68"/>
      <c r="D314" s="76" t="str">
        <f aca="false">IF(C314="","",IFERROR(INDEX(ST_Design,MATCH(C314,ST_Code,0)),"Code inconnu"))</f>
        <v/>
      </c>
      <c r="E314" s="74" t="str">
        <f aca="false">IF(C314="","",IFERROR(INDEX(ST_Unite,MATCH(C314,ST_Code,0)),""))</f>
        <v/>
      </c>
      <c r="F314" s="82"/>
      <c r="G314" s="68"/>
      <c r="H314" s="76" t="str">
        <f aca="false">IF(G314="","",IFERROR(INDEX(BC_Fourn,MATCH(G314,BC_Num,0)),""))</f>
        <v/>
      </c>
      <c r="I314" s="25"/>
      <c r="J314" s="25"/>
      <c r="K314" s="25"/>
      <c r="L314" s="25"/>
    </row>
    <row r="315" customFormat="false" ht="15" hidden="false" customHeight="false" outlineLevel="0" collapsed="false">
      <c r="A315" s="69"/>
      <c r="B315" s="68"/>
      <c r="C315" s="68"/>
      <c r="D315" s="76" t="str">
        <f aca="false">IF(C315="","",IFERROR(INDEX(ST_Design,MATCH(C315,ST_Code,0)),"Code inconnu"))</f>
        <v/>
      </c>
      <c r="E315" s="74" t="str">
        <f aca="false">IF(C315="","",IFERROR(INDEX(ST_Unite,MATCH(C315,ST_Code,0)),""))</f>
        <v/>
      </c>
      <c r="F315" s="82"/>
      <c r="G315" s="68"/>
      <c r="H315" s="76" t="str">
        <f aca="false">IF(G315="","",IFERROR(INDEX(BC_Fourn,MATCH(G315,BC_Num,0)),""))</f>
        <v/>
      </c>
      <c r="I315" s="25"/>
      <c r="J315" s="25"/>
      <c r="K315" s="25"/>
      <c r="L315" s="25"/>
    </row>
    <row r="316" customFormat="false" ht="15" hidden="false" customHeight="false" outlineLevel="0" collapsed="false">
      <c r="A316" s="69"/>
      <c r="B316" s="68"/>
      <c r="C316" s="68"/>
      <c r="D316" s="76" t="str">
        <f aca="false">IF(C316="","",IFERROR(INDEX(ST_Design,MATCH(C316,ST_Code,0)),"Code inconnu"))</f>
        <v/>
      </c>
      <c r="E316" s="74" t="str">
        <f aca="false">IF(C316="","",IFERROR(INDEX(ST_Unite,MATCH(C316,ST_Code,0)),""))</f>
        <v/>
      </c>
      <c r="F316" s="82"/>
      <c r="G316" s="68"/>
      <c r="H316" s="76" t="str">
        <f aca="false">IF(G316="","",IFERROR(INDEX(BC_Fourn,MATCH(G316,BC_Num,0)),""))</f>
        <v/>
      </c>
      <c r="I316" s="25"/>
      <c r="J316" s="25"/>
      <c r="K316" s="25"/>
      <c r="L316" s="25"/>
    </row>
    <row r="317" customFormat="false" ht="15" hidden="false" customHeight="false" outlineLevel="0" collapsed="false">
      <c r="A317" s="69"/>
      <c r="B317" s="68"/>
      <c r="C317" s="68"/>
      <c r="D317" s="76" t="str">
        <f aca="false">IF(C317="","",IFERROR(INDEX(ST_Design,MATCH(C317,ST_Code,0)),"Code inconnu"))</f>
        <v/>
      </c>
      <c r="E317" s="74" t="str">
        <f aca="false">IF(C317="","",IFERROR(INDEX(ST_Unite,MATCH(C317,ST_Code,0)),""))</f>
        <v/>
      </c>
      <c r="F317" s="82"/>
      <c r="G317" s="68"/>
      <c r="H317" s="76" t="str">
        <f aca="false">IF(G317="","",IFERROR(INDEX(BC_Fourn,MATCH(G317,BC_Num,0)),""))</f>
        <v/>
      </c>
      <c r="I317" s="25"/>
      <c r="J317" s="25"/>
      <c r="K317" s="25"/>
      <c r="L317" s="25"/>
    </row>
    <row r="318" customFormat="false" ht="15" hidden="false" customHeight="false" outlineLevel="0" collapsed="false">
      <c r="A318" s="69"/>
      <c r="B318" s="68"/>
      <c r="C318" s="68"/>
      <c r="D318" s="76" t="str">
        <f aca="false">IF(C318="","",IFERROR(INDEX(ST_Design,MATCH(C318,ST_Code,0)),"Code inconnu"))</f>
        <v/>
      </c>
      <c r="E318" s="74" t="str">
        <f aca="false">IF(C318="","",IFERROR(INDEX(ST_Unite,MATCH(C318,ST_Code,0)),""))</f>
        <v/>
      </c>
      <c r="F318" s="82"/>
      <c r="G318" s="68"/>
      <c r="H318" s="76" t="str">
        <f aca="false">IF(G318="","",IFERROR(INDEX(BC_Fourn,MATCH(G318,BC_Num,0)),""))</f>
        <v/>
      </c>
      <c r="I318" s="25"/>
      <c r="J318" s="25"/>
      <c r="K318" s="25"/>
      <c r="L318" s="25"/>
    </row>
    <row r="319" customFormat="false" ht="15" hidden="false" customHeight="false" outlineLevel="0" collapsed="false">
      <c r="A319" s="69"/>
      <c r="B319" s="68"/>
      <c r="C319" s="68"/>
      <c r="D319" s="76" t="str">
        <f aca="false">IF(C319="","",IFERROR(INDEX(ST_Design,MATCH(C319,ST_Code,0)),"Code inconnu"))</f>
        <v/>
      </c>
      <c r="E319" s="74" t="str">
        <f aca="false">IF(C319="","",IFERROR(INDEX(ST_Unite,MATCH(C319,ST_Code,0)),""))</f>
        <v/>
      </c>
      <c r="F319" s="82"/>
      <c r="G319" s="68"/>
      <c r="H319" s="76" t="str">
        <f aca="false">IF(G319="","",IFERROR(INDEX(BC_Fourn,MATCH(G319,BC_Num,0)),""))</f>
        <v/>
      </c>
      <c r="I319" s="25"/>
      <c r="J319" s="25"/>
      <c r="K319" s="25"/>
      <c r="L319" s="25"/>
    </row>
    <row r="320" customFormat="false" ht="15" hidden="false" customHeight="false" outlineLevel="0" collapsed="false">
      <c r="A320" s="69"/>
      <c r="B320" s="68"/>
      <c r="C320" s="68"/>
      <c r="D320" s="76" t="str">
        <f aca="false">IF(C320="","",IFERROR(INDEX(ST_Design,MATCH(C320,ST_Code,0)),"Code inconnu"))</f>
        <v/>
      </c>
      <c r="E320" s="74" t="str">
        <f aca="false">IF(C320="","",IFERROR(INDEX(ST_Unite,MATCH(C320,ST_Code,0)),""))</f>
        <v/>
      </c>
      <c r="F320" s="82"/>
      <c r="G320" s="68"/>
      <c r="H320" s="76" t="str">
        <f aca="false">IF(G320="","",IFERROR(INDEX(BC_Fourn,MATCH(G320,BC_Num,0)),""))</f>
        <v/>
      </c>
      <c r="I320" s="25"/>
      <c r="J320" s="25"/>
      <c r="K320" s="25"/>
      <c r="L320" s="25"/>
    </row>
    <row r="321" customFormat="false" ht="15" hidden="false" customHeight="false" outlineLevel="0" collapsed="false">
      <c r="A321" s="69"/>
      <c r="B321" s="68"/>
      <c r="C321" s="68"/>
      <c r="D321" s="76" t="str">
        <f aca="false">IF(C321="","",IFERROR(INDEX(ST_Design,MATCH(C321,ST_Code,0)),"Code inconnu"))</f>
        <v/>
      </c>
      <c r="E321" s="74" t="str">
        <f aca="false">IF(C321="","",IFERROR(INDEX(ST_Unite,MATCH(C321,ST_Code,0)),""))</f>
        <v/>
      </c>
      <c r="F321" s="82"/>
      <c r="G321" s="68"/>
      <c r="H321" s="76" t="str">
        <f aca="false">IF(G321="","",IFERROR(INDEX(BC_Fourn,MATCH(G321,BC_Num,0)),""))</f>
        <v/>
      </c>
      <c r="I321" s="25"/>
      <c r="J321" s="25"/>
      <c r="K321" s="25"/>
      <c r="L321" s="25"/>
    </row>
    <row r="322" customFormat="false" ht="15" hidden="false" customHeight="false" outlineLevel="0" collapsed="false">
      <c r="A322" s="69"/>
      <c r="B322" s="68"/>
      <c r="C322" s="68"/>
      <c r="D322" s="76" t="str">
        <f aca="false">IF(C322="","",IFERROR(INDEX(ST_Design,MATCH(C322,ST_Code,0)),"Code inconnu"))</f>
        <v/>
      </c>
      <c r="E322" s="74" t="str">
        <f aca="false">IF(C322="","",IFERROR(INDEX(ST_Unite,MATCH(C322,ST_Code,0)),""))</f>
        <v/>
      </c>
      <c r="F322" s="82"/>
      <c r="G322" s="68"/>
      <c r="H322" s="76" t="str">
        <f aca="false">IF(G322="","",IFERROR(INDEX(BC_Fourn,MATCH(G322,BC_Num,0)),""))</f>
        <v/>
      </c>
      <c r="I322" s="25"/>
      <c r="J322" s="25"/>
      <c r="K322" s="25"/>
      <c r="L322" s="25"/>
    </row>
    <row r="323" customFormat="false" ht="15" hidden="false" customHeight="false" outlineLevel="0" collapsed="false">
      <c r="A323" s="69"/>
      <c r="B323" s="68"/>
      <c r="C323" s="68"/>
      <c r="D323" s="76" t="str">
        <f aca="false">IF(C323="","",IFERROR(INDEX(ST_Design,MATCH(C323,ST_Code,0)),"Code inconnu"))</f>
        <v/>
      </c>
      <c r="E323" s="74" t="str">
        <f aca="false">IF(C323="","",IFERROR(INDEX(ST_Unite,MATCH(C323,ST_Code,0)),""))</f>
        <v/>
      </c>
      <c r="F323" s="82"/>
      <c r="G323" s="68"/>
      <c r="H323" s="76" t="str">
        <f aca="false">IF(G323="","",IFERROR(INDEX(BC_Fourn,MATCH(G323,BC_Num,0)),""))</f>
        <v/>
      </c>
      <c r="I323" s="25"/>
      <c r="J323" s="25"/>
      <c r="K323" s="25"/>
      <c r="L323" s="25"/>
    </row>
    <row r="324" customFormat="false" ht="15" hidden="false" customHeight="false" outlineLevel="0" collapsed="false">
      <c r="A324" s="69"/>
      <c r="B324" s="68"/>
      <c r="C324" s="68"/>
      <c r="D324" s="76" t="str">
        <f aca="false">IF(C324="","",IFERROR(INDEX(ST_Design,MATCH(C324,ST_Code,0)),"Code inconnu"))</f>
        <v/>
      </c>
      <c r="E324" s="74" t="str">
        <f aca="false">IF(C324="","",IFERROR(INDEX(ST_Unite,MATCH(C324,ST_Code,0)),""))</f>
        <v/>
      </c>
      <c r="F324" s="82"/>
      <c r="G324" s="68"/>
      <c r="H324" s="76" t="str">
        <f aca="false">IF(G324="","",IFERROR(INDEX(BC_Fourn,MATCH(G324,BC_Num,0)),""))</f>
        <v/>
      </c>
      <c r="I324" s="25"/>
      <c r="J324" s="25"/>
      <c r="K324" s="25"/>
      <c r="L324" s="25"/>
    </row>
    <row r="325" customFormat="false" ht="15" hidden="false" customHeight="false" outlineLevel="0" collapsed="false">
      <c r="A325" s="69"/>
      <c r="B325" s="68"/>
      <c r="C325" s="68"/>
      <c r="D325" s="76" t="str">
        <f aca="false">IF(C325="","",IFERROR(INDEX(ST_Design,MATCH(C325,ST_Code,0)),"Code inconnu"))</f>
        <v/>
      </c>
      <c r="E325" s="74" t="str">
        <f aca="false">IF(C325="","",IFERROR(INDEX(ST_Unite,MATCH(C325,ST_Code,0)),""))</f>
        <v/>
      </c>
      <c r="F325" s="82"/>
      <c r="G325" s="68"/>
      <c r="H325" s="76" t="str">
        <f aca="false">IF(G325="","",IFERROR(INDEX(BC_Fourn,MATCH(G325,BC_Num,0)),""))</f>
        <v/>
      </c>
      <c r="I325" s="25"/>
      <c r="J325" s="25"/>
      <c r="K325" s="25"/>
      <c r="L325" s="25"/>
    </row>
    <row r="326" customFormat="false" ht="15" hidden="false" customHeight="false" outlineLevel="0" collapsed="false">
      <c r="A326" s="69"/>
      <c r="B326" s="68"/>
      <c r="C326" s="68"/>
      <c r="D326" s="76" t="str">
        <f aca="false">IF(C326="","",IFERROR(INDEX(ST_Design,MATCH(C326,ST_Code,0)),"Code inconnu"))</f>
        <v/>
      </c>
      <c r="E326" s="74" t="str">
        <f aca="false">IF(C326="","",IFERROR(INDEX(ST_Unite,MATCH(C326,ST_Code,0)),""))</f>
        <v/>
      </c>
      <c r="F326" s="82"/>
      <c r="G326" s="68"/>
      <c r="H326" s="76" t="str">
        <f aca="false">IF(G326="","",IFERROR(INDEX(BC_Fourn,MATCH(G326,BC_Num,0)),""))</f>
        <v/>
      </c>
      <c r="I326" s="25"/>
      <c r="J326" s="25"/>
      <c r="K326" s="25"/>
      <c r="L326" s="25"/>
    </row>
    <row r="327" customFormat="false" ht="15" hidden="false" customHeight="false" outlineLevel="0" collapsed="false">
      <c r="A327" s="69"/>
      <c r="B327" s="68"/>
      <c r="C327" s="68"/>
      <c r="D327" s="76" t="str">
        <f aca="false">IF(C327="","",IFERROR(INDEX(ST_Design,MATCH(C327,ST_Code,0)),"Code inconnu"))</f>
        <v/>
      </c>
      <c r="E327" s="74" t="str">
        <f aca="false">IF(C327="","",IFERROR(INDEX(ST_Unite,MATCH(C327,ST_Code,0)),""))</f>
        <v/>
      </c>
      <c r="F327" s="82"/>
      <c r="G327" s="68"/>
      <c r="H327" s="76" t="str">
        <f aca="false">IF(G327="","",IFERROR(INDEX(BC_Fourn,MATCH(G327,BC_Num,0)),""))</f>
        <v/>
      </c>
      <c r="I327" s="25"/>
      <c r="J327" s="25"/>
      <c r="K327" s="25"/>
      <c r="L327" s="25"/>
    </row>
    <row r="328" customFormat="false" ht="15" hidden="false" customHeight="false" outlineLevel="0" collapsed="false">
      <c r="A328" s="69"/>
      <c r="B328" s="68"/>
      <c r="C328" s="68"/>
      <c r="D328" s="76" t="str">
        <f aca="false">IF(C328="","",IFERROR(INDEX(ST_Design,MATCH(C328,ST_Code,0)),"Code inconnu"))</f>
        <v/>
      </c>
      <c r="E328" s="74" t="str">
        <f aca="false">IF(C328="","",IFERROR(INDEX(ST_Unite,MATCH(C328,ST_Code,0)),""))</f>
        <v/>
      </c>
      <c r="F328" s="82"/>
      <c r="G328" s="68"/>
      <c r="H328" s="76" t="str">
        <f aca="false">IF(G328="","",IFERROR(INDEX(BC_Fourn,MATCH(G328,BC_Num,0)),""))</f>
        <v/>
      </c>
      <c r="I328" s="25"/>
      <c r="J328" s="25"/>
      <c r="K328" s="25"/>
      <c r="L328" s="25"/>
    </row>
    <row r="329" customFormat="false" ht="15" hidden="false" customHeight="false" outlineLevel="0" collapsed="false">
      <c r="A329" s="69"/>
      <c r="B329" s="68"/>
      <c r="C329" s="68"/>
      <c r="D329" s="76" t="str">
        <f aca="false">IF(C329="","",IFERROR(INDEX(ST_Design,MATCH(C329,ST_Code,0)),"Code inconnu"))</f>
        <v/>
      </c>
      <c r="E329" s="74" t="str">
        <f aca="false">IF(C329="","",IFERROR(INDEX(ST_Unite,MATCH(C329,ST_Code,0)),""))</f>
        <v/>
      </c>
      <c r="F329" s="82"/>
      <c r="G329" s="68"/>
      <c r="H329" s="76" t="str">
        <f aca="false">IF(G329="","",IFERROR(INDEX(BC_Fourn,MATCH(G329,BC_Num,0)),""))</f>
        <v/>
      </c>
      <c r="I329" s="25"/>
      <c r="J329" s="25"/>
      <c r="K329" s="25"/>
      <c r="L329" s="25"/>
    </row>
    <row r="330" customFormat="false" ht="15" hidden="false" customHeight="false" outlineLevel="0" collapsed="false">
      <c r="A330" s="69"/>
      <c r="B330" s="68"/>
      <c r="C330" s="68"/>
      <c r="D330" s="76" t="str">
        <f aca="false">IF(C330="","",IFERROR(INDEX(ST_Design,MATCH(C330,ST_Code,0)),"Code inconnu"))</f>
        <v/>
      </c>
      <c r="E330" s="74" t="str">
        <f aca="false">IF(C330="","",IFERROR(INDEX(ST_Unite,MATCH(C330,ST_Code,0)),""))</f>
        <v/>
      </c>
      <c r="F330" s="82"/>
      <c r="G330" s="68"/>
      <c r="H330" s="76" t="str">
        <f aca="false">IF(G330="","",IFERROR(INDEX(BC_Fourn,MATCH(G330,BC_Num,0)),""))</f>
        <v/>
      </c>
      <c r="I330" s="25"/>
      <c r="J330" s="25"/>
      <c r="K330" s="25"/>
      <c r="L330" s="25"/>
    </row>
    <row r="331" customFormat="false" ht="15" hidden="false" customHeight="false" outlineLevel="0" collapsed="false">
      <c r="A331" s="69"/>
      <c r="B331" s="68"/>
      <c r="C331" s="68"/>
      <c r="D331" s="76" t="str">
        <f aca="false">IF(C331="","",IFERROR(INDEX(ST_Design,MATCH(C331,ST_Code,0)),"Code inconnu"))</f>
        <v/>
      </c>
      <c r="E331" s="74" t="str">
        <f aca="false">IF(C331="","",IFERROR(INDEX(ST_Unite,MATCH(C331,ST_Code,0)),""))</f>
        <v/>
      </c>
      <c r="F331" s="82"/>
      <c r="G331" s="68"/>
      <c r="H331" s="76" t="str">
        <f aca="false">IF(G331="","",IFERROR(INDEX(BC_Fourn,MATCH(G331,BC_Num,0)),""))</f>
        <v/>
      </c>
      <c r="I331" s="25"/>
      <c r="J331" s="25"/>
      <c r="K331" s="25"/>
      <c r="L331" s="25"/>
    </row>
    <row r="332" customFormat="false" ht="15" hidden="false" customHeight="false" outlineLevel="0" collapsed="false">
      <c r="A332" s="69"/>
      <c r="B332" s="68"/>
      <c r="C332" s="68"/>
      <c r="D332" s="76" t="str">
        <f aca="false">IF(C332="","",IFERROR(INDEX(ST_Design,MATCH(C332,ST_Code,0)),"Code inconnu"))</f>
        <v/>
      </c>
      <c r="E332" s="74" t="str">
        <f aca="false">IF(C332="","",IFERROR(INDEX(ST_Unite,MATCH(C332,ST_Code,0)),""))</f>
        <v/>
      </c>
      <c r="F332" s="82"/>
      <c r="G332" s="68"/>
      <c r="H332" s="76" t="str">
        <f aca="false">IF(G332="","",IFERROR(INDEX(BC_Fourn,MATCH(G332,BC_Num,0)),""))</f>
        <v/>
      </c>
      <c r="I332" s="25"/>
      <c r="J332" s="25"/>
      <c r="K332" s="25"/>
      <c r="L332" s="25"/>
    </row>
    <row r="333" customFormat="false" ht="15" hidden="false" customHeight="false" outlineLevel="0" collapsed="false">
      <c r="A333" s="69"/>
      <c r="B333" s="68"/>
      <c r="C333" s="68"/>
      <c r="D333" s="76" t="str">
        <f aca="false">IF(C333="","",IFERROR(INDEX(ST_Design,MATCH(C333,ST_Code,0)),"Code inconnu"))</f>
        <v/>
      </c>
      <c r="E333" s="74" t="str">
        <f aca="false">IF(C333="","",IFERROR(INDEX(ST_Unite,MATCH(C333,ST_Code,0)),""))</f>
        <v/>
      </c>
      <c r="F333" s="82"/>
      <c r="G333" s="68"/>
      <c r="H333" s="76" t="str">
        <f aca="false">IF(G333="","",IFERROR(INDEX(BC_Fourn,MATCH(G333,BC_Num,0)),""))</f>
        <v/>
      </c>
      <c r="I333" s="25"/>
      <c r="J333" s="25"/>
      <c r="K333" s="25"/>
      <c r="L333" s="25"/>
    </row>
    <row r="334" customFormat="false" ht="15" hidden="false" customHeight="false" outlineLevel="0" collapsed="false">
      <c r="A334" s="69"/>
      <c r="B334" s="68"/>
      <c r="C334" s="68"/>
      <c r="D334" s="76" t="str">
        <f aca="false">IF(C334="","",IFERROR(INDEX(ST_Design,MATCH(C334,ST_Code,0)),"Code inconnu"))</f>
        <v/>
      </c>
      <c r="E334" s="74" t="str">
        <f aca="false">IF(C334="","",IFERROR(INDEX(ST_Unite,MATCH(C334,ST_Code,0)),""))</f>
        <v/>
      </c>
      <c r="F334" s="82"/>
      <c r="G334" s="68"/>
      <c r="H334" s="76" t="str">
        <f aca="false">IF(G334="","",IFERROR(INDEX(BC_Fourn,MATCH(G334,BC_Num,0)),""))</f>
        <v/>
      </c>
      <c r="I334" s="25"/>
      <c r="J334" s="25"/>
      <c r="K334" s="25"/>
      <c r="L334" s="25"/>
    </row>
    <row r="335" customFormat="false" ht="15" hidden="false" customHeight="false" outlineLevel="0" collapsed="false">
      <c r="A335" s="69"/>
      <c r="B335" s="68"/>
      <c r="C335" s="68"/>
      <c r="D335" s="76" t="str">
        <f aca="false">IF(C335="","",IFERROR(INDEX(ST_Design,MATCH(C335,ST_Code,0)),"Code inconnu"))</f>
        <v/>
      </c>
      <c r="E335" s="74" t="str">
        <f aca="false">IF(C335="","",IFERROR(INDEX(ST_Unite,MATCH(C335,ST_Code,0)),""))</f>
        <v/>
      </c>
      <c r="F335" s="82"/>
      <c r="G335" s="68"/>
      <c r="H335" s="76" t="str">
        <f aca="false">IF(G335="","",IFERROR(INDEX(BC_Fourn,MATCH(G335,BC_Num,0)),""))</f>
        <v/>
      </c>
      <c r="I335" s="25"/>
      <c r="J335" s="25"/>
      <c r="K335" s="25"/>
      <c r="L335" s="25"/>
    </row>
    <row r="336" customFormat="false" ht="15" hidden="false" customHeight="false" outlineLevel="0" collapsed="false">
      <c r="A336" s="69"/>
      <c r="B336" s="68"/>
      <c r="C336" s="68"/>
      <c r="D336" s="76" t="str">
        <f aca="false">IF(C336="","",IFERROR(INDEX(ST_Design,MATCH(C336,ST_Code,0)),"Code inconnu"))</f>
        <v/>
      </c>
      <c r="E336" s="74" t="str">
        <f aca="false">IF(C336="","",IFERROR(INDEX(ST_Unite,MATCH(C336,ST_Code,0)),""))</f>
        <v/>
      </c>
      <c r="F336" s="82"/>
      <c r="G336" s="68"/>
      <c r="H336" s="76" t="str">
        <f aca="false">IF(G336="","",IFERROR(INDEX(BC_Fourn,MATCH(G336,BC_Num,0)),""))</f>
        <v/>
      </c>
      <c r="I336" s="25"/>
      <c r="J336" s="25"/>
      <c r="K336" s="25"/>
      <c r="L336" s="25"/>
    </row>
    <row r="337" customFormat="false" ht="15" hidden="false" customHeight="false" outlineLevel="0" collapsed="false">
      <c r="A337" s="69"/>
      <c r="B337" s="68"/>
      <c r="C337" s="68"/>
      <c r="D337" s="76" t="str">
        <f aca="false">IF(C337="","",IFERROR(INDEX(ST_Design,MATCH(C337,ST_Code,0)),"Code inconnu"))</f>
        <v/>
      </c>
      <c r="E337" s="74" t="str">
        <f aca="false">IF(C337="","",IFERROR(INDEX(ST_Unite,MATCH(C337,ST_Code,0)),""))</f>
        <v/>
      </c>
      <c r="F337" s="82"/>
      <c r="G337" s="68"/>
      <c r="H337" s="76" t="str">
        <f aca="false">IF(G337="","",IFERROR(INDEX(BC_Fourn,MATCH(G337,BC_Num,0)),""))</f>
        <v/>
      </c>
      <c r="I337" s="25"/>
      <c r="J337" s="25"/>
      <c r="K337" s="25"/>
      <c r="L337" s="25"/>
    </row>
    <row r="338" customFormat="false" ht="15" hidden="false" customHeight="false" outlineLevel="0" collapsed="false">
      <c r="A338" s="69"/>
      <c r="B338" s="68"/>
      <c r="C338" s="68"/>
      <c r="D338" s="76" t="str">
        <f aca="false">IF(C338="","",IFERROR(INDEX(ST_Design,MATCH(C338,ST_Code,0)),"Code inconnu"))</f>
        <v/>
      </c>
      <c r="E338" s="74" t="str">
        <f aca="false">IF(C338="","",IFERROR(INDEX(ST_Unite,MATCH(C338,ST_Code,0)),""))</f>
        <v/>
      </c>
      <c r="F338" s="82"/>
      <c r="G338" s="68"/>
      <c r="H338" s="76" t="str">
        <f aca="false">IF(G338="","",IFERROR(INDEX(BC_Fourn,MATCH(G338,BC_Num,0)),""))</f>
        <v/>
      </c>
      <c r="I338" s="25"/>
      <c r="J338" s="25"/>
      <c r="K338" s="25"/>
      <c r="L338" s="25"/>
    </row>
    <row r="339" customFormat="false" ht="15" hidden="false" customHeight="false" outlineLevel="0" collapsed="false">
      <c r="A339" s="69"/>
      <c r="B339" s="68"/>
      <c r="C339" s="68"/>
      <c r="D339" s="76" t="str">
        <f aca="false">IF(C339="","",IFERROR(INDEX(ST_Design,MATCH(C339,ST_Code,0)),"Code inconnu"))</f>
        <v/>
      </c>
      <c r="E339" s="74" t="str">
        <f aca="false">IF(C339="","",IFERROR(INDEX(ST_Unite,MATCH(C339,ST_Code,0)),""))</f>
        <v/>
      </c>
      <c r="F339" s="82"/>
      <c r="G339" s="68"/>
      <c r="H339" s="76" t="str">
        <f aca="false">IF(G339="","",IFERROR(INDEX(BC_Fourn,MATCH(G339,BC_Num,0)),""))</f>
        <v/>
      </c>
      <c r="I339" s="25"/>
      <c r="J339" s="25"/>
      <c r="K339" s="25"/>
      <c r="L339" s="25"/>
    </row>
    <row r="340" customFormat="false" ht="15" hidden="false" customHeight="false" outlineLevel="0" collapsed="false">
      <c r="A340" s="69"/>
      <c r="B340" s="68"/>
      <c r="C340" s="68"/>
      <c r="D340" s="76" t="str">
        <f aca="false">IF(C340="","",IFERROR(INDEX(ST_Design,MATCH(C340,ST_Code,0)),"Code inconnu"))</f>
        <v/>
      </c>
      <c r="E340" s="74" t="str">
        <f aca="false">IF(C340="","",IFERROR(INDEX(ST_Unite,MATCH(C340,ST_Code,0)),""))</f>
        <v/>
      </c>
      <c r="F340" s="82"/>
      <c r="G340" s="68"/>
      <c r="H340" s="76" t="str">
        <f aca="false">IF(G340="","",IFERROR(INDEX(BC_Fourn,MATCH(G340,BC_Num,0)),""))</f>
        <v/>
      </c>
      <c r="I340" s="25"/>
      <c r="J340" s="25"/>
      <c r="K340" s="25"/>
      <c r="L340" s="25"/>
    </row>
    <row r="341" customFormat="false" ht="15" hidden="false" customHeight="false" outlineLevel="0" collapsed="false">
      <c r="A341" s="69"/>
      <c r="B341" s="68"/>
      <c r="C341" s="68"/>
      <c r="D341" s="76" t="str">
        <f aca="false">IF(C341="","",IFERROR(INDEX(ST_Design,MATCH(C341,ST_Code,0)),"Code inconnu"))</f>
        <v/>
      </c>
      <c r="E341" s="74" t="str">
        <f aca="false">IF(C341="","",IFERROR(INDEX(ST_Unite,MATCH(C341,ST_Code,0)),""))</f>
        <v/>
      </c>
      <c r="F341" s="82"/>
      <c r="G341" s="68"/>
      <c r="H341" s="76" t="str">
        <f aca="false">IF(G341="","",IFERROR(INDEX(BC_Fourn,MATCH(G341,BC_Num,0)),""))</f>
        <v/>
      </c>
      <c r="I341" s="25"/>
      <c r="J341" s="25"/>
      <c r="K341" s="25"/>
      <c r="L341" s="25"/>
    </row>
    <row r="342" customFormat="false" ht="15" hidden="false" customHeight="false" outlineLevel="0" collapsed="false">
      <c r="A342" s="69"/>
      <c r="B342" s="68"/>
      <c r="C342" s="68"/>
      <c r="D342" s="76" t="str">
        <f aca="false">IF(C342="","",IFERROR(INDEX(ST_Design,MATCH(C342,ST_Code,0)),"Code inconnu"))</f>
        <v/>
      </c>
      <c r="E342" s="74" t="str">
        <f aca="false">IF(C342="","",IFERROR(INDEX(ST_Unite,MATCH(C342,ST_Code,0)),""))</f>
        <v/>
      </c>
      <c r="F342" s="82"/>
      <c r="G342" s="68"/>
      <c r="H342" s="76" t="str">
        <f aca="false">IF(G342="","",IFERROR(INDEX(BC_Fourn,MATCH(G342,BC_Num,0)),""))</f>
        <v/>
      </c>
      <c r="I342" s="25"/>
      <c r="J342" s="25"/>
      <c r="K342" s="25"/>
      <c r="L342" s="25"/>
    </row>
    <row r="343" customFormat="false" ht="15" hidden="false" customHeight="false" outlineLevel="0" collapsed="false">
      <c r="A343" s="69"/>
      <c r="B343" s="68"/>
      <c r="C343" s="68"/>
      <c r="D343" s="76" t="str">
        <f aca="false">IF(C343="","",IFERROR(INDEX(ST_Design,MATCH(C343,ST_Code,0)),"Code inconnu"))</f>
        <v/>
      </c>
      <c r="E343" s="74" t="str">
        <f aca="false">IF(C343="","",IFERROR(INDEX(ST_Unite,MATCH(C343,ST_Code,0)),""))</f>
        <v/>
      </c>
      <c r="F343" s="82"/>
      <c r="G343" s="68"/>
      <c r="H343" s="76" t="str">
        <f aca="false">IF(G343="","",IFERROR(INDEX(BC_Fourn,MATCH(G343,BC_Num,0)),""))</f>
        <v/>
      </c>
      <c r="I343" s="25"/>
      <c r="J343" s="25"/>
      <c r="K343" s="25"/>
      <c r="L343" s="25"/>
    </row>
    <row r="344" customFormat="false" ht="15" hidden="false" customHeight="false" outlineLevel="0" collapsed="false">
      <c r="A344" s="69"/>
      <c r="B344" s="68"/>
      <c r="C344" s="68"/>
      <c r="D344" s="76" t="str">
        <f aca="false">IF(C344="","",IFERROR(INDEX(ST_Design,MATCH(C344,ST_Code,0)),"Code inconnu"))</f>
        <v/>
      </c>
      <c r="E344" s="74" t="str">
        <f aca="false">IF(C344="","",IFERROR(INDEX(ST_Unite,MATCH(C344,ST_Code,0)),""))</f>
        <v/>
      </c>
      <c r="F344" s="82"/>
      <c r="G344" s="68"/>
      <c r="H344" s="76" t="str">
        <f aca="false">IF(G344="","",IFERROR(INDEX(BC_Fourn,MATCH(G344,BC_Num,0)),""))</f>
        <v/>
      </c>
      <c r="I344" s="25"/>
      <c r="J344" s="25"/>
      <c r="K344" s="25"/>
      <c r="L344" s="25"/>
    </row>
    <row r="345" customFormat="false" ht="15" hidden="false" customHeight="false" outlineLevel="0" collapsed="false">
      <c r="A345" s="69"/>
      <c r="B345" s="68"/>
      <c r="C345" s="68"/>
      <c r="D345" s="76" t="str">
        <f aca="false">IF(C345="","",IFERROR(INDEX(ST_Design,MATCH(C345,ST_Code,0)),"Code inconnu"))</f>
        <v/>
      </c>
      <c r="E345" s="74" t="str">
        <f aca="false">IF(C345="","",IFERROR(INDEX(ST_Unite,MATCH(C345,ST_Code,0)),""))</f>
        <v/>
      </c>
      <c r="F345" s="82"/>
      <c r="G345" s="68"/>
      <c r="H345" s="76" t="str">
        <f aca="false">IF(G345="","",IFERROR(INDEX(BC_Fourn,MATCH(G345,BC_Num,0)),""))</f>
        <v/>
      </c>
      <c r="I345" s="25"/>
      <c r="J345" s="25"/>
      <c r="K345" s="25"/>
      <c r="L345" s="25"/>
    </row>
    <row r="346" customFormat="false" ht="15" hidden="false" customHeight="false" outlineLevel="0" collapsed="false">
      <c r="A346" s="69"/>
      <c r="B346" s="68"/>
      <c r="C346" s="68"/>
      <c r="D346" s="76" t="str">
        <f aca="false">IF(C346="","",IFERROR(INDEX(ST_Design,MATCH(C346,ST_Code,0)),"Code inconnu"))</f>
        <v/>
      </c>
      <c r="E346" s="74" t="str">
        <f aca="false">IF(C346="","",IFERROR(INDEX(ST_Unite,MATCH(C346,ST_Code,0)),""))</f>
        <v/>
      </c>
      <c r="F346" s="82"/>
      <c r="G346" s="68"/>
      <c r="H346" s="76" t="str">
        <f aca="false">IF(G346="","",IFERROR(INDEX(BC_Fourn,MATCH(G346,BC_Num,0)),""))</f>
        <v/>
      </c>
      <c r="I346" s="25"/>
      <c r="J346" s="25"/>
      <c r="K346" s="25"/>
      <c r="L346" s="25"/>
    </row>
    <row r="347" customFormat="false" ht="15" hidden="false" customHeight="false" outlineLevel="0" collapsed="false">
      <c r="A347" s="69"/>
      <c r="B347" s="68"/>
      <c r="C347" s="68"/>
      <c r="D347" s="76" t="str">
        <f aca="false">IF(C347="","",IFERROR(INDEX(ST_Design,MATCH(C347,ST_Code,0)),"Code inconnu"))</f>
        <v/>
      </c>
      <c r="E347" s="74" t="str">
        <f aca="false">IF(C347="","",IFERROR(INDEX(ST_Unite,MATCH(C347,ST_Code,0)),""))</f>
        <v/>
      </c>
      <c r="F347" s="82"/>
      <c r="G347" s="68"/>
      <c r="H347" s="76" t="str">
        <f aca="false">IF(G347="","",IFERROR(INDEX(BC_Fourn,MATCH(G347,BC_Num,0)),""))</f>
        <v/>
      </c>
      <c r="I347" s="25"/>
      <c r="J347" s="25"/>
      <c r="K347" s="25"/>
      <c r="L347" s="25"/>
    </row>
    <row r="348" customFormat="false" ht="15" hidden="false" customHeight="false" outlineLevel="0" collapsed="false">
      <c r="A348" s="69"/>
      <c r="B348" s="68"/>
      <c r="C348" s="68"/>
      <c r="D348" s="76" t="str">
        <f aca="false">IF(C348="","",IFERROR(INDEX(ST_Design,MATCH(C348,ST_Code,0)),"Code inconnu"))</f>
        <v/>
      </c>
      <c r="E348" s="74" t="str">
        <f aca="false">IF(C348="","",IFERROR(INDEX(ST_Unite,MATCH(C348,ST_Code,0)),""))</f>
        <v/>
      </c>
      <c r="F348" s="82"/>
      <c r="G348" s="68"/>
      <c r="H348" s="76" t="str">
        <f aca="false">IF(G348="","",IFERROR(INDEX(BC_Fourn,MATCH(G348,BC_Num,0)),""))</f>
        <v/>
      </c>
      <c r="I348" s="25"/>
      <c r="J348" s="25"/>
      <c r="K348" s="25"/>
      <c r="L348" s="25"/>
    </row>
    <row r="349" customFormat="false" ht="15" hidden="false" customHeight="false" outlineLevel="0" collapsed="false">
      <c r="A349" s="69"/>
      <c r="B349" s="68"/>
      <c r="C349" s="68"/>
      <c r="D349" s="76" t="str">
        <f aca="false">IF(C349="","",IFERROR(INDEX(ST_Design,MATCH(C349,ST_Code,0)),"Code inconnu"))</f>
        <v/>
      </c>
      <c r="E349" s="74" t="str">
        <f aca="false">IF(C349="","",IFERROR(INDEX(ST_Unite,MATCH(C349,ST_Code,0)),""))</f>
        <v/>
      </c>
      <c r="F349" s="82"/>
      <c r="G349" s="68"/>
      <c r="H349" s="76" t="str">
        <f aca="false">IF(G349="","",IFERROR(INDEX(BC_Fourn,MATCH(G349,BC_Num,0)),""))</f>
        <v/>
      </c>
      <c r="I349" s="25"/>
      <c r="J349" s="25"/>
      <c r="K349" s="25"/>
      <c r="L349" s="25"/>
    </row>
    <row r="350" customFormat="false" ht="15" hidden="false" customHeight="false" outlineLevel="0" collapsed="false">
      <c r="A350" s="69"/>
      <c r="B350" s="68"/>
      <c r="C350" s="68"/>
      <c r="D350" s="76" t="str">
        <f aca="false">IF(C350="","",IFERROR(INDEX(ST_Design,MATCH(C350,ST_Code,0)),"Code inconnu"))</f>
        <v/>
      </c>
      <c r="E350" s="74" t="str">
        <f aca="false">IF(C350="","",IFERROR(INDEX(ST_Unite,MATCH(C350,ST_Code,0)),""))</f>
        <v/>
      </c>
      <c r="F350" s="82"/>
      <c r="G350" s="68"/>
      <c r="H350" s="76" t="str">
        <f aca="false">IF(G350="","",IFERROR(INDEX(BC_Fourn,MATCH(G350,BC_Num,0)),""))</f>
        <v/>
      </c>
      <c r="I350" s="25"/>
      <c r="J350" s="25"/>
      <c r="K350" s="25"/>
      <c r="L350" s="25"/>
    </row>
    <row r="351" customFormat="false" ht="15" hidden="false" customHeight="false" outlineLevel="0" collapsed="false">
      <c r="A351" s="69"/>
      <c r="B351" s="68"/>
      <c r="C351" s="68"/>
      <c r="D351" s="76" t="str">
        <f aca="false">IF(C351="","",IFERROR(INDEX(ST_Design,MATCH(C351,ST_Code,0)),"Code inconnu"))</f>
        <v/>
      </c>
      <c r="E351" s="74" t="str">
        <f aca="false">IF(C351="","",IFERROR(INDEX(ST_Unite,MATCH(C351,ST_Code,0)),""))</f>
        <v/>
      </c>
      <c r="F351" s="82"/>
      <c r="G351" s="68"/>
      <c r="H351" s="76" t="str">
        <f aca="false">IF(G351="","",IFERROR(INDEX(BC_Fourn,MATCH(G351,BC_Num,0)),""))</f>
        <v/>
      </c>
      <c r="I351" s="25"/>
      <c r="J351" s="25"/>
      <c r="K351" s="25"/>
      <c r="L351" s="25"/>
    </row>
    <row r="352" customFormat="false" ht="15" hidden="false" customHeight="false" outlineLevel="0" collapsed="false">
      <c r="A352" s="69"/>
      <c r="B352" s="68"/>
      <c r="C352" s="68"/>
      <c r="D352" s="76" t="str">
        <f aca="false">IF(C352="","",IFERROR(INDEX(ST_Design,MATCH(C352,ST_Code,0)),"Code inconnu"))</f>
        <v/>
      </c>
      <c r="E352" s="74" t="str">
        <f aca="false">IF(C352="","",IFERROR(INDEX(ST_Unite,MATCH(C352,ST_Code,0)),""))</f>
        <v/>
      </c>
      <c r="F352" s="82"/>
      <c r="G352" s="68"/>
      <c r="H352" s="76" t="str">
        <f aca="false">IF(G352="","",IFERROR(INDEX(BC_Fourn,MATCH(G352,BC_Num,0)),""))</f>
        <v/>
      </c>
      <c r="I352" s="25"/>
      <c r="J352" s="25"/>
      <c r="K352" s="25"/>
      <c r="L352" s="25"/>
    </row>
    <row r="353" customFormat="false" ht="15" hidden="false" customHeight="false" outlineLevel="0" collapsed="false">
      <c r="A353" s="69"/>
      <c r="B353" s="68"/>
      <c r="C353" s="68"/>
      <c r="D353" s="76" t="str">
        <f aca="false">IF(C353="","",IFERROR(INDEX(ST_Design,MATCH(C353,ST_Code,0)),"Code inconnu"))</f>
        <v/>
      </c>
      <c r="E353" s="74" t="str">
        <f aca="false">IF(C353="","",IFERROR(INDEX(ST_Unite,MATCH(C353,ST_Code,0)),""))</f>
        <v/>
      </c>
      <c r="F353" s="82"/>
      <c r="G353" s="68"/>
      <c r="H353" s="76" t="str">
        <f aca="false">IF(G353="","",IFERROR(INDEX(BC_Fourn,MATCH(G353,BC_Num,0)),""))</f>
        <v/>
      </c>
      <c r="I353" s="25"/>
      <c r="J353" s="25"/>
      <c r="K353" s="25"/>
      <c r="L353" s="25"/>
    </row>
    <row r="354" customFormat="false" ht="15" hidden="false" customHeight="false" outlineLevel="0" collapsed="false">
      <c r="A354" s="69"/>
      <c r="B354" s="68"/>
      <c r="C354" s="68"/>
      <c r="D354" s="76" t="str">
        <f aca="false">IF(C354="","",IFERROR(INDEX(ST_Design,MATCH(C354,ST_Code,0)),"Code inconnu"))</f>
        <v/>
      </c>
      <c r="E354" s="74" t="str">
        <f aca="false">IF(C354="","",IFERROR(INDEX(ST_Unite,MATCH(C354,ST_Code,0)),""))</f>
        <v/>
      </c>
      <c r="F354" s="82"/>
      <c r="G354" s="68"/>
      <c r="H354" s="76" t="str">
        <f aca="false">IF(G354="","",IFERROR(INDEX(BC_Fourn,MATCH(G354,BC_Num,0)),""))</f>
        <v/>
      </c>
      <c r="I354" s="25"/>
      <c r="J354" s="25"/>
      <c r="K354" s="25"/>
      <c r="L354" s="25"/>
    </row>
    <row r="355" customFormat="false" ht="15" hidden="false" customHeight="false" outlineLevel="0" collapsed="false">
      <c r="A355" s="69"/>
      <c r="B355" s="68"/>
      <c r="C355" s="68"/>
      <c r="D355" s="76" t="str">
        <f aca="false">IF(C355="","",IFERROR(INDEX(ST_Design,MATCH(C355,ST_Code,0)),"Code inconnu"))</f>
        <v/>
      </c>
      <c r="E355" s="74" t="str">
        <f aca="false">IF(C355="","",IFERROR(INDEX(ST_Unite,MATCH(C355,ST_Code,0)),""))</f>
        <v/>
      </c>
      <c r="F355" s="82"/>
      <c r="G355" s="68"/>
      <c r="H355" s="76" t="str">
        <f aca="false">IF(G355="","",IFERROR(INDEX(BC_Fourn,MATCH(G355,BC_Num,0)),""))</f>
        <v/>
      </c>
      <c r="I355" s="25"/>
      <c r="J355" s="25"/>
      <c r="K355" s="25"/>
      <c r="L355" s="25"/>
    </row>
    <row r="356" customFormat="false" ht="15" hidden="false" customHeight="false" outlineLevel="0" collapsed="false">
      <c r="A356" s="69"/>
      <c r="B356" s="68"/>
      <c r="C356" s="68"/>
      <c r="D356" s="76" t="str">
        <f aca="false">IF(C356="","",IFERROR(INDEX(ST_Design,MATCH(C356,ST_Code,0)),"Code inconnu"))</f>
        <v/>
      </c>
      <c r="E356" s="74" t="str">
        <f aca="false">IF(C356="","",IFERROR(INDEX(ST_Unite,MATCH(C356,ST_Code,0)),""))</f>
        <v/>
      </c>
      <c r="F356" s="82"/>
      <c r="G356" s="68"/>
      <c r="H356" s="76" t="str">
        <f aca="false">IF(G356="","",IFERROR(INDEX(BC_Fourn,MATCH(G356,BC_Num,0)),""))</f>
        <v/>
      </c>
      <c r="I356" s="25"/>
      <c r="J356" s="25"/>
      <c r="K356" s="25"/>
      <c r="L356" s="25"/>
    </row>
    <row r="357" customFormat="false" ht="15" hidden="false" customHeight="false" outlineLevel="0" collapsed="false">
      <c r="A357" s="69"/>
      <c r="B357" s="68"/>
      <c r="C357" s="68"/>
      <c r="D357" s="76" t="str">
        <f aca="false">IF(C357="","",IFERROR(INDEX(ST_Design,MATCH(C357,ST_Code,0)),"Code inconnu"))</f>
        <v/>
      </c>
      <c r="E357" s="74" t="str">
        <f aca="false">IF(C357="","",IFERROR(INDEX(ST_Unite,MATCH(C357,ST_Code,0)),""))</f>
        <v/>
      </c>
      <c r="F357" s="82"/>
      <c r="G357" s="68"/>
      <c r="H357" s="76" t="str">
        <f aca="false">IF(G357="","",IFERROR(INDEX(BC_Fourn,MATCH(G357,BC_Num,0)),""))</f>
        <v/>
      </c>
      <c r="I357" s="25"/>
      <c r="J357" s="25"/>
      <c r="K357" s="25"/>
      <c r="L357" s="25"/>
    </row>
    <row r="358" customFormat="false" ht="15" hidden="false" customHeight="false" outlineLevel="0" collapsed="false">
      <c r="A358" s="69"/>
      <c r="B358" s="68"/>
      <c r="C358" s="68"/>
      <c r="D358" s="76" t="str">
        <f aca="false">IF(C358="","",IFERROR(INDEX(ST_Design,MATCH(C358,ST_Code,0)),"Code inconnu"))</f>
        <v/>
      </c>
      <c r="E358" s="74" t="str">
        <f aca="false">IF(C358="","",IFERROR(INDEX(ST_Unite,MATCH(C358,ST_Code,0)),""))</f>
        <v/>
      </c>
      <c r="F358" s="82"/>
      <c r="G358" s="68"/>
      <c r="H358" s="76" t="str">
        <f aca="false">IF(G358="","",IFERROR(INDEX(BC_Fourn,MATCH(G358,BC_Num,0)),""))</f>
        <v/>
      </c>
      <c r="I358" s="25"/>
      <c r="J358" s="25"/>
      <c r="K358" s="25"/>
      <c r="L358" s="25"/>
    </row>
    <row r="359" customFormat="false" ht="15" hidden="false" customHeight="false" outlineLevel="0" collapsed="false">
      <c r="A359" s="69"/>
      <c r="B359" s="68"/>
      <c r="C359" s="68"/>
      <c r="D359" s="76" t="str">
        <f aca="false">IF(C359="","",IFERROR(INDEX(ST_Design,MATCH(C359,ST_Code,0)),"Code inconnu"))</f>
        <v/>
      </c>
      <c r="E359" s="74" t="str">
        <f aca="false">IF(C359="","",IFERROR(INDEX(ST_Unite,MATCH(C359,ST_Code,0)),""))</f>
        <v/>
      </c>
      <c r="F359" s="82"/>
      <c r="G359" s="68"/>
      <c r="H359" s="76" t="str">
        <f aca="false">IF(G359="","",IFERROR(INDEX(BC_Fourn,MATCH(G359,BC_Num,0)),""))</f>
        <v/>
      </c>
      <c r="I359" s="25"/>
      <c r="J359" s="25"/>
      <c r="K359" s="25"/>
      <c r="L359" s="25"/>
    </row>
    <row r="360" customFormat="false" ht="15" hidden="false" customHeight="false" outlineLevel="0" collapsed="false">
      <c r="A360" s="69"/>
      <c r="B360" s="68"/>
      <c r="C360" s="68"/>
      <c r="D360" s="76" t="str">
        <f aca="false">IF(C360="","",IFERROR(INDEX(ST_Design,MATCH(C360,ST_Code,0)),"Code inconnu"))</f>
        <v/>
      </c>
      <c r="E360" s="74" t="str">
        <f aca="false">IF(C360="","",IFERROR(INDEX(ST_Unite,MATCH(C360,ST_Code,0)),""))</f>
        <v/>
      </c>
      <c r="F360" s="82"/>
      <c r="G360" s="68"/>
      <c r="H360" s="76" t="str">
        <f aca="false">IF(G360="","",IFERROR(INDEX(BC_Fourn,MATCH(G360,BC_Num,0)),""))</f>
        <v/>
      </c>
      <c r="I360" s="25"/>
      <c r="J360" s="25"/>
      <c r="K360" s="25"/>
      <c r="L360" s="25"/>
    </row>
    <row r="361" customFormat="false" ht="15" hidden="false" customHeight="false" outlineLevel="0" collapsed="false">
      <c r="A361" s="69"/>
      <c r="B361" s="68"/>
      <c r="C361" s="68"/>
      <c r="D361" s="76" t="str">
        <f aca="false">IF(C361="","",IFERROR(INDEX(ST_Design,MATCH(C361,ST_Code,0)),"Code inconnu"))</f>
        <v/>
      </c>
      <c r="E361" s="74" t="str">
        <f aca="false">IF(C361="","",IFERROR(INDEX(ST_Unite,MATCH(C361,ST_Code,0)),""))</f>
        <v/>
      </c>
      <c r="F361" s="82"/>
      <c r="G361" s="68"/>
      <c r="H361" s="76" t="str">
        <f aca="false">IF(G361="","",IFERROR(INDEX(BC_Fourn,MATCH(G361,BC_Num,0)),""))</f>
        <v/>
      </c>
      <c r="I361" s="25"/>
      <c r="J361" s="25"/>
      <c r="K361" s="25"/>
      <c r="L361" s="25"/>
    </row>
    <row r="362" customFormat="false" ht="15" hidden="false" customHeight="false" outlineLevel="0" collapsed="false">
      <c r="A362" s="69"/>
      <c r="B362" s="68"/>
      <c r="C362" s="68"/>
      <c r="D362" s="76" t="str">
        <f aca="false">IF(C362="","",IFERROR(INDEX(ST_Design,MATCH(C362,ST_Code,0)),"Code inconnu"))</f>
        <v/>
      </c>
      <c r="E362" s="74" t="str">
        <f aca="false">IF(C362="","",IFERROR(INDEX(ST_Unite,MATCH(C362,ST_Code,0)),""))</f>
        <v/>
      </c>
      <c r="F362" s="82"/>
      <c r="G362" s="68"/>
      <c r="H362" s="76" t="str">
        <f aca="false">IF(G362="","",IFERROR(INDEX(BC_Fourn,MATCH(G362,BC_Num,0)),""))</f>
        <v/>
      </c>
      <c r="I362" s="25"/>
      <c r="J362" s="25"/>
      <c r="K362" s="25"/>
      <c r="L362" s="25"/>
    </row>
    <row r="363" customFormat="false" ht="15" hidden="false" customHeight="false" outlineLevel="0" collapsed="false">
      <c r="A363" s="69"/>
      <c r="B363" s="68"/>
      <c r="C363" s="68"/>
      <c r="D363" s="76" t="str">
        <f aca="false">IF(C363="","",IFERROR(INDEX(ST_Design,MATCH(C363,ST_Code,0)),"Code inconnu"))</f>
        <v/>
      </c>
      <c r="E363" s="74" t="str">
        <f aca="false">IF(C363="","",IFERROR(INDEX(ST_Unite,MATCH(C363,ST_Code,0)),""))</f>
        <v/>
      </c>
      <c r="F363" s="82"/>
      <c r="G363" s="68"/>
      <c r="H363" s="76" t="str">
        <f aca="false">IF(G363="","",IFERROR(INDEX(BC_Fourn,MATCH(G363,BC_Num,0)),""))</f>
        <v/>
      </c>
      <c r="I363" s="25"/>
      <c r="J363" s="25"/>
      <c r="K363" s="25"/>
      <c r="L363" s="25"/>
    </row>
    <row r="364" customFormat="false" ht="15" hidden="false" customHeight="false" outlineLevel="0" collapsed="false">
      <c r="A364" s="69"/>
      <c r="B364" s="68"/>
      <c r="C364" s="68"/>
      <c r="D364" s="76" t="str">
        <f aca="false">IF(C364="","",IFERROR(INDEX(ST_Design,MATCH(C364,ST_Code,0)),"Code inconnu"))</f>
        <v/>
      </c>
      <c r="E364" s="74" t="str">
        <f aca="false">IF(C364="","",IFERROR(INDEX(ST_Unite,MATCH(C364,ST_Code,0)),""))</f>
        <v/>
      </c>
      <c r="F364" s="82"/>
      <c r="G364" s="68"/>
      <c r="H364" s="76" t="str">
        <f aca="false">IF(G364="","",IFERROR(INDEX(BC_Fourn,MATCH(G364,BC_Num,0)),""))</f>
        <v/>
      </c>
      <c r="I364" s="25"/>
      <c r="J364" s="25"/>
      <c r="K364" s="25"/>
      <c r="L364" s="25"/>
    </row>
    <row r="365" customFormat="false" ht="15" hidden="false" customHeight="false" outlineLevel="0" collapsed="false">
      <c r="A365" s="69"/>
      <c r="B365" s="68"/>
      <c r="C365" s="68"/>
      <c r="D365" s="76" t="str">
        <f aca="false">IF(C365="","",IFERROR(INDEX(ST_Design,MATCH(C365,ST_Code,0)),"Code inconnu"))</f>
        <v/>
      </c>
      <c r="E365" s="74" t="str">
        <f aca="false">IF(C365="","",IFERROR(INDEX(ST_Unite,MATCH(C365,ST_Code,0)),""))</f>
        <v/>
      </c>
      <c r="F365" s="82"/>
      <c r="G365" s="68"/>
      <c r="H365" s="76" t="str">
        <f aca="false">IF(G365="","",IFERROR(INDEX(BC_Fourn,MATCH(G365,BC_Num,0)),""))</f>
        <v/>
      </c>
      <c r="I365" s="25"/>
      <c r="J365" s="25"/>
      <c r="K365" s="25"/>
      <c r="L365" s="25"/>
    </row>
    <row r="366" customFormat="false" ht="15" hidden="false" customHeight="false" outlineLevel="0" collapsed="false">
      <c r="A366" s="69"/>
      <c r="B366" s="68"/>
      <c r="C366" s="68"/>
      <c r="D366" s="76" t="str">
        <f aca="false">IF(C366="","",IFERROR(INDEX(ST_Design,MATCH(C366,ST_Code,0)),"Code inconnu"))</f>
        <v/>
      </c>
      <c r="E366" s="74" t="str">
        <f aca="false">IF(C366="","",IFERROR(INDEX(ST_Unite,MATCH(C366,ST_Code,0)),""))</f>
        <v/>
      </c>
      <c r="F366" s="82"/>
      <c r="G366" s="68"/>
      <c r="H366" s="76" t="str">
        <f aca="false">IF(G366="","",IFERROR(INDEX(BC_Fourn,MATCH(G366,BC_Num,0)),""))</f>
        <v/>
      </c>
      <c r="I366" s="25"/>
      <c r="J366" s="25"/>
      <c r="K366" s="25"/>
      <c r="L366" s="25"/>
    </row>
    <row r="367" customFormat="false" ht="15" hidden="false" customHeight="false" outlineLevel="0" collapsed="false">
      <c r="A367" s="69"/>
      <c r="B367" s="68"/>
      <c r="C367" s="68"/>
      <c r="D367" s="76" t="str">
        <f aca="false">IF(C367="","",IFERROR(INDEX(ST_Design,MATCH(C367,ST_Code,0)),"Code inconnu"))</f>
        <v/>
      </c>
      <c r="E367" s="74" t="str">
        <f aca="false">IF(C367="","",IFERROR(INDEX(ST_Unite,MATCH(C367,ST_Code,0)),""))</f>
        <v/>
      </c>
      <c r="F367" s="82"/>
      <c r="G367" s="68"/>
      <c r="H367" s="76" t="str">
        <f aca="false">IF(G367="","",IFERROR(INDEX(BC_Fourn,MATCH(G367,BC_Num,0)),""))</f>
        <v/>
      </c>
      <c r="I367" s="25"/>
      <c r="J367" s="25"/>
      <c r="K367" s="25"/>
      <c r="L367" s="25"/>
    </row>
    <row r="368" customFormat="false" ht="15" hidden="false" customHeight="false" outlineLevel="0" collapsed="false">
      <c r="A368" s="69"/>
      <c r="B368" s="68"/>
      <c r="C368" s="68"/>
      <c r="D368" s="76" t="str">
        <f aca="false">IF(C368="","",IFERROR(INDEX(ST_Design,MATCH(C368,ST_Code,0)),"Code inconnu"))</f>
        <v/>
      </c>
      <c r="E368" s="74" t="str">
        <f aca="false">IF(C368="","",IFERROR(INDEX(ST_Unite,MATCH(C368,ST_Code,0)),""))</f>
        <v/>
      </c>
      <c r="F368" s="82"/>
      <c r="G368" s="68"/>
      <c r="H368" s="76" t="str">
        <f aca="false">IF(G368="","",IFERROR(INDEX(BC_Fourn,MATCH(G368,BC_Num,0)),""))</f>
        <v/>
      </c>
      <c r="I368" s="25"/>
      <c r="J368" s="25"/>
      <c r="K368" s="25"/>
      <c r="L368" s="25"/>
    </row>
    <row r="369" customFormat="false" ht="15" hidden="false" customHeight="false" outlineLevel="0" collapsed="false">
      <c r="A369" s="69"/>
      <c r="B369" s="68"/>
      <c r="C369" s="68"/>
      <c r="D369" s="76" t="str">
        <f aca="false">IF(C369="","",IFERROR(INDEX(ST_Design,MATCH(C369,ST_Code,0)),"Code inconnu"))</f>
        <v/>
      </c>
      <c r="E369" s="74" t="str">
        <f aca="false">IF(C369="","",IFERROR(INDEX(ST_Unite,MATCH(C369,ST_Code,0)),""))</f>
        <v/>
      </c>
      <c r="F369" s="82"/>
      <c r="G369" s="68"/>
      <c r="H369" s="76" t="str">
        <f aca="false">IF(G369="","",IFERROR(INDEX(BC_Fourn,MATCH(G369,BC_Num,0)),""))</f>
        <v/>
      </c>
      <c r="I369" s="25"/>
      <c r="J369" s="25"/>
      <c r="K369" s="25"/>
      <c r="L369" s="25"/>
    </row>
    <row r="370" customFormat="false" ht="15" hidden="false" customHeight="false" outlineLevel="0" collapsed="false">
      <c r="A370" s="69"/>
      <c r="B370" s="68"/>
      <c r="C370" s="68"/>
      <c r="D370" s="76" t="str">
        <f aca="false">IF(C370="","",IFERROR(INDEX(ST_Design,MATCH(C370,ST_Code,0)),"Code inconnu"))</f>
        <v/>
      </c>
      <c r="E370" s="74" t="str">
        <f aca="false">IF(C370="","",IFERROR(INDEX(ST_Unite,MATCH(C370,ST_Code,0)),""))</f>
        <v/>
      </c>
      <c r="F370" s="82"/>
      <c r="G370" s="68"/>
      <c r="H370" s="76" t="str">
        <f aca="false">IF(G370="","",IFERROR(INDEX(BC_Fourn,MATCH(G370,BC_Num,0)),""))</f>
        <v/>
      </c>
      <c r="I370" s="25"/>
      <c r="J370" s="25"/>
      <c r="K370" s="25"/>
      <c r="L370" s="25"/>
    </row>
    <row r="371" customFormat="false" ht="15" hidden="false" customHeight="false" outlineLevel="0" collapsed="false">
      <c r="A371" s="69"/>
      <c r="B371" s="68"/>
      <c r="C371" s="68"/>
      <c r="D371" s="76" t="str">
        <f aca="false">IF(C371="","",IFERROR(INDEX(ST_Design,MATCH(C371,ST_Code,0)),"Code inconnu"))</f>
        <v/>
      </c>
      <c r="E371" s="74" t="str">
        <f aca="false">IF(C371="","",IFERROR(INDEX(ST_Unite,MATCH(C371,ST_Code,0)),""))</f>
        <v/>
      </c>
      <c r="F371" s="82"/>
      <c r="G371" s="68"/>
      <c r="H371" s="76" t="str">
        <f aca="false">IF(G371="","",IFERROR(INDEX(BC_Fourn,MATCH(G371,BC_Num,0)),""))</f>
        <v/>
      </c>
      <c r="I371" s="25"/>
      <c r="J371" s="25"/>
      <c r="K371" s="25"/>
      <c r="L371" s="25"/>
    </row>
    <row r="372" customFormat="false" ht="15" hidden="false" customHeight="false" outlineLevel="0" collapsed="false">
      <c r="A372" s="69"/>
      <c r="B372" s="68"/>
      <c r="C372" s="68"/>
      <c r="D372" s="76" t="str">
        <f aca="false">IF(C372="","",IFERROR(INDEX(ST_Design,MATCH(C372,ST_Code,0)),"Code inconnu"))</f>
        <v/>
      </c>
      <c r="E372" s="74" t="str">
        <f aca="false">IF(C372="","",IFERROR(INDEX(ST_Unite,MATCH(C372,ST_Code,0)),""))</f>
        <v/>
      </c>
      <c r="F372" s="82"/>
      <c r="G372" s="68"/>
      <c r="H372" s="76" t="str">
        <f aca="false">IF(G372="","",IFERROR(INDEX(BC_Fourn,MATCH(G372,BC_Num,0)),""))</f>
        <v/>
      </c>
      <c r="I372" s="25"/>
      <c r="J372" s="25"/>
      <c r="K372" s="25"/>
      <c r="L372" s="25"/>
    </row>
    <row r="373" customFormat="false" ht="15" hidden="false" customHeight="false" outlineLevel="0" collapsed="false">
      <c r="A373" s="69"/>
      <c r="B373" s="68"/>
      <c r="C373" s="68"/>
      <c r="D373" s="76" t="str">
        <f aca="false">IF(C373="","",IFERROR(INDEX(ST_Design,MATCH(C373,ST_Code,0)),"Code inconnu"))</f>
        <v/>
      </c>
      <c r="E373" s="74" t="str">
        <f aca="false">IF(C373="","",IFERROR(INDEX(ST_Unite,MATCH(C373,ST_Code,0)),""))</f>
        <v/>
      </c>
      <c r="F373" s="82"/>
      <c r="G373" s="68"/>
      <c r="H373" s="76" t="str">
        <f aca="false">IF(G373="","",IFERROR(INDEX(BC_Fourn,MATCH(G373,BC_Num,0)),""))</f>
        <v/>
      </c>
      <c r="I373" s="25"/>
      <c r="J373" s="25"/>
      <c r="K373" s="25"/>
      <c r="L373" s="25"/>
    </row>
    <row r="374" customFormat="false" ht="15" hidden="false" customHeight="false" outlineLevel="0" collapsed="false">
      <c r="A374" s="69"/>
      <c r="B374" s="68"/>
      <c r="C374" s="68"/>
      <c r="D374" s="76" t="str">
        <f aca="false">IF(C374="","",IFERROR(INDEX(ST_Design,MATCH(C374,ST_Code,0)),"Code inconnu"))</f>
        <v/>
      </c>
      <c r="E374" s="74" t="str">
        <f aca="false">IF(C374="","",IFERROR(INDEX(ST_Unite,MATCH(C374,ST_Code,0)),""))</f>
        <v/>
      </c>
      <c r="F374" s="82"/>
      <c r="G374" s="68"/>
      <c r="H374" s="76" t="str">
        <f aca="false">IF(G374="","",IFERROR(INDEX(BC_Fourn,MATCH(G374,BC_Num,0)),""))</f>
        <v/>
      </c>
      <c r="I374" s="25"/>
      <c r="J374" s="25"/>
      <c r="K374" s="25"/>
      <c r="L374" s="25"/>
    </row>
    <row r="375" customFormat="false" ht="15" hidden="false" customHeight="false" outlineLevel="0" collapsed="false">
      <c r="A375" s="69"/>
      <c r="B375" s="68"/>
      <c r="C375" s="68"/>
      <c r="D375" s="76" t="str">
        <f aca="false">IF(C375="","",IFERROR(INDEX(ST_Design,MATCH(C375,ST_Code,0)),"Code inconnu"))</f>
        <v/>
      </c>
      <c r="E375" s="74" t="str">
        <f aca="false">IF(C375="","",IFERROR(INDEX(ST_Unite,MATCH(C375,ST_Code,0)),""))</f>
        <v/>
      </c>
      <c r="F375" s="82"/>
      <c r="G375" s="68"/>
      <c r="H375" s="76" t="str">
        <f aca="false">IF(G375="","",IFERROR(INDEX(BC_Fourn,MATCH(G375,BC_Num,0)),""))</f>
        <v/>
      </c>
      <c r="I375" s="25"/>
      <c r="J375" s="25"/>
      <c r="K375" s="25"/>
      <c r="L375" s="25"/>
    </row>
    <row r="376" customFormat="false" ht="15" hidden="false" customHeight="false" outlineLevel="0" collapsed="false">
      <c r="A376" s="69"/>
      <c r="B376" s="68"/>
      <c r="C376" s="68"/>
      <c r="D376" s="76" t="str">
        <f aca="false">IF(C376="","",IFERROR(INDEX(ST_Design,MATCH(C376,ST_Code,0)),"Code inconnu"))</f>
        <v/>
      </c>
      <c r="E376" s="74" t="str">
        <f aca="false">IF(C376="","",IFERROR(INDEX(ST_Unite,MATCH(C376,ST_Code,0)),""))</f>
        <v/>
      </c>
      <c r="F376" s="82"/>
      <c r="G376" s="68"/>
      <c r="H376" s="76" t="str">
        <f aca="false">IF(G376="","",IFERROR(INDEX(BC_Fourn,MATCH(G376,BC_Num,0)),""))</f>
        <v/>
      </c>
      <c r="I376" s="25"/>
      <c r="J376" s="25"/>
      <c r="K376" s="25"/>
      <c r="L376" s="25"/>
    </row>
    <row r="377" customFormat="false" ht="15" hidden="false" customHeight="false" outlineLevel="0" collapsed="false">
      <c r="A377" s="69"/>
      <c r="B377" s="68"/>
      <c r="C377" s="68"/>
      <c r="D377" s="76" t="str">
        <f aca="false">IF(C377="","",IFERROR(INDEX(ST_Design,MATCH(C377,ST_Code,0)),"Code inconnu"))</f>
        <v/>
      </c>
      <c r="E377" s="74" t="str">
        <f aca="false">IF(C377="","",IFERROR(INDEX(ST_Unite,MATCH(C377,ST_Code,0)),""))</f>
        <v/>
      </c>
      <c r="F377" s="82"/>
      <c r="G377" s="68"/>
      <c r="H377" s="76" t="str">
        <f aca="false">IF(G377="","",IFERROR(INDEX(BC_Fourn,MATCH(G377,BC_Num,0)),""))</f>
        <v/>
      </c>
      <c r="I377" s="25"/>
      <c r="J377" s="25"/>
      <c r="K377" s="25"/>
      <c r="L377" s="25"/>
    </row>
    <row r="378" customFormat="false" ht="15" hidden="false" customHeight="false" outlineLevel="0" collapsed="false">
      <c r="A378" s="69"/>
      <c r="B378" s="68"/>
      <c r="C378" s="68"/>
      <c r="D378" s="76" t="str">
        <f aca="false">IF(C378="","",IFERROR(INDEX(ST_Design,MATCH(C378,ST_Code,0)),"Code inconnu"))</f>
        <v/>
      </c>
      <c r="E378" s="74" t="str">
        <f aca="false">IF(C378="","",IFERROR(INDEX(ST_Unite,MATCH(C378,ST_Code,0)),""))</f>
        <v/>
      </c>
      <c r="F378" s="82"/>
      <c r="G378" s="68"/>
      <c r="H378" s="76" t="str">
        <f aca="false">IF(G378="","",IFERROR(INDEX(BC_Fourn,MATCH(G378,BC_Num,0)),""))</f>
        <v/>
      </c>
      <c r="I378" s="25"/>
      <c r="J378" s="25"/>
      <c r="K378" s="25"/>
      <c r="L378" s="25"/>
    </row>
    <row r="379" customFormat="false" ht="15" hidden="false" customHeight="false" outlineLevel="0" collapsed="false">
      <c r="A379" s="69"/>
      <c r="B379" s="68"/>
      <c r="C379" s="68"/>
      <c r="D379" s="76" t="str">
        <f aca="false">IF(C379="","",IFERROR(INDEX(ST_Design,MATCH(C379,ST_Code,0)),"Code inconnu"))</f>
        <v/>
      </c>
      <c r="E379" s="74" t="str">
        <f aca="false">IF(C379="","",IFERROR(INDEX(ST_Unite,MATCH(C379,ST_Code,0)),""))</f>
        <v/>
      </c>
      <c r="F379" s="82"/>
      <c r="G379" s="68"/>
      <c r="H379" s="76" t="str">
        <f aca="false">IF(G379="","",IFERROR(INDEX(BC_Fourn,MATCH(G379,BC_Num,0)),""))</f>
        <v/>
      </c>
      <c r="I379" s="25"/>
      <c r="J379" s="25"/>
      <c r="K379" s="25"/>
      <c r="L379" s="25"/>
    </row>
    <row r="380" customFormat="false" ht="15" hidden="false" customHeight="false" outlineLevel="0" collapsed="false">
      <c r="A380" s="69"/>
      <c r="B380" s="68"/>
      <c r="C380" s="68"/>
      <c r="D380" s="76" t="str">
        <f aca="false">IF(C380="","",IFERROR(INDEX(ST_Design,MATCH(C380,ST_Code,0)),"Code inconnu"))</f>
        <v/>
      </c>
      <c r="E380" s="74" t="str">
        <f aca="false">IF(C380="","",IFERROR(INDEX(ST_Unite,MATCH(C380,ST_Code,0)),""))</f>
        <v/>
      </c>
      <c r="F380" s="82"/>
      <c r="G380" s="68"/>
      <c r="H380" s="76" t="str">
        <f aca="false">IF(G380="","",IFERROR(INDEX(BC_Fourn,MATCH(G380,BC_Num,0)),""))</f>
        <v/>
      </c>
      <c r="I380" s="25"/>
      <c r="J380" s="25"/>
      <c r="K380" s="25"/>
      <c r="L380" s="25"/>
    </row>
    <row r="381" customFormat="false" ht="15" hidden="false" customHeight="false" outlineLevel="0" collapsed="false">
      <c r="A381" s="69"/>
      <c r="B381" s="68"/>
      <c r="C381" s="68"/>
      <c r="D381" s="76" t="str">
        <f aca="false">IF(C381="","",IFERROR(INDEX(ST_Design,MATCH(C381,ST_Code,0)),"Code inconnu"))</f>
        <v/>
      </c>
      <c r="E381" s="74" t="str">
        <f aca="false">IF(C381="","",IFERROR(INDEX(ST_Unite,MATCH(C381,ST_Code,0)),""))</f>
        <v/>
      </c>
      <c r="F381" s="82"/>
      <c r="G381" s="68"/>
      <c r="H381" s="76" t="str">
        <f aca="false">IF(G381="","",IFERROR(INDEX(BC_Fourn,MATCH(G381,BC_Num,0)),""))</f>
        <v/>
      </c>
      <c r="I381" s="25"/>
      <c r="J381" s="25"/>
      <c r="K381" s="25"/>
      <c r="L381" s="25"/>
    </row>
    <row r="382" customFormat="false" ht="15" hidden="false" customHeight="false" outlineLevel="0" collapsed="false">
      <c r="A382" s="69"/>
      <c r="B382" s="68"/>
      <c r="C382" s="68"/>
      <c r="D382" s="76" t="str">
        <f aca="false">IF(C382="","",IFERROR(INDEX(ST_Design,MATCH(C382,ST_Code,0)),"Code inconnu"))</f>
        <v/>
      </c>
      <c r="E382" s="74" t="str">
        <f aca="false">IF(C382="","",IFERROR(INDEX(ST_Unite,MATCH(C382,ST_Code,0)),""))</f>
        <v/>
      </c>
      <c r="F382" s="82"/>
      <c r="G382" s="68"/>
      <c r="H382" s="76" t="str">
        <f aca="false">IF(G382="","",IFERROR(INDEX(BC_Fourn,MATCH(G382,BC_Num,0)),""))</f>
        <v/>
      </c>
      <c r="I382" s="25"/>
      <c r="J382" s="25"/>
      <c r="K382" s="25"/>
      <c r="L382" s="25"/>
    </row>
    <row r="383" customFormat="false" ht="15" hidden="false" customHeight="false" outlineLevel="0" collapsed="false">
      <c r="A383" s="69"/>
      <c r="B383" s="68"/>
      <c r="C383" s="68"/>
      <c r="D383" s="76" t="str">
        <f aca="false">IF(C383="","",IFERROR(INDEX(ST_Design,MATCH(C383,ST_Code,0)),"Code inconnu"))</f>
        <v/>
      </c>
      <c r="E383" s="74" t="str">
        <f aca="false">IF(C383="","",IFERROR(INDEX(ST_Unite,MATCH(C383,ST_Code,0)),""))</f>
        <v/>
      </c>
      <c r="F383" s="82"/>
      <c r="G383" s="68"/>
      <c r="H383" s="76" t="str">
        <f aca="false">IF(G383="","",IFERROR(INDEX(BC_Fourn,MATCH(G383,BC_Num,0)),""))</f>
        <v/>
      </c>
      <c r="I383" s="25"/>
      <c r="J383" s="25"/>
      <c r="K383" s="25"/>
      <c r="L383" s="25"/>
    </row>
    <row r="384" customFormat="false" ht="15" hidden="false" customHeight="false" outlineLevel="0" collapsed="false">
      <c r="A384" s="69"/>
      <c r="B384" s="68"/>
      <c r="C384" s="68"/>
      <c r="D384" s="76" t="str">
        <f aca="false">IF(C384="","",IFERROR(INDEX(ST_Design,MATCH(C384,ST_Code,0)),"Code inconnu"))</f>
        <v/>
      </c>
      <c r="E384" s="74" t="str">
        <f aca="false">IF(C384="","",IFERROR(INDEX(ST_Unite,MATCH(C384,ST_Code,0)),""))</f>
        <v/>
      </c>
      <c r="F384" s="82"/>
      <c r="G384" s="68"/>
      <c r="H384" s="76" t="str">
        <f aca="false">IF(G384="","",IFERROR(INDEX(BC_Fourn,MATCH(G384,BC_Num,0)),""))</f>
        <v/>
      </c>
      <c r="I384" s="25"/>
      <c r="J384" s="25"/>
      <c r="K384" s="25"/>
      <c r="L384" s="25"/>
    </row>
    <row r="385" customFormat="false" ht="15" hidden="false" customHeight="false" outlineLevel="0" collapsed="false">
      <c r="A385" s="69"/>
      <c r="B385" s="68"/>
      <c r="C385" s="68"/>
      <c r="D385" s="76" t="str">
        <f aca="false">IF(C385="","",IFERROR(INDEX(ST_Design,MATCH(C385,ST_Code,0)),"Code inconnu"))</f>
        <v/>
      </c>
      <c r="E385" s="74" t="str">
        <f aca="false">IF(C385="","",IFERROR(INDEX(ST_Unite,MATCH(C385,ST_Code,0)),""))</f>
        <v/>
      </c>
      <c r="F385" s="82"/>
      <c r="G385" s="68"/>
      <c r="H385" s="76" t="str">
        <f aca="false">IF(G385="","",IFERROR(INDEX(BC_Fourn,MATCH(G385,BC_Num,0)),""))</f>
        <v/>
      </c>
      <c r="I385" s="25"/>
      <c r="J385" s="25"/>
      <c r="K385" s="25"/>
      <c r="L385" s="25"/>
    </row>
    <row r="386" customFormat="false" ht="15" hidden="false" customHeight="false" outlineLevel="0" collapsed="false">
      <c r="A386" s="69"/>
      <c r="B386" s="68"/>
      <c r="C386" s="68"/>
      <c r="D386" s="76" t="str">
        <f aca="false">IF(C386="","",IFERROR(INDEX(ST_Design,MATCH(C386,ST_Code,0)),"Code inconnu"))</f>
        <v/>
      </c>
      <c r="E386" s="74" t="str">
        <f aca="false">IF(C386="","",IFERROR(INDEX(ST_Unite,MATCH(C386,ST_Code,0)),""))</f>
        <v/>
      </c>
      <c r="F386" s="82"/>
      <c r="G386" s="68"/>
      <c r="H386" s="76" t="str">
        <f aca="false">IF(G386="","",IFERROR(INDEX(BC_Fourn,MATCH(G386,BC_Num,0)),""))</f>
        <v/>
      </c>
      <c r="I386" s="25"/>
      <c r="J386" s="25"/>
      <c r="K386" s="25"/>
      <c r="L386" s="25"/>
    </row>
    <row r="387" customFormat="false" ht="15" hidden="false" customHeight="false" outlineLevel="0" collapsed="false">
      <c r="A387" s="69"/>
      <c r="B387" s="68"/>
      <c r="C387" s="68"/>
      <c r="D387" s="76" t="str">
        <f aca="false">IF(C387="","",IFERROR(INDEX(ST_Design,MATCH(C387,ST_Code,0)),"Code inconnu"))</f>
        <v/>
      </c>
      <c r="E387" s="74" t="str">
        <f aca="false">IF(C387="","",IFERROR(INDEX(ST_Unite,MATCH(C387,ST_Code,0)),""))</f>
        <v/>
      </c>
      <c r="F387" s="82"/>
      <c r="G387" s="68"/>
      <c r="H387" s="76" t="str">
        <f aca="false">IF(G387="","",IFERROR(INDEX(BC_Fourn,MATCH(G387,BC_Num,0)),""))</f>
        <v/>
      </c>
      <c r="I387" s="25"/>
      <c r="J387" s="25"/>
      <c r="K387" s="25"/>
      <c r="L387" s="25"/>
    </row>
    <row r="388" customFormat="false" ht="15" hidden="false" customHeight="false" outlineLevel="0" collapsed="false">
      <c r="A388" s="69"/>
      <c r="B388" s="68"/>
      <c r="C388" s="68"/>
      <c r="D388" s="76" t="str">
        <f aca="false">IF(C388="","",IFERROR(INDEX(ST_Design,MATCH(C388,ST_Code,0)),"Code inconnu"))</f>
        <v/>
      </c>
      <c r="E388" s="74" t="str">
        <f aca="false">IF(C388="","",IFERROR(INDEX(ST_Unite,MATCH(C388,ST_Code,0)),""))</f>
        <v/>
      </c>
      <c r="F388" s="82"/>
      <c r="G388" s="68"/>
      <c r="H388" s="76" t="str">
        <f aca="false">IF(G388="","",IFERROR(INDEX(BC_Fourn,MATCH(G388,BC_Num,0)),""))</f>
        <v/>
      </c>
      <c r="I388" s="25"/>
      <c r="J388" s="25"/>
      <c r="K388" s="25"/>
      <c r="L388" s="25"/>
    </row>
    <row r="389" customFormat="false" ht="15" hidden="false" customHeight="false" outlineLevel="0" collapsed="false">
      <c r="A389" s="69"/>
      <c r="B389" s="68"/>
      <c r="C389" s="68"/>
      <c r="D389" s="76" t="str">
        <f aca="false">IF(C389="","",IFERROR(INDEX(ST_Design,MATCH(C389,ST_Code,0)),"Code inconnu"))</f>
        <v/>
      </c>
      <c r="E389" s="74" t="str">
        <f aca="false">IF(C389="","",IFERROR(INDEX(ST_Unite,MATCH(C389,ST_Code,0)),""))</f>
        <v/>
      </c>
      <c r="F389" s="82"/>
      <c r="G389" s="68"/>
      <c r="H389" s="76" t="str">
        <f aca="false">IF(G389="","",IFERROR(INDEX(BC_Fourn,MATCH(G389,BC_Num,0)),""))</f>
        <v/>
      </c>
      <c r="I389" s="25"/>
      <c r="J389" s="25"/>
      <c r="K389" s="25"/>
      <c r="L389" s="25"/>
    </row>
    <row r="390" customFormat="false" ht="15" hidden="false" customHeight="false" outlineLevel="0" collapsed="false">
      <c r="A390" s="69"/>
      <c r="B390" s="68"/>
      <c r="C390" s="68"/>
      <c r="D390" s="76" t="str">
        <f aca="false">IF(C390="","",IFERROR(INDEX(ST_Design,MATCH(C390,ST_Code,0)),"Code inconnu"))</f>
        <v/>
      </c>
      <c r="E390" s="74" t="str">
        <f aca="false">IF(C390="","",IFERROR(INDEX(ST_Unite,MATCH(C390,ST_Code,0)),""))</f>
        <v/>
      </c>
      <c r="F390" s="82"/>
      <c r="G390" s="68"/>
      <c r="H390" s="76" t="str">
        <f aca="false">IF(G390="","",IFERROR(INDEX(BC_Fourn,MATCH(G390,BC_Num,0)),""))</f>
        <v/>
      </c>
      <c r="I390" s="25"/>
      <c r="J390" s="25"/>
      <c r="K390" s="25"/>
      <c r="L390" s="25"/>
    </row>
    <row r="391" customFormat="false" ht="15" hidden="false" customHeight="false" outlineLevel="0" collapsed="false">
      <c r="A391" s="69"/>
      <c r="B391" s="68"/>
      <c r="C391" s="68"/>
      <c r="D391" s="76" t="str">
        <f aca="false">IF(C391="","",IFERROR(INDEX(ST_Design,MATCH(C391,ST_Code,0)),"Code inconnu"))</f>
        <v/>
      </c>
      <c r="E391" s="74" t="str">
        <f aca="false">IF(C391="","",IFERROR(INDEX(ST_Unite,MATCH(C391,ST_Code,0)),""))</f>
        <v/>
      </c>
      <c r="F391" s="82"/>
      <c r="G391" s="68"/>
      <c r="H391" s="76" t="str">
        <f aca="false">IF(G391="","",IFERROR(INDEX(BC_Fourn,MATCH(G391,BC_Num,0)),""))</f>
        <v/>
      </c>
      <c r="I391" s="25"/>
      <c r="J391" s="25"/>
      <c r="K391" s="25"/>
      <c r="L391" s="25"/>
    </row>
    <row r="392" customFormat="false" ht="15" hidden="false" customHeight="false" outlineLevel="0" collapsed="false">
      <c r="A392" s="69"/>
      <c r="B392" s="68"/>
      <c r="C392" s="68"/>
      <c r="D392" s="76" t="str">
        <f aca="false">IF(C392="","",IFERROR(INDEX(ST_Design,MATCH(C392,ST_Code,0)),"Code inconnu"))</f>
        <v/>
      </c>
      <c r="E392" s="74" t="str">
        <f aca="false">IF(C392="","",IFERROR(INDEX(ST_Unite,MATCH(C392,ST_Code,0)),""))</f>
        <v/>
      </c>
      <c r="F392" s="82"/>
      <c r="G392" s="68"/>
      <c r="H392" s="76" t="str">
        <f aca="false">IF(G392="","",IFERROR(INDEX(BC_Fourn,MATCH(G392,BC_Num,0)),""))</f>
        <v/>
      </c>
      <c r="I392" s="25"/>
      <c r="J392" s="25"/>
      <c r="K392" s="25"/>
      <c r="L392" s="25"/>
    </row>
    <row r="393" customFormat="false" ht="15" hidden="false" customHeight="false" outlineLevel="0" collapsed="false">
      <c r="A393" s="69"/>
      <c r="B393" s="68"/>
      <c r="C393" s="68"/>
      <c r="D393" s="76" t="str">
        <f aca="false">IF(C393="","",IFERROR(INDEX(ST_Design,MATCH(C393,ST_Code,0)),"Code inconnu"))</f>
        <v/>
      </c>
      <c r="E393" s="74" t="str">
        <f aca="false">IF(C393="","",IFERROR(INDEX(ST_Unite,MATCH(C393,ST_Code,0)),""))</f>
        <v/>
      </c>
      <c r="F393" s="82"/>
      <c r="G393" s="68"/>
      <c r="H393" s="76" t="str">
        <f aca="false">IF(G393="","",IFERROR(INDEX(BC_Fourn,MATCH(G393,BC_Num,0)),""))</f>
        <v/>
      </c>
      <c r="I393" s="25"/>
      <c r="J393" s="25"/>
      <c r="K393" s="25"/>
      <c r="L393" s="25"/>
    </row>
    <row r="394" customFormat="false" ht="15" hidden="false" customHeight="false" outlineLevel="0" collapsed="false">
      <c r="A394" s="69"/>
      <c r="B394" s="68"/>
      <c r="C394" s="68"/>
      <c r="D394" s="76" t="str">
        <f aca="false">IF(C394="","",IFERROR(INDEX(ST_Design,MATCH(C394,ST_Code,0)),"Code inconnu"))</f>
        <v/>
      </c>
      <c r="E394" s="74" t="str">
        <f aca="false">IF(C394="","",IFERROR(INDEX(ST_Unite,MATCH(C394,ST_Code,0)),""))</f>
        <v/>
      </c>
      <c r="F394" s="82"/>
      <c r="G394" s="68"/>
      <c r="H394" s="76" t="str">
        <f aca="false">IF(G394="","",IFERROR(INDEX(BC_Fourn,MATCH(G394,BC_Num,0)),""))</f>
        <v/>
      </c>
      <c r="I394" s="25"/>
      <c r="J394" s="25"/>
      <c r="K394" s="25"/>
      <c r="L394" s="25"/>
    </row>
    <row r="395" customFormat="false" ht="15" hidden="false" customHeight="false" outlineLevel="0" collapsed="false">
      <c r="A395" s="69"/>
      <c r="B395" s="68"/>
      <c r="C395" s="68"/>
      <c r="D395" s="76" t="str">
        <f aca="false">IF(C395="","",IFERROR(INDEX(ST_Design,MATCH(C395,ST_Code,0)),"Code inconnu"))</f>
        <v/>
      </c>
      <c r="E395" s="74" t="str">
        <f aca="false">IF(C395="","",IFERROR(INDEX(ST_Unite,MATCH(C395,ST_Code,0)),""))</f>
        <v/>
      </c>
      <c r="F395" s="82"/>
      <c r="G395" s="68"/>
      <c r="H395" s="76" t="str">
        <f aca="false">IF(G395="","",IFERROR(INDEX(BC_Fourn,MATCH(G395,BC_Num,0)),""))</f>
        <v/>
      </c>
      <c r="I395" s="25"/>
      <c r="J395" s="25"/>
      <c r="K395" s="25"/>
      <c r="L395" s="25"/>
    </row>
    <row r="396" customFormat="false" ht="15" hidden="false" customHeight="false" outlineLevel="0" collapsed="false">
      <c r="A396" s="69"/>
      <c r="B396" s="68"/>
      <c r="C396" s="68"/>
      <c r="D396" s="76" t="str">
        <f aca="false">IF(C396="","",IFERROR(INDEX(ST_Design,MATCH(C396,ST_Code,0)),"Code inconnu"))</f>
        <v/>
      </c>
      <c r="E396" s="74" t="str">
        <f aca="false">IF(C396="","",IFERROR(INDEX(ST_Unite,MATCH(C396,ST_Code,0)),""))</f>
        <v/>
      </c>
      <c r="F396" s="82"/>
      <c r="G396" s="68"/>
      <c r="H396" s="76" t="str">
        <f aca="false">IF(G396="","",IFERROR(INDEX(BC_Fourn,MATCH(G396,BC_Num,0)),""))</f>
        <v/>
      </c>
      <c r="I396" s="25"/>
      <c r="J396" s="25"/>
      <c r="K396" s="25"/>
      <c r="L396" s="25"/>
    </row>
    <row r="397" customFormat="false" ht="15" hidden="false" customHeight="false" outlineLevel="0" collapsed="false">
      <c r="A397" s="69"/>
      <c r="B397" s="68"/>
      <c r="C397" s="68"/>
      <c r="D397" s="76" t="str">
        <f aca="false">IF(C397="","",IFERROR(INDEX(ST_Design,MATCH(C397,ST_Code,0)),"Code inconnu"))</f>
        <v/>
      </c>
      <c r="E397" s="74" t="str">
        <f aca="false">IF(C397="","",IFERROR(INDEX(ST_Unite,MATCH(C397,ST_Code,0)),""))</f>
        <v/>
      </c>
      <c r="F397" s="82"/>
      <c r="G397" s="68"/>
      <c r="H397" s="76" t="str">
        <f aca="false">IF(G397="","",IFERROR(INDEX(BC_Fourn,MATCH(G397,BC_Num,0)),""))</f>
        <v/>
      </c>
      <c r="I397" s="25"/>
      <c r="J397" s="25"/>
      <c r="K397" s="25"/>
      <c r="L397" s="25"/>
    </row>
    <row r="398" customFormat="false" ht="15" hidden="false" customHeight="false" outlineLevel="0" collapsed="false">
      <c r="A398" s="69"/>
      <c r="B398" s="68"/>
      <c r="C398" s="68"/>
      <c r="D398" s="76" t="str">
        <f aca="false">IF(C398="","",IFERROR(INDEX(ST_Design,MATCH(C398,ST_Code,0)),"Code inconnu"))</f>
        <v/>
      </c>
      <c r="E398" s="74" t="str">
        <f aca="false">IF(C398="","",IFERROR(INDEX(ST_Unite,MATCH(C398,ST_Code,0)),""))</f>
        <v/>
      </c>
      <c r="F398" s="82"/>
      <c r="G398" s="68"/>
      <c r="H398" s="76" t="str">
        <f aca="false">IF(G398="","",IFERROR(INDEX(BC_Fourn,MATCH(G398,BC_Num,0)),""))</f>
        <v/>
      </c>
      <c r="I398" s="25"/>
      <c r="J398" s="25"/>
      <c r="K398" s="25"/>
      <c r="L398" s="25"/>
    </row>
    <row r="399" customFormat="false" ht="15" hidden="false" customHeight="false" outlineLevel="0" collapsed="false">
      <c r="A399" s="69"/>
      <c r="B399" s="68"/>
      <c r="C399" s="68"/>
      <c r="D399" s="76" t="str">
        <f aca="false">IF(C399="","",IFERROR(INDEX(ST_Design,MATCH(C399,ST_Code,0)),"Code inconnu"))</f>
        <v/>
      </c>
      <c r="E399" s="74" t="str">
        <f aca="false">IF(C399="","",IFERROR(INDEX(ST_Unite,MATCH(C399,ST_Code,0)),""))</f>
        <v/>
      </c>
      <c r="F399" s="82"/>
      <c r="G399" s="68"/>
      <c r="H399" s="76" t="str">
        <f aca="false">IF(G399="","",IFERROR(INDEX(BC_Fourn,MATCH(G399,BC_Num,0)),""))</f>
        <v/>
      </c>
      <c r="I399" s="25"/>
      <c r="J399" s="25"/>
      <c r="K399" s="25"/>
      <c r="L399" s="25"/>
    </row>
    <row r="400" customFormat="false" ht="15" hidden="false" customHeight="false" outlineLevel="0" collapsed="false">
      <c r="A400" s="69"/>
      <c r="B400" s="68"/>
      <c r="C400" s="68"/>
      <c r="D400" s="76" t="str">
        <f aca="false">IF(C400="","",IFERROR(INDEX(ST_Design,MATCH(C400,ST_Code,0)),"Code inconnu"))</f>
        <v/>
      </c>
      <c r="E400" s="74" t="str">
        <f aca="false">IF(C400="","",IFERROR(INDEX(ST_Unite,MATCH(C400,ST_Code,0)),""))</f>
        <v/>
      </c>
      <c r="F400" s="82"/>
      <c r="G400" s="68"/>
      <c r="H400" s="76" t="str">
        <f aca="false">IF(G400="","",IFERROR(INDEX(BC_Fourn,MATCH(G400,BC_Num,0)),""))</f>
        <v/>
      </c>
      <c r="I400" s="25"/>
      <c r="J400" s="25"/>
      <c r="K400" s="25"/>
      <c r="L400" s="25"/>
    </row>
    <row r="401" customFormat="false" ht="15" hidden="false" customHeight="false" outlineLevel="0" collapsed="false">
      <c r="A401" s="69"/>
      <c r="B401" s="68"/>
      <c r="C401" s="68"/>
      <c r="D401" s="76" t="str">
        <f aca="false">IF(C401="","",IFERROR(INDEX(ST_Design,MATCH(C401,ST_Code,0)),"Code inconnu"))</f>
        <v/>
      </c>
      <c r="E401" s="74" t="str">
        <f aca="false">IF(C401="","",IFERROR(INDEX(ST_Unite,MATCH(C401,ST_Code,0)),""))</f>
        <v/>
      </c>
      <c r="F401" s="82"/>
      <c r="G401" s="68"/>
      <c r="H401" s="76" t="str">
        <f aca="false">IF(G401="","",IFERROR(INDEX(BC_Fourn,MATCH(G401,BC_Num,0)),""))</f>
        <v/>
      </c>
      <c r="I401" s="25"/>
      <c r="J401" s="25"/>
      <c r="K401" s="25"/>
      <c r="L401" s="25"/>
    </row>
    <row r="402" customFormat="false" ht="15" hidden="false" customHeight="false" outlineLevel="0" collapsed="false">
      <c r="A402" s="69"/>
      <c r="B402" s="68"/>
      <c r="C402" s="68"/>
      <c r="D402" s="76" t="str">
        <f aca="false">IF(C402="","",IFERROR(INDEX(ST_Design,MATCH(C402,ST_Code,0)),"Code inconnu"))</f>
        <v/>
      </c>
      <c r="E402" s="74" t="str">
        <f aca="false">IF(C402="","",IFERROR(INDEX(ST_Unite,MATCH(C402,ST_Code,0)),""))</f>
        <v/>
      </c>
      <c r="F402" s="82"/>
      <c r="G402" s="68"/>
      <c r="H402" s="76" t="str">
        <f aca="false">IF(G402="","",IFERROR(INDEX(BC_Fourn,MATCH(G402,BC_Num,0)),""))</f>
        <v/>
      </c>
      <c r="I402" s="25"/>
      <c r="J402" s="25"/>
      <c r="K402" s="25"/>
      <c r="L402" s="25"/>
    </row>
    <row r="403" customFormat="false" ht="15" hidden="false" customHeight="false" outlineLevel="0" collapsed="false">
      <c r="A403" s="69"/>
      <c r="B403" s="68"/>
      <c r="C403" s="68"/>
      <c r="D403" s="76" t="str">
        <f aca="false">IF(C403="","",IFERROR(INDEX(ST_Design,MATCH(C403,ST_Code,0)),"Code inconnu"))</f>
        <v/>
      </c>
      <c r="E403" s="74" t="str">
        <f aca="false">IF(C403="","",IFERROR(INDEX(ST_Unite,MATCH(C403,ST_Code,0)),""))</f>
        <v/>
      </c>
      <c r="F403" s="82"/>
      <c r="G403" s="68"/>
      <c r="H403" s="76" t="str">
        <f aca="false">IF(G403="","",IFERROR(INDEX(BC_Fourn,MATCH(G403,BC_Num,0)),""))</f>
        <v/>
      </c>
      <c r="I403" s="25"/>
      <c r="J403" s="25"/>
      <c r="K403" s="25"/>
      <c r="L403" s="25"/>
    </row>
    <row r="404" customFormat="false" ht="15" hidden="false" customHeight="false" outlineLevel="0" collapsed="false">
      <c r="A404" s="69"/>
      <c r="B404" s="68"/>
      <c r="C404" s="68"/>
      <c r="D404" s="76" t="str">
        <f aca="false">IF(C404="","",IFERROR(INDEX(ST_Design,MATCH(C404,ST_Code,0)),"Code inconnu"))</f>
        <v/>
      </c>
      <c r="E404" s="74" t="str">
        <f aca="false">IF(C404="","",IFERROR(INDEX(ST_Unite,MATCH(C404,ST_Code,0)),""))</f>
        <v/>
      </c>
      <c r="F404" s="82"/>
      <c r="G404" s="68"/>
      <c r="H404" s="76" t="str">
        <f aca="false">IF(G404="","",IFERROR(INDEX(BC_Fourn,MATCH(G404,BC_Num,0)),""))</f>
        <v/>
      </c>
      <c r="I404" s="25"/>
      <c r="J404" s="25"/>
      <c r="K404" s="25"/>
      <c r="L404" s="25"/>
    </row>
    <row r="405" customFormat="false" ht="15" hidden="false" customHeight="false" outlineLevel="0" collapsed="false">
      <c r="A405" s="69"/>
      <c r="B405" s="68"/>
      <c r="C405" s="68"/>
      <c r="D405" s="76" t="str">
        <f aca="false">IF(C405="","",IFERROR(INDEX(ST_Design,MATCH(C405,ST_Code,0)),"Code inconnu"))</f>
        <v/>
      </c>
      <c r="E405" s="74" t="str">
        <f aca="false">IF(C405="","",IFERROR(INDEX(ST_Unite,MATCH(C405,ST_Code,0)),""))</f>
        <v/>
      </c>
      <c r="F405" s="82"/>
      <c r="G405" s="68"/>
      <c r="H405" s="76" t="str">
        <f aca="false">IF(G405="","",IFERROR(INDEX(BC_Fourn,MATCH(G405,BC_Num,0)),""))</f>
        <v/>
      </c>
      <c r="I405" s="25"/>
      <c r="J405" s="25"/>
      <c r="K405" s="25"/>
      <c r="L405" s="25"/>
    </row>
    <row r="406" customFormat="false" ht="15" hidden="false" customHeight="false" outlineLevel="0" collapsed="false">
      <c r="A406" s="69"/>
      <c r="B406" s="68"/>
      <c r="C406" s="68"/>
      <c r="D406" s="76" t="str">
        <f aca="false">IF(C406="","",IFERROR(INDEX(ST_Design,MATCH(C406,ST_Code,0)),"Code inconnu"))</f>
        <v/>
      </c>
      <c r="E406" s="74" t="str">
        <f aca="false">IF(C406="","",IFERROR(INDEX(ST_Unite,MATCH(C406,ST_Code,0)),""))</f>
        <v/>
      </c>
      <c r="F406" s="82"/>
      <c r="G406" s="68"/>
      <c r="H406" s="76" t="str">
        <f aca="false">IF(G406="","",IFERROR(INDEX(BC_Fourn,MATCH(G406,BC_Num,0)),""))</f>
        <v/>
      </c>
      <c r="I406" s="25"/>
      <c r="J406" s="25"/>
      <c r="K406" s="25"/>
      <c r="L406" s="25"/>
    </row>
    <row r="407" customFormat="false" ht="15" hidden="false" customHeight="false" outlineLevel="0" collapsed="false">
      <c r="A407" s="69"/>
      <c r="B407" s="68"/>
      <c r="C407" s="68"/>
      <c r="D407" s="76" t="str">
        <f aca="false">IF(C407="","",IFERROR(INDEX(ST_Design,MATCH(C407,ST_Code,0)),"Code inconnu"))</f>
        <v/>
      </c>
      <c r="E407" s="74" t="str">
        <f aca="false">IF(C407="","",IFERROR(INDEX(ST_Unite,MATCH(C407,ST_Code,0)),""))</f>
        <v/>
      </c>
      <c r="F407" s="82"/>
      <c r="G407" s="68"/>
      <c r="H407" s="76" t="str">
        <f aca="false">IF(G407="","",IFERROR(INDEX(BC_Fourn,MATCH(G407,BC_Num,0)),""))</f>
        <v/>
      </c>
      <c r="I407" s="25"/>
      <c r="J407" s="25"/>
      <c r="K407" s="25"/>
      <c r="L407" s="25"/>
    </row>
    <row r="408" customFormat="false" ht="15" hidden="false" customHeight="false" outlineLevel="0" collapsed="false">
      <c r="A408" s="69"/>
      <c r="B408" s="68"/>
      <c r="C408" s="68"/>
      <c r="D408" s="76" t="str">
        <f aca="false">IF(C408="","",IFERROR(INDEX(ST_Design,MATCH(C408,ST_Code,0)),"Code inconnu"))</f>
        <v/>
      </c>
      <c r="E408" s="74" t="str">
        <f aca="false">IF(C408="","",IFERROR(INDEX(ST_Unite,MATCH(C408,ST_Code,0)),""))</f>
        <v/>
      </c>
      <c r="F408" s="82"/>
      <c r="G408" s="68"/>
      <c r="H408" s="76" t="str">
        <f aca="false">IF(G408="","",IFERROR(INDEX(BC_Fourn,MATCH(G408,BC_Num,0)),""))</f>
        <v/>
      </c>
      <c r="I408" s="25"/>
      <c r="J408" s="25"/>
      <c r="K408" s="25"/>
      <c r="L408" s="25"/>
    </row>
    <row r="409" customFormat="false" ht="15" hidden="false" customHeight="false" outlineLevel="0" collapsed="false">
      <c r="A409" s="69"/>
      <c r="B409" s="68"/>
      <c r="C409" s="68"/>
      <c r="D409" s="76" t="str">
        <f aca="false">IF(C409="","",IFERROR(INDEX(ST_Design,MATCH(C409,ST_Code,0)),"Code inconnu"))</f>
        <v/>
      </c>
      <c r="E409" s="74" t="str">
        <f aca="false">IF(C409="","",IFERROR(INDEX(ST_Unite,MATCH(C409,ST_Code,0)),""))</f>
        <v/>
      </c>
      <c r="F409" s="82"/>
      <c r="G409" s="68"/>
      <c r="H409" s="76" t="str">
        <f aca="false">IF(G409="","",IFERROR(INDEX(BC_Fourn,MATCH(G409,BC_Num,0)),""))</f>
        <v/>
      </c>
      <c r="I409" s="25"/>
      <c r="J409" s="25"/>
      <c r="K409" s="25"/>
      <c r="L409" s="25"/>
    </row>
    <row r="410" customFormat="false" ht="15" hidden="false" customHeight="false" outlineLevel="0" collapsed="false">
      <c r="A410" s="69"/>
      <c r="B410" s="68"/>
      <c r="C410" s="68"/>
      <c r="D410" s="76" t="str">
        <f aca="false">IF(C410="","",IFERROR(INDEX(ST_Design,MATCH(C410,ST_Code,0)),"Code inconnu"))</f>
        <v/>
      </c>
      <c r="E410" s="74" t="str">
        <f aca="false">IF(C410="","",IFERROR(INDEX(ST_Unite,MATCH(C410,ST_Code,0)),""))</f>
        <v/>
      </c>
      <c r="F410" s="82"/>
      <c r="G410" s="68"/>
      <c r="H410" s="76" t="str">
        <f aca="false">IF(G410="","",IFERROR(INDEX(BC_Fourn,MATCH(G410,BC_Num,0)),""))</f>
        <v/>
      </c>
      <c r="I410" s="25"/>
      <c r="J410" s="25"/>
      <c r="K410" s="25"/>
      <c r="L410" s="25"/>
    </row>
    <row r="411" customFormat="false" ht="15" hidden="false" customHeight="false" outlineLevel="0" collapsed="false">
      <c r="A411" s="69"/>
      <c r="B411" s="68"/>
      <c r="C411" s="68"/>
      <c r="D411" s="76" t="str">
        <f aca="false">IF(C411="","",IFERROR(INDEX(ST_Design,MATCH(C411,ST_Code,0)),"Code inconnu"))</f>
        <v/>
      </c>
      <c r="E411" s="74" t="str">
        <f aca="false">IF(C411="","",IFERROR(INDEX(ST_Unite,MATCH(C411,ST_Code,0)),""))</f>
        <v/>
      </c>
      <c r="F411" s="82"/>
      <c r="G411" s="68"/>
      <c r="H411" s="76" t="str">
        <f aca="false">IF(G411="","",IFERROR(INDEX(BC_Fourn,MATCH(G411,BC_Num,0)),""))</f>
        <v/>
      </c>
      <c r="I411" s="25"/>
      <c r="J411" s="25"/>
      <c r="K411" s="25"/>
      <c r="L411" s="25"/>
    </row>
    <row r="412" customFormat="false" ht="15" hidden="false" customHeight="false" outlineLevel="0" collapsed="false">
      <c r="A412" s="69"/>
      <c r="B412" s="68"/>
      <c r="C412" s="68"/>
      <c r="D412" s="76" t="str">
        <f aca="false">IF(C412="","",IFERROR(INDEX(ST_Design,MATCH(C412,ST_Code,0)),"Code inconnu"))</f>
        <v/>
      </c>
      <c r="E412" s="74" t="str">
        <f aca="false">IF(C412="","",IFERROR(INDEX(ST_Unite,MATCH(C412,ST_Code,0)),""))</f>
        <v/>
      </c>
      <c r="F412" s="82"/>
      <c r="G412" s="68"/>
      <c r="H412" s="76" t="str">
        <f aca="false">IF(G412="","",IFERROR(INDEX(BC_Fourn,MATCH(G412,BC_Num,0)),""))</f>
        <v/>
      </c>
      <c r="I412" s="25"/>
      <c r="J412" s="25"/>
      <c r="K412" s="25"/>
      <c r="L412" s="25"/>
    </row>
    <row r="413" customFormat="false" ht="15" hidden="false" customHeight="false" outlineLevel="0" collapsed="false">
      <c r="A413" s="69"/>
      <c r="B413" s="68"/>
      <c r="C413" s="68"/>
      <c r="D413" s="76" t="str">
        <f aca="false">IF(C413="","",IFERROR(INDEX(ST_Design,MATCH(C413,ST_Code,0)),"Code inconnu"))</f>
        <v/>
      </c>
      <c r="E413" s="74" t="str">
        <f aca="false">IF(C413="","",IFERROR(INDEX(ST_Unite,MATCH(C413,ST_Code,0)),""))</f>
        <v/>
      </c>
      <c r="F413" s="82"/>
      <c r="G413" s="68"/>
      <c r="H413" s="76" t="str">
        <f aca="false">IF(G413="","",IFERROR(INDEX(BC_Fourn,MATCH(G413,BC_Num,0)),""))</f>
        <v/>
      </c>
      <c r="I413" s="25"/>
      <c r="J413" s="25"/>
      <c r="K413" s="25"/>
      <c r="L413" s="25"/>
    </row>
    <row r="414" customFormat="false" ht="15" hidden="false" customHeight="false" outlineLevel="0" collapsed="false">
      <c r="A414" s="69"/>
      <c r="B414" s="68"/>
      <c r="C414" s="68"/>
      <c r="D414" s="76" t="str">
        <f aca="false">IF(C414="","",IFERROR(INDEX(ST_Design,MATCH(C414,ST_Code,0)),"Code inconnu"))</f>
        <v/>
      </c>
      <c r="E414" s="74" t="str">
        <f aca="false">IF(C414="","",IFERROR(INDEX(ST_Unite,MATCH(C414,ST_Code,0)),""))</f>
        <v/>
      </c>
      <c r="F414" s="82"/>
      <c r="G414" s="68"/>
      <c r="H414" s="76" t="str">
        <f aca="false">IF(G414="","",IFERROR(INDEX(BC_Fourn,MATCH(G414,BC_Num,0)),""))</f>
        <v/>
      </c>
      <c r="I414" s="25"/>
      <c r="J414" s="25"/>
      <c r="K414" s="25"/>
      <c r="L414" s="25"/>
    </row>
    <row r="415" customFormat="false" ht="15" hidden="false" customHeight="false" outlineLevel="0" collapsed="false">
      <c r="A415" s="69"/>
      <c r="B415" s="68"/>
      <c r="C415" s="68"/>
      <c r="D415" s="76" t="str">
        <f aca="false">IF(C415="","",IFERROR(INDEX(ST_Design,MATCH(C415,ST_Code,0)),"Code inconnu"))</f>
        <v/>
      </c>
      <c r="E415" s="74" t="str">
        <f aca="false">IF(C415="","",IFERROR(INDEX(ST_Unite,MATCH(C415,ST_Code,0)),""))</f>
        <v/>
      </c>
      <c r="F415" s="82"/>
      <c r="G415" s="68"/>
      <c r="H415" s="76" t="str">
        <f aca="false">IF(G415="","",IFERROR(INDEX(BC_Fourn,MATCH(G415,BC_Num,0)),""))</f>
        <v/>
      </c>
      <c r="I415" s="25"/>
      <c r="J415" s="25"/>
      <c r="K415" s="25"/>
      <c r="L415" s="25"/>
    </row>
    <row r="416" customFormat="false" ht="15" hidden="false" customHeight="false" outlineLevel="0" collapsed="false">
      <c r="A416" s="69"/>
      <c r="B416" s="68"/>
      <c r="C416" s="68"/>
      <c r="D416" s="76" t="str">
        <f aca="false">IF(C416="","",IFERROR(INDEX(ST_Design,MATCH(C416,ST_Code,0)),"Code inconnu"))</f>
        <v/>
      </c>
      <c r="E416" s="74" t="str">
        <f aca="false">IF(C416="","",IFERROR(INDEX(ST_Unite,MATCH(C416,ST_Code,0)),""))</f>
        <v/>
      </c>
      <c r="F416" s="82"/>
      <c r="G416" s="68"/>
      <c r="H416" s="76" t="str">
        <f aca="false">IF(G416="","",IFERROR(INDEX(BC_Fourn,MATCH(G416,BC_Num,0)),""))</f>
        <v/>
      </c>
      <c r="I416" s="25"/>
      <c r="J416" s="25"/>
      <c r="K416" s="25"/>
      <c r="L416" s="25"/>
    </row>
    <row r="417" customFormat="false" ht="15" hidden="false" customHeight="false" outlineLevel="0" collapsed="false">
      <c r="A417" s="69"/>
      <c r="B417" s="68"/>
      <c r="C417" s="68"/>
      <c r="D417" s="76" t="str">
        <f aca="false">IF(C417="","",IFERROR(INDEX(ST_Design,MATCH(C417,ST_Code,0)),"Code inconnu"))</f>
        <v/>
      </c>
      <c r="E417" s="74" t="str">
        <f aca="false">IF(C417="","",IFERROR(INDEX(ST_Unite,MATCH(C417,ST_Code,0)),""))</f>
        <v/>
      </c>
      <c r="F417" s="82"/>
      <c r="G417" s="68"/>
      <c r="H417" s="76" t="str">
        <f aca="false">IF(G417="","",IFERROR(INDEX(BC_Fourn,MATCH(G417,BC_Num,0)),""))</f>
        <v/>
      </c>
      <c r="I417" s="25"/>
      <c r="J417" s="25"/>
      <c r="K417" s="25"/>
      <c r="L417" s="25"/>
    </row>
    <row r="418" customFormat="false" ht="15" hidden="false" customHeight="false" outlineLevel="0" collapsed="false">
      <c r="A418" s="69"/>
      <c r="B418" s="68"/>
      <c r="C418" s="68"/>
      <c r="D418" s="76" t="str">
        <f aca="false">IF(C418="","",IFERROR(INDEX(ST_Design,MATCH(C418,ST_Code,0)),"Code inconnu"))</f>
        <v/>
      </c>
      <c r="E418" s="74" t="str">
        <f aca="false">IF(C418="","",IFERROR(INDEX(ST_Unite,MATCH(C418,ST_Code,0)),""))</f>
        <v/>
      </c>
      <c r="F418" s="82"/>
      <c r="G418" s="68"/>
      <c r="H418" s="76" t="str">
        <f aca="false">IF(G418="","",IFERROR(INDEX(BC_Fourn,MATCH(G418,BC_Num,0)),""))</f>
        <v/>
      </c>
      <c r="I418" s="25"/>
      <c r="J418" s="25"/>
      <c r="K418" s="25"/>
      <c r="L418" s="25"/>
    </row>
    <row r="419" customFormat="false" ht="15" hidden="false" customHeight="false" outlineLevel="0" collapsed="false">
      <c r="A419" s="69"/>
      <c r="B419" s="68"/>
      <c r="C419" s="68"/>
      <c r="D419" s="76" t="str">
        <f aca="false">IF(C419="","",IFERROR(INDEX(ST_Design,MATCH(C419,ST_Code,0)),"Code inconnu"))</f>
        <v/>
      </c>
      <c r="E419" s="74" t="str">
        <f aca="false">IF(C419="","",IFERROR(INDEX(ST_Unite,MATCH(C419,ST_Code,0)),""))</f>
        <v/>
      </c>
      <c r="F419" s="82"/>
      <c r="G419" s="68"/>
      <c r="H419" s="76" t="str">
        <f aca="false">IF(G419="","",IFERROR(INDEX(BC_Fourn,MATCH(G419,BC_Num,0)),""))</f>
        <v/>
      </c>
      <c r="I419" s="25"/>
      <c r="J419" s="25"/>
      <c r="K419" s="25"/>
      <c r="L419" s="25"/>
    </row>
    <row r="420" customFormat="false" ht="15" hidden="false" customHeight="false" outlineLevel="0" collapsed="false">
      <c r="A420" s="69"/>
      <c r="B420" s="68"/>
      <c r="C420" s="68"/>
      <c r="D420" s="76" t="str">
        <f aca="false">IF(C420="","",IFERROR(INDEX(ST_Design,MATCH(C420,ST_Code,0)),"Code inconnu"))</f>
        <v/>
      </c>
      <c r="E420" s="74" t="str">
        <f aca="false">IF(C420="","",IFERROR(INDEX(ST_Unite,MATCH(C420,ST_Code,0)),""))</f>
        <v/>
      </c>
      <c r="F420" s="82"/>
      <c r="G420" s="68"/>
      <c r="H420" s="76" t="str">
        <f aca="false">IF(G420="","",IFERROR(INDEX(BC_Fourn,MATCH(G420,BC_Num,0)),""))</f>
        <v/>
      </c>
      <c r="I420" s="25"/>
      <c r="J420" s="25"/>
      <c r="K420" s="25"/>
      <c r="L420" s="25"/>
    </row>
    <row r="421" customFormat="false" ht="15" hidden="false" customHeight="false" outlineLevel="0" collapsed="false">
      <c r="A421" s="69"/>
      <c r="B421" s="68"/>
      <c r="C421" s="68"/>
      <c r="D421" s="76" t="str">
        <f aca="false">IF(C421="","",IFERROR(INDEX(ST_Design,MATCH(C421,ST_Code,0)),"Code inconnu"))</f>
        <v/>
      </c>
      <c r="E421" s="74" t="str">
        <f aca="false">IF(C421="","",IFERROR(INDEX(ST_Unite,MATCH(C421,ST_Code,0)),""))</f>
        <v/>
      </c>
      <c r="F421" s="82"/>
      <c r="G421" s="68"/>
      <c r="H421" s="76" t="str">
        <f aca="false">IF(G421="","",IFERROR(INDEX(BC_Fourn,MATCH(G421,BC_Num,0)),""))</f>
        <v/>
      </c>
      <c r="I421" s="25"/>
      <c r="J421" s="25"/>
      <c r="K421" s="25"/>
      <c r="L421" s="25"/>
    </row>
    <row r="422" customFormat="false" ht="15" hidden="false" customHeight="false" outlineLevel="0" collapsed="false">
      <c r="A422" s="69"/>
      <c r="B422" s="68"/>
      <c r="C422" s="68"/>
      <c r="D422" s="76" t="str">
        <f aca="false">IF(C422="","",IFERROR(INDEX(ST_Design,MATCH(C422,ST_Code,0)),"Code inconnu"))</f>
        <v/>
      </c>
      <c r="E422" s="74" t="str">
        <f aca="false">IF(C422="","",IFERROR(INDEX(ST_Unite,MATCH(C422,ST_Code,0)),""))</f>
        <v/>
      </c>
      <c r="F422" s="82"/>
      <c r="G422" s="68"/>
      <c r="H422" s="76" t="str">
        <f aca="false">IF(G422="","",IFERROR(INDEX(BC_Fourn,MATCH(G422,BC_Num,0)),""))</f>
        <v/>
      </c>
      <c r="I422" s="25"/>
      <c r="J422" s="25"/>
      <c r="K422" s="25"/>
      <c r="L422" s="25"/>
    </row>
    <row r="423" customFormat="false" ht="15" hidden="false" customHeight="false" outlineLevel="0" collapsed="false">
      <c r="A423" s="69"/>
      <c r="B423" s="68"/>
      <c r="C423" s="68"/>
      <c r="D423" s="76" t="str">
        <f aca="false">IF(C423="","",IFERROR(INDEX(ST_Design,MATCH(C423,ST_Code,0)),"Code inconnu"))</f>
        <v/>
      </c>
      <c r="E423" s="74" t="str">
        <f aca="false">IF(C423="","",IFERROR(INDEX(ST_Unite,MATCH(C423,ST_Code,0)),""))</f>
        <v/>
      </c>
      <c r="F423" s="82"/>
      <c r="G423" s="68"/>
      <c r="H423" s="76" t="str">
        <f aca="false">IF(G423="","",IFERROR(INDEX(BC_Fourn,MATCH(G423,BC_Num,0)),""))</f>
        <v/>
      </c>
      <c r="I423" s="25"/>
      <c r="J423" s="25"/>
      <c r="K423" s="25"/>
      <c r="L423" s="25"/>
    </row>
    <row r="424" customFormat="false" ht="15" hidden="false" customHeight="false" outlineLevel="0" collapsed="false">
      <c r="A424" s="69"/>
      <c r="B424" s="68"/>
      <c r="C424" s="68"/>
      <c r="D424" s="76" t="str">
        <f aca="false">IF(C424="","",IFERROR(INDEX(ST_Design,MATCH(C424,ST_Code,0)),"Code inconnu"))</f>
        <v/>
      </c>
      <c r="E424" s="74" t="str">
        <f aca="false">IF(C424="","",IFERROR(INDEX(ST_Unite,MATCH(C424,ST_Code,0)),""))</f>
        <v/>
      </c>
      <c r="F424" s="82"/>
      <c r="G424" s="68"/>
      <c r="H424" s="76" t="str">
        <f aca="false">IF(G424="","",IFERROR(INDEX(BC_Fourn,MATCH(G424,BC_Num,0)),""))</f>
        <v/>
      </c>
      <c r="I424" s="25"/>
      <c r="J424" s="25"/>
      <c r="K424" s="25"/>
      <c r="L424" s="25"/>
    </row>
    <row r="425" customFormat="false" ht="15" hidden="false" customHeight="false" outlineLevel="0" collapsed="false">
      <c r="A425" s="69"/>
      <c r="B425" s="68"/>
      <c r="C425" s="68"/>
      <c r="D425" s="76" t="str">
        <f aca="false">IF(C425="","",IFERROR(INDEX(ST_Design,MATCH(C425,ST_Code,0)),"Code inconnu"))</f>
        <v/>
      </c>
      <c r="E425" s="74" t="str">
        <f aca="false">IF(C425="","",IFERROR(INDEX(ST_Unite,MATCH(C425,ST_Code,0)),""))</f>
        <v/>
      </c>
      <c r="F425" s="82"/>
      <c r="G425" s="68"/>
      <c r="H425" s="76" t="str">
        <f aca="false">IF(G425="","",IFERROR(INDEX(BC_Fourn,MATCH(G425,BC_Num,0)),""))</f>
        <v/>
      </c>
      <c r="I425" s="25"/>
      <c r="J425" s="25"/>
      <c r="K425" s="25"/>
      <c r="L425" s="25"/>
    </row>
    <row r="426" customFormat="false" ht="15" hidden="false" customHeight="false" outlineLevel="0" collapsed="false">
      <c r="A426" s="69"/>
      <c r="B426" s="68"/>
      <c r="C426" s="68"/>
      <c r="D426" s="76" t="str">
        <f aca="false">IF(C426="","",IFERROR(INDEX(ST_Design,MATCH(C426,ST_Code,0)),"Code inconnu"))</f>
        <v/>
      </c>
      <c r="E426" s="74" t="str">
        <f aca="false">IF(C426="","",IFERROR(INDEX(ST_Unite,MATCH(C426,ST_Code,0)),""))</f>
        <v/>
      </c>
      <c r="F426" s="82"/>
      <c r="G426" s="68"/>
      <c r="H426" s="76" t="str">
        <f aca="false">IF(G426="","",IFERROR(INDEX(BC_Fourn,MATCH(G426,BC_Num,0)),""))</f>
        <v/>
      </c>
      <c r="I426" s="25"/>
      <c r="J426" s="25"/>
      <c r="K426" s="25"/>
      <c r="L426" s="25"/>
    </row>
    <row r="427" customFormat="false" ht="15" hidden="false" customHeight="false" outlineLevel="0" collapsed="false">
      <c r="A427" s="69"/>
      <c r="B427" s="68"/>
      <c r="C427" s="68"/>
      <c r="D427" s="76" t="str">
        <f aca="false">IF(C427="","",IFERROR(INDEX(ST_Design,MATCH(C427,ST_Code,0)),"Code inconnu"))</f>
        <v/>
      </c>
      <c r="E427" s="74" t="str">
        <f aca="false">IF(C427="","",IFERROR(INDEX(ST_Unite,MATCH(C427,ST_Code,0)),""))</f>
        <v/>
      </c>
      <c r="F427" s="82"/>
      <c r="G427" s="68"/>
      <c r="H427" s="76" t="str">
        <f aca="false">IF(G427="","",IFERROR(INDEX(BC_Fourn,MATCH(G427,BC_Num,0)),""))</f>
        <v/>
      </c>
      <c r="I427" s="25"/>
      <c r="J427" s="25"/>
      <c r="K427" s="25"/>
      <c r="L427" s="25"/>
    </row>
    <row r="428" customFormat="false" ht="15" hidden="false" customHeight="false" outlineLevel="0" collapsed="false">
      <c r="A428" s="69"/>
      <c r="B428" s="68"/>
      <c r="C428" s="68"/>
      <c r="D428" s="76" t="str">
        <f aca="false">IF(C428="","",IFERROR(INDEX(ST_Design,MATCH(C428,ST_Code,0)),"Code inconnu"))</f>
        <v/>
      </c>
      <c r="E428" s="74" t="str">
        <f aca="false">IF(C428="","",IFERROR(INDEX(ST_Unite,MATCH(C428,ST_Code,0)),""))</f>
        <v/>
      </c>
      <c r="F428" s="82"/>
      <c r="G428" s="68"/>
      <c r="H428" s="76" t="str">
        <f aca="false">IF(G428="","",IFERROR(INDEX(BC_Fourn,MATCH(G428,BC_Num,0)),""))</f>
        <v/>
      </c>
      <c r="I428" s="25"/>
      <c r="J428" s="25"/>
      <c r="K428" s="25"/>
      <c r="L428" s="25"/>
    </row>
    <row r="429" customFormat="false" ht="15" hidden="false" customHeight="false" outlineLevel="0" collapsed="false">
      <c r="A429" s="69"/>
      <c r="B429" s="68"/>
      <c r="C429" s="68"/>
      <c r="D429" s="76" t="str">
        <f aca="false">IF(C429="","",IFERROR(INDEX(ST_Design,MATCH(C429,ST_Code,0)),"Code inconnu"))</f>
        <v/>
      </c>
      <c r="E429" s="74" t="str">
        <f aca="false">IF(C429="","",IFERROR(INDEX(ST_Unite,MATCH(C429,ST_Code,0)),""))</f>
        <v/>
      </c>
      <c r="F429" s="82"/>
      <c r="G429" s="68"/>
      <c r="H429" s="76" t="str">
        <f aca="false">IF(G429="","",IFERROR(INDEX(BC_Fourn,MATCH(G429,BC_Num,0)),""))</f>
        <v/>
      </c>
      <c r="I429" s="25"/>
      <c r="J429" s="25"/>
      <c r="K429" s="25"/>
      <c r="L429" s="25"/>
    </row>
    <row r="430" customFormat="false" ht="15" hidden="false" customHeight="false" outlineLevel="0" collapsed="false">
      <c r="A430" s="69"/>
      <c r="B430" s="68"/>
      <c r="C430" s="68"/>
      <c r="D430" s="76" t="str">
        <f aca="false">IF(C430="","",IFERROR(INDEX(ST_Design,MATCH(C430,ST_Code,0)),"Code inconnu"))</f>
        <v/>
      </c>
      <c r="E430" s="74" t="str">
        <f aca="false">IF(C430="","",IFERROR(INDEX(ST_Unite,MATCH(C430,ST_Code,0)),""))</f>
        <v/>
      </c>
      <c r="F430" s="82"/>
      <c r="G430" s="68"/>
      <c r="H430" s="76" t="str">
        <f aca="false">IF(G430="","",IFERROR(INDEX(BC_Fourn,MATCH(G430,BC_Num,0)),""))</f>
        <v/>
      </c>
      <c r="I430" s="25"/>
      <c r="J430" s="25"/>
      <c r="K430" s="25"/>
      <c r="L430" s="25"/>
    </row>
    <row r="431" customFormat="false" ht="15" hidden="false" customHeight="false" outlineLevel="0" collapsed="false">
      <c r="A431" s="69"/>
      <c r="B431" s="68"/>
      <c r="C431" s="68"/>
      <c r="D431" s="76" t="str">
        <f aca="false">IF(C431="","",IFERROR(INDEX(ST_Design,MATCH(C431,ST_Code,0)),"Code inconnu"))</f>
        <v/>
      </c>
      <c r="E431" s="74" t="str">
        <f aca="false">IF(C431="","",IFERROR(INDEX(ST_Unite,MATCH(C431,ST_Code,0)),""))</f>
        <v/>
      </c>
      <c r="F431" s="82"/>
      <c r="G431" s="68"/>
      <c r="H431" s="76" t="str">
        <f aca="false">IF(G431="","",IFERROR(INDEX(BC_Fourn,MATCH(G431,BC_Num,0)),""))</f>
        <v/>
      </c>
      <c r="I431" s="25"/>
      <c r="J431" s="25"/>
      <c r="K431" s="25"/>
      <c r="L431" s="25"/>
    </row>
    <row r="432" customFormat="false" ht="15" hidden="false" customHeight="false" outlineLevel="0" collapsed="false">
      <c r="A432" s="69"/>
      <c r="B432" s="68"/>
      <c r="C432" s="68"/>
      <c r="D432" s="76" t="str">
        <f aca="false">IF(C432="","",IFERROR(INDEX(ST_Design,MATCH(C432,ST_Code,0)),"Code inconnu"))</f>
        <v/>
      </c>
      <c r="E432" s="74" t="str">
        <f aca="false">IF(C432="","",IFERROR(INDEX(ST_Unite,MATCH(C432,ST_Code,0)),""))</f>
        <v/>
      </c>
      <c r="F432" s="82"/>
      <c r="G432" s="68"/>
      <c r="H432" s="76" t="str">
        <f aca="false">IF(G432="","",IFERROR(INDEX(BC_Fourn,MATCH(G432,BC_Num,0)),""))</f>
        <v/>
      </c>
      <c r="I432" s="25"/>
      <c r="J432" s="25"/>
      <c r="K432" s="25"/>
      <c r="L432" s="25"/>
    </row>
    <row r="433" customFormat="false" ht="15" hidden="false" customHeight="false" outlineLevel="0" collapsed="false">
      <c r="A433" s="69"/>
      <c r="B433" s="68"/>
      <c r="C433" s="68"/>
      <c r="D433" s="76" t="str">
        <f aca="false">IF(C433="","",IFERROR(INDEX(ST_Design,MATCH(C433,ST_Code,0)),"Code inconnu"))</f>
        <v/>
      </c>
      <c r="E433" s="74" t="str">
        <f aca="false">IF(C433="","",IFERROR(INDEX(ST_Unite,MATCH(C433,ST_Code,0)),""))</f>
        <v/>
      </c>
      <c r="F433" s="82"/>
      <c r="G433" s="68"/>
      <c r="H433" s="76" t="str">
        <f aca="false">IF(G433="","",IFERROR(INDEX(BC_Fourn,MATCH(G433,BC_Num,0)),""))</f>
        <v/>
      </c>
      <c r="I433" s="25"/>
      <c r="J433" s="25"/>
      <c r="K433" s="25"/>
      <c r="L433" s="25"/>
    </row>
    <row r="434" customFormat="false" ht="15" hidden="false" customHeight="false" outlineLevel="0" collapsed="false">
      <c r="A434" s="69"/>
      <c r="B434" s="68"/>
      <c r="C434" s="68"/>
      <c r="D434" s="76" t="str">
        <f aca="false">IF(C434="","",IFERROR(INDEX(ST_Design,MATCH(C434,ST_Code,0)),"Code inconnu"))</f>
        <v/>
      </c>
      <c r="E434" s="74" t="str">
        <f aca="false">IF(C434="","",IFERROR(INDEX(ST_Unite,MATCH(C434,ST_Code,0)),""))</f>
        <v/>
      </c>
      <c r="F434" s="82"/>
      <c r="G434" s="68"/>
      <c r="H434" s="76" t="str">
        <f aca="false">IF(G434="","",IFERROR(INDEX(BC_Fourn,MATCH(G434,BC_Num,0)),""))</f>
        <v/>
      </c>
      <c r="I434" s="25"/>
      <c r="J434" s="25"/>
      <c r="K434" s="25"/>
      <c r="L434" s="25"/>
    </row>
    <row r="435" customFormat="false" ht="15" hidden="false" customHeight="false" outlineLevel="0" collapsed="false">
      <c r="A435" s="69"/>
      <c r="B435" s="68"/>
      <c r="C435" s="68"/>
      <c r="D435" s="76" t="str">
        <f aca="false">IF(C435="","",IFERROR(INDEX(ST_Design,MATCH(C435,ST_Code,0)),"Code inconnu"))</f>
        <v/>
      </c>
      <c r="E435" s="74" t="str">
        <f aca="false">IF(C435="","",IFERROR(INDEX(ST_Unite,MATCH(C435,ST_Code,0)),""))</f>
        <v/>
      </c>
      <c r="F435" s="82"/>
      <c r="G435" s="68"/>
      <c r="H435" s="76" t="str">
        <f aca="false">IF(G435="","",IFERROR(INDEX(BC_Fourn,MATCH(G435,BC_Num,0)),""))</f>
        <v/>
      </c>
      <c r="I435" s="25"/>
      <c r="J435" s="25"/>
      <c r="K435" s="25"/>
      <c r="L435" s="25"/>
    </row>
    <row r="436" customFormat="false" ht="15" hidden="false" customHeight="false" outlineLevel="0" collapsed="false">
      <c r="A436" s="69"/>
      <c r="B436" s="68"/>
      <c r="C436" s="68"/>
      <c r="D436" s="76" t="str">
        <f aca="false">IF(C436="","",IFERROR(INDEX(ST_Design,MATCH(C436,ST_Code,0)),"Code inconnu"))</f>
        <v/>
      </c>
      <c r="E436" s="74" t="str">
        <f aca="false">IF(C436="","",IFERROR(INDEX(ST_Unite,MATCH(C436,ST_Code,0)),""))</f>
        <v/>
      </c>
      <c r="F436" s="82"/>
      <c r="G436" s="68"/>
      <c r="H436" s="76" t="str">
        <f aca="false">IF(G436="","",IFERROR(INDEX(BC_Fourn,MATCH(G436,BC_Num,0)),""))</f>
        <v/>
      </c>
      <c r="I436" s="25"/>
      <c r="J436" s="25"/>
      <c r="K436" s="25"/>
      <c r="L436" s="25"/>
    </row>
    <row r="437" customFormat="false" ht="15" hidden="false" customHeight="false" outlineLevel="0" collapsed="false">
      <c r="A437" s="69"/>
      <c r="B437" s="68"/>
      <c r="C437" s="68"/>
      <c r="D437" s="76" t="str">
        <f aca="false">IF(C437="","",IFERROR(INDEX(ST_Design,MATCH(C437,ST_Code,0)),"Code inconnu"))</f>
        <v/>
      </c>
      <c r="E437" s="74" t="str">
        <f aca="false">IF(C437="","",IFERROR(INDEX(ST_Unite,MATCH(C437,ST_Code,0)),""))</f>
        <v/>
      </c>
      <c r="F437" s="82"/>
      <c r="G437" s="68"/>
      <c r="H437" s="76" t="str">
        <f aca="false">IF(G437="","",IFERROR(INDEX(BC_Fourn,MATCH(G437,BC_Num,0)),""))</f>
        <v/>
      </c>
      <c r="I437" s="25"/>
      <c r="J437" s="25"/>
      <c r="K437" s="25"/>
      <c r="L437" s="25"/>
    </row>
    <row r="438" customFormat="false" ht="15" hidden="false" customHeight="false" outlineLevel="0" collapsed="false">
      <c r="A438" s="69"/>
      <c r="B438" s="68"/>
      <c r="C438" s="68"/>
      <c r="D438" s="76" t="str">
        <f aca="false">IF(C438="","",IFERROR(INDEX(ST_Design,MATCH(C438,ST_Code,0)),"Code inconnu"))</f>
        <v/>
      </c>
      <c r="E438" s="74" t="str">
        <f aca="false">IF(C438="","",IFERROR(INDEX(ST_Unite,MATCH(C438,ST_Code,0)),""))</f>
        <v/>
      </c>
      <c r="F438" s="82"/>
      <c r="G438" s="68"/>
      <c r="H438" s="76" t="str">
        <f aca="false">IF(G438="","",IFERROR(INDEX(BC_Fourn,MATCH(G438,BC_Num,0)),""))</f>
        <v/>
      </c>
      <c r="I438" s="25"/>
      <c r="J438" s="25"/>
      <c r="K438" s="25"/>
      <c r="L438" s="25"/>
    </row>
    <row r="439" customFormat="false" ht="15" hidden="false" customHeight="false" outlineLevel="0" collapsed="false">
      <c r="A439" s="69"/>
      <c r="B439" s="68"/>
      <c r="C439" s="68"/>
      <c r="D439" s="76" t="str">
        <f aca="false">IF(C439="","",IFERROR(INDEX(ST_Design,MATCH(C439,ST_Code,0)),"Code inconnu"))</f>
        <v/>
      </c>
      <c r="E439" s="74" t="str">
        <f aca="false">IF(C439="","",IFERROR(INDEX(ST_Unite,MATCH(C439,ST_Code,0)),""))</f>
        <v/>
      </c>
      <c r="F439" s="82"/>
      <c r="G439" s="68"/>
      <c r="H439" s="76" t="str">
        <f aca="false">IF(G439="","",IFERROR(INDEX(BC_Fourn,MATCH(G439,BC_Num,0)),""))</f>
        <v/>
      </c>
      <c r="I439" s="25"/>
      <c r="J439" s="25"/>
      <c r="K439" s="25"/>
      <c r="L439" s="25"/>
    </row>
    <row r="440" customFormat="false" ht="15" hidden="false" customHeight="false" outlineLevel="0" collapsed="false">
      <c r="A440" s="69"/>
      <c r="B440" s="68"/>
      <c r="C440" s="68"/>
      <c r="D440" s="76" t="str">
        <f aca="false">IF(C440="","",IFERROR(INDEX(ST_Design,MATCH(C440,ST_Code,0)),"Code inconnu"))</f>
        <v/>
      </c>
      <c r="E440" s="74" t="str">
        <f aca="false">IF(C440="","",IFERROR(INDEX(ST_Unite,MATCH(C440,ST_Code,0)),""))</f>
        <v/>
      </c>
      <c r="F440" s="82"/>
      <c r="G440" s="68"/>
      <c r="H440" s="76" t="str">
        <f aca="false">IF(G440="","",IFERROR(INDEX(BC_Fourn,MATCH(G440,BC_Num,0)),""))</f>
        <v/>
      </c>
      <c r="I440" s="25"/>
      <c r="J440" s="25"/>
      <c r="K440" s="25"/>
      <c r="L440" s="25"/>
    </row>
    <row r="441" customFormat="false" ht="15" hidden="false" customHeight="false" outlineLevel="0" collapsed="false">
      <c r="A441" s="69"/>
      <c r="B441" s="68"/>
      <c r="C441" s="68"/>
      <c r="D441" s="76" t="str">
        <f aca="false">IF(C441="","",IFERROR(INDEX(ST_Design,MATCH(C441,ST_Code,0)),"Code inconnu"))</f>
        <v/>
      </c>
      <c r="E441" s="74" t="str">
        <f aca="false">IF(C441="","",IFERROR(INDEX(ST_Unite,MATCH(C441,ST_Code,0)),""))</f>
        <v/>
      </c>
      <c r="F441" s="82"/>
      <c r="G441" s="68"/>
      <c r="H441" s="76" t="str">
        <f aca="false">IF(G441="","",IFERROR(INDEX(BC_Fourn,MATCH(G441,BC_Num,0)),""))</f>
        <v/>
      </c>
      <c r="I441" s="25"/>
      <c r="J441" s="25"/>
      <c r="K441" s="25"/>
      <c r="L441" s="25"/>
    </row>
    <row r="442" customFormat="false" ht="15" hidden="false" customHeight="false" outlineLevel="0" collapsed="false">
      <c r="A442" s="69"/>
      <c r="B442" s="68"/>
      <c r="C442" s="68"/>
      <c r="D442" s="76" t="str">
        <f aca="false">IF(C442="","",IFERROR(INDEX(ST_Design,MATCH(C442,ST_Code,0)),"Code inconnu"))</f>
        <v/>
      </c>
      <c r="E442" s="74" t="str">
        <f aca="false">IF(C442="","",IFERROR(INDEX(ST_Unite,MATCH(C442,ST_Code,0)),""))</f>
        <v/>
      </c>
      <c r="F442" s="82"/>
      <c r="G442" s="68"/>
      <c r="H442" s="76" t="str">
        <f aca="false">IF(G442="","",IFERROR(INDEX(BC_Fourn,MATCH(G442,BC_Num,0)),""))</f>
        <v/>
      </c>
      <c r="I442" s="25"/>
      <c r="J442" s="25"/>
      <c r="K442" s="25"/>
      <c r="L442" s="25"/>
    </row>
    <row r="443" customFormat="false" ht="15" hidden="false" customHeight="false" outlineLevel="0" collapsed="false">
      <c r="A443" s="69"/>
      <c r="B443" s="68"/>
      <c r="C443" s="68"/>
      <c r="D443" s="76" t="str">
        <f aca="false">IF(C443="","",IFERROR(INDEX(ST_Design,MATCH(C443,ST_Code,0)),"Code inconnu"))</f>
        <v/>
      </c>
      <c r="E443" s="74" t="str">
        <f aca="false">IF(C443="","",IFERROR(INDEX(ST_Unite,MATCH(C443,ST_Code,0)),""))</f>
        <v/>
      </c>
      <c r="F443" s="82"/>
      <c r="G443" s="68"/>
      <c r="H443" s="76" t="str">
        <f aca="false">IF(G443="","",IFERROR(INDEX(BC_Fourn,MATCH(G443,BC_Num,0)),""))</f>
        <v/>
      </c>
      <c r="I443" s="25"/>
      <c r="J443" s="25"/>
      <c r="K443" s="25"/>
      <c r="L443" s="25"/>
    </row>
    <row r="444" customFormat="false" ht="15" hidden="false" customHeight="false" outlineLevel="0" collapsed="false">
      <c r="A444" s="69"/>
      <c r="B444" s="68"/>
      <c r="C444" s="68"/>
      <c r="D444" s="76" t="str">
        <f aca="false">IF(C444="","",IFERROR(INDEX(ST_Design,MATCH(C444,ST_Code,0)),"Code inconnu"))</f>
        <v/>
      </c>
      <c r="E444" s="74" t="str">
        <f aca="false">IF(C444="","",IFERROR(INDEX(ST_Unite,MATCH(C444,ST_Code,0)),""))</f>
        <v/>
      </c>
      <c r="F444" s="82"/>
      <c r="G444" s="68"/>
      <c r="H444" s="76" t="str">
        <f aca="false">IF(G444="","",IFERROR(INDEX(BC_Fourn,MATCH(G444,BC_Num,0)),""))</f>
        <v/>
      </c>
      <c r="I444" s="25"/>
      <c r="J444" s="25"/>
      <c r="K444" s="25"/>
      <c r="L444" s="25"/>
    </row>
    <row r="445" customFormat="false" ht="15" hidden="false" customHeight="false" outlineLevel="0" collapsed="false">
      <c r="A445" s="69"/>
      <c r="B445" s="68"/>
      <c r="C445" s="68"/>
      <c r="D445" s="76" t="str">
        <f aca="false">IF(C445="","",IFERROR(INDEX(ST_Design,MATCH(C445,ST_Code,0)),"Code inconnu"))</f>
        <v/>
      </c>
      <c r="E445" s="74" t="str">
        <f aca="false">IF(C445="","",IFERROR(INDEX(ST_Unite,MATCH(C445,ST_Code,0)),""))</f>
        <v/>
      </c>
      <c r="F445" s="82"/>
      <c r="G445" s="68"/>
      <c r="H445" s="76" t="str">
        <f aca="false">IF(G445="","",IFERROR(INDEX(BC_Fourn,MATCH(G445,BC_Num,0)),""))</f>
        <v/>
      </c>
      <c r="I445" s="25"/>
      <c r="J445" s="25"/>
      <c r="K445" s="25"/>
      <c r="L445" s="25"/>
    </row>
    <row r="446" customFormat="false" ht="15" hidden="false" customHeight="false" outlineLevel="0" collapsed="false">
      <c r="A446" s="69"/>
      <c r="B446" s="68"/>
      <c r="C446" s="68"/>
      <c r="D446" s="76" t="str">
        <f aca="false">IF(C446="","",IFERROR(INDEX(ST_Design,MATCH(C446,ST_Code,0)),"Code inconnu"))</f>
        <v/>
      </c>
      <c r="E446" s="74" t="str">
        <f aca="false">IF(C446="","",IFERROR(INDEX(ST_Unite,MATCH(C446,ST_Code,0)),""))</f>
        <v/>
      </c>
      <c r="F446" s="82"/>
      <c r="G446" s="68"/>
      <c r="H446" s="76" t="str">
        <f aca="false">IF(G446="","",IFERROR(INDEX(BC_Fourn,MATCH(G446,BC_Num,0)),""))</f>
        <v/>
      </c>
      <c r="I446" s="25"/>
      <c r="J446" s="25"/>
      <c r="K446" s="25"/>
      <c r="L446" s="25"/>
    </row>
    <row r="447" customFormat="false" ht="15" hidden="false" customHeight="false" outlineLevel="0" collapsed="false">
      <c r="A447" s="69"/>
      <c r="B447" s="68"/>
      <c r="C447" s="68"/>
      <c r="D447" s="76" t="str">
        <f aca="false">IF(C447="","",IFERROR(INDEX(ST_Design,MATCH(C447,ST_Code,0)),"Code inconnu"))</f>
        <v/>
      </c>
      <c r="E447" s="74" t="str">
        <f aca="false">IF(C447="","",IFERROR(INDEX(ST_Unite,MATCH(C447,ST_Code,0)),""))</f>
        <v/>
      </c>
      <c r="F447" s="82"/>
      <c r="G447" s="68"/>
      <c r="H447" s="76" t="str">
        <f aca="false">IF(G447="","",IFERROR(INDEX(BC_Fourn,MATCH(G447,BC_Num,0)),""))</f>
        <v/>
      </c>
      <c r="I447" s="25"/>
      <c r="J447" s="25"/>
      <c r="K447" s="25"/>
      <c r="L447" s="25"/>
    </row>
    <row r="448" customFormat="false" ht="15" hidden="false" customHeight="false" outlineLevel="0" collapsed="false">
      <c r="A448" s="69"/>
      <c r="B448" s="68"/>
      <c r="C448" s="68"/>
      <c r="D448" s="76" t="str">
        <f aca="false">IF(C448="","",IFERROR(INDEX(ST_Design,MATCH(C448,ST_Code,0)),"Code inconnu"))</f>
        <v/>
      </c>
      <c r="E448" s="74" t="str">
        <f aca="false">IF(C448="","",IFERROR(INDEX(ST_Unite,MATCH(C448,ST_Code,0)),""))</f>
        <v/>
      </c>
      <c r="F448" s="82"/>
      <c r="G448" s="68"/>
      <c r="H448" s="76" t="str">
        <f aca="false">IF(G448="","",IFERROR(INDEX(BC_Fourn,MATCH(G448,BC_Num,0)),""))</f>
        <v/>
      </c>
      <c r="I448" s="25"/>
      <c r="J448" s="25"/>
      <c r="K448" s="25"/>
      <c r="L448" s="25"/>
    </row>
    <row r="449" customFormat="false" ht="15" hidden="false" customHeight="false" outlineLevel="0" collapsed="false">
      <c r="A449" s="69"/>
      <c r="B449" s="68"/>
      <c r="C449" s="68"/>
      <c r="D449" s="76" t="str">
        <f aca="false">IF(C449="","",IFERROR(INDEX(ST_Design,MATCH(C449,ST_Code,0)),"Code inconnu"))</f>
        <v/>
      </c>
      <c r="E449" s="74" t="str">
        <f aca="false">IF(C449="","",IFERROR(INDEX(ST_Unite,MATCH(C449,ST_Code,0)),""))</f>
        <v/>
      </c>
      <c r="F449" s="82"/>
      <c r="G449" s="68"/>
      <c r="H449" s="76" t="str">
        <f aca="false">IF(G449="","",IFERROR(INDEX(BC_Fourn,MATCH(G449,BC_Num,0)),""))</f>
        <v/>
      </c>
      <c r="I449" s="25"/>
      <c r="J449" s="25"/>
      <c r="K449" s="25"/>
      <c r="L449" s="25"/>
    </row>
    <row r="450" customFormat="false" ht="15" hidden="false" customHeight="false" outlineLevel="0" collapsed="false">
      <c r="A450" s="69"/>
      <c r="B450" s="68"/>
      <c r="C450" s="68"/>
      <c r="D450" s="76" t="str">
        <f aca="false">IF(C450="","",IFERROR(INDEX(ST_Design,MATCH(C450,ST_Code,0)),"Code inconnu"))</f>
        <v/>
      </c>
      <c r="E450" s="74" t="str">
        <f aca="false">IF(C450="","",IFERROR(INDEX(ST_Unite,MATCH(C450,ST_Code,0)),""))</f>
        <v/>
      </c>
      <c r="F450" s="82"/>
      <c r="G450" s="68"/>
      <c r="H450" s="76" t="str">
        <f aca="false">IF(G450="","",IFERROR(INDEX(BC_Fourn,MATCH(G450,BC_Num,0)),""))</f>
        <v/>
      </c>
      <c r="I450" s="25"/>
      <c r="J450" s="25"/>
      <c r="K450" s="25"/>
      <c r="L450" s="25"/>
    </row>
    <row r="451" customFormat="false" ht="15" hidden="false" customHeight="false" outlineLevel="0" collapsed="false">
      <c r="A451" s="69"/>
      <c r="B451" s="68"/>
      <c r="C451" s="68"/>
      <c r="D451" s="76" t="str">
        <f aca="false">IF(C451="","",IFERROR(INDEX(ST_Design,MATCH(C451,ST_Code,0)),"Code inconnu"))</f>
        <v/>
      </c>
      <c r="E451" s="74" t="str">
        <f aca="false">IF(C451="","",IFERROR(INDEX(ST_Unite,MATCH(C451,ST_Code,0)),""))</f>
        <v/>
      </c>
      <c r="F451" s="82"/>
      <c r="G451" s="68"/>
      <c r="H451" s="76" t="str">
        <f aca="false">IF(G451="","",IFERROR(INDEX(BC_Fourn,MATCH(G451,BC_Num,0)),""))</f>
        <v/>
      </c>
      <c r="I451" s="25"/>
      <c r="J451" s="25"/>
      <c r="K451" s="25"/>
      <c r="L451" s="25"/>
    </row>
    <row r="452" customFormat="false" ht="15" hidden="false" customHeight="false" outlineLevel="0" collapsed="false">
      <c r="A452" s="69"/>
      <c r="B452" s="68"/>
      <c r="C452" s="68"/>
      <c r="D452" s="76" t="str">
        <f aca="false">IF(C452="","",IFERROR(INDEX(ST_Design,MATCH(C452,ST_Code,0)),"Code inconnu"))</f>
        <v/>
      </c>
      <c r="E452" s="74" t="str">
        <f aca="false">IF(C452="","",IFERROR(INDEX(ST_Unite,MATCH(C452,ST_Code,0)),""))</f>
        <v/>
      </c>
      <c r="F452" s="82"/>
      <c r="G452" s="68"/>
      <c r="H452" s="76" t="str">
        <f aca="false">IF(G452="","",IFERROR(INDEX(BC_Fourn,MATCH(G452,BC_Num,0)),""))</f>
        <v/>
      </c>
      <c r="I452" s="25"/>
      <c r="J452" s="25"/>
      <c r="K452" s="25"/>
      <c r="L452" s="25"/>
    </row>
    <row r="453" customFormat="false" ht="15" hidden="false" customHeight="false" outlineLevel="0" collapsed="false">
      <c r="A453" s="69"/>
      <c r="B453" s="68"/>
      <c r="C453" s="68"/>
      <c r="D453" s="76" t="str">
        <f aca="false">IF(C453="","",IFERROR(INDEX(ST_Design,MATCH(C453,ST_Code,0)),"Code inconnu"))</f>
        <v/>
      </c>
      <c r="E453" s="74" t="str">
        <f aca="false">IF(C453="","",IFERROR(INDEX(ST_Unite,MATCH(C453,ST_Code,0)),""))</f>
        <v/>
      </c>
      <c r="F453" s="82"/>
      <c r="G453" s="68"/>
      <c r="H453" s="76" t="str">
        <f aca="false">IF(G453="","",IFERROR(INDEX(BC_Fourn,MATCH(G453,BC_Num,0)),""))</f>
        <v/>
      </c>
      <c r="I453" s="25"/>
      <c r="J453" s="25"/>
      <c r="K453" s="25"/>
      <c r="L453" s="25"/>
    </row>
    <row r="454" customFormat="false" ht="15" hidden="false" customHeight="false" outlineLevel="0" collapsed="false">
      <c r="A454" s="69"/>
      <c r="B454" s="68"/>
      <c r="C454" s="68"/>
      <c r="D454" s="76" t="str">
        <f aca="false">IF(C454="","",IFERROR(INDEX(ST_Design,MATCH(C454,ST_Code,0)),"Code inconnu"))</f>
        <v/>
      </c>
      <c r="E454" s="74" t="str">
        <f aca="false">IF(C454="","",IFERROR(INDEX(ST_Unite,MATCH(C454,ST_Code,0)),""))</f>
        <v/>
      </c>
      <c r="F454" s="82"/>
      <c r="G454" s="68"/>
      <c r="H454" s="76" t="str">
        <f aca="false">IF(G454="","",IFERROR(INDEX(BC_Fourn,MATCH(G454,BC_Num,0)),""))</f>
        <v/>
      </c>
      <c r="I454" s="25"/>
      <c r="J454" s="25"/>
      <c r="K454" s="25"/>
      <c r="L454" s="25"/>
    </row>
    <row r="455" customFormat="false" ht="15" hidden="false" customHeight="false" outlineLevel="0" collapsed="false">
      <c r="A455" s="69"/>
      <c r="B455" s="68"/>
      <c r="C455" s="68"/>
      <c r="D455" s="76" t="str">
        <f aca="false">IF(C455="","",IFERROR(INDEX(ST_Design,MATCH(C455,ST_Code,0)),"Code inconnu"))</f>
        <v/>
      </c>
      <c r="E455" s="74" t="str">
        <f aca="false">IF(C455="","",IFERROR(INDEX(ST_Unite,MATCH(C455,ST_Code,0)),""))</f>
        <v/>
      </c>
      <c r="F455" s="82"/>
      <c r="G455" s="68"/>
      <c r="H455" s="76" t="str">
        <f aca="false">IF(G455="","",IFERROR(INDEX(BC_Fourn,MATCH(G455,BC_Num,0)),""))</f>
        <v/>
      </c>
      <c r="I455" s="25"/>
      <c r="J455" s="25"/>
      <c r="K455" s="25"/>
      <c r="L455" s="25"/>
    </row>
    <row r="456" customFormat="false" ht="15" hidden="false" customHeight="false" outlineLevel="0" collapsed="false">
      <c r="A456" s="69"/>
      <c r="B456" s="68"/>
      <c r="C456" s="68"/>
      <c r="D456" s="76" t="str">
        <f aca="false">IF(C456="","",IFERROR(INDEX(ST_Design,MATCH(C456,ST_Code,0)),"Code inconnu"))</f>
        <v/>
      </c>
      <c r="E456" s="74" t="str">
        <f aca="false">IF(C456="","",IFERROR(INDEX(ST_Unite,MATCH(C456,ST_Code,0)),""))</f>
        <v/>
      </c>
      <c r="F456" s="82"/>
      <c r="G456" s="68"/>
      <c r="H456" s="76" t="str">
        <f aca="false">IF(G456="","",IFERROR(INDEX(BC_Fourn,MATCH(G456,BC_Num,0)),""))</f>
        <v/>
      </c>
      <c r="I456" s="25"/>
      <c r="J456" s="25"/>
      <c r="K456" s="25"/>
      <c r="L456" s="25"/>
    </row>
    <row r="457" customFormat="false" ht="15" hidden="false" customHeight="false" outlineLevel="0" collapsed="false">
      <c r="A457" s="69"/>
      <c r="B457" s="68"/>
      <c r="C457" s="68"/>
      <c r="D457" s="76" t="str">
        <f aca="false">IF(C457="","",IFERROR(INDEX(ST_Design,MATCH(C457,ST_Code,0)),"Code inconnu"))</f>
        <v/>
      </c>
      <c r="E457" s="74" t="str">
        <f aca="false">IF(C457="","",IFERROR(INDEX(ST_Unite,MATCH(C457,ST_Code,0)),""))</f>
        <v/>
      </c>
      <c r="F457" s="82"/>
      <c r="G457" s="68"/>
      <c r="H457" s="76" t="str">
        <f aca="false">IF(G457="","",IFERROR(INDEX(BC_Fourn,MATCH(G457,BC_Num,0)),""))</f>
        <v/>
      </c>
      <c r="I457" s="25"/>
      <c r="J457" s="25"/>
      <c r="K457" s="25"/>
      <c r="L457" s="25"/>
    </row>
    <row r="458" customFormat="false" ht="15" hidden="false" customHeight="false" outlineLevel="0" collapsed="false">
      <c r="A458" s="69"/>
      <c r="B458" s="68"/>
      <c r="C458" s="68"/>
      <c r="D458" s="76" t="str">
        <f aca="false">IF(C458="","",IFERROR(INDEX(ST_Design,MATCH(C458,ST_Code,0)),"Code inconnu"))</f>
        <v/>
      </c>
      <c r="E458" s="74" t="str">
        <f aca="false">IF(C458="","",IFERROR(INDEX(ST_Unite,MATCH(C458,ST_Code,0)),""))</f>
        <v/>
      </c>
      <c r="F458" s="82"/>
      <c r="G458" s="68"/>
      <c r="H458" s="76" t="str">
        <f aca="false">IF(G458="","",IFERROR(INDEX(BC_Fourn,MATCH(G458,BC_Num,0)),""))</f>
        <v/>
      </c>
      <c r="I458" s="25"/>
      <c r="J458" s="25"/>
      <c r="K458" s="25"/>
      <c r="L458" s="25"/>
    </row>
    <row r="459" customFormat="false" ht="15" hidden="false" customHeight="false" outlineLevel="0" collapsed="false">
      <c r="A459" s="69"/>
      <c r="B459" s="68"/>
      <c r="C459" s="68"/>
      <c r="D459" s="76" t="str">
        <f aca="false">IF(C459="","",IFERROR(INDEX(ST_Design,MATCH(C459,ST_Code,0)),"Code inconnu"))</f>
        <v/>
      </c>
      <c r="E459" s="74" t="str">
        <f aca="false">IF(C459="","",IFERROR(INDEX(ST_Unite,MATCH(C459,ST_Code,0)),""))</f>
        <v/>
      </c>
      <c r="F459" s="82"/>
      <c r="G459" s="68"/>
      <c r="H459" s="76" t="str">
        <f aca="false">IF(G459="","",IFERROR(INDEX(BC_Fourn,MATCH(G459,BC_Num,0)),""))</f>
        <v/>
      </c>
      <c r="I459" s="25"/>
      <c r="J459" s="25"/>
      <c r="K459" s="25"/>
      <c r="L459" s="25"/>
    </row>
    <row r="460" customFormat="false" ht="15" hidden="false" customHeight="false" outlineLevel="0" collapsed="false">
      <c r="A460" s="69"/>
      <c r="B460" s="68"/>
      <c r="C460" s="68"/>
      <c r="D460" s="76" t="str">
        <f aca="false">IF(C460="","",IFERROR(INDEX(ST_Design,MATCH(C460,ST_Code,0)),"Code inconnu"))</f>
        <v/>
      </c>
      <c r="E460" s="74" t="str">
        <f aca="false">IF(C460="","",IFERROR(INDEX(ST_Unite,MATCH(C460,ST_Code,0)),""))</f>
        <v/>
      </c>
      <c r="F460" s="82"/>
      <c r="G460" s="68"/>
      <c r="H460" s="76" t="str">
        <f aca="false">IF(G460="","",IFERROR(INDEX(BC_Fourn,MATCH(G460,BC_Num,0)),""))</f>
        <v/>
      </c>
      <c r="I460" s="25"/>
      <c r="J460" s="25"/>
      <c r="K460" s="25"/>
      <c r="L460" s="25"/>
    </row>
    <row r="461" customFormat="false" ht="15" hidden="false" customHeight="false" outlineLevel="0" collapsed="false">
      <c r="A461" s="69"/>
      <c r="B461" s="68"/>
      <c r="C461" s="68"/>
      <c r="D461" s="76" t="str">
        <f aca="false">IF(C461="","",IFERROR(INDEX(ST_Design,MATCH(C461,ST_Code,0)),"Code inconnu"))</f>
        <v/>
      </c>
      <c r="E461" s="74" t="str">
        <f aca="false">IF(C461="","",IFERROR(INDEX(ST_Unite,MATCH(C461,ST_Code,0)),""))</f>
        <v/>
      </c>
      <c r="F461" s="82"/>
      <c r="G461" s="68"/>
      <c r="H461" s="76" t="str">
        <f aca="false">IF(G461="","",IFERROR(INDEX(BC_Fourn,MATCH(G461,BC_Num,0)),""))</f>
        <v/>
      </c>
      <c r="I461" s="25"/>
      <c r="J461" s="25"/>
      <c r="K461" s="25"/>
      <c r="L461" s="25"/>
    </row>
    <row r="462" customFormat="false" ht="15" hidden="false" customHeight="false" outlineLevel="0" collapsed="false">
      <c r="A462" s="69"/>
      <c r="B462" s="68"/>
      <c r="C462" s="68"/>
      <c r="D462" s="76" t="str">
        <f aca="false">IF(C462="","",IFERROR(INDEX(ST_Design,MATCH(C462,ST_Code,0)),"Code inconnu"))</f>
        <v/>
      </c>
      <c r="E462" s="74" t="str">
        <f aca="false">IF(C462="","",IFERROR(INDEX(ST_Unite,MATCH(C462,ST_Code,0)),""))</f>
        <v/>
      </c>
      <c r="F462" s="82"/>
      <c r="G462" s="68"/>
      <c r="H462" s="76" t="str">
        <f aca="false">IF(G462="","",IFERROR(INDEX(BC_Fourn,MATCH(G462,BC_Num,0)),""))</f>
        <v/>
      </c>
      <c r="I462" s="25"/>
      <c r="J462" s="25"/>
      <c r="K462" s="25"/>
      <c r="L462" s="25"/>
    </row>
    <row r="463" customFormat="false" ht="15" hidden="false" customHeight="false" outlineLevel="0" collapsed="false">
      <c r="A463" s="69"/>
      <c r="B463" s="68"/>
      <c r="C463" s="68"/>
      <c r="D463" s="76" t="str">
        <f aca="false">IF(C463="","",IFERROR(INDEX(ST_Design,MATCH(C463,ST_Code,0)),"Code inconnu"))</f>
        <v/>
      </c>
      <c r="E463" s="74" t="str">
        <f aca="false">IF(C463="","",IFERROR(INDEX(ST_Unite,MATCH(C463,ST_Code,0)),""))</f>
        <v/>
      </c>
      <c r="F463" s="82"/>
      <c r="G463" s="68"/>
      <c r="H463" s="76" t="str">
        <f aca="false">IF(G463="","",IFERROR(INDEX(BC_Fourn,MATCH(G463,BC_Num,0)),""))</f>
        <v/>
      </c>
      <c r="I463" s="25"/>
      <c r="J463" s="25"/>
      <c r="K463" s="25"/>
      <c r="L463" s="25"/>
    </row>
    <row r="464" customFormat="false" ht="15" hidden="false" customHeight="false" outlineLevel="0" collapsed="false">
      <c r="A464" s="69"/>
      <c r="B464" s="68"/>
      <c r="C464" s="68"/>
      <c r="D464" s="76" t="str">
        <f aca="false">IF(C464="","",IFERROR(INDEX(ST_Design,MATCH(C464,ST_Code,0)),"Code inconnu"))</f>
        <v/>
      </c>
      <c r="E464" s="74" t="str">
        <f aca="false">IF(C464="","",IFERROR(INDEX(ST_Unite,MATCH(C464,ST_Code,0)),""))</f>
        <v/>
      </c>
      <c r="F464" s="82"/>
      <c r="G464" s="68"/>
      <c r="H464" s="76" t="str">
        <f aca="false">IF(G464="","",IFERROR(INDEX(BC_Fourn,MATCH(G464,BC_Num,0)),""))</f>
        <v/>
      </c>
      <c r="I464" s="25"/>
      <c r="J464" s="25"/>
      <c r="K464" s="25"/>
      <c r="L464" s="25"/>
    </row>
    <row r="465" customFormat="false" ht="15" hidden="false" customHeight="false" outlineLevel="0" collapsed="false">
      <c r="A465" s="69"/>
      <c r="B465" s="68"/>
      <c r="C465" s="68"/>
      <c r="D465" s="76" t="str">
        <f aca="false">IF(C465="","",IFERROR(INDEX(ST_Design,MATCH(C465,ST_Code,0)),"Code inconnu"))</f>
        <v/>
      </c>
      <c r="E465" s="74" t="str">
        <f aca="false">IF(C465="","",IFERROR(INDEX(ST_Unite,MATCH(C465,ST_Code,0)),""))</f>
        <v/>
      </c>
      <c r="F465" s="82"/>
      <c r="G465" s="68"/>
      <c r="H465" s="76" t="str">
        <f aca="false">IF(G465="","",IFERROR(INDEX(BC_Fourn,MATCH(G465,BC_Num,0)),""))</f>
        <v/>
      </c>
      <c r="I465" s="25"/>
      <c r="J465" s="25"/>
      <c r="K465" s="25"/>
      <c r="L465" s="25"/>
    </row>
    <row r="466" customFormat="false" ht="15" hidden="false" customHeight="false" outlineLevel="0" collapsed="false">
      <c r="A466" s="69"/>
      <c r="B466" s="68"/>
      <c r="C466" s="68"/>
      <c r="D466" s="76" t="str">
        <f aca="false">IF(C466="","",IFERROR(INDEX(ST_Design,MATCH(C466,ST_Code,0)),"Code inconnu"))</f>
        <v/>
      </c>
      <c r="E466" s="74" t="str">
        <f aca="false">IF(C466="","",IFERROR(INDEX(ST_Unite,MATCH(C466,ST_Code,0)),""))</f>
        <v/>
      </c>
      <c r="F466" s="82"/>
      <c r="G466" s="68"/>
      <c r="H466" s="76" t="str">
        <f aca="false">IF(G466="","",IFERROR(INDEX(BC_Fourn,MATCH(G466,BC_Num,0)),""))</f>
        <v/>
      </c>
      <c r="I466" s="25"/>
      <c r="J466" s="25"/>
      <c r="K466" s="25"/>
      <c r="L466" s="25"/>
    </row>
    <row r="467" customFormat="false" ht="15" hidden="false" customHeight="false" outlineLevel="0" collapsed="false">
      <c r="A467" s="69"/>
      <c r="B467" s="68"/>
      <c r="C467" s="68"/>
      <c r="D467" s="76" t="str">
        <f aca="false">IF(C467="","",IFERROR(INDEX(ST_Design,MATCH(C467,ST_Code,0)),"Code inconnu"))</f>
        <v/>
      </c>
      <c r="E467" s="74" t="str">
        <f aca="false">IF(C467="","",IFERROR(INDEX(ST_Unite,MATCH(C467,ST_Code,0)),""))</f>
        <v/>
      </c>
      <c r="F467" s="82"/>
      <c r="G467" s="68"/>
      <c r="H467" s="76" t="str">
        <f aca="false">IF(G467="","",IFERROR(INDEX(BC_Fourn,MATCH(G467,BC_Num,0)),""))</f>
        <v/>
      </c>
      <c r="I467" s="25"/>
      <c r="J467" s="25"/>
      <c r="K467" s="25"/>
      <c r="L467" s="25"/>
    </row>
    <row r="468" customFormat="false" ht="15" hidden="false" customHeight="false" outlineLevel="0" collapsed="false">
      <c r="A468" s="69"/>
      <c r="B468" s="68"/>
      <c r="C468" s="68"/>
      <c r="D468" s="76" t="str">
        <f aca="false">IF(C468="","",IFERROR(INDEX(ST_Design,MATCH(C468,ST_Code,0)),"Code inconnu"))</f>
        <v/>
      </c>
      <c r="E468" s="74" t="str">
        <f aca="false">IF(C468="","",IFERROR(INDEX(ST_Unite,MATCH(C468,ST_Code,0)),""))</f>
        <v/>
      </c>
      <c r="F468" s="82"/>
      <c r="G468" s="68"/>
      <c r="H468" s="76" t="str">
        <f aca="false">IF(G468="","",IFERROR(INDEX(BC_Fourn,MATCH(G468,BC_Num,0)),""))</f>
        <v/>
      </c>
      <c r="I468" s="25"/>
      <c r="J468" s="25"/>
      <c r="K468" s="25"/>
      <c r="L468" s="25"/>
    </row>
    <row r="469" customFormat="false" ht="15" hidden="false" customHeight="false" outlineLevel="0" collapsed="false">
      <c r="A469" s="69"/>
      <c r="B469" s="68"/>
      <c r="C469" s="68"/>
      <c r="D469" s="76" t="str">
        <f aca="false">IF(C469="","",IFERROR(INDEX(ST_Design,MATCH(C469,ST_Code,0)),"Code inconnu"))</f>
        <v/>
      </c>
      <c r="E469" s="74" t="str">
        <f aca="false">IF(C469="","",IFERROR(INDEX(ST_Unite,MATCH(C469,ST_Code,0)),""))</f>
        <v/>
      </c>
      <c r="F469" s="82"/>
      <c r="G469" s="68"/>
      <c r="H469" s="76" t="str">
        <f aca="false">IF(G469="","",IFERROR(INDEX(BC_Fourn,MATCH(G469,BC_Num,0)),""))</f>
        <v/>
      </c>
      <c r="I469" s="25"/>
      <c r="J469" s="25"/>
      <c r="K469" s="25"/>
      <c r="L469" s="25"/>
    </row>
    <row r="470" customFormat="false" ht="15" hidden="false" customHeight="false" outlineLevel="0" collapsed="false">
      <c r="A470" s="69"/>
      <c r="B470" s="68"/>
      <c r="C470" s="68"/>
      <c r="D470" s="76" t="str">
        <f aca="false">IF(C470="","",IFERROR(INDEX(ST_Design,MATCH(C470,ST_Code,0)),"Code inconnu"))</f>
        <v/>
      </c>
      <c r="E470" s="74" t="str">
        <f aca="false">IF(C470="","",IFERROR(INDEX(ST_Unite,MATCH(C470,ST_Code,0)),""))</f>
        <v/>
      </c>
      <c r="F470" s="82"/>
      <c r="G470" s="68"/>
      <c r="H470" s="76" t="str">
        <f aca="false">IF(G470="","",IFERROR(INDEX(BC_Fourn,MATCH(G470,BC_Num,0)),""))</f>
        <v/>
      </c>
      <c r="I470" s="25"/>
      <c r="J470" s="25"/>
      <c r="K470" s="25"/>
      <c r="L470" s="25"/>
    </row>
    <row r="471" customFormat="false" ht="15" hidden="false" customHeight="false" outlineLevel="0" collapsed="false">
      <c r="A471" s="69"/>
      <c r="B471" s="68"/>
      <c r="C471" s="68"/>
      <c r="D471" s="76" t="str">
        <f aca="false">IF(C471="","",IFERROR(INDEX(ST_Design,MATCH(C471,ST_Code,0)),"Code inconnu"))</f>
        <v/>
      </c>
      <c r="E471" s="74" t="str">
        <f aca="false">IF(C471="","",IFERROR(INDEX(ST_Unite,MATCH(C471,ST_Code,0)),""))</f>
        <v/>
      </c>
      <c r="F471" s="82"/>
      <c r="G471" s="68"/>
      <c r="H471" s="76" t="str">
        <f aca="false">IF(G471="","",IFERROR(INDEX(BC_Fourn,MATCH(G471,BC_Num,0)),""))</f>
        <v/>
      </c>
      <c r="I471" s="25"/>
      <c r="J471" s="25"/>
      <c r="K471" s="25"/>
      <c r="L471" s="25"/>
    </row>
    <row r="472" customFormat="false" ht="15" hidden="false" customHeight="false" outlineLevel="0" collapsed="false">
      <c r="A472" s="69"/>
      <c r="B472" s="68"/>
      <c r="C472" s="68"/>
      <c r="D472" s="76" t="str">
        <f aca="false">IF(C472="","",IFERROR(INDEX(ST_Design,MATCH(C472,ST_Code,0)),"Code inconnu"))</f>
        <v/>
      </c>
      <c r="E472" s="74" t="str">
        <f aca="false">IF(C472="","",IFERROR(INDEX(ST_Unite,MATCH(C472,ST_Code,0)),""))</f>
        <v/>
      </c>
      <c r="F472" s="82"/>
      <c r="G472" s="68"/>
      <c r="H472" s="76" t="str">
        <f aca="false">IF(G472="","",IFERROR(INDEX(BC_Fourn,MATCH(G472,BC_Num,0)),""))</f>
        <v/>
      </c>
      <c r="I472" s="25"/>
      <c r="J472" s="25"/>
      <c r="K472" s="25"/>
      <c r="L472" s="25"/>
    </row>
    <row r="473" customFormat="false" ht="15" hidden="false" customHeight="false" outlineLevel="0" collapsed="false">
      <c r="A473" s="69"/>
      <c r="B473" s="68"/>
      <c r="C473" s="68"/>
      <c r="D473" s="76" t="str">
        <f aca="false">IF(C473="","",IFERROR(INDEX(ST_Design,MATCH(C473,ST_Code,0)),"Code inconnu"))</f>
        <v/>
      </c>
      <c r="E473" s="74" t="str">
        <f aca="false">IF(C473="","",IFERROR(INDEX(ST_Unite,MATCH(C473,ST_Code,0)),""))</f>
        <v/>
      </c>
      <c r="F473" s="82"/>
      <c r="G473" s="68"/>
      <c r="H473" s="76" t="str">
        <f aca="false">IF(G473="","",IFERROR(INDEX(BC_Fourn,MATCH(G473,BC_Num,0)),""))</f>
        <v/>
      </c>
      <c r="I473" s="25"/>
      <c r="J473" s="25"/>
      <c r="K473" s="25"/>
      <c r="L473" s="25"/>
    </row>
    <row r="474" customFormat="false" ht="15" hidden="false" customHeight="false" outlineLevel="0" collapsed="false">
      <c r="A474" s="69"/>
      <c r="B474" s="68"/>
      <c r="C474" s="68"/>
      <c r="D474" s="76" t="str">
        <f aca="false">IF(C474="","",IFERROR(INDEX(ST_Design,MATCH(C474,ST_Code,0)),"Code inconnu"))</f>
        <v/>
      </c>
      <c r="E474" s="74" t="str">
        <f aca="false">IF(C474="","",IFERROR(INDEX(ST_Unite,MATCH(C474,ST_Code,0)),""))</f>
        <v/>
      </c>
      <c r="F474" s="82"/>
      <c r="G474" s="68"/>
      <c r="H474" s="76" t="str">
        <f aca="false">IF(G474="","",IFERROR(INDEX(BC_Fourn,MATCH(G474,BC_Num,0)),""))</f>
        <v/>
      </c>
      <c r="I474" s="25"/>
      <c r="J474" s="25"/>
      <c r="K474" s="25"/>
      <c r="L474" s="25"/>
    </row>
    <row r="475" customFormat="false" ht="15" hidden="false" customHeight="false" outlineLevel="0" collapsed="false">
      <c r="A475" s="69"/>
      <c r="B475" s="68"/>
      <c r="C475" s="68"/>
      <c r="D475" s="76" t="str">
        <f aca="false">IF(C475="","",IFERROR(INDEX(ST_Design,MATCH(C475,ST_Code,0)),"Code inconnu"))</f>
        <v/>
      </c>
      <c r="E475" s="74" t="str">
        <f aca="false">IF(C475="","",IFERROR(INDEX(ST_Unite,MATCH(C475,ST_Code,0)),""))</f>
        <v/>
      </c>
      <c r="F475" s="82"/>
      <c r="G475" s="68"/>
      <c r="H475" s="76" t="str">
        <f aca="false">IF(G475="","",IFERROR(INDEX(BC_Fourn,MATCH(G475,BC_Num,0)),""))</f>
        <v/>
      </c>
      <c r="I475" s="25"/>
      <c r="J475" s="25"/>
      <c r="K475" s="25"/>
      <c r="L475" s="25"/>
    </row>
    <row r="476" customFormat="false" ht="15" hidden="false" customHeight="false" outlineLevel="0" collapsed="false">
      <c r="A476" s="69"/>
      <c r="B476" s="68"/>
      <c r="C476" s="68"/>
      <c r="D476" s="76" t="str">
        <f aca="false">IF(C476="","",IFERROR(INDEX(ST_Design,MATCH(C476,ST_Code,0)),"Code inconnu"))</f>
        <v/>
      </c>
      <c r="E476" s="74" t="str">
        <f aca="false">IF(C476="","",IFERROR(INDEX(ST_Unite,MATCH(C476,ST_Code,0)),""))</f>
        <v/>
      </c>
      <c r="F476" s="82"/>
      <c r="G476" s="68"/>
      <c r="H476" s="76" t="str">
        <f aca="false">IF(G476="","",IFERROR(INDEX(BC_Fourn,MATCH(G476,BC_Num,0)),""))</f>
        <v/>
      </c>
      <c r="I476" s="25"/>
      <c r="J476" s="25"/>
      <c r="K476" s="25"/>
      <c r="L476" s="25"/>
    </row>
    <row r="477" customFormat="false" ht="15" hidden="false" customHeight="false" outlineLevel="0" collapsed="false">
      <c r="A477" s="69"/>
      <c r="B477" s="68"/>
      <c r="C477" s="68"/>
      <c r="D477" s="76" t="str">
        <f aca="false">IF(C477="","",IFERROR(INDEX(ST_Design,MATCH(C477,ST_Code,0)),"Code inconnu"))</f>
        <v/>
      </c>
      <c r="E477" s="74" t="str">
        <f aca="false">IF(C477="","",IFERROR(INDEX(ST_Unite,MATCH(C477,ST_Code,0)),""))</f>
        <v/>
      </c>
      <c r="F477" s="82"/>
      <c r="G477" s="68"/>
      <c r="H477" s="76" t="str">
        <f aca="false">IF(G477="","",IFERROR(INDEX(BC_Fourn,MATCH(G477,BC_Num,0)),""))</f>
        <v/>
      </c>
      <c r="I477" s="25"/>
      <c r="J477" s="25"/>
      <c r="K477" s="25"/>
      <c r="L477" s="25"/>
    </row>
    <row r="478" customFormat="false" ht="15" hidden="false" customHeight="false" outlineLevel="0" collapsed="false">
      <c r="A478" s="69"/>
      <c r="B478" s="68"/>
      <c r="C478" s="68"/>
      <c r="D478" s="76" t="str">
        <f aca="false">IF(C478="","",IFERROR(INDEX(ST_Design,MATCH(C478,ST_Code,0)),"Code inconnu"))</f>
        <v/>
      </c>
      <c r="E478" s="74" t="str">
        <f aca="false">IF(C478="","",IFERROR(INDEX(ST_Unite,MATCH(C478,ST_Code,0)),""))</f>
        <v/>
      </c>
      <c r="F478" s="82"/>
      <c r="G478" s="68"/>
      <c r="H478" s="76" t="str">
        <f aca="false">IF(G478="","",IFERROR(INDEX(BC_Fourn,MATCH(G478,BC_Num,0)),""))</f>
        <v/>
      </c>
      <c r="I478" s="25"/>
      <c r="J478" s="25"/>
      <c r="K478" s="25"/>
      <c r="L478" s="25"/>
    </row>
    <row r="479" customFormat="false" ht="15" hidden="false" customHeight="false" outlineLevel="0" collapsed="false">
      <c r="A479" s="69"/>
      <c r="B479" s="68"/>
      <c r="C479" s="68"/>
      <c r="D479" s="76" t="str">
        <f aca="false">IF(C479="","",IFERROR(INDEX(ST_Design,MATCH(C479,ST_Code,0)),"Code inconnu"))</f>
        <v/>
      </c>
      <c r="E479" s="74" t="str">
        <f aca="false">IF(C479="","",IFERROR(INDEX(ST_Unite,MATCH(C479,ST_Code,0)),""))</f>
        <v/>
      </c>
      <c r="F479" s="82"/>
      <c r="G479" s="68"/>
      <c r="H479" s="76" t="str">
        <f aca="false">IF(G479="","",IFERROR(INDEX(BC_Fourn,MATCH(G479,BC_Num,0)),""))</f>
        <v/>
      </c>
      <c r="I479" s="25"/>
      <c r="J479" s="25"/>
      <c r="K479" s="25"/>
      <c r="L479" s="25"/>
    </row>
    <row r="480" customFormat="false" ht="15" hidden="false" customHeight="false" outlineLevel="0" collapsed="false">
      <c r="A480" s="69"/>
      <c r="B480" s="68"/>
      <c r="C480" s="68"/>
      <c r="D480" s="76" t="str">
        <f aca="false">IF(C480="","",IFERROR(INDEX(ST_Design,MATCH(C480,ST_Code,0)),"Code inconnu"))</f>
        <v/>
      </c>
      <c r="E480" s="74" t="str">
        <f aca="false">IF(C480="","",IFERROR(INDEX(ST_Unite,MATCH(C480,ST_Code,0)),""))</f>
        <v/>
      </c>
      <c r="F480" s="82"/>
      <c r="G480" s="68"/>
      <c r="H480" s="76" t="str">
        <f aca="false">IF(G480="","",IFERROR(INDEX(BC_Fourn,MATCH(G480,BC_Num,0)),""))</f>
        <v/>
      </c>
      <c r="I480" s="25"/>
      <c r="J480" s="25"/>
      <c r="K480" s="25"/>
      <c r="L480" s="25"/>
    </row>
    <row r="481" customFormat="false" ht="15" hidden="false" customHeight="false" outlineLevel="0" collapsed="false">
      <c r="A481" s="69"/>
      <c r="B481" s="68"/>
      <c r="C481" s="68"/>
      <c r="D481" s="76" t="str">
        <f aca="false">IF(C481="","",IFERROR(INDEX(ST_Design,MATCH(C481,ST_Code,0)),"Code inconnu"))</f>
        <v/>
      </c>
      <c r="E481" s="74" t="str">
        <f aca="false">IF(C481="","",IFERROR(INDEX(ST_Unite,MATCH(C481,ST_Code,0)),""))</f>
        <v/>
      </c>
      <c r="F481" s="82"/>
      <c r="G481" s="68"/>
      <c r="H481" s="76" t="str">
        <f aca="false">IF(G481="","",IFERROR(INDEX(BC_Fourn,MATCH(G481,BC_Num,0)),""))</f>
        <v/>
      </c>
      <c r="I481" s="25"/>
      <c r="J481" s="25"/>
      <c r="K481" s="25"/>
      <c r="L481" s="25"/>
    </row>
    <row r="482" customFormat="false" ht="15" hidden="false" customHeight="false" outlineLevel="0" collapsed="false">
      <c r="A482" s="69"/>
      <c r="B482" s="68"/>
      <c r="C482" s="68"/>
      <c r="D482" s="76" t="str">
        <f aca="false">IF(C482="","",IFERROR(INDEX(ST_Design,MATCH(C482,ST_Code,0)),"Code inconnu"))</f>
        <v/>
      </c>
      <c r="E482" s="74" t="str">
        <f aca="false">IF(C482="","",IFERROR(INDEX(ST_Unite,MATCH(C482,ST_Code,0)),""))</f>
        <v/>
      </c>
      <c r="F482" s="82"/>
      <c r="G482" s="68"/>
      <c r="H482" s="76" t="str">
        <f aca="false">IF(G482="","",IFERROR(INDEX(BC_Fourn,MATCH(G482,BC_Num,0)),""))</f>
        <v/>
      </c>
      <c r="I482" s="25"/>
      <c r="J482" s="25"/>
      <c r="K482" s="25"/>
      <c r="L482" s="25"/>
    </row>
    <row r="483" customFormat="false" ht="15" hidden="false" customHeight="false" outlineLevel="0" collapsed="false">
      <c r="A483" s="69"/>
      <c r="B483" s="68"/>
      <c r="C483" s="68"/>
      <c r="D483" s="76" t="str">
        <f aca="false">IF(C483="","",IFERROR(INDEX(ST_Design,MATCH(C483,ST_Code,0)),"Code inconnu"))</f>
        <v/>
      </c>
      <c r="E483" s="74" t="str">
        <f aca="false">IF(C483="","",IFERROR(INDEX(ST_Unite,MATCH(C483,ST_Code,0)),""))</f>
        <v/>
      </c>
      <c r="F483" s="82"/>
      <c r="G483" s="68"/>
      <c r="H483" s="76" t="str">
        <f aca="false">IF(G483="","",IFERROR(INDEX(BC_Fourn,MATCH(G483,BC_Num,0)),""))</f>
        <v/>
      </c>
      <c r="I483" s="25"/>
      <c r="J483" s="25"/>
      <c r="K483" s="25"/>
      <c r="L483" s="25"/>
    </row>
    <row r="484" customFormat="false" ht="15" hidden="false" customHeight="false" outlineLevel="0" collapsed="false">
      <c r="A484" s="69"/>
      <c r="B484" s="68"/>
      <c r="C484" s="68"/>
      <c r="D484" s="76" t="str">
        <f aca="false">IF(C484="","",IFERROR(INDEX(ST_Design,MATCH(C484,ST_Code,0)),"Code inconnu"))</f>
        <v/>
      </c>
      <c r="E484" s="74" t="str">
        <f aca="false">IF(C484="","",IFERROR(INDEX(ST_Unite,MATCH(C484,ST_Code,0)),""))</f>
        <v/>
      </c>
      <c r="F484" s="82"/>
      <c r="G484" s="68"/>
      <c r="H484" s="76" t="str">
        <f aca="false">IF(G484="","",IFERROR(INDEX(BC_Fourn,MATCH(G484,BC_Num,0)),""))</f>
        <v/>
      </c>
      <c r="I484" s="25"/>
      <c r="J484" s="25"/>
      <c r="K484" s="25"/>
      <c r="L484" s="25"/>
    </row>
    <row r="485" customFormat="false" ht="15" hidden="false" customHeight="false" outlineLevel="0" collapsed="false">
      <c r="A485" s="69"/>
      <c r="B485" s="68"/>
      <c r="C485" s="68"/>
      <c r="D485" s="76" t="str">
        <f aca="false">IF(C485="","",IFERROR(INDEX(ST_Design,MATCH(C485,ST_Code,0)),"Code inconnu"))</f>
        <v/>
      </c>
      <c r="E485" s="74" t="str">
        <f aca="false">IF(C485="","",IFERROR(INDEX(ST_Unite,MATCH(C485,ST_Code,0)),""))</f>
        <v/>
      </c>
      <c r="F485" s="82"/>
      <c r="G485" s="68"/>
      <c r="H485" s="76" t="str">
        <f aca="false">IF(G485="","",IFERROR(INDEX(BC_Fourn,MATCH(G485,BC_Num,0)),""))</f>
        <v/>
      </c>
      <c r="I485" s="25"/>
      <c r="J485" s="25"/>
      <c r="K485" s="25"/>
      <c r="L485" s="25"/>
    </row>
    <row r="486" customFormat="false" ht="15" hidden="false" customHeight="false" outlineLevel="0" collapsed="false">
      <c r="A486" s="69"/>
      <c r="B486" s="68"/>
      <c r="C486" s="68"/>
      <c r="D486" s="76" t="str">
        <f aca="false">IF(C486="","",IFERROR(INDEX(ST_Design,MATCH(C486,ST_Code,0)),"Code inconnu"))</f>
        <v/>
      </c>
      <c r="E486" s="74" t="str">
        <f aca="false">IF(C486="","",IFERROR(INDEX(ST_Unite,MATCH(C486,ST_Code,0)),""))</f>
        <v/>
      </c>
      <c r="F486" s="82"/>
      <c r="G486" s="68"/>
      <c r="H486" s="76" t="str">
        <f aca="false">IF(G486="","",IFERROR(INDEX(BC_Fourn,MATCH(G486,BC_Num,0)),""))</f>
        <v/>
      </c>
      <c r="I486" s="25"/>
      <c r="J486" s="25"/>
      <c r="K486" s="25"/>
      <c r="L486" s="25"/>
    </row>
    <row r="487" customFormat="false" ht="15" hidden="false" customHeight="false" outlineLevel="0" collapsed="false">
      <c r="A487" s="69"/>
      <c r="B487" s="68"/>
      <c r="C487" s="68"/>
      <c r="D487" s="76" t="str">
        <f aca="false">IF(C487="","",IFERROR(INDEX(ST_Design,MATCH(C487,ST_Code,0)),"Code inconnu"))</f>
        <v/>
      </c>
      <c r="E487" s="74" t="str">
        <f aca="false">IF(C487="","",IFERROR(INDEX(ST_Unite,MATCH(C487,ST_Code,0)),""))</f>
        <v/>
      </c>
      <c r="F487" s="82"/>
      <c r="G487" s="68"/>
      <c r="H487" s="76" t="str">
        <f aca="false">IF(G487="","",IFERROR(INDEX(BC_Fourn,MATCH(G487,BC_Num,0)),""))</f>
        <v/>
      </c>
      <c r="I487" s="25"/>
      <c r="J487" s="25"/>
      <c r="K487" s="25"/>
      <c r="L487" s="25"/>
    </row>
    <row r="488" customFormat="false" ht="15" hidden="false" customHeight="false" outlineLevel="0" collapsed="false">
      <c r="A488" s="69"/>
      <c r="B488" s="68"/>
      <c r="C488" s="68"/>
      <c r="D488" s="76" t="str">
        <f aca="false">IF(C488="","",IFERROR(INDEX(ST_Design,MATCH(C488,ST_Code,0)),"Code inconnu"))</f>
        <v/>
      </c>
      <c r="E488" s="74" t="str">
        <f aca="false">IF(C488="","",IFERROR(INDEX(ST_Unite,MATCH(C488,ST_Code,0)),""))</f>
        <v/>
      </c>
      <c r="F488" s="82"/>
      <c r="G488" s="68"/>
      <c r="H488" s="76" t="str">
        <f aca="false">IF(G488="","",IFERROR(INDEX(BC_Fourn,MATCH(G488,BC_Num,0)),""))</f>
        <v/>
      </c>
      <c r="I488" s="25"/>
      <c r="J488" s="25"/>
      <c r="K488" s="25"/>
      <c r="L488" s="25"/>
    </row>
    <row r="489" customFormat="false" ht="15" hidden="false" customHeight="false" outlineLevel="0" collapsed="false">
      <c r="A489" s="69"/>
      <c r="B489" s="68"/>
      <c r="C489" s="68"/>
      <c r="D489" s="76" t="str">
        <f aca="false">IF(C489="","",IFERROR(INDEX(ST_Design,MATCH(C489,ST_Code,0)),"Code inconnu"))</f>
        <v/>
      </c>
      <c r="E489" s="74" t="str">
        <f aca="false">IF(C489="","",IFERROR(INDEX(ST_Unite,MATCH(C489,ST_Code,0)),""))</f>
        <v/>
      </c>
      <c r="F489" s="82"/>
      <c r="G489" s="68"/>
      <c r="H489" s="76" t="str">
        <f aca="false">IF(G489="","",IFERROR(INDEX(BC_Fourn,MATCH(G489,BC_Num,0)),""))</f>
        <v/>
      </c>
      <c r="I489" s="25"/>
      <c r="J489" s="25"/>
      <c r="K489" s="25"/>
      <c r="L489" s="25"/>
    </row>
    <row r="490" customFormat="false" ht="15" hidden="false" customHeight="false" outlineLevel="0" collapsed="false">
      <c r="A490" s="69"/>
      <c r="B490" s="68"/>
      <c r="C490" s="68"/>
      <c r="D490" s="76" t="str">
        <f aca="false">IF(C490="","",IFERROR(INDEX(ST_Design,MATCH(C490,ST_Code,0)),"Code inconnu"))</f>
        <v/>
      </c>
      <c r="E490" s="74" t="str">
        <f aca="false">IF(C490="","",IFERROR(INDEX(ST_Unite,MATCH(C490,ST_Code,0)),""))</f>
        <v/>
      </c>
      <c r="F490" s="82"/>
      <c r="G490" s="68"/>
      <c r="H490" s="76" t="str">
        <f aca="false">IF(G490="","",IFERROR(INDEX(BC_Fourn,MATCH(G490,BC_Num,0)),""))</f>
        <v/>
      </c>
      <c r="I490" s="25"/>
      <c r="J490" s="25"/>
      <c r="K490" s="25"/>
      <c r="L490" s="25"/>
    </row>
    <row r="491" customFormat="false" ht="15" hidden="false" customHeight="false" outlineLevel="0" collapsed="false">
      <c r="A491" s="69"/>
      <c r="B491" s="68"/>
      <c r="C491" s="68"/>
      <c r="D491" s="76" t="str">
        <f aca="false">IF(C491="","",IFERROR(INDEX(ST_Design,MATCH(C491,ST_Code,0)),"Code inconnu"))</f>
        <v/>
      </c>
      <c r="E491" s="74" t="str">
        <f aca="false">IF(C491="","",IFERROR(INDEX(ST_Unite,MATCH(C491,ST_Code,0)),""))</f>
        <v/>
      </c>
      <c r="F491" s="82"/>
      <c r="G491" s="68"/>
      <c r="H491" s="76" t="str">
        <f aca="false">IF(G491="","",IFERROR(INDEX(BC_Fourn,MATCH(G491,BC_Num,0)),""))</f>
        <v/>
      </c>
      <c r="I491" s="25"/>
      <c r="J491" s="25"/>
      <c r="K491" s="25"/>
      <c r="L491" s="25"/>
    </row>
    <row r="492" customFormat="false" ht="15" hidden="false" customHeight="false" outlineLevel="0" collapsed="false">
      <c r="A492" s="69"/>
      <c r="B492" s="68"/>
      <c r="C492" s="68"/>
      <c r="D492" s="76" t="str">
        <f aca="false">IF(C492="","",IFERROR(INDEX(ST_Design,MATCH(C492,ST_Code,0)),"Code inconnu"))</f>
        <v/>
      </c>
      <c r="E492" s="74" t="str">
        <f aca="false">IF(C492="","",IFERROR(INDEX(ST_Unite,MATCH(C492,ST_Code,0)),""))</f>
        <v/>
      </c>
      <c r="F492" s="82"/>
      <c r="G492" s="68"/>
      <c r="H492" s="76" t="str">
        <f aca="false">IF(G492="","",IFERROR(INDEX(BC_Fourn,MATCH(G492,BC_Num,0)),""))</f>
        <v/>
      </c>
      <c r="I492" s="25"/>
      <c r="J492" s="25"/>
      <c r="K492" s="25"/>
      <c r="L492" s="25"/>
    </row>
    <row r="493" customFormat="false" ht="15" hidden="false" customHeight="false" outlineLevel="0" collapsed="false">
      <c r="A493" s="69"/>
      <c r="B493" s="68"/>
      <c r="C493" s="68"/>
      <c r="D493" s="76" t="str">
        <f aca="false">IF(C493="","",IFERROR(INDEX(ST_Design,MATCH(C493,ST_Code,0)),"Code inconnu"))</f>
        <v/>
      </c>
      <c r="E493" s="74" t="str">
        <f aca="false">IF(C493="","",IFERROR(INDEX(ST_Unite,MATCH(C493,ST_Code,0)),""))</f>
        <v/>
      </c>
      <c r="F493" s="82"/>
      <c r="G493" s="68"/>
      <c r="H493" s="76" t="str">
        <f aca="false">IF(G493="","",IFERROR(INDEX(BC_Fourn,MATCH(G493,BC_Num,0)),""))</f>
        <v/>
      </c>
      <c r="I493" s="25"/>
      <c r="J493" s="25"/>
      <c r="K493" s="25"/>
      <c r="L493" s="25"/>
    </row>
    <row r="494" customFormat="false" ht="15" hidden="false" customHeight="false" outlineLevel="0" collapsed="false">
      <c r="A494" s="69"/>
      <c r="B494" s="68"/>
      <c r="C494" s="68"/>
      <c r="D494" s="76" t="str">
        <f aca="false">IF(C494="","",IFERROR(INDEX(ST_Design,MATCH(C494,ST_Code,0)),"Code inconnu"))</f>
        <v/>
      </c>
      <c r="E494" s="74" t="str">
        <f aca="false">IF(C494="","",IFERROR(INDEX(ST_Unite,MATCH(C494,ST_Code,0)),""))</f>
        <v/>
      </c>
      <c r="F494" s="82"/>
      <c r="G494" s="68"/>
      <c r="H494" s="76" t="str">
        <f aca="false">IF(G494="","",IFERROR(INDEX(BC_Fourn,MATCH(G494,BC_Num,0)),""))</f>
        <v/>
      </c>
      <c r="I494" s="25"/>
      <c r="J494" s="25"/>
      <c r="K494" s="25"/>
      <c r="L494" s="25"/>
    </row>
    <row r="495" customFormat="false" ht="15" hidden="false" customHeight="false" outlineLevel="0" collapsed="false">
      <c r="A495" s="69"/>
      <c r="B495" s="68"/>
      <c r="C495" s="68"/>
      <c r="D495" s="76" t="str">
        <f aca="false">IF(C495="","",IFERROR(INDEX(ST_Design,MATCH(C495,ST_Code,0)),"Code inconnu"))</f>
        <v/>
      </c>
      <c r="E495" s="74" t="str">
        <f aca="false">IF(C495="","",IFERROR(INDEX(ST_Unite,MATCH(C495,ST_Code,0)),""))</f>
        <v/>
      </c>
      <c r="F495" s="82"/>
      <c r="G495" s="68"/>
      <c r="H495" s="76" t="str">
        <f aca="false">IF(G495="","",IFERROR(INDEX(BC_Fourn,MATCH(G495,BC_Num,0)),""))</f>
        <v/>
      </c>
      <c r="I495" s="25"/>
      <c r="J495" s="25"/>
      <c r="K495" s="25"/>
      <c r="L495" s="25"/>
    </row>
    <row r="496" customFormat="false" ht="15" hidden="false" customHeight="false" outlineLevel="0" collapsed="false">
      <c r="A496" s="69"/>
      <c r="B496" s="68"/>
      <c r="C496" s="68"/>
      <c r="D496" s="76" t="str">
        <f aca="false">IF(C496="","",IFERROR(INDEX(ST_Design,MATCH(C496,ST_Code,0)),"Code inconnu"))</f>
        <v/>
      </c>
      <c r="E496" s="74" t="str">
        <f aca="false">IF(C496="","",IFERROR(INDEX(ST_Unite,MATCH(C496,ST_Code,0)),""))</f>
        <v/>
      </c>
      <c r="F496" s="82"/>
      <c r="G496" s="68"/>
      <c r="H496" s="76" t="str">
        <f aca="false">IF(G496="","",IFERROR(INDEX(BC_Fourn,MATCH(G496,BC_Num,0)),""))</f>
        <v/>
      </c>
      <c r="I496" s="25"/>
      <c r="J496" s="25"/>
      <c r="K496" s="25"/>
      <c r="L496" s="25"/>
    </row>
    <row r="497" customFormat="false" ht="15" hidden="false" customHeight="false" outlineLevel="0" collapsed="false">
      <c r="A497" s="69"/>
      <c r="B497" s="68"/>
      <c r="C497" s="68"/>
      <c r="D497" s="76" t="str">
        <f aca="false">IF(C497="","",IFERROR(INDEX(ST_Design,MATCH(C497,ST_Code,0)),"Code inconnu"))</f>
        <v/>
      </c>
      <c r="E497" s="74" t="str">
        <f aca="false">IF(C497="","",IFERROR(INDEX(ST_Unite,MATCH(C497,ST_Code,0)),""))</f>
        <v/>
      </c>
      <c r="F497" s="82"/>
      <c r="G497" s="68"/>
      <c r="H497" s="76" t="str">
        <f aca="false">IF(G497="","",IFERROR(INDEX(BC_Fourn,MATCH(G497,BC_Num,0)),""))</f>
        <v/>
      </c>
      <c r="I497" s="25"/>
      <c r="J497" s="25"/>
      <c r="K497" s="25"/>
      <c r="L497" s="25"/>
    </row>
    <row r="498" customFormat="false" ht="15" hidden="false" customHeight="false" outlineLevel="0" collapsed="false">
      <c r="A498" s="69"/>
      <c r="B498" s="68"/>
      <c r="C498" s="68"/>
      <c r="D498" s="76" t="str">
        <f aca="false">IF(C498="","",IFERROR(INDEX(ST_Design,MATCH(C498,ST_Code,0)),"Code inconnu"))</f>
        <v/>
      </c>
      <c r="E498" s="74" t="str">
        <f aca="false">IF(C498="","",IFERROR(INDEX(ST_Unite,MATCH(C498,ST_Code,0)),""))</f>
        <v/>
      </c>
      <c r="F498" s="82"/>
      <c r="G498" s="68"/>
      <c r="H498" s="76" t="str">
        <f aca="false">IF(G498="","",IFERROR(INDEX(BC_Fourn,MATCH(G498,BC_Num,0)),""))</f>
        <v/>
      </c>
      <c r="I498" s="25"/>
      <c r="J498" s="25"/>
      <c r="K498" s="25"/>
      <c r="L498" s="25"/>
    </row>
    <row r="499" customFormat="false" ht="15" hidden="false" customHeight="false" outlineLevel="0" collapsed="false">
      <c r="A499" s="69"/>
      <c r="B499" s="68"/>
      <c r="C499" s="68"/>
      <c r="D499" s="76" t="str">
        <f aca="false">IF(C499="","",IFERROR(INDEX(ST_Design,MATCH(C499,ST_Code,0)),"Code inconnu"))</f>
        <v/>
      </c>
      <c r="E499" s="74" t="str">
        <f aca="false">IF(C499="","",IFERROR(INDEX(ST_Unite,MATCH(C499,ST_Code,0)),""))</f>
        <v/>
      </c>
      <c r="F499" s="82"/>
      <c r="G499" s="68"/>
      <c r="H499" s="76" t="str">
        <f aca="false">IF(G499="","",IFERROR(INDEX(BC_Fourn,MATCH(G499,BC_Num,0)),""))</f>
        <v/>
      </c>
      <c r="I499" s="25"/>
      <c r="J499" s="25"/>
      <c r="K499" s="25"/>
      <c r="L499" s="25"/>
    </row>
    <row r="500" customFormat="false" ht="15" hidden="false" customHeight="false" outlineLevel="0" collapsed="false">
      <c r="A500" s="69"/>
      <c r="B500" s="68"/>
      <c r="C500" s="68"/>
      <c r="D500" s="76" t="str">
        <f aca="false">IF(C500="","",IFERROR(INDEX(ST_Design,MATCH(C500,ST_Code,0)),"Code inconnu"))</f>
        <v/>
      </c>
      <c r="E500" s="74" t="str">
        <f aca="false">IF(C500="","",IFERROR(INDEX(ST_Unite,MATCH(C500,ST_Code,0)),""))</f>
        <v/>
      </c>
      <c r="F500" s="82"/>
      <c r="G500" s="68"/>
      <c r="H500" s="76" t="str">
        <f aca="false">IF(G500="","",IFERROR(INDEX(BC_Fourn,MATCH(G500,BC_Num,0)),""))</f>
        <v/>
      </c>
      <c r="I500" s="25"/>
      <c r="J500" s="25"/>
      <c r="K500" s="25"/>
      <c r="L500" s="25"/>
    </row>
    <row r="501" customFormat="false" ht="15" hidden="false" customHeight="false" outlineLevel="0" collapsed="false">
      <c r="A501" s="69"/>
      <c r="B501" s="68"/>
      <c r="C501" s="68"/>
      <c r="D501" s="76" t="str">
        <f aca="false">IF(C501="","",IFERROR(INDEX(ST_Design,MATCH(C501,ST_Code,0)),"Code inconnu"))</f>
        <v/>
      </c>
      <c r="E501" s="74" t="str">
        <f aca="false">IF(C501="","",IFERROR(INDEX(ST_Unite,MATCH(C501,ST_Code,0)),""))</f>
        <v/>
      </c>
      <c r="F501" s="82"/>
      <c r="G501" s="68"/>
      <c r="H501" s="76" t="str">
        <f aca="false">IF(G501="","",IFERROR(INDEX(BC_Fourn,MATCH(G501,BC_Num,0)),""))</f>
        <v/>
      </c>
      <c r="I501" s="25"/>
      <c r="J501" s="25"/>
      <c r="K501" s="25"/>
      <c r="L501" s="25"/>
    </row>
    <row r="502" customFormat="false" ht="15" hidden="false" customHeight="false" outlineLevel="0" collapsed="false">
      <c r="A502" s="69"/>
      <c r="B502" s="68"/>
      <c r="C502" s="68"/>
      <c r="D502" s="76" t="str">
        <f aca="false">IF(C502="","",IFERROR(INDEX(ST_Design,MATCH(C502,ST_Code,0)),"Code inconnu"))</f>
        <v/>
      </c>
      <c r="E502" s="74" t="str">
        <f aca="false">IF(C502="","",IFERROR(INDEX(ST_Unite,MATCH(C502,ST_Code,0)),""))</f>
        <v/>
      </c>
      <c r="F502" s="82"/>
      <c r="G502" s="68"/>
      <c r="H502" s="76" t="str">
        <f aca="false">IF(G502="","",IFERROR(INDEX(BC_Fourn,MATCH(G502,BC_Num,0)),""))</f>
        <v/>
      </c>
      <c r="I502" s="25"/>
      <c r="J502" s="25"/>
      <c r="K502" s="25"/>
      <c r="L502" s="25"/>
    </row>
    <row r="503" customFormat="false" ht="15" hidden="false" customHeight="false" outlineLevel="0" collapsed="false">
      <c r="A503" s="69"/>
      <c r="B503" s="68"/>
      <c r="C503" s="68"/>
      <c r="D503" s="76" t="str">
        <f aca="false">IF(C503="","",IFERROR(INDEX(ST_Design,MATCH(C503,ST_Code,0)),"Code inconnu"))</f>
        <v/>
      </c>
      <c r="E503" s="74" t="str">
        <f aca="false">IF(C503="","",IFERROR(INDEX(ST_Unite,MATCH(C503,ST_Code,0)),""))</f>
        <v/>
      </c>
      <c r="F503" s="82"/>
      <c r="G503" s="68"/>
      <c r="H503" s="76" t="str">
        <f aca="false">IF(G503="","",IFERROR(INDEX(BC_Fourn,MATCH(G503,BC_Num,0)),""))</f>
        <v/>
      </c>
      <c r="I503" s="25"/>
      <c r="J503" s="25"/>
      <c r="K503" s="25"/>
      <c r="L503" s="25"/>
    </row>
    <row r="504" customFormat="false" ht="15" hidden="false" customHeight="false" outlineLevel="0" collapsed="false">
      <c r="A504" s="69"/>
      <c r="B504" s="68"/>
      <c r="C504" s="68"/>
      <c r="D504" s="76" t="str">
        <f aca="false">IF(C504="","",IFERROR(INDEX(ST_Design,MATCH(C504,ST_Code,0)),"Code inconnu"))</f>
        <v/>
      </c>
      <c r="E504" s="74" t="str">
        <f aca="false">IF(C504="","",IFERROR(INDEX(ST_Unite,MATCH(C504,ST_Code,0)),""))</f>
        <v/>
      </c>
      <c r="F504" s="82"/>
      <c r="G504" s="68"/>
      <c r="H504" s="76" t="str">
        <f aca="false">IF(G504="","",IFERROR(INDEX(BC_Fourn,MATCH(G504,BC_Num,0)),""))</f>
        <v/>
      </c>
      <c r="I504" s="25"/>
      <c r="J504" s="25"/>
      <c r="K504" s="25"/>
      <c r="L504" s="25"/>
    </row>
    <row r="505" customFormat="false" ht="15" hidden="false" customHeight="false" outlineLevel="0" collapsed="false">
      <c r="A505" s="69"/>
      <c r="B505" s="68"/>
      <c r="C505" s="68"/>
      <c r="D505" s="76" t="str">
        <f aca="false">IF(C505="","",IFERROR(INDEX(ST_Design,MATCH(C505,ST_Code,0)),"Code inconnu"))</f>
        <v/>
      </c>
      <c r="E505" s="74" t="str">
        <f aca="false">IF(C505="","",IFERROR(INDEX(ST_Unite,MATCH(C505,ST_Code,0)),""))</f>
        <v/>
      </c>
      <c r="F505" s="82"/>
      <c r="G505" s="68"/>
      <c r="H505" s="76" t="str">
        <f aca="false">IF(G505="","",IFERROR(INDEX(BC_Fourn,MATCH(G505,BC_Num,0)),""))</f>
        <v/>
      </c>
      <c r="I505" s="25"/>
      <c r="J505" s="25"/>
      <c r="K505" s="25"/>
      <c r="L505" s="25"/>
    </row>
    <row r="506" customFormat="false" ht="15" hidden="false" customHeight="false" outlineLevel="0" collapsed="false">
      <c r="A506" s="69"/>
      <c r="B506" s="68"/>
      <c r="C506" s="68"/>
      <c r="D506" s="76" t="str">
        <f aca="false">IF(C506="","",IFERROR(INDEX(ST_Design,MATCH(C506,ST_Code,0)),"Code inconnu"))</f>
        <v/>
      </c>
      <c r="E506" s="74" t="str">
        <f aca="false">IF(C506="","",IFERROR(INDEX(ST_Unite,MATCH(C506,ST_Code,0)),""))</f>
        <v/>
      </c>
      <c r="F506" s="82"/>
      <c r="G506" s="68"/>
      <c r="H506" s="76" t="str">
        <f aca="false">IF(G506="","",IFERROR(INDEX(BC_Fourn,MATCH(G506,BC_Num,0)),""))</f>
        <v/>
      </c>
      <c r="I506" s="25"/>
      <c r="J506" s="25"/>
      <c r="K506" s="25"/>
      <c r="L506" s="25"/>
    </row>
    <row r="507" customFormat="false" ht="15" hidden="false" customHeight="false" outlineLevel="0" collapsed="false">
      <c r="A507" s="69"/>
      <c r="B507" s="68"/>
      <c r="C507" s="68"/>
      <c r="D507" s="76" t="str">
        <f aca="false">IF(C507="","",IFERROR(INDEX(ST_Design,MATCH(C507,ST_Code,0)),"Code inconnu"))</f>
        <v/>
      </c>
      <c r="E507" s="74" t="str">
        <f aca="false">IF(C507="","",IFERROR(INDEX(ST_Unite,MATCH(C507,ST_Code,0)),""))</f>
        <v/>
      </c>
      <c r="F507" s="82"/>
      <c r="G507" s="68"/>
      <c r="H507" s="76" t="str">
        <f aca="false">IF(G507="","",IFERROR(INDEX(BC_Fourn,MATCH(G507,BC_Num,0)),""))</f>
        <v/>
      </c>
      <c r="I507" s="25"/>
      <c r="J507" s="25"/>
      <c r="K507" s="25"/>
      <c r="L507" s="25"/>
    </row>
    <row r="508" customFormat="false" ht="15" hidden="false" customHeight="false" outlineLevel="0" collapsed="false">
      <c r="A508" s="69"/>
      <c r="B508" s="68"/>
      <c r="C508" s="68"/>
      <c r="D508" s="76" t="str">
        <f aca="false">IF(C508="","",IFERROR(INDEX(ST_Design,MATCH(C508,ST_Code,0)),"Code inconnu"))</f>
        <v/>
      </c>
      <c r="E508" s="74" t="str">
        <f aca="false">IF(C508="","",IFERROR(INDEX(ST_Unite,MATCH(C508,ST_Code,0)),""))</f>
        <v/>
      </c>
      <c r="F508" s="82"/>
      <c r="G508" s="68"/>
      <c r="H508" s="76" t="str">
        <f aca="false">IF(G508="","",IFERROR(INDEX(BC_Fourn,MATCH(G508,BC_Num,0)),""))</f>
        <v/>
      </c>
      <c r="I508" s="25"/>
      <c r="J508" s="25"/>
      <c r="K508" s="25"/>
      <c r="L508" s="25"/>
    </row>
    <row r="509" customFormat="false" ht="15" hidden="false" customHeight="false" outlineLevel="0" collapsed="false">
      <c r="A509" s="69"/>
      <c r="B509" s="68"/>
      <c r="C509" s="68"/>
      <c r="D509" s="76" t="str">
        <f aca="false">IF(C509="","",IFERROR(INDEX(ST_Design,MATCH(C509,ST_Code,0)),"Code inconnu"))</f>
        <v/>
      </c>
      <c r="E509" s="74" t="str">
        <f aca="false">IF(C509="","",IFERROR(INDEX(ST_Unite,MATCH(C509,ST_Code,0)),""))</f>
        <v/>
      </c>
      <c r="F509" s="82"/>
      <c r="G509" s="68"/>
      <c r="H509" s="76" t="str">
        <f aca="false">IF(G509="","",IFERROR(INDEX(BC_Fourn,MATCH(G509,BC_Num,0)),""))</f>
        <v/>
      </c>
      <c r="I509" s="25"/>
      <c r="J509" s="25"/>
      <c r="K509" s="25"/>
      <c r="L509" s="25"/>
    </row>
    <row r="510" customFormat="false" ht="15" hidden="false" customHeight="false" outlineLevel="0" collapsed="false">
      <c r="A510" s="69"/>
      <c r="B510" s="68"/>
      <c r="C510" s="68"/>
      <c r="D510" s="76" t="str">
        <f aca="false">IF(C510="","",IFERROR(INDEX(ST_Design,MATCH(C510,ST_Code,0)),"Code inconnu"))</f>
        <v/>
      </c>
      <c r="E510" s="74" t="str">
        <f aca="false">IF(C510="","",IFERROR(INDEX(ST_Unite,MATCH(C510,ST_Code,0)),""))</f>
        <v/>
      </c>
      <c r="F510" s="82"/>
      <c r="G510" s="68"/>
      <c r="H510" s="76" t="str">
        <f aca="false">IF(G510="","",IFERROR(INDEX(BC_Fourn,MATCH(G510,BC_Num,0)),""))</f>
        <v/>
      </c>
      <c r="I510" s="25"/>
      <c r="J510" s="25"/>
      <c r="K510" s="25"/>
      <c r="L510" s="25"/>
    </row>
    <row r="511" customFormat="false" ht="15" hidden="false" customHeight="false" outlineLevel="0" collapsed="false">
      <c r="A511" s="69"/>
      <c r="B511" s="68"/>
      <c r="C511" s="68"/>
      <c r="D511" s="76" t="str">
        <f aca="false">IF(C511="","",IFERROR(INDEX(ST_Design,MATCH(C511,ST_Code,0)),"Code inconnu"))</f>
        <v/>
      </c>
      <c r="E511" s="74" t="str">
        <f aca="false">IF(C511="","",IFERROR(INDEX(ST_Unite,MATCH(C511,ST_Code,0)),""))</f>
        <v/>
      </c>
      <c r="F511" s="82"/>
      <c r="G511" s="68"/>
      <c r="H511" s="76" t="str">
        <f aca="false">IF(G511="","",IFERROR(INDEX(BC_Fourn,MATCH(G511,BC_Num,0)),""))</f>
        <v/>
      </c>
      <c r="I511" s="25"/>
      <c r="J511" s="25"/>
      <c r="K511" s="25"/>
      <c r="L511" s="25"/>
    </row>
    <row r="512" customFormat="false" ht="15" hidden="false" customHeight="false" outlineLevel="0" collapsed="false">
      <c r="A512" s="69"/>
      <c r="B512" s="68"/>
      <c r="C512" s="68"/>
      <c r="D512" s="76" t="str">
        <f aca="false">IF(C512="","",IFERROR(INDEX(ST_Design,MATCH(C512,ST_Code,0)),"Code inconnu"))</f>
        <v/>
      </c>
      <c r="E512" s="74" t="str">
        <f aca="false">IF(C512="","",IFERROR(INDEX(ST_Unite,MATCH(C512,ST_Code,0)),""))</f>
        <v/>
      </c>
      <c r="F512" s="82"/>
      <c r="G512" s="68"/>
      <c r="H512" s="76" t="str">
        <f aca="false">IF(G512="","",IFERROR(INDEX(BC_Fourn,MATCH(G512,BC_Num,0)),""))</f>
        <v/>
      </c>
      <c r="I512" s="25"/>
      <c r="J512" s="25"/>
      <c r="K512" s="25"/>
      <c r="L512" s="25"/>
    </row>
    <row r="513" customFormat="false" ht="15" hidden="false" customHeight="false" outlineLevel="0" collapsed="false">
      <c r="A513" s="69"/>
      <c r="B513" s="68"/>
      <c r="C513" s="68"/>
      <c r="D513" s="76" t="str">
        <f aca="false">IF(C513="","",IFERROR(INDEX(ST_Design,MATCH(C513,ST_Code,0)),"Code inconnu"))</f>
        <v/>
      </c>
      <c r="E513" s="74" t="str">
        <f aca="false">IF(C513="","",IFERROR(INDEX(ST_Unite,MATCH(C513,ST_Code,0)),""))</f>
        <v/>
      </c>
      <c r="F513" s="82"/>
      <c r="G513" s="68"/>
      <c r="H513" s="76" t="str">
        <f aca="false">IF(G513="","",IFERROR(INDEX(BC_Fourn,MATCH(G513,BC_Num,0)),""))</f>
        <v/>
      </c>
      <c r="I513" s="25"/>
      <c r="J513" s="25"/>
      <c r="K513" s="25"/>
      <c r="L513" s="25"/>
    </row>
    <row r="514" customFormat="false" ht="15" hidden="false" customHeight="false" outlineLevel="0" collapsed="false">
      <c r="A514" s="69"/>
      <c r="B514" s="68"/>
      <c r="C514" s="68"/>
      <c r="D514" s="76" t="str">
        <f aca="false">IF(C514="","",IFERROR(INDEX(ST_Design,MATCH(C514,ST_Code,0)),"Code inconnu"))</f>
        <v/>
      </c>
      <c r="E514" s="74" t="str">
        <f aca="false">IF(C514="","",IFERROR(INDEX(ST_Unite,MATCH(C514,ST_Code,0)),""))</f>
        <v/>
      </c>
      <c r="F514" s="82"/>
      <c r="G514" s="68"/>
      <c r="H514" s="76" t="str">
        <f aca="false">IF(G514="","",IFERROR(INDEX(BC_Fourn,MATCH(G514,BC_Num,0)),""))</f>
        <v/>
      </c>
      <c r="I514" s="25"/>
      <c r="J514" s="25"/>
      <c r="K514" s="25"/>
      <c r="L514" s="25"/>
    </row>
    <row r="515" customFormat="false" ht="15" hidden="false" customHeight="false" outlineLevel="0" collapsed="false">
      <c r="A515" s="69"/>
      <c r="B515" s="68"/>
      <c r="C515" s="68"/>
      <c r="D515" s="76" t="str">
        <f aca="false">IF(C515="","",IFERROR(INDEX(ST_Design,MATCH(C515,ST_Code,0)),"Code inconnu"))</f>
        <v/>
      </c>
      <c r="E515" s="74" t="str">
        <f aca="false">IF(C515="","",IFERROR(INDEX(ST_Unite,MATCH(C515,ST_Code,0)),""))</f>
        <v/>
      </c>
      <c r="F515" s="82"/>
      <c r="G515" s="68"/>
      <c r="H515" s="76" t="str">
        <f aca="false">IF(G515="","",IFERROR(INDEX(BC_Fourn,MATCH(G515,BC_Num,0)),""))</f>
        <v/>
      </c>
      <c r="I515" s="25"/>
      <c r="J515" s="25"/>
      <c r="K515" s="25"/>
      <c r="L515" s="25"/>
    </row>
    <row r="516" customFormat="false" ht="15" hidden="false" customHeight="false" outlineLevel="0" collapsed="false">
      <c r="A516" s="69"/>
      <c r="B516" s="68"/>
      <c r="C516" s="68"/>
      <c r="D516" s="76" t="str">
        <f aca="false">IF(C516="","",IFERROR(INDEX(ST_Design,MATCH(C516,ST_Code,0)),"Code inconnu"))</f>
        <v/>
      </c>
      <c r="E516" s="74" t="str">
        <f aca="false">IF(C516="","",IFERROR(INDEX(ST_Unite,MATCH(C516,ST_Code,0)),""))</f>
        <v/>
      </c>
      <c r="F516" s="82"/>
      <c r="G516" s="68"/>
      <c r="H516" s="76" t="str">
        <f aca="false">IF(G516="","",IFERROR(INDEX(BC_Fourn,MATCH(G516,BC_Num,0)),""))</f>
        <v/>
      </c>
      <c r="I516" s="25"/>
      <c r="J516" s="25"/>
      <c r="K516" s="25"/>
      <c r="L516" s="25"/>
    </row>
    <row r="517" customFormat="false" ht="15" hidden="false" customHeight="false" outlineLevel="0" collapsed="false">
      <c r="A517" s="69"/>
      <c r="B517" s="68"/>
      <c r="C517" s="68"/>
      <c r="D517" s="76" t="str">
        <f aca="false">IF(C517="","",IFERROR(INDEX(ST_Design,MATCH(C517,ST_Code,0)),"Code inconnu"))</f>
        <v/>
      </c>
      <c r="E517" s="74" t="str">
        <f aca="false">IF(C517="","",IFERROR(INDEX(ST_Unite,MATCH(C517,ST_Code,0)),""))</f>
        <v/>
      </c>
      <c r="F517" s="82"/>
      <c r="G517" s="68"/>
      <c r="H517" s="76" t="str">
        <f aca="false">IF(G517="","",IFERROR(INDEX(BC_Fourn,MATCH(G517,BC_Num,0)),""))</f>
        <v/>
      </c>
      <c r="I517" s="25"/>
      <c r="J517" s="25"/>
      <c r="K517" s="25"/>
      <c r="L517" s="25"/>
    </row>
    <row r="518" customFormat="false" ht="15" hidden="false" customHeight="false" outlineLevel="0" collapsed="false">
      <c r="A518" s="69"/>
      <c r="B518" s="68"/>
      <c r="C518" s="68"/>
      <c r="D518" s="76" t="str">
        <f aca="false">IF(C518="","",IFERROR(INDEX(ST_Design,MATCH(C518,ST_Code,0)),"Code inconnu"))</f>
        <v/>
      </c>
      <c r="E518" s="74" t="str">
        <f aca="false">IF(C518="","",IFERROR(INDEX(ST_Unite,MATCH(C518,ST_Code,0)),""))</f>
        <v/>
      </c>
      <c r="F518" s="82"/>
      <c r="G518" s="68"/>
      <c r="H518" s="76" t="str">
        <f aca="false">IF(G518="","",IFERROR(INDEX(BC_Fourn,MATCH(G518,BC_Num,0)),""))</f>
        <v/>
      </c>
      <c r="I518" s="25"/>
      <c r="J518" s="25"/>
      <c r="K518" s="25"/>
      <c r="L518" s="25"/>
    </row>
    <row r="519" customFormat="false" ht="15" hidden="false" customHeight="false" outlineLevel="0" collapsed="false">
      <c r="A519" s="69"/>
      <c r="B519" s="68"/>
      <c r="C519" s="68"/>
      <c r="D519" s="76" t="str">
        <f aca="false">IF(C519="","",IFERROR(INDEX(ST_Design,MATCH(C519,ST_Code,0)),"Code inconnu"))</f>
        <v/>
      </c>
      <c r="E519" s="74" t="str">
        <f aca="false">IF(C519="","",IFERROR(INDEX(ST_Unite,MATCH(C519,ST_Code,0)),""))</f>
        <v/>
      </c>
      <c r="F519" s="82"/>
      <c r="G519" s="68"/>
      <c r="H519" s="76" t="str">
        <f aca="false">IF(G519="","",IFERROR(INDEX(BC_Fourn,MATCH(G519,BC_Num,0)),""))</f>
        <v/>
      </c>
      <c r="I519" s="25"/>
      <c r="J519" s="25"/>
      <c r="K519" s="25"/>
      <c r="L519" s="25"/>
    </row>
    <row r="520" customFormat="false" ht="15" hidden="false" customHeight="false" outlineLevel="0" collapsed="false">
      <c r="A520" s="69"/>
      <c r="B520" s="68"/>
      <c r="C520" s="68"/>
      <c r="D520" s="76" t="str">
        <f aca="false">IF(C520="","",IFERROR(INDEX(ST_Design,MATCH(C520,ST_Code,0)),"Code inconnu"))</f>
        <v/>
      </c>
      <c r="E520" s="74" t="str">
        <f aca="false">IF(C520="","",IFERROR(INDEX(ST_Unite,MATCH(C520,ST_Code,0)),""))</f>
        <v/>
      </c>
      <c r="F520" s="82"/>
      <c r="G520" s="68"/>
      <c r="H520" s="76" t="str">
        <f aca="false">IF(G520="","",IFERROR(INDEX(BC_Fourn,MATCH(G520,BC_Num,0)),""))</f>
        <v/>
      </c>
      <c r="I520" s="25"/>
      <c r="J520" s="25"/>
      <c r="K520" s="25"/>
      <c r="L520" s="25"/>
    </row>
    <row r="521" customFormat="false" ht="15" hidden="false" customHeight="false" outlineLevel="0" collapsed="false">
      <c r="A521" s="69"/>
      <c r="B521" s="68"/>
      <c r="C521" s="68"/>
      <c r="D521" s="76" t="str">
        <f aca="false">IF(C521="","",IFERROR(INDEX(ST_Design,MATCH(C521,ST_Code,0)),"Code inconnu"))</f>
        <v/>
      </c>
      <c r="E521" s="74" t="str">
        <f aca="false">IF(C521="","",IFERROR(INDEX(ST_Unite,MATCH(C521,ST_Code,0)),""))</f>
        <v/>
      </c>
      <c r="F521" s="82"/>
      <c r="G521" s="68"/>
      <c r="H521" s="76" t="str">
        <f aca="false">IF(G521="","",IFERROR(INDEX(BC_Fourn,MATCH(G521,BC_Num,0)),""))</f>
        <v/>
      </c>
      <c r="I521" s="25"/>
      <c r="J521" s="25"/>
      <c r="K521" s="25"/>
      <c r="L521" s="25"/>
    </row>
    <row r="522" customFormat="false" ht="15" hidden="false" customHeight="false" outlineLevel="0" collapsed="false">
      <c r="A522" s="69"/>
      <c r="B522" s="68"/>
      <c r="C522" s="68"/>
      <c r="D522" s="76" t="str">
        <f aca="false">IF(C522="","",IFERROR(INDEX(ST_Design,MATCH(C522,ST_Code,0)),"Code inconnu"))</f>
        <v/>
      </c>
      <c r="E522" s="74" t="str">
        <f aca="false">IF(C522="","",IFERROR(INDEX(ST_Unite,MATCH(C522,ST_Code,0)),""))</f>
        <v/>
      </c>
      <c r="F522" s="82"/>
      <c r="G522" s="68"/>
      <c r="H522" s="76" t="str">
        <f aca="false">IF(G522="","",IFERROR(INDEX(BC_Fourn,MATCH(G522,BC_Num,0)),""))</f>
        <v/>
      </c>
      <c r="I522" s="25"/>
      <c r="J522" s="25"/>
      <c r="K522" s="25"/>
      <c r="L522" s="25"/>
    </row>
    <row r="523" customFormat="false" ht="15" hidden="false" customHeight="false" outlineLevel="0" collapsed="false">
      <c r="A523" s="69"/>
      <c r="B523" s="68"/>
      <c r="C523" s="68"/>
      <c r="D523" s="76" t="str">
        <f aca="false">IF(C523="","",IFERROR(INDEX(ST_Design,MATCH(C523,ST_Code,0)),"Code inconnu"))</f>
        <v/>
      </c>
      <c r="E523" s="74" t="str">
        <f aca="false">IF(C523="","",IFERROR(INDEX(ST_Unite,MATCH(C523,ST_Code,0)),""))</f>
        <v/>
      </c>
      <c r="F523" s="82"/>
      <c r="G523" s="68"/>
      <c r="H523" s="76" t="str">
        <f aca="false">IF(G523="","",IFERROR(INDEX(BC_Fourn,MATCH(G523,BC_Num,0)),""))</f>
        <v/>
      </c>
      <c r="I523" s="25"/>
      <c r="J523" s="25"/>
      <c r="K523" s="25"/>
      <c r="L523" s="25"/>
    </row>
    <row r="524" customFormat="false" ht="15" hidden="false" customHeight="false" outlineLevel="0" collapsed="false">
      <c r="A524" s="69"/>
      <c r="B524" s="68"/>
      <c r="C524" s="68"/>
      <c r="D524" s="76" t="str">
        <f aca="false">IF(C524="","",IFERROR(INDEX(ST_Design,MATCH(C524,ST_Code,0)),"Code inconnu"))</f>
        <v/>
      </c>
      <c r="E524" s="74" t="str">
        <f aca="false">IF(C524="","",IFERROR(INDEX(ST_Unite,MATCH(C524,ST_Code,0)),""))</f>
        <v/>
      </c>
      <c r="F524" s="82"/>
      <c r="G524" s="68"/>
      <c r="H524" s="76" t="str">
        <f aca="false">IF(G524="","",IFERROR(INDEX(BC_Fourn,MATCH(G524,BC_Num,0)),""))</f>
        <v/>
      </c>
      <c r="I524" s="25"/>
      <c r="J524" s="25"/>
      <c r="K524" s="25"/>
      <c r="L524" s="25"/>
    </row>
    <row r="525" customFormat="false" ht="15" hidden="false" customHeight="false" outlineLevel="0" collapsed="false">
      <c r="A525" s="69"/>
      <c r="B525" s="68"/>
      <c r="C525" s="68"/>
      <c r="D525" s="76" t="str">
        <f aca="false">IF(C525="","",IFERROR(INDEX(ST_Design,MATCH(C525,ST_Code,0)),"Code inconnu"))</f>
        <v/>
      </c>
      <c r="E525" s="74" t="str">
        <f aca="false">IF(C525="","",IFERROR(INDEX(ST_Unite,MATCH(C525,ST_Code,0)),""))</f>
        <v/>
      </c>
      <c r="F525" s="82"/>
      <c r="G525" s="68"/>
      <c r="H525" s="76" t="str">
        <f aca="false">IF(G525="","",IFERROR(INDEX(BC_Fourn,MATCH(G525,BC_Num,0)),""))</f>
        <v/>
      </c>
      <c r="I525" s="25"/>
      <c r="J525" s="25"/>
      <c r="K525" s="25"/>
      <c r="L525" s="25"/>
    </row>
    <row r="526" customFormat="false" ht="15" hidden="false" customHeight="false" outlineLevel="0" collapsed="false">
      <c r="A526" s="69"/>
      <c r="B526" s="68"/>
      <c r="C526" s="68"/>
      <c r="D526" s="76" t="str">
        <f aca="false">IF(C526="","",IFERROR(INDEX(ST_Design,MATCH(C526,ST_Code,0)),"Code inconnu"))</f>
        <v/>
      </c>
      <c r="E526" s="74" t="str">
        <f aca="false">IF(C526="","",IFERROR(INDEX(ST_Unite,MATCH(C526,ST_Code,0)),""))</f>
        <v/>
      </c>
      <c r="F526" s="82"/>
      <c r="G526" s="68"/>
      <c r="H526" s="76" t="str">
        <f aca="false">IF(G526="","",IFERROR(INDEX(BC_Fourn,MATCH(G526,BC_Num,0)),""))</f>
        <v/>
      </c>
      <c r="I526" s="25"/>
      <c r="J526" s="25"/>
      <c r="K526" s="25"/>
      <c r="L526" s="25"/>
    </row>
    <row r="527" customFormat="false" ht="15" hidden="false" customHeight="false" outlineLevel="0" collapsed="false">
      <c r="A527" s="69"/>
      <c r="B527" s="68"/>
      <c r="C527" s="68"/>
      <c r="D527" s="76" t="str">
        <f aca="false">IF(C527="","",IFERROR(INDEX(ST_Design,MATCH(C527,ST_Code,0)),"Code inconnu"))</f>
        <v/>
      </c>
      <c r="E527" s="74" t="str">
        <f aca="false">IF(C527="","",IFERROR(INDEX(ST_Unite,MATCH(C527,ST_Code,0)),""))</f>
        <v/>
      </c>
      <c r="F527" s="82"/>
      <c r="G527" s="68"/>
      <c r="H527" s="76" t="str">
        <f aca="false">IF(G527="","",IFERROR(INDEX(BC_Fourn,MATCH(G527,BC_Num,0)),""))</f>
        <v/>
      </c>
      <c r="I527" s="25"/>
      <c r="J527" s="25"/>
      <c r="K527" s="25"/>
      <c r="L527" s="25"/>
    </row>
    <row r="528" customFormat="false" ht="15" hidden="false" customHeight="false" outlineLevel="0" collapsed="false">
      <c r="A528" s="69"/>
      <c r="B528" s="68"/>
      <c r="C528" s="68"/>
      <c r="D528" s="76" t="str">
        <f aca="false">IF(C528="","",IFERROR(INDEX(ST_Design,MATCH(C528,ST_Code,0)),"Code inconnu"))</f>
        <v/>
      </c>
      <c r="E528" s="74" t="str">
        <f aca="false">IF(C528="","",IFERROR(INDEX(ST_Unite,MATCH(C528,ST_Code,0)),""))</f>
        <v/>
      </c>
      <c r="F528" s="82"/>
      <c r="G528" s="68"/>
      <c r="H528" s="76" t="str">
        <f aca="false">IF(G528="","",IFERROR(INDEX(BC_Fourn,MATCH(G528,BC_Num,0)),""))</f>
        <v/>
      </c>
      <c r="I528" s="25"/>
      <c r="J528" s="25"/>
      <c r="K528" s="25"/>
      <c r="L528" s="25"/>
    </row>
    <row r="529" customFormat="false" ht="15" hidden="false" customHeight="false" outlineLevel="0" collapsed="false">
      <c r="A529" s="69"/>
      <c r="B529" s="68"/>
      <c r="C529" s="68"/>
      <c r="D529" s="76" t="str">
        <f aca="false">IF(C529="","",IFERROR(INDEX(ST_Design,MATCH(C529,ST_Code,0)),"Code inconnu"))</f>
        <v/>
      </c>
      <c r="E529" s="74" t="str">
        <f aca="false">IF(C529="","",IFERROR(INDEX(ST_Unite,MATCH(C529,ST_Code,0)),""))</f>
        <v/>
      </c>
      <c r="F529" s="82"/>
      <c r="G529" s="68"/>
      <c r="H529" s="76" t="str">
        <f aca="false">IF(G529="","",IFERROR(INDEX(BC_Fourn,MATCH(G529,BC_Num,0)),""))</f>
        <v/>
      </c>
      <c r="I529" s="25"/>
      <c r="J529" s="25"/>
      <c r="K529" s="25"/>
      <c r="L529" s="25"/>
    </row>
    <row r="530" customFormat="false" ht="15" hidden="false" customHeight="false" outlineLevel="0" collapsed="false">
      <c r="A530" s="69"/>
      <c r="B530" s="68"/>
      <c r="C530" s="68"/>
      <c r="D530" s="76" t="str">
        <f aca="false">IF(C530="","",IFERROR(INDEX(ST_Design,MATCH(C530,ST_Code,0)),"Code inconnu"))</f>
        <v/>
      </c>
      <c r="E530" s="74" t="str">
        <f aca="false">IF(C530="","",IFERROR(INDEX(ST_Unite,MATCH(C530,ST_Code,0)),""))</f>
        <v/>
      </c>
      <c r="F530" s="82"/>
      <c r="G530" s="68"/>
      <c r="H530" s="76" t="str">
        <f aca="false">IF(G530="","",IFERROR(INDEX(BC_Fourn,MATCH(G530,BC_Num,0)),""))</f>
        <v/>
      </c>
      <c r="I530" s="25"/>
      <c r="J530" s="25"/>
      <c r="K530" s="25"/>
      <c r="L530" s="25"/>
    </row>
    <row r="531" customFormat="false" ht="15" hidden="false" customHeight="false" outlineLevel="0" collapsed="false">
      <c r="A531" s="69"/>
      <c r="B531" s="68"/>
      <c r="C531" s="68"/>
      <c r="D531" s="76" t="str">
        <f aca="false">IF(C531="","",IFERROR(INDEX(ST_Design,MATCH(C531,ST_Code,0)),"Code inconnu"))</f>
        <v/>
      </c>
      <c r="E531" s="74" t="str">
        <f aca="false">IF(C531="","",IFERROR(INDEX(ST_Unite,MATCH(C531,ST_Code,0)),""))</f>
        <v/>
      </c>
      <c r="F531" s="82"/>
      <c r="G531" s="68"/>
      <c r="H531" s="76" t="str">
        <f aca="false">IF(G531="","",IFERROR(INDEX(BC_Fourn,MATCH(G531,BC_Num,0)),""))</f>
        <v/>
      </c>
      <c r="I531" s="25"/>
      <c r="J531" s="25"/>
      <c r="K531" s="25"/>
      <c r="L531" s="25"/>
    </row>
    <row r="532" customFormat="false" ht="15" hidden="false" customHeight="false" outlineLevel="0" collapsed="false">
      <c r="A532" s="69"/>
      <c r="B532" s="68"/>
      <c r="C532" s="68"/>
      <c r="D532" s="76" t="str">
        <f aca="false">IF(C532="","",IFERROR(INDEX(ST_Design,MATCH(C532,ST_Code,0)),"Code inconnu"))</f>
        <v/>
      </c>
      <c r="E532" s="74" t="str">
        <f aca="false">IF(C532="","",IFERROR(INDEX(ST_Unite,MATCH(C532,ST_Code,0)),""))</f>
        <v/>
      </c>
      <c r="F532" s="82"/>
      <c r="G532" s="68"/>
      <c r="H532" s="76" t="str">
        <f aca="false">IF(G532="","",IFERROR(INDEX(BC_Fourn,MATCH(G532,BC_Num,0)),""))</f>
        <v/>
      </c>
      <c r="I532" s="25"/>
      <c r="J532" s="25"/>
      <c r="K532" s="25"/>
      <c r="L532" s="25"/>
    </row>
    <row r="533" customFormat="false" ht="15" hidden="false" customHeight="false" outlineLevel="0" collapsed="false">
      <c r="A533" s="69"/>
      <c r="B533" s="68"/>
      <c r="C533" s="68"/>
      <c r="D533" s="76" t="str">
        <f aca="false">IF(C533="","",IFERROR(INDEX(ST_Design,MATCH(C533,ST_Code,0)),"Code inconnu"))</f>
        <v/>
      </c>
      <c r="E533" s="74" t="str">
        <f aca="false">IF(C533="","",IFERROR(INDEX(ST_Unite,MATCH(C533,ST_Code,0)),""))</f>
        <v/>
      </c>
      <c r="F533" s="82"/>
      <c r="G533" s="68"/>
      <c r="H533" s="76" t="str">
        <f aca="false">IF(G533="","",IFERROR(INDEX(BC_Fourn,MATCH(G533,BC_Num,0)),""))</f>
        <v/>
      </c>
      <c r="I533" s="25"/>
      <c r="J533" s="25"/>
      <c r="K533" s="25"/>
      <c r="L533" s="25"/>
    </row>
    <row r="534" customFormat="false" ht="15" hidden="false" customHeight="false" outlineLevel="0" collapsed="false">
      <c r="A534" s="69"/>
      <c r="B534" s="68"/>
      <c r="C534" s="68"/>
      <c r="D534" s="76" t="str">
        <f aca="false">IF(C534="","",IFERROR(INDEX(ST_Design,MATCH(C534,ST_Code,0)),"Code inconnu"))</f>
        <v/>
      </c>
      <c r="E534" s="74" t="str">
        <f aca="false">IF(C534="","",IFERROR(INDEX(ST_Unite,MATCH(C534,ST_Code,0)),""))</f>
        <v/>
      </c>
      <c r="F534" s="82"/>
      <c r="G534" s="68"/>
      <c r="H534" s="76" t="str">
        <f aca="false">IF(G534="","",IFERROR(INDEX(BC_Fourn,MATCH(G534,BC_Num,0)),""))</f>
        <v/>
      </c>
      <c r="I534" s="25"/>
      <c r="J534" s="25"/>
      <c r="K534" s="25"/>
      <c r="L534" s="25"/>
    </row>
    <row r="535" customFormat="false" ht="15" hidden="false" customHeight="false" outlineLevel="0" collapsed="false">
      <c r="A535" s="69"/>
      <c r="B535" s="68"/>
      <c r="C535" s="68"/>
      <c r="D535" s="76" t="str">
        <f aca="false">IF(C535="","",IFERROR(INDEX(ST_Design,MATCH(C535,ST_Code,0)),"Code inconnu"))</f>
        <v/>
      </c>
      <c r="E535" s="74" t="str">
        <f aca="false">IF(C535="","",IFERROR(INDEX(ST_Unite,MATCH(C535,ST_Code,0)),""))</f>
        <v/>
      </c>
      <c r="F535" s="82"/>
      <c r="G535" s="68"/>
      <c r="H535" s="76" t="str">
        <f aca="false">IF(G535="","",IFERROR(INDEX(BC_Fourn,MATCH(G535,BC_Num,0)),""))</f>
        <v/>
      </c>
      <c r="I535" s="25"/>
      <c r="J535" s="25"/>
      <c r="K535" s="25"/>
      <c r="L535" s="25"/>
    </row>
    <row r="536" customFormat="false" ht="15" hidden="false" customHeight="false" outlineLevel="0" collapsed="false">
      <c r="A536" s="69"/>
      <c r="B536" s="68"/>
      <c r="C536" s="68"/>
      <c r="D536" s="76" t="str">
        <f aca="false">IF(C536="","",IFERROR(INDEX(ST_Design,MATCH(C536,ST_Code,0)),"Code inconnu"))</f>
        <v/>
      </c>
      <c r="E536" s="74" t="str">
        <f aca="false">IF(C536="","",IFERROR(INDEX(ST_Unite,MATCH(C536,ST_Code,0)),""))</f>
        <v/>
      </c>
      <c r="F536" s="82"/>
      <c r="G536" s="68"/>
      <c r="H536" s="76" t="str">
        <f aca="false">IF(G536="","",IFERROR(INDEX(BC_Fourn,MATCH(G536,BC_Num,0)),""))</f>
        <v/>
      </c>
      <c r="I536" s="25"/>
      <c r="J536" s="25"/>
      <c r="K536" s="25"/>
      <c r="L536" s="25"/>
    </row>
    <row r="537" customFormat="false" ht="15" hidden="false" customHeight="false" outlineLevel="0" collapsed="false">
      <c r="A537" s="69"/>
      <c r="B537" s="68"/>
      <c r="C537" s="68"/>
      <c r="D537" s="76" t="str">
        <f aca="false">IF(C537="","",IFERROR(INDEX(ST_Design,MATCH(C537,ST_Code,0)),"Code inconnu"))</f>
        <v/>
      </c>
      <c r="E537" s="74" t="str">
        <f aca="false">IF(C537="","",IFERROR(INDEX(ST_Unite,MATCH(C537,ST_Code,0)),""))</f>
        <v/>
      </c>
      <c r="F537" s="82"/>
      <c r="G537" s="68"/>
      <c r="H537" s="76" t="str">
        <f aca="false">IF(G537="","",IFERROR(INDEX(BC_Fourn,MATCH(G537,BC_Num,0)),""))</f>
        <v/>
      </c>
      <c r="I537" s="25"/>
      <c r="J537" s="25"/>
      <c r="K537" s="25"/>
      <c r="L537" s="25"/>
    </row>
    <row r="538" customFormat="false" ht="15" hidden="false" customHeight="false" outlineLevel="0" collapsed="false">
      <c r="A538" s="69"/>
      <c r="B538" s="68"/>
      <c r="C538" s="68"/>
      <c r="D538" s="76" t="str">
        <f aca="false">IF(C538="","",IFERROR(INDEX(ST_Design,MATCH(C538,ST_Code,0)),"Code inconnu"))</f>
        <v/>
      </c>
      <c r="E538" s="74" t="str">
        <f aca="false">IF(C538="","",IFERROR(INDEX(ST_Unite,MATCH(C538,ST_Code,0)),""))</f>
        <v/>
      </c>
      <c r="F538" s="82"/>
      <c r="G538" s="68"/>
      <c r="H538" s="76" t="str">
        <f aca="false">IF(G538="","",IFERROR(INDEX(BC_Fourn,MATCH(G538,BC_Num,0)),""))</f>
        <v/>
      </c>
      <c r="I538" s="25"/>
      <c r="J538" s="25"/>
      <c r="K538" s="25"/>
      <c r="L538" s="25"/>
    </row>
    <row r="539" customFormat="false" ht="15" hidden="false" customHeight="false" outlineLevel="0" collapsed="false">
      <c r="A539" s="69"/>
      <c r="B539" s="68"/>
      <c r="C539" s="68"/>
      <c r="D539" s="76" t="str">
        <f aca="false">IF(C539="","",IFERROR(INDEX(ST_Design,MATCH(C539,ST_Code,0)),"Code inconnu"))</f>
        <v/>
      </c>
      <c r="E539" s="74" t="str">
        <f aca="false">IF(C539="","",IFERROR(INDEX(ST_Unite,MATCH(C539,ST_Code,0)),""))</f>
        <v/>
      </c>
      <c r="F539" s="82"/>
      <c r="G539" s="68"/>
      <c r="H539" s="76" t="str">
        <f aca="false">IF(G539="","",IFERROR(INDEX(BC_Fourn,MATCH(G539,BC_Num,0)),""))</f>
        <v/>
      </c>
      <c r="I539" s="25"/>
      <c r="J539" s="25"/>
      <c r="K539" s="25"/>
      <c r="L539" s="25"/>
    </row>
    <row r="540" customFormat="false" ht="15" hidden="false" customHeight="false" outlineLevel="0" collapsed="false">
      <c r="A540" s="69"/>
      <c r="B540" s="68"/>
      <c r="C540" s="68"/>
      <c r="D540" s="76" t="str">
        <f aca="false">IF(C540="","",IFERROR(INDEX(ST_Design,MATCH(C540,ST_Code,0)),"Code inconnu"))</f>
        <v/>
      </c>
      <c r="E540" s="74" t="str">
        <f aca="false">IF(C540="","",IFERROR(INDEX(ST_Unite,MATCH(C540,ST_Code,0)),""))</f>
        <v/>
      </c>
      <c r="F540" s="82"/>
      <c r="G540" s="68"/>
      <c r="H540" s="76" t="str">
        <f aca="false">IF(G540="","",IFERROR(INDEX(BC_Fourn,MATCH(G540,BC_Num,0)),""))</f>
        <v/>
      </c>
      <c r="I540" s="25"/>
      <c r="J540" s="25"/>
      <c r="K540" s="25"/>
      <c r="L540" s="25"/>
    </row>
    <row r="541" customFormat="false" ht="15" hidden="false" customHeight="false" outlineLevel="0" collapsed="false">
      <c r="A541" s="69"/>
      <c r="B541" s="68"/>
      <c r="C541" s="68"/>
      <c r="D541" s="76" t="str">
        <f aca="false">IF(C541="","",IFERROR(INDEX(ST_Design,MATCH(C541,ST_Code,0)),"Code inconnu"))</f>
        <v/>
      </c>
      <c r="E541" s="74" t="str">
        <f aca="false">IF(C541="","",IFERROR(INDEX(ST_Unite,MATCH(C541,ST_Code,0)),""))</f>
        <v/>
      </c>
      <c r="F541" s="82"/>
      <c r="G541" s="68"/>
      <c r="H541" s="76" t="str">
        <f aca="false">IF(G541="","",IFERROR(INDEX(BC_Fourn,MATCH(G541,BC_Num,0)),""))</f>
        <v/>
      </c>
      <c r="I541" s="25"/>
      <c r="J541" s="25"/>
      <c r="K541" s="25"/>
      <c r="L541" s="25"/>
    </row>
    <row r="542" customFormat="false" ht="15" hidden="false" customHeight="false" outlineLevel="0" collapsed="false">
      <c r="A542" s="69"/>
      <c r="B542" s="68"/>
      <c r="C542" s="68"/>
      <c r="D542" s="76" t="str">
        <f aca="false">IF(C542="","",IFERROR(INDEX(ST_Design,MATCH(C542,ST_Code,0)),"Code inconnu"))</f>
        <v/>
      </c>
      <c r="E542" s="74" t="str">
        <f aca="false">IF(C542="","",IFERROR(INDEX(ST_Unite,MATCH(C542,ST_Code,0)),""))</f>
        <v/>
      </c>
      <c r="F542" s="82"/>
      <c r="G542" s="68"/>
      <c r="H542" s="76" t="str">
        <f aca="false">IF(G542="","",IFERROR(INDEX(BC_Fourn,MATCH(G542,BC_Num,0)),""))</f>
        <v/>
      </c>
      <c r="I542" s="25"/>
      <c r="J542" s="25"/>
      <c r="K542" s="25"/>
      <c r="L542" s="25"/>
    </row>
    <row r="543" customFormat="false" ht="15" hidden="false" customHeight="false" outlineLevel="0" collapsed="false">
      <c r="A543" s="69"/>
      <c r="B543" s="68"/>
      <c r="C543" s="68"/>
      <c r="D543" s="76" t="str">
        <f aca="false">IF(C543="","",IFERROR(INDEX(ST_Design,MATCH(C543,ST_Code,0)),"Code inconnu"))</f>
        <v/>
      </c>
      <c r="E543" s="74" t="str">
        <f aca="false">IF(C543="","",IFERROR(INDEX(ST_Unite,MATCH(C543,ST_Code,0)),""))</f>
        <v/>
      </c>
      <c r="F543" s="82"/>
      <c r="G543" s="68"/>
      <c r="H543" s="76" t="str">
        <f aca="false">IF(G543="","",IFERROR(INDEX(BC_Fourn,MATCH(G543,BC_Num,0)),""))</f>
        <v/>
      </c>
      <c r="I543" s="25"/>
      <c r="J543" s="25"/>
      <c r="K543" s="25"/>
      <c r="L543" s="25"/>
    </row>
    <row r="544" customFormat="false" ht="15" hidden="false" customHeight="false" outlineLevel="0" collapsed="false">
      <c r="A544" s="69"/>
      <c r="B544" s="68"/>
      <c r="C544" s="68"/>
      <c r="D544" s="76" t="str">
        <f aca="false">IF(C544="","",IFERROR(INDEX(ST_Design,MATCH(C544,ST_Code,0)),"Code inconnu"))</f>
        <v/>
      </c>
      <c r="E544" s="74" t="str">
        <f aca="false">IF(C544="","",IFERROR(INDEX(ST_Unite,MATCH(C544,ST_Code,0)),""))</f>
        <v/>
      </c>
      <c r="F544" s="82"/>
      <c r="G544" s="68"/>
      <c r="H544" s="76" t="str">
        <f aca="false">IF(G544="","",IFERROR(INDEX(BC_Fourn,MATCH(G544,BC_Num,0)),""))</f>
        <v/>
      </c>
      <c r="I544" s="25"/>
      <c r="J544" s="25"/>
      <c r="K544" s="25"/>
      <c r="L544" s="25"/>
    </row>
    <row r="545" customFormat="false" ht="15" hidden="false" customHeight="false" outlineLevel="0" collapsed="false">
      <c r="A545" s="69"/>
      <c r="B545" s="68"/>
      <c r="C545" s="68"/>
      <c r="D545" s="76" t="str">
        <f aca="false">IF(C545="","",IFERROR(INDEX(ST_Design,MATCH(C545,ST_Code,0)),"Code inconnu"))</f>
        <v/>
      </c>
      <c r="E545" s="74" t="str">
        <f aca="false">IF(C545="","",IFERROR(INDEX(ST_Unite,MATCH(C545,ST_Code,0)),""))</f>
        <v/>
      </c>
      <c r="F545" s="82"/>
      <c r="G545" s="68"/>
      <c r="H545" s="76" t="str">
        <f aca="false">IF(G545="","",IFERROR(INDEX(BC_Fourn,MATCH(G545,BC_Num,0)),""))</f>
        <v/>
      </c>
      <c r="I545" s="25"/>
      <c r="J545" s="25"/>
      <c r="K545" s="25"/>
      <c r="L545" s="25"/>
    </row>
    <row r="546" customFormat="false" ht="15" hidden="false" customHeight="false" outlineLevel="0" collapsed="false">
      <c r="A546" s="69"/>
      <c r="B546" s="68"/>
      <c r="C546" s="68"/>
      <c r="D546" s="76" t="str">
        <f aca="false">IF(C546="","",IFERROR(INDEX(ST_Design,MATCH(C546,ST_Code,0)),"Code inconnu"))</f>
        <v/>
      </c>
      <c r="E546" s="74" t="str">
        <f aca="false">IF(C546="","",IFERROR(INDEX(ST_Unite,MATCH(C546,ST_Code,0)),""))</f>
        <v/>
      </c>
      <c r="F546" s="82"/>
      <c r="G546" s="68"/>
      <c r="H546" s="76" t="str">
        <f aca="false">IF(G546="","",IFERROR(INDEX(BC_Fourn,MATCH(G546,BC_Num,0)),""))</f>
        <v/>
      </c>
      <c r="I546" s="25"/>
      <c r="J546" s="25"/>
      <c r="K546" s="25"/>
      <c r="L546" s="25"/>
    </row>
    <row r="547" customFormat="false" ht="15" hidden="false" customHeight="false" outlineLevel="0" collapsed="false">
      <c r="A547" s="69"/>
      <c r="B547" s="68"/>
      <c r="C547" s="68"/>
      <c r="D547" s="76" t="str">
        <f aca="false">IF(C547="","",IFERROR(INDEX(ST_Design,MATCH(C547,ST_Code,0)),"Code inconnu"))</f>
        <v/>
      </c>
      <c r="E547" s="74" t="str">
        <f aca="false">IF(C547="","",IFERROR(INDEX(ST_Unite,MATCH(C547,ST_Code,0)),""))</f>
        <v/>
      </c>
      <c r="F547" s="82"/>
      <c r="G547" s="68"/>
      <c r="H547" s="76" t="str">
        <f aca="false">IF(G547="","",IFERROR(INDEX(BC_Fourn,MATCH(G547,BC_Num,0)),""))</f>
        <v/>
      </c>
      <c r="I547" s="25"/>
      <c r="J547" s="25"/>
      <c r="K547" s="25"/>
      <c r="L547" s="25"/>
    </row>
    <row r="548" customFormat="false" ht="15" hidden="false" customHeight="false" outlineLevel="0" collapsed="false">
      <c r="A548" s="69"/>
      <c r="B548" s="68"/>
      <c r="C548" s="68"/>
      <c r="D548" s="76" t="str">
        <f aca="false">IF(C548="","",IFERROR(INDEX(ST_Design,MATCH(C548,ST_Code,0)),"Code inconnu"))</f>
        <v/>
      </c>
      <c r="E548" s="74" t="str">
        <f aca="false">IF(C548="","",IFERROR(INDEX(ST_Unite,MATCH(C548,ST_Code,0)),""))</f>
        <v/>
      </c>
      <c r="F548" s="82"/>
      <c r="G548" s="68"/>
      <c r="H548" s="76" t="str">
        <f aca="false">IF(G548="","",IFERROR(INDEX(BC_Fourn,MATCH(G548,BC_Num,0)),""))</f>
        <v/>
      </c>
      <c r="I548" s="25"/>
      <c r="J548" s="25"/>
      <c r="K548" s="25"/>
      <c r="L548" s="25"/>
    </row>
    <row r="549" customFormat="false" ht="15" hidden="false" customHeight="false" outlineLevel="0" collapsed="false">
      <c r="A549" s="69"/>
      <c r="B549" s="68"/>
      <c r="C549" s="68"/>
      <c r="D549" s="76" t="str">
        <f aca="false">IF(C549="","",IFERROR(INDEX(ST_Design,MATCH(C549,ST_Code,0)),"Code inconnu"))</f>
        <v/>
      </c>
      <c r="E549" s="74" t="str">
        <f aca="false">IF(C549="","",IFERROR(INDEX(ST_Unite,MATCH(C549,ST_Code,0)),""))</f>
        <v/>
      </c>
      <c r="F549" s="82"/>
      <c r="G549" s="68"/>
      <c r="H549" s="76" t="str">
        <f aca="false">IF(G549="","",IFERROR(INDEX(BC_Fourn,MATCH(G549,BC_Num,0)),""))</f>
        <v/>
      </c>
      <c r="I549" s="25"/>
      <c r="J549" s="25"/>
      <c r="K549" s="25"/>
      <c r="L549" s="25"/>
    </row>
    <row r="550" customFormat="false" ht="15" hidden="false" customHeight="false" outlineLevel="0" collapsed="false">
      <c r="A550" s="69"/>
      <c r="B550" s="68"/>
      <c r="C550" s="68"/>
      <c r="D550" s="76" t="str">
        <f aca="false">IF(C550="","",IFERROR(INDEX(ST_Design,MATCH(C550,ST_Code,0)),"Code inconnu"))</f>
        <v/>
      </c>
      <c r="E550" s="74" t="str">
        <f aca="false">IF(C550="","",IFERROR(INDEX(ST_Unite,MATCH(C550,ST_Code,0)),""))</f>
        <v/>
      </c>
      <c r="F550" s="82"/>
      <c r="G550" s="68"/>
      <c r="H550" s="76" t="str">
        <f aca="false">IF(G550="","",IFERROR(INDEX(BC_Fourn,MATCH(G550,BC_Num,0)),""))</f>
        <v/>
      </c>
      <c r="I550" s="25"/>
      <c r="J550" s="25"/>
      <c r="K550" s="25"/>
      <c r="L550" s="25"/>
    </row>
    <row r="551" customFormat="false" ht="15" hidden="false" customHeight="false" outlineLevel="0" collapsed="false">
      <c r="A551" s="69"/>
      <c r="B551" s="68"/>
      <c r="C551" s="68"/>
      <c r="D551" s="76" t="str">
        <f aca="false">IF(C551="","",IFERROR(INDEX(ST_Design,MATCH(C551,ST_Code,0)),"Code inconnu"))</f>
        <v/>
      </c>
      <c r="E551" s="74" t="str">
        <f aca="false">IF(C551="","",IFERROR(INDEX(ST_Unite,MATCH(C551,ST_Code,0)),""))</f>
        <v/>
      </c>
      <c r="F551" s="82"/>
      <c r="G551" s="68"/>
      <c r="H551" s="76" t="str">
        <f aca="false">IF(G551="","",IFERROR(INDEX(BC_Fourn,MATCH(G551,BC_Num,0)),""))</f>
        <v/>
      </c>
      <c r="I551" s="25"/>
      <c r="J551" s="25"/>
      <c r="K551" s="25"/>
      <c r="L551" s="25"/>
    </row>
    <row r="552" customFormat="false" ht="15" hidden="false" customHeight="false" outlineLevel="0" collapsed="false">
      <c r="A552" s="69"/>
      <c r="B552" s="68"/>
      <c r="C552" s="68"/>
      <c r="D552" s="76" t="str">
        <f aca="false">IF(C552="","",IFERROR(INDEX(ST_Design,MATCH(C552,ST_Code,0)),"Code inconnu"))</f>
        <v/>
      </c>
      <c r="E552" s="74" t="str">
        <f aca="false">IF(C552="","",IFERROR(INDEX(ST_Unite,MATCH(C552,ST_Code,0)),""))</f>
        <v/>
      </c>
      <c r="F552" s="82"/>
      <c r="G552" s="68"/>
      <c r="H552" s="76" t="str">
        <f aca="false">IF(G552="","",IFERROR(INDEX(BC_Fourn,MATCH(G552,BC_Num,0)),""))</f>
        <v/>
      </c>
      <c r="I552" s="25"/>
      <c r="J552" s="25"/>
      <c r="K552" s="25"/>
      <c r="L552" s="25"/>
    </row>
    <row r="553" customFormat="false" ht="15" hidden="false" customHeight="false" outlineLevel="0" collapsed="false">
      <c r="A553" s="69"/>
      <c r="B553" s="68"/>
      <c r="C553" s="68"/>
      <c r="D553" s="76" t="str">
        <f aca="false">IF(C553="","",IFERROR(INDEX(ST_Design,MATCH(C553,ST_Code,0)),"Code inconnu"))</f>
        <v/>
      </c>
      <c r="E553" s="74" t="str">
        <f aca="false">IF(C553="","",IFERROR(INDEX(ST_Unite,MATCH(C553,ST_Code,0)),""))</f>
        <v/>
      </c>
      <c r="F553" s="82"/>
      <c r="G553" s="68"/>
      <c r="H553" s="76" t="str">
        <f aca="false">IF(G553="","",IFERROR(INDEX(BC_Fourn,MATCH(G553,BC_Num,0)),""))</f>
        <v/>
      </c>
      <c r="I553" s="25"/>
      <c r="J553" s="25"/>
      <c r="K553" s="25"/>
      <c r="L553" s="25"/>
    </row>
    <row r="554" customFormat="false" ht="15" hidden="false" customHeight="false" outlineLevel="0" collapsed="false">
      <c r="A554" s="69"/>
      <c r="B554" s="68"/>
      <c r="C554" s="68"/>
      <c r="D554" s="76" t="str">
        <f aca="false">IF(C554="","",IFERROR(INDEX(ST_Design,MATCH(C554,ST_Code,0)),"Code inconnu"))</f>
        <v/>
      </c>
      <c r="E554" s="74" t="str">
        <f aca="false">IF(C554="","",IFERROR(INDEX(ST_Unite,MATCH(C554,ST_Code,0)),""))</f>
        <v/>
      </c>
      <c r="F554" s="82"/>
      <c r="G554" s="68"/>
      <c r="H554" s="76" t="str">
        <f aca="false">IF(G554="","",IFERROR(INDEX(BC_Fourn,MATCH(G554,BC_Num,0)),""))</f>
        <v/>
      </c>
      <c r="I554" s="25"/>
      <c r="J554" s="25"/>
      <c r="K554" s="25"/>
      <c r="L554" s="25"/>
    </row>
    <row r="555" customFormat="false" ht="15" hidden="false" customHeight="false" outlineLevel="0" collapsed="false">
      <c r="A555" s="69"/>
      <c r="B555" s="68"/>
      <c r="C555" s="68"/>
      <c r="D555" s="76" t="str">
        <f aca="false">IF(C555="","",IFERROR(INDEX(ST_Design,MATCH(C555,ST_Code,0)),"Code inconnu"))</f>
        <v/>
      </c>
      <c r="E555" s="74" t="str">
        <f aca="false">IF(C555="","",IFERROR(INDEX(ST_Unite,MATCH(C555,ST_Code,0)),""))</f>
        <v/>
      </c>
      <c r="F555" s="82"/>
      <c r="G555" s="68"/>
      <c r="H555" s="76" t="str">
        <f aca="false">IF(G555="","",IFERROR(INDEX(BC_Fourn,MATCH(G555,BC_Num,0)),""))</f>
        <v/>
      </c>
      <c r="I555" s="25"/>
      <c r="J555" s="25"/>
      <c r="K555" s="25"/>
      <c r="L555" s="25"/>
    </row>
    <row r="556" customFormat="false" ht="15" hidden="false" customHeight="false" outlineLevel="0" collapsed="false">
      <c r="A556" s="69"/>
      <c r="B556" s="68"/>
      <c r="C556" s="68"/>
      <c r="D556" s="76" t="str">
        <f aca="false">IF(C556="","",IFERROR(INDEX(ST_Design,MATCH(C556,ST_Code,0)),"Code inconnu"))</f>
        <v/>
      </c>
      <c r="E556" s="74" t="str">
        <f aca="false">IF(C556="","",IFERROR(INDEX(ST_Unite,MATCH(C556,ST_Code,0)),""))</f>
        <v/>
      </c>
      <c r="F556" s="82"/>
      <c r="G556" s="68"/>
      <c r="H556" s="76" t="str">
        <f aca="false">IF(G556="","",IFERROR(INDEX(BC_Fourn,MATCH(G556,BC_Num,0)),""))</f>
        <v/>
      </c>
      <c r="I556" s="25"/>
      <c r="J556" s="25"/>
      <c r="K556" s="25"/>
      <c r="L556" s="25"/>
    </row>
    <row r="557" customFormat="false" ht="15" hidden="false" customHeight="false" outlineLevel="0" collapsed="false">
      <c r="A557" s="69"/>
      <c r="B557" s="68"/>
      <c r="C557" s="68"/>
      <c r="D557" s="76" t="str">
        <f aca="false">IF(C557="","",IFERROR(INDEX(ST_Design,MATCH(C557,ST_Code,0)),"Code inconnu"))</f>
        <v/>
      </c>
      <c r="E557" s="74" t="str">
        <f aca="false">IF(C557="","",IFERROR(INDEX(ST_Unite,MATCH(C557,ST_Code,0)),""))</f>
        <v/>
      </c>
      <c r="F557" s="82"/>
      <c r="G557" s="68"/>
      <c r="H557" s="76" t="str">
        <f aca="false">IF(G557="","",IFERROR(INDEX(BC_Fourn,MATCH(G557,BC_Num,0)),""))</f>
        <v/>
      </c>
      <c r="I557" s="25"/>
      <c r="J557" s="25"/>
      <c r="K557" s="25"/>
      <c r="L557" s="25"/>
    </row>
    <row r="558" customFormat="false" ht="15" hidden="false" customHeight="false" outlineLevel="0" collapsed="false">
      <c r="A558" s="69"/>
      <c r="B558" s="68"/>
      <c r="C558" s="68"/>
      <c r="D558" s="76" t="str">
        <f aca="false">IF(C558="","",IFERROR(INDEX(ST_Design,MATCH(C558,ST_Code,0)),"Code inconnu"))</f>
        <v/>
      </c>
      <c r="E558" s="74" t="str">
        <f aca="false">IF(C558="","",IFERROR(INDEX(ST_Unite,MATCH(C558,ST_Code,0)),""))</f>
        <v/>
      </c>
      <c r="F558" s="82"/>
      <c r="G558" s="68"/>
      <c r="H558" s="76" t="str">
        <f aca="false">IF(G558="","",IFERROR(INDEX(BC_Fourn,MATCH(G558,BC_Num,0)),""))</f>
        <v/>
      </c>
      <c r="I558" s="25"/>
      <c r="J558" s="25"/>
      <c r="K558" s="25"/>
      <c r="L558" s="25"/>
    </row>
    <row r="559" customFormat="false" ht="15" hidden="false" customHeight="false" outlineLevel="0" collapsed="false">
      <c r="A559" s="69"/>
      <c r="B559" s="68"/>
      <c r="C559" s="68"/>
      <c r="D559" s="76" t="str">
        <f aca="false">IF(C559="","",IFERROR(INDEX(ST_Design,MATCH(C559,ST_Code,0)),"Code inconnu"))</f>
        <v/>
      </c>
      <c r="E559" s="74" t="str">
        <f aca="false">IF(C559="","",IFERROR(INDEX(ST_Unite,MATCH(C559,ST_Code,0)),""))</f>
        <v/>
      </c>
      <c r="F559" s="82"/>
      <c r="G559" s="68"/>
      <c r="H559" s="76" t="str">
        <f aca="false">IF(G559="","",IFERROR(INDEX(BC_Fourn,MATCH(G559,BC_Num,0)),""))</f>
        <v/>
      </c>
      <c r="I559" s="25"/>
      <c r="J559" s="25"/>
      <c r="K559" s="25"/>
      <c r="L559" s="25"/>
    </row>
    <row r="560" customFormat="false" ht="15" hidden="false" customHeight="false" outlineLevel="0" collapsed="false">
      <c r="A560" s="69"/>
      <c r="B560" s="68"/>
      <c r="C560" s="68"/>
      <c r="D560" s="76" t="str">
        <f aca="false">IF(C560="","",IFERROR(INDEX(ST_Design,MATCH(C560,ST_Code,0)),"Code inconnu"))</f>
        <v/>
      </c>
      <c r="E560" s="74" t="str">
        <f aca="false">IF(C560="","",IFERROR(INDEX(ST_Unite,MATCH(C560,ST_Code,0)),""))</f>
        <v/>
      </c>
      <c r="F560" s="82"/>
      <c r="G560" s="68"/>
      <c r="H560" s="76" t="str">
        <f aca="false">IF(G560="","",IFERROR(INDEX(BC_Fourn,MATCH(G560,BC_Num,0)),""))</f>
        <v/>
      </c>
      <c r="I560" s="25"/>
      <c r="J560" s="25"/>
      <c r="K560" s="25"/>
      <c r="L560" s="25"/>
    </row>
    <row r="561" customFormat="false" ht="15" hidden="false" customHeight="false" outlineLevel="0" collapsed="false">
      <c r="A561" s="69"/>
      <c r="B561" s="68"/>
      <c r="C561" s="68"/>
      <c r="D561" s="76" t="str">
        <f aca="false">IF(C561="","",IFERROR(INDEX(ST_Design,MATCH(C561,ST_Code,0)),"Code inconnu"))</f>
        <v/>
      </c>
      <c r="E561" s="74" t="str">
        <f aca="false">IF(C561="","",IFERROR(INDEX(ST_Unite,MATCH(C561,ST_Code,0)),""))</f>
        <v/>
      </c>
      <c r="F561" s="82"/>
      <c r="G561" s="68"/>
      <c r="H561" s="76" t="str">
        <f aca="false">IF(G561="","",IFERROR(INDEX(BC_Fourn,MATCH(G561,BC_Num,0)),""))</f>
        <v/>
      </c>
      <c r="I561" s="25"/>
      <c r="J561" s="25"/>
      <c r="K561" s="25"/>
      <c r="L561" s="25"/>
    </row>
    <row r="562" customFormat="false" ht="15" hidden="false" customHeight="false" outlineLevel="0" collapsed="false">
      <c r="A562" s="69"/>
      <c r="B562" s="68"/>
      <c r="C562" s="68"/>
      <c r="D562" s="76" t="str">
        <f aca="false">IF(C562="","",IFERROR(INDEX(ST_Design,MATCH(C562,ST_Code,0)),"Code inconnu"))</f>
        <v/>
      </c>
      <c r="E562" s="74" t="str">
        <f aca="false">IF(C562="","",IFERROR(INDEX(ST_Unite,MATCH(C562,ST_Code,0)),""))</f>
        <v/>
      </c>
      <c r="F562" s="82"/>
      <c r="G562" s="68"/>
      <c r="H562" s="76" t="str">
        <f aca="false">IF(G562="","",IFERROR(INDEX(BC_Fourn,MATCH(G562,BC_Num,0)),""))</f>
        <v/>
      </c>
      <c r="I562" s="25"/>
      <c r="J562" s="25"/>
      <c r="K562" s="25"/>
      <c r="L562" s="25"/>
    </row>
    <row r="563" customFormat="false" ht="15" hidden="false" customHeight="false" outlineLevel="0" collapsed="false">
      <c r="A563" s="69"/>
      <c r="B563" s="68"/>
      <c r="C563" s="68"/>
      <c r="D563" s="76" t="str">
        <f aca="false">IF(C563="","",IFERROR(INDEX(ST_Design,MATCH(C563,ST_Code,0)),"Code inconnu"))</f>
        <v/>
      </c>
      <c r="E563" s="74" t="str">
        <f aca="false">IF(C563="","",IFERROR(INDEX(ST_Unite,MATCH(C563,ST_Code,0)),""))</f>
        <v/>
      </c>
      <c r="F563" s="82"/>
      <c r="G563" s="68"/>
      <c r="H563" s="76" t="str">
        <f aca="false">IF(G563="","",IFERROR(INDEX(BC_Fourn,MATCH(G563,BC_Num,0)),""))</f>
        <v/>
      </c>
      <c r="I563" s="25"/>
      <c r="J563" s="25"/>
      <c r="K563" s="25"/>
      <c r="L563" s="25"/>
    </row>
    <row r="564" customFormat="false" ht="15" hidden="false" customHeight="false" outlineLevel="0" collapsed="false">
      <c r="A564" s="69"/>
      <c r="B564" s="68"/>
      <c r="C564" s="68"/>
      <c r="D564" s="76" t="str">
        <f aca="false">IF(C564="","",IFERROR(INDEX(ST_Design,MATCH(C564,ST_Code,0)),"Code inconnu"))</f>
        <v/>
      </c>
      <c r="E564" s="74" t="str">
        <f aca="false">IF(C564="","",IFERROR(INDEX(ST_Unite,MATCH(C564,ST_Code,0)),""))</f>
        <v/>
      </c>
      <c r="F564" s="82"/>
      <c r="G564" s="68"/>
      <c r="H564" s="76" t="str">
        <f aca="false">IF(G564="","",IFERROR(INDEX(BC_Fourn,MATCH(G564,BC_Num,0)),""))</f>
        <v/>
      </c>
      <c r="I564" s="25"/>
      <c r="J564" s="25"/>
      <c r="K564" s="25"/>
      <c r="L564" s="25"/>
    </row>
    <row r="565" customFormat="false" ht="15" hidden="false" customHeight="false" outlineLevel="0" collapsed="false">
      <c r="A565" s="69"/>
      <c r="B565" s="68"/>
      <c r="C565" s="68"/>
      <c r="D565" s="76" t="str">
        <f aca="false">IF(C565="","",IFERROR(INDEX(ST_Design,MATCH(C565,ST_Code,0)),"Code inconnu"))</f>
        <v/>
      </c>
      <c r="E565" s="74" t="str">
        <f aca="false">IF(C565="","",IFERROR(INDEX(ST_Unite,MATCH(C565,ST_Code,0)),""))</f>
        <v/>
      </c>
      <c r="F565" s="82"/>
      <c r="G565" s="68"/>
      <c r="H565" s="76" t="str">
        <f aca="false">IF(G565="","",IFERROR(INDEX(BC_Fourn,MATCH(G565,BC_Num,0)),""))</f>
        <v/>
      </c>
      <c r="I565" s="25"/>
      <c r="J565" s="25"/>
      <c r="K565" s="25"/>
      <c r="L565" s="25"/>
    </row>
    <row r="566" customFormat="false" ht="15" hidden="false" customHeight="false" outlineLevel="0" collapsed="false">
      <c r="A566" s="69"/>
      <c r="B566" s="68"/>
      <c r="C566" s="68"/>
      <c r="D566" s="76" t="str">
        <f aca="false">IF(C566="","",IFERROR(INDEX(ST_Design,MATCH(C566,ST_Code,0)),"Code inconnu"))</f>
        <v/>
      </c>
      <c r="E566" s="74" t="str">
        <f aca="false">IF(C566="","",IFERROR(INDEX(ST_Unite,MATCH(C566,ST_Code,0)),""))</f>
        <v/>
      </c>
      <c r="F566" s="82"/>
      <c r="G566" s="68"/>
      <c r="H566" s="76" t="str">
        <f aca="false">IF(G566="","",IFERROR(INDEX(BC_Fourn,MATCH(G566,BC_Num,0)),""))</f>
        <v/>
      </c>
      <c r="I566" s="25"/>
      <c r="J566" s="25"/>
      <c r="K566" s="25"/>
      <c r="L566" s="25"/>
    </row>
    <row r="567" customFormat="false" ht="15" hidden="false" customHeight="false" outlineLevel="0" collapsed="false">
      <c r="A567" s="69"/>
      <c r="B567" s="68"/>
      <c r="C567" s="68"/>
      <c r="D567" s="76" t="str">
        <f aca="false">IF(C567="","",IFERROR(INDEX(ST_Design,MATCH(C567,ST_Code,0)),"Code inconnu"))</f>
        <v/>
      </c>
      <c r="E567" s="74" t="str">
        <f aca="false">IF(C567="","",IFERROR(INDEX(ST_Unite,MATCH(C567,ST_Code,0)),""))</f>
        <v/>
      </c>
      <c r="F567" s="82"/>
      <c r="G567" s="68"/>
      <c r="H567" s="76" t="str">
        <f aca="false">IF(G567="","",IFERROR(INDEX(BC_Fourn,MATCH(G567,BC_Num,0)),""))</f>
        <v/>
      </c>
      <c r="I567" s="25"/>
      <c r="J567" s="25"/>
      <c r="K567" s="25"/>
      <c r="L567" s="25"/>
    </row>
    <row r="568" customFormat="false" ht="15" hidden="false" customHeight="false" outlineLevel="0" collapsed="false">
      <c r="A568" s="69"/>
      <c r="B568" s="68"/>
      <c r="C568" s="68"/>
      <c r="D568" s="76" t="str">
        <f aca="false">IF(C568="","",IFERROR(INDEX(ST_Design,MATCH(C568,ST_Code,0)),"Code inconnu"))</f>
        <v/>
      </c>
      <c r="E568" s="74" t="str">
        <f aca="false">IF(C568="","",IFERROR(INDEX(ST_Unite,MATCH(C568,ST_Code,0)),""))</f>
        <v/>
      </c>
      <c r="F568" s="82"/>
      <c r="G568" s="68"/>
      <c r="H568" s="76" t="str">
        <f aca="false">IF(G568="","",IFERROR(INDEX(BC_Fourn,MATCH(G568,BC_Num,0)),""))</f>
        <v/>
      </c>
      <c r="I568" s="25"/>
      <c r="J568" s="25"/>
      <c r="K568" s="25"/>
      <c r="L568" s="25"/>
    </row>
    <row r="569" customFormat="false" ht="15" hidden="false" customHeight="false" outlineLevel="0" collapsed="false">
      <c r="A569" s="69"/>
      <c r="B569" s="68"/>
      <c r="C569" s="68"/>
      <c r="D569" s="76" t="str">
        <f aca="false">IF(C569="","",IFERROR(INDEX(ST_Design,MATCH(C569,ST_Code,0)),"Code inconnu"))</f>
        <v/>
      </c>
      <c r="E569" s="74" t="str">
        <f aca="false">IF(C569="","",IFERROR(INDEX(ST_Unite,MATCH(C569,ST_Code,0)),""))</f>
        <v/>
      </c>
      <c r="F569" s="82"/>
      <c r="G569" s="68"/>
      <c r="H569" s="76" t="str">
        <f aca="false">IF(G569="","",IFERROR(INDEX(BC_Fourn,MATCH(G569,BC_Num,0)),""))</f>
        <v/>
      </c>
      <c r="I569" s="25"/>
      <c r="J569" s="25"/>
      <c r="K569" s="25"/>
      <c r="L569" s="25"/>
    </row>
    <row r="570" customFormat="false" ht="15" hidden="false" customHeight="false" outlineLevel="0" collapsed="false">
      <c r="A570" s="69"/>
      <c r="B570" s="68"/>
      <c r="C570" s="68"/>
      <c r="D570" s="76" t="str">
        <f aca="false">IF(C570="","",IFERROR(INDEX(ST_Design,MATCH(C570,ST_Code,0)),"Code inconnu"))</f>
        <v/>
      </c>
      <c r="E570" s="74" t="str">
        <f aca="false">IF(C570="","",IFERROR(INDEX(ST_Unite,MATCH(C570,ST_Code,0)),""))</f>
        <v/>
      </c>
      <c r="F570" s="82"/>
      <c r="G570" s="68"/>
      <c r="H570" s="76" t="str">
        <f aca="false">IF(G570="","",IFERROR(INDEX(BC_Fourn,MATCH(G570,BC_Num,0)),""))</f>
        <v/>
      </c>
      <c r="I570" s="25"/>
      <c r="J570" s="25"/>
      <c r="K570" s="25"/>
      <c r="L570" s="25"/>
    </row>
    <row r="571" customFormat="false" ht="15" hidden="false" customHeight="false" outlineLevel="0" collapsed="false">
      <c r="A571" s="69"/>
      <c r="B571" s="68"/>
      <c r="C571" s="68"/>
      <c r="D571" s="76" t="str">
        <f aca="false">IF(C571="","",IFERROR(INDEX(ST_Design,MATCH(C571,ST_Code,0)),"Code inconnu"))</f>
        <v/>
      </c>
      <c r="E571" s="74" t="str">
        <f aca="false">IF(C571="","",IFERROR(INDEX(ST_Unite,MATCH(C571,ST_Code,0)),""))</f>
        <v/>
      </c>
      <c r="F571" s="82"/>
      <c r="G571" s="68"/>
      <c r="H571" s="76" t="str">
        <f aca="false">IF(G571="","",IFERROR(INDEX(BC_Fourn,MATCH(G571,BC_Num,0)),""))</f>
        <v/>
      </c>
      <c r="I571" s="25"/>
      <c r="J571" s="25"/>
      <c r="K571" s="25"/>
      <c r="L571" s="25"/>
    </row>
    <row r="572" customFormat="false" ht="15" hidden="false" customHeight="false" outlineLevel="0" collapsed="false">
      <c r="A572" s="69"/>
      <c r="B572" s="68"/>
      <c r="C572" s="68"/>
      <c r="D572" s="76" t="str">
        <f aca="false">IF(C572="","",IFERROR(INDEX(ST_Design,MATCH(C572,ST_Code,0)),"Code inconnu"))</f>
        <v/>
      </c>
      <c r="E572" s="74" t="str">
        <f aca="false">IF(C572="","",IFERROR(INDEX(ST_Unite,MATCH(C572,ST_Code,0)),""))</f>
        <v/>
      </c>
      <c r="F572" s="82"/>
      <c r="G572" s="68"/>
      <c r="H572" s="76" t="str">
        <f aca="false">IF(G572="","",IFERROR(INDEX(BC_Fourn,MATCH(G572,BC_Num,0)),""))</f>
        <v/>
      </c>
      <c r="I572" s="25"/>
      <c r="J572" s="25"/>
      <c r="K572" s="25"/>
      <c r="L572" s="25"/>
    </row>
    <row r="573" customFormat="false" ht="15" hidden="false" customHeight="false" outlineLevel="0" collapsed="false">
      <c r="A573" s="69"/>
      <c r="B573" s="68"/>
      <c r="C573" s="68"/>
      <c r="D573" s="76" t="str">
        <f aca="false">IF(C573="","",IFERROR(INDEX(ST_Design,MATCH(C573,ST_Code,0)),"Code inconnu"))</f>
        <v/>
      </c>
      <c r="E573" s="74" t="str">
        <f aca="false">IF(C573="","",IFERROR(INDEX(ST_Unite,MATCH(C573,ST_Code,0)),""))</f>
        <v/>
      </c>
      <c r="F573" s="82"/>
      <c r="G573" s="68"/>
      <c r="H573" s="76" t="str">
        <f aca="false">IF(G573="","",IFERROR(INDEX(BC_Fourn,MATCH(G573,BC_Num,0)),""))</f>
        <v/>
      </c>
      <c r="I573" s="25"/>
      <c r="J573" s="25"/>
      <c r="K573" s="25"/>
      <c r="L573" s="25"/>
    </row>
    <row r="574" customFormat="false" ht="15" hidden="false" customHeight="false" outlineLevel="0" collapsed="false">
      <c r="A574" s="69"/>
      <c r="B574" s="68"/>
      <c r="C574" s="68"/>
      <c r="D574" s="76" t="str">
        <f aca="false">IF(C574="","",IFERROR(INDEX(ST_Design,MATCH(C574,ST_Code,0)),"Code inconnu"))</f>
        <v/>
      </c>
      <c r="E574" s="74" t="str">
        <f aca="false">IF(C574="","",IFERROR(INDEX(ST_Unite,MATCH(C574,ST_Code,0)),""))</f>
        <v/>
      </c>
      <c r="F574" s="82"/>
      <c r="G574" s="68"/>
      <c r="H574" s="76" t="str">
        <f aca="false">IF(G574="","",IFERROR(INDEX(BC_Fourn,MATCH(G574,BC_Num,0)),""))</f>
        <v/>
      </c>
      <c r="I574" s="25"/>
      <c r="J574" s="25"/>
      <c r="K574" s="25"/>
      <c r="L574" s="25"/>
    </row>
    <row r="575" customFormat="false" ht="15" hidden="false" customHeight="false" outlineLevel="0" collapsed="false">
      <c r="A575" s="69"/>
      <c r="B575" s="68"/>
      <c r="C575" s="68"/>
      <c r="D575" s="76" t="str">
        <f aca="false">IF(C575="","",IFERROR(INDEX(ST_Design,MATCH(C575,ST_Code,0)),"Code inconnu"))</f>
        <v/>
      </c>
      <c r="E575" s="74" t="str">
        <f aca="false">IF(C575="","",IFERROR(INDEX(ST_Unite,MATCH(C575,ST_Code,0)),""))</f>
        <v/>
      </c>
      <c r="F575" s="82"/>
      <c r="G575" s="68"/>
      <c r="H575" s="76" t="str">
        <f aca="false">IF(G575="","",IFERROR(INDEX(BC_Fourn,MATCH(G575,BC_Num,0)),""))</f>
        <v/>
      </c>
      <c r="I575" s="25"/>
      <c r="J575" s="25"/>
      <c r="K575" s="25"/>
      <c r="L575" s="25"/>
    </row>
    <row r="576" customFormat="false" ht="15" hidden="false" customHeight="false" outlineLevel="0" collapsed="false">
      <c r="A576" s="69"/>
      <c r="B576" s="68"/>
      <c r="C576" s="68"/>
      <c r="D576" s="76" t="str">
        <f aca="false">IF(C576="","",IFERROR(INDEX(ST_Design,MATCH(C576,ST_Code,0)),"Code inconnu"))</f>
        <v/>
      </c>
      <c r="E576" s="74" t="str">
        <f aca="false">IF(C576="","",IFERROR(INDEX(ST_Unite,MATCH(C576,ST_Code,0)),""))</f>
        <v/>
      </c>
      <c r="F576" s="82"/>
      <c r="G576" s="68"/>
      <c r="H576" s="76" t="str">
        <f aca="false">IF(G576="","",IFERROR(INDEX(BC_Fourn,MATCH(G576,BC_Num,0)),""))</f>
        <v/>
      </c>
      <c r="I576" s="25"/>
      <c r="J576" s="25"/>
      <c r="K576" s="25"/>
      <c r="L576" s="25"/>
    </row>
    <row r="577" customFormat="false" ht="15" hidden="false" customHeight="false" outlineLevel="0" collapsed="false">
      <c r="A577" s="69"/>
      <c r="B577" s="68"/>
      <c r="C577" s="68"/>
      <c r="D577" s="76" t="str">
        <f aca="false">IF(C577="","",IFERROR(INDEX(ST_Design,MATCH(C577,ST_Code,0)),"Code inconnu"))</f>
        <v/>
      </c>
      <c r="E577" s="74" t="str">
        <f aca="false">IF(C577="","",IFERROR(INDEX(ST_Unite,MATCH(C577,ST_Code,0)),""))</f>
        <v/>
      </c>
      <c r="F577" s="82"/>
      <c r="G577" s="68"/>
      <c r="H577" s="76" t="str">
        <f aca="false">IF(G577="","",IFERROR(INDEX(BC_Fourn,MATCH(G577,BC_Num,0)),""))</f>
        <v/>
      </c>
      <c r="I577" s="25"/>
      <c r="J577" s="25"/>
      <c r="K577" s="25"/>
      <c r="L577" s="25"/>
    </row>
    <row r="578" customFormat="false" ht="15" hidden="false" customHeight="false" outlineLevel="0" collapsed="false">
      <c r="A578" s="69"/>
      <c r="B578" s="68"/>
      <c r="C578" s="68"/>
      <c r="D578" s="76" t="str">
        <f aca="false">IF(C578="","",IFERROR(INDEX(ST_Design,MATCH(C578,ST_Code,0)),"Code inconnu"))</f>
        <v/>
      </c>
      <c r="E578" s="74" t="str">
        <f aca="false">IF(C578="","",IFERROR(INDEX(ST_Unite,MATCH(C578,ST_Code,0)),""))</f>
        <v/>
      </c>
      <c r="F578" s="82"/>
      <c r="G578" s="68"/>
      <c r="H578" s="76" t="str">
        <f aca="false">IF(G578="","",IFERROR(INDEX(BC_Fourn,MATCH(G578,BC_Num,0)),""))</f>
        <v/>
      </c>
      <c r="I578" s="25"/>
      <c r="J578" s="25"/>
      <c r="K578" s="25"/>
      <c r="L578" s="25"/>
    </row>
    <row r="579" customFormat="false" ht="15" hidden="false" customHeight="false" outlineLevel="0" collapsed="false">
      <c r="A579" s="69"/>
      <c r="B579" s="68"/>
      <c r="C579" s="68"/>
      <c r="D579" s="76" t="str">
        <f aca="false">IF(C579="","",IFERROR(INDEX(ST_Design,MATCH(C579,ST_Code,0)),"Code inconnu"))</f>
        <v/>
      </c>
      <c r="E579" s="74" t="str">
        <f aca="false">IF(C579="","",IFERROR(INDEX(ST_Unite,MATCH(C579,ST_Code,0)),""))</f>
        <v/>
      </c>
      <c r="F579" s="82"/>
      <c r="G579" s="68"/>
      <c r="H579" s="76" t="str">
        <f aca="false">IF(G579="","",IFERROR(INDEX(BC_Fourn,MATCH(G579,BC_Num,0)),""))</f>
        <v/>
      </c>
      <c r="I579" s="25"/>
      <c r="J579" s="25"/>
      <c r="K579" s="25"/>
      <c r="L579" s="25"/>
    </row>
    <row r="580" customFormat="false" ht="15" hidden="false" customHeight="false" outlineLevel="0" collapsed="false">
      <c r="A580" s="69"/>
      <c r="B580" s="68"/>
      <c r="C580" s="68"/>
      <c r="D580" s="76" t="str">
        <f aca="false">IF(C580="","",IFERROR(INDEX(ST_Design,MATCH(C580,ST_Code,0)),"Code inconnu"))</f>
        <v/>
      </c>
      <c r="E580" s="74" t="str">
        <f aca="false">IF(C580="","",IFERROR(INDEX(ST_Unite,MATCH(C580,ST_Code,0)),""))</f>
        <v/>
      </c>
      <c r="F580" s="82"/>
      <c r="G580" s="68"/>
      <c r="H580" s="76" t="str">
        <f aca="false">IF(G580="","",IFERROR(INDEX(BC_Fourn,MATCH(G580,BC_Num,0)),""))</f>
        <v/>
      </c>
      <c r="I580" s="25"/>
      <c r="J580" s="25"/>
      <c r="K580" s="25"/>
      <c r="L580" s="25"/>
    </row>
    <row r="581" customFormat="false" ht="15" hidden="false" customHeight="false" outlineLevel="0" collapsed="false">
      <c r="A581" s="69"/>
      <c r="B581" s="68"/>
      <c r="C581" s="68"/>
      <c r="D581" s="76" t="str">
        <f aca="false">IF(C581="","",IFERROR(INDEX(ST_Design,MATCH(C581,ST_Code,0)),"Code inconnu"))</f>
        <v/>
      </c>
      <c r="E581" s="74" t="str">
        <f aca="false">IF(C581="","",IFERROR(INDEX(ST_Unite,MATCH(C581,ST_Code,0)),""))</f>
        <v/>
      </c>
      <c r="F581" s="82"/>
      <c r="G581" s="68"/>
      <c r="H581" s="76" t="str">
        <f aca="false">IF(G581="","",IFERROR(INDEX(BC_Fourn,MATCH(G581,BC_Num,0)),""))</f>
        <v/>
      </c>
      <c r="I581" s="25"/>
      <c r="J581" s="25"/>
      <c r="K581" s="25"/>
      <c r="L581" s="25"/>
    </row>
    <row r="582" customFormat="false" ht="15" hidden="false" customHeight="false" outlineLevel="0" collapsed="false">
      <c r="A582" s="69"/>
      <c r="B582" s="68"/>
      <c r="C582" s="68"/>
      <c r="D582" s="76" t="str">
        <f aca="false">IF(C582="","",IFERROR(INDEX(ST_Design,MATCH(C582,ST_Code,0)),"Code inconnu"))</f>
        <v/>
      </c>
      <c r="E582" s="74" t="str">
        <f aca="false">IF(C582="","",IFERROR(INDEX(ST_Unite,MATCH(C582,ST_Code,0)),""))</f>
        <v/>
      </c>
      <c r="F582" s="82"/>
      <c r="G582" s="68"/>
      <c r="H582" s="76" t="str">
        <f aca="false">IF(G582="","",IFERROR(INDEX(BC_Fourn,MATCH(G582,BC_Num,0)),""))</f>
        <v/>
      </c>
      <c r="I582" s="25"/>
      <c r="J582" s="25"/>
      <c r="K582" s="25"/>
      <c r="L582" s="25"/>
    </row>
    <row r="583" customFormat="false" ht="15" hidden="false" customHeight="false" outlineLevel="0" collapsed="false">
      <c r="A583" s="69"/>
      <c r="B583" s="68"/>
      <c r="C583" s="68"/>
      <c r="D583" s="76" t="str">
        <f aca="false">IF(C583="","",IFERROR(INDEX(ST_Design,MATCH(C583,ST_Code,0)),"Code inconnu"))</f>
        <v/>
      </c>
      <c r="E583" s="74" t="str">
        <f aca="false">IF(C583="","",IFERROR(INDEX(ST_Unite,MATCH(C583,ST_Code,0)),""))</f>
        <v/>
      </c>
      <c r="F583" s="82"/>
      <c r="G583" s="68"/>
      <c r="H583" s="76" t="str">
        <f aca="false">IF(G583="","",IFERROR(INDEX(BC_Fourn,MATCH(G583,BC_Num,0)),""))</f>
        <v/>
      </c>
      <c r="I583" s="25"/>
      <c r="J583" s="25"/>
      <c r="K583" s="25"/>
      <c r="L583" s="25"/>
    </row>
    <row r="584" customFormat="false" ht="15" hidden="false" customHeight="false" outlineLevel="0" collapsed="false">
      <c r="A584" s="69"/>
      <c r="B584" s="68"/>
      <c r="C584" s="68"/>
      <c r="D584" s="76" t="str">
        <f aca="false">IF(C584="","",IFERROR(INDEX(ST_Design,MATCH(C584,ST_Code,0)),"Code inconnu"))</f>
        <v/>
      </c>
      <c r="E584" s="74" t="str">
        <f aca="false">IF(C584="","",IFERROR(INDEX(ST_Unite,MATCH(C584,ST_Code,0)),""))</f>
        <v/>
      </c>
      <c r="F584" s="82"/>
      <c r="G584" s="68"/>
      <c r="H584" s="76" t="str">
        <f aca="false">IF(G584="","",IFERROR(INDEX(BC_Fourn,MATCH(G584,BC_Num,0)),""))</f>
        <v/>
      </c>
      <c r="I584" s="25"/>
      <c r="J584" s="25"/>
      <c r="K584" s="25"/>
      <c r="L584" s="25"/>
    </row>
    <row r="585" customFormat="false" ht="15" hidden="false" customHeight="false" outlineLevel="0" collapsed="false">
      <c r="A585" s="69"/>
      <c r="B585" s="68"/>
      <c r="C585" s="68"/>
      <c r="D585" s="76" t="str">
        <f aca="false">IF(C585="","",IFERROR(INDEX(ST_Design,MATCH(C585,ST_Code,0)),"Code inconnu"))</f>
        <v/>
      </c>
      <c r="E585" s="74" t="str">
        <f aca="false">IF(C585="","",IFERROR(INDEX(ST_Unite,MATCH(C585,ST_Code,0)),""))</f>
        <v/>
      </c>
      <c r="F585" s="82"/>
      <c r="G585" s="68"/>
      <c r="H585" s="76" t="str">
        <f aca="false">IF(G585="","",IFERROR(INDEX(BC_Fourn,MATCH(G585,BC_Num,0)),""))</f>
        <v/>
      </c>
      <c r="I585" s="25"/>
      <c r="J585" s="25"/>
      <c r="K585" s="25"/>
      <c r="L585" s="25"/>
    </row>
    <row r="586" customFormat="false" ht="15" hidden="false" customHeight="false" outlineLevel="0" collapsed="false">
      <c r="A586" s="69"/>
      <c r="B586" s="68"/>
      <c r="C586" s="68"/>
      <c r="D586" s="76" t="str">
        <f aca="false">IF(C586="","",IFERROR(INDEX(ST_Design,MATCH(C586,ST_Code,0)),"Code inconnu"))</f>
        <v/>
      </c>
      <c r="E586" s="74" t="str">
        <f aca="false">IF(C586="","",IFERROR(INDEX(ST_Unite,MATCH(C586,ST_Code,0)),""))</f>
        <v/>
      </c>
      <c r="F586" s="82"/>
      <c r="G586" s="68"/>
      <c r="H586" s="76" t="str">
        <f aca="false">IF(G586="","",IFERROR(INDEX(BC_Fourn,MATCH(G586,BC_Num,0)),""))</f>
        <v/>
      </c>
      <c r="I586" s="25"/>
      <c r="J586" s="25"/>
      <c r="K586" s="25"/>
      <c r="L586" s="25"/>
    </row>
    <row r="587" customFormat="false" ht="15" hidden="false" customHeight="false" outlineLevel="0" collapsed="false">
      <c r="A587" s="69"/>
      <c r="B587" s="68"/>
      <c r="C587" s="68"/>
      <c r="D587" s="76" t="str">
        <f aca="false">IF(C587="","",IFERROR(INDEX(ST_Design,MATCH(C587,ST_Code,0)),"Code inconnu"))</f>
        <v/>
      </c>
      <c r="E587" s="74" t="str">
        <f aca="false">IF(C587="","",IFERROR(INDEX(ST_Unite,MATCH(C587,ST_Code,0)),""))</f>
        <v/>
      </c>
      <c r="F587" s="82"/>
      <c r="G587" s="68"/>
      <c r="H587" s="76" t="str">
        <f aca="false">IF(G587="","",IFERROR(INDEX(BC_Fourn,MATCH(G587,BC_Num,0)),""))</f>
        <v/>
      </c>
      <c r="I587" s="25"/>
      <c r="J587" s="25"/>
      <c r="K587" s="25"/>
      <c r="L587" s="25"/>
    </row>
    <row r="588" customFormat="false" ht="15" hidden="false" customHeight="false" outlineLevel="0" collapsed="false">
      <c r="A588" s="69"/>
      <c r="B588" s="68"/>
      <c r="C588" s="68"/>
      <c r="D588" s="76" t="str">
        <f aca="false">IF(C588="","",IFERROR(INDEX(ST_Design,MATCH(C588,ST_Code,0)),"Code inconnu"))</f>
        <v/>
      </c>
      <c r="E588" s="74" t="str">
        <f aca="false">IF(C588="","",IFERROR(INDEX(ST_Unite,MATCH(C588,ST_Code,0)),""))</f>
        <v/>
      </c>
      <c r="F588" s="82"/>
      <c r="G588" s="68"/>
      <c r="H588" s="76" t="str">
        <f aca="false">IF(G588="","",IFERROR(INDEX(BC_Fourn,MATCH(G588,BC_Num,0)),""))</f>
        <v/>
      </c>
      <c r="I588" s="25"/>
      <c r="J588" s="25"/>
      <c r="K588" s="25"/>
      <c r="L588" s="25"/>
    </row>
    <row r="589" customFormat="false" ht="15" hidden="false" customHeight="false" outlineLevel="0" collapsed="false">
      <c r="A589" s="69"/>
      <c r="B589" s="68"/>
      <c r="C589" s="68"/>
      <c r="D589" s="76" t="str">
        <f aca="false">IF(C589="","",IFERROR(INDEX(ST_Design,MATCH(C589,ST_Code,0)),"Code inconnu"))</f>
        <v/>
      </c>
      <c r="E589" s="74" t="str">
        <f aca="false">IF(C589="","",IFERROR(INDEX(ST_Unite,MATCH(C589,ST_Code,0)),""))</f>
        <v/>
      </c>
      <c r="F589" s="82"/>
      <c r="G589" s="68"/>
      <c r="H589" s="76" t="str">
        <f aca="false">IF(G589="","",IFERROR(INDEX(BC_Fourn,MATCH(G589,BC_Num,0)),""))</f>
        <v/>
      </c>
      <c r="I589" s="25"/>
      <c r="J589" s="25"/>
      <c r="K589" s="25"/>
      <c r="L589" s="25"/>
    </row>
    <row r="590" customFormat="false" ht="15" hidden="false" customHeight="false" outlineLevel="0" collapsed="false">
      <c r="A590" s="69"/>
      <c r="B590" s="68"/>
      <c r="C590" s="68"/>
      <c r="D590" s="76" t="str">
        <f aca="false">IF(C590="","",IFERROR(INDEX(ST_Design,MATCH(C590,ST_Code,0)),"Code inconnu"))</f>
        <v/>
      </c>
      <c r="E590" s="74" t="str">
        <f aca="false">IF(C590="","",IFERROR(INDEX(ST_Unite,MATCH(C590,ST_Code,0)),""))</f>
        <v/>
      </c>
      <c r="F590" s="82"/>
      <c r="G590" s="68"/>
      <c r="H590" s="76" t="str">
        <f aca="false">IF(G590="","",IFERROR(INDEX(BC_Fourn,MATCH(G590,BC_Num,0)),""))</f>
        <v/>
      </c>
      <c r="I590" s="25"/>
      <c r="J590" s="25"/>
      <c r="K590" s="25"/>
      <c r="L590" s="25"/>
    </row>
    <row r="591" customFormat="false" ht="15" hidden="false" customHeight="false" outlineLevel="0" collapsed="false">
      <c r="A591" s="69"/>
      <c r="B591" s="68"/>
      <c r="C591" s="68"/>
      <c r="D591" s="76" t="str">
        <f aca="false">IF(C591="","",IFERROR(INDEX(ST_Design,MATCH(C591,ST_Code,0)),"Code inconnu"))</f>
        <v/>
      </c>
      <c r="E591" s="74" t="str">
        <f aca="false">IF(C591="","",IFERROR(INDEX(ST_Unite,MATCH(C591,ST_Code,0)),""))</f>
        <v/>
      </c>
      <c r="F591" s="82"/>
      <c r="G591" s="68"/>
      <c r="H591" s="76" t="str">
        <f aca="false">IF(G591="","",IFERROR(INDEX(BC_Fourn,MATCH(G591,BC_Num,0)),""))</f>
        <v/>
      </c>
      <c r="I591" s="25"/>
      <c r="J591" s="25"/>
      <c r="K591" s="25"/>
      <c r="L591" s="25"/>
    </row>
    <row r="592" customFormat="false" ht="15" hidden="false" customHeight="false" outlineLevel="0" collapsed="false">
      <c r="A592" s="69"/>
      <c r="B592" s="68"/>
      <c r="C592" s="68"/>
      <c r="D592" s="76" t="str">
        <f aca="false">IF(C592="","",IFERROR(INDEX(ST_Design,MATCH(C592,ST_Code,0)),"Code inconnu"))</f>
        <v/>
      </c>
      <c r="E592" s="74" t="str">
        <f aca="false">IF(C592="","",IFERROR(INDEX(ST_Unite,MATCH(C592,ST_Code,0)),""))</f>
        <v/>
      </c>
      <c r="F592" s="82"/>
      <c r="G592" s="68"/>
      <c r="H592" s="76" t="str">
        <f aca="false">IF(G592="","",IFERROR(INDEX(BC_Fourn,MATCH(G592,BC_Num,0)),""))</f>
        <v/>
      </c>
      <c r="I592" s="25"/>
      <c r="J592" s="25"/>
      <c r="K592" s="25"/>
      <c r="L592" s="25"/>
    </row>
    <row r="593" customFormat="false" ht="15" hidden="false" customHeight="false" outlineLevel="0" collapsed="false">
      <c r="A593" s="69"/>
      <c r="B593" s="68"/>
      <c r="C593" s="68"/>
      <c r="D593" s="76" t="str">
        <f aca="false">IF(C593="","",IFERROR(INDEX(ST_Design,MATCH(C593,ST_Code,0)),"Code inconnu"))</f>
        <v/>
      </c>
      <c r="E593" s="74" t="str">
        <f aca="false">IF(C593="","",IFERROR(INDEX(ST_Unite,MATCH(C593,ST_Code,0)),""))</f>
        <v/>
      </c>
      <c r="F593" s="82"/>
      <c r="G593" s="68"/>
      <c r="H593" s="76" t="str">
        <f aca="false">IF(G593="","",IFERROR(INDEX(BC_Fourn,MATCH(G593,BC_Num,0)),""))</f>
        <v/>
      </c>
      <c r="I593" s="25"/>
      <c r="J593" s="25"/>
      <c r="K593" s="25"/>
      <c r="L593" s="25"/>
    </row>
    <row r="594" customFormat="false" ht="15" hidden="false" customHeight="false" outlineLevel="0" collapsed="false">
      <c r="A594" s="69"/>
      <c r="B594" s="68"/>
      <c r="C594" s="68"/>
      <c r="D594" s="76" t="str">
        <f aca="false">IF(C594="","",IFERROR(INDEX(ST_Design,MATCH(C594,ST_Code,0)),"Code inconnu"))</f>
        <v/>
      </c>
      <c r="E594" s="74" t="str">
        <f aca="false">IF(C594="","",IFERROR(INDEX(ST_Unite,MATCH(C594,ST_Code,0)),""))</f>
        <v/>
      </c>
      <c r="F594" s="82"/>
      <c r="G594" s="68"/>
      <c r="H594" s="76" t="str">
        <f aca="false">IF(G594="","",IFERROR(INDEX(BC_Fourn,MATCH(G594,BC_Num,0)),""))</f>
        <v/>
      </c>
      <c r="I594" s="25"/>
      <c r="J594" s="25"/>
      <c r="K594" s="25"/>
      <c r="L594" s="25"/>
    </row>
    <row r="595" customFormat="false" ht="15" hidden="false" customHeight="false" outlineLevel="0" collapsed="false">
      <c r="A595" s="69"/>
      <c r="B595" s="68"/>
      <c r="C595" s="68"/>
      <c r="D595" s="76" t="str">
        <f aca="false">IF(C595="","",IFERROR(INDEX(ST_Design,MATCH(C595,ST_Code,0)),"Code inconnu"))</f>
        <v/>
      </c>
      <c r="E595" s="74" t="str">
        <f aca="false">IF(C595="","",IFERROR(INDEX(ST_Unite,MATCH(C595,ST_Code,0)),""))</f>
        <v/>
      </c>
      <c r="F595" s="82"/>
      <c r="G595" s="68"/>
      <c r="H595" s="76" t="str">
        <f aca="false">IF(G595="","",IFERROR(INDEX(BC_Fourn,MATCH(G595,BC_Num,0)),""))</f>
        <v/>
      </c>
      <c r="I595" s="25"/>
      <c r="J595" s="25"/>
      <c r="K595" s="25"/>
      <c r="L595" s="25"/>
    </row>
    <row r="596" customFormat="false" ht="15" hidden="false" customHeight="false" outlineLevel="0" collapsed="false">
      <c r="A596" s="69"/>
      <c r="B596" s="68"/>
      <c r="C596" s="68"/>
      <c r="D596" s="76" t="str">
        <f aca="false">IF(C596="","",IFERROR(INDEX(ST_Design,MATCH(C596,ST_Code,0)),"Code inconnu"))</f>
        <v/>
      </c>
      <c r="E596" s="74" t="str">
        <f aca="false">IF(C596="","",IFERROR(INDEX(ST_Unite,MATCH(C596,ST_Code,0)),""))</f>
        <v/>
      </c>
      <c r="F596" s="82"/>
      <c r="G596" s="68"/>
      <c r="H596" s="76" t="str">
        <f aca="false">IF(G596="","",IFERROR(INDEX(BC_Fourn,MATCH(G596,BC_Num,0)),""))</f>
        <v/>
      </c>
      <c r="I596" s="25"/>
      <c r="J596" s="25"/>
      <c r="K596" s="25"/>
      <c r="L596" s="25"/>
    </row>
    <row r="597" customFormat="false" ht="15" hidden="false" customHeight="false" outlineLevel="0" collapsed="false">
      <c r="A597" s="69"/>
      <c r="B597" s="68"/>
      <c r="C597" s="68"/>
      <c r="D597" s="76" t="str">
        <f aca="false">IF(C597="","",IFERROR(INDEX(ST_Design,MATCH(C597,ST_Code,0)),"Code inconnu"))</f>
        <v/>
      </c>
      <c r="E597" s="74" t="str">
        <f aca="false">IF(C597="","",IFERROR(INDEX(ST_Unite,MATCH(C597,ST_Code,0)),""))</f>
        <v/>
      </c>
      <c r="F597" s="82"/>
      <c r="G597" s="68"/>
      <c r="H597" s="76" t="str">
        <f aca="false">IF(G597="","",IFERROR(INDEX(BC_Fourn,MATCH(G597,BC_Num,0)),""))</f>
        <v/>
      </c>
      <c r="I597" s="25"/>
      <c r="J597" s="25"/>
      <c r="K597" s="25"/>
      <c r="L597" s="25"/>
    </row>
    <row r="598" customFormat="false" ht="15" hidden="false" customHeight="false" outlineLevel="0" collapsed="false">
      <c r="A598" s="69"/>
      <c r="B598" s="68"/>
      <c r="C598" s="68"/>
      <c r="D598" s="76" t="str">
        <f aca="false">IF(C598="","",IFERROR(INDEX(ST_Design,MATCH(C598,ST_Code,0)),"Code inconnu"))</f>
        <v/>
      </c>
      <c r="E598" s="74" t="str">
        <f aca="false">IF(C598="","",IFERROR(INDEX(ST_Unite,MATCH(C598,ST_Code,0)),""))</f>
        <v/>
      </c>
      <c r="F598" s="82"/>
      <c r="G598" s="68"/>
      <c r="H598" s="76" t="str">
        <f aca="false">IF(G598="","",IFERROR(INDEX(BC_Fourn,MATCH(G598,BC_Num,0)),""))</f>
        <v/>
      </c>
      <c r="I598" s="25"/>
      <c r="J598" s="25"/>
      <c r="K598" s="25"/>
      <c r="L598" s="25"/>
    </row>
    <row r="599" customFormat="false" ht="15" hidden="false" customHeight="false" outlineLevel="0" collapsed="false">
      <c r="A599" s="69"/>
      <c r="B599" s="68"/>
      <c r="C599" s="68"/>
      <c r="D599" s="76" t="str">
        <f aca="false">IF(C599="","",IFERROR(INDEX(ST_Design,MATCH(C599,ST_Code,0)),"Code inconnu"))</f>
        <v/>
      </c>
      <c r="E599" s="74" t="str">
        <f aca="false">IF(C599="","",IFERROR(INDEX(ST_Unite,MATCH(C599,ST_Code,0)),""))</f>
        <v/>
      </c>
      <c r="F599" s="82"/>
      <c r="G599" s="68"/>
      <c r="H599" s="76" t="str">
        <f aca="false">IF(G599="","",IFERROR(INDEX(BC_Fourn,MATCH(G599,BC_Num,0)),""))</f>
        <v/>
      </c>
      <c r="I599" s="25"/>
      <c r="J599" s="25"/>
      <c r="K599" s="25"/>
      <c r="L599" s="25"/>
    </row>
    <row r="600" customFormat="false" ht="15" hidden="false" customHeight="false" outlineLevel="0" collapsed="false">
      <c r="A600" s="69"/>
      <c r="B600" s="68"/>
      <c r="C600" s="68"/>
      <c r="D600" s="76" t="str">
        <f aca="false">IF(C600="","",IFERROR(INDEX(ST_Design,MATCH(C600,ST_Code,0)),"Code inconnu"))</f>
        <v/>
      </c>
      <c r="E600" s="74" t="str">
        <f aca="false">IF(C600="","",IFERROR(INDEX(ST_Unite,MATCH(C600,ST_Code,0)),""))</f>
        <v/>
      </c>
      <c r="F600" s="82"/>
      <c r="G600" s="68"/>
      <c r="H600" s="76" t="str">
        <f aca="false">IF(G600="","",IFERROR(INDEX(BC_Fourn,MATCH(G600,BC_Num,0)),""))</f>
        <v/>
      </c>
      <c r="I600" s="25"/>
      <c r="J600" s="25"/>
      <c r="K600" s="25"/>
      <c r="L600" s="25"/>
    </row>
    <row r="601" customFormat="false" ht="15" hidden="false" customHeight="false" outlineLevel="0" collapsed="false">
      <c r="A601" s="69"/>
      <c r="B601" s="68"/>
      <c r="C601" s="68"/>
      <c r="D601" s="76" t="str">
        <f aca="false">IF(C601="","",IFERROR(INDEX(ST_Design,MATCH(C601,ST_Code,0)),"Code inconnu"))</f>
        <v/>
      </c>
      <c r="E601" s="74" t="str">
        <f aca="false">IF(C601="","",IFERROR(INDEX(ST_Unite,MATCH(C601,ST_Code,0)),""))</f>
        <v/>
      </c>
      <c r="F601" s="82"/>
      <c r="G601" s="68"/>
      <c r="H601" s="76" t="str">
        <f aca="false">IF(G601="","",IFERROR(INDEX(BC_Fourn,MATCH(G601,BC_Num,0)),""))</f>
        <v/>
      </c>
      <c r="I601" s="25"/>
      <c r="J601" s="25"/>
      <c r="K601" s="25"/>
      <c r="L601" s="25"/>
    </row>
    <row r="602" customFormat="false" ht="15" hidden="false" customHeight="false" outlineLevel="0" collapsed="false">
      <c r="A602" s="69"/>
      <c r="B602" s="68"/>
      <c r="C602" s="68"/>
      <c r="D602" s="76" t="str">
        <f aca="false">IF(C602="","",IFERROR(INDEX(ST_Design,MATCH(C602,ST_Code,0)),"Code inconnu"))</f>
        <v/>
      </c>
      <c r="E602" s="74" t="str">
        <f aca="false">IF(C602="","",IFERROR(INDEX(ST_Unite,MATCH(C602,ST_Code,0)),""))</f>
        <v/>
      </c>
      <c r="F602" s="82"/>
      <c r="G602" s="68"/>
      <c r="H602" s="76" t="str">
        <f aca="false">IF(G602="","",IFERROR(INDEX(BC_Fourn,MATCH(G602,BC_Num,0)),""))</f>
        <v/>
      </c>
      <c r="I602" s="25"/>
      <c r="J602" s="25"/>
      <c r="K602" s="25"/>
      <c r="L602" s="25"/>
    </row>
    <row r="603" customFormat="false" ht="15" hidden="false" customHeight="false" outlineLevel="0" collapsed="false">
      <c r="A603" s="69"/>
      <c r="B603" s="68"/>
      <c r="C603" s="68"/>
      <c r="D603" s="76" t="str">
        <f aca="false">IF(C603="","",IFERROR(INDEX(ST_Design,MATCH(C603,ST_Code,0)),"Code inconnu"))</f>
        <v/>
      </c>
      <c r="E603" s="74" t="str">
        <f aca="false">IF(C603="","",IFERROR(INDEX(ST_Unite,MATCH(C603,ST_Code,0)),""))</f>
        <v/>
      </c>
      <c r="F603" s="82"/>
      <c r="G603" s="68"/>
      <c r="H603" s="76" t="str">
        <f aca="false">IF(G603="","",IFERROR(INDEX(BC_Fourn,MATCH(G603,BC_Num,0)),""))</f>
        <v/>
      </c>
      <c r="I603" s="25"/>
      <c r="J603" s="25"/>
      <c r="K603" s="25"/>
      <c r="L603" s="25"/>
    </row>
    <row r="604" customFormat="false" ht="15" hidden="false" customHeight="false" outlineLevel="0" collapsed="false">
      <c r="A604" s="69"/>
      <c r="B604" s="68"/>
      <c r="C604" s="68"/>
      <c r="D604" s="76" t="str">
        <f aca="false">IF(C604="","",IFERROR(INDEX(ST_Design,MATCH(C604,ST_Code,0)),"Code inconnu"))</f>
        <v/>
      </c>
      <c r="E604" s="74" t="str">
        <f aca="false">IF(C604="","",IFERROR(INDEX(ST_Unite,MATCH(C604,ST_Code,0)),""))</f>
        <v/>
      </c>
      <c r="F604" s="82"/>
      <c r="G604" s="68"/>
      <c r="H604" s="76" t="str">
        <f aca="false">IF(G604="","",IFERROR(INDEX(BC_Fourn,MATCH(G604,BC_Num,0)),""))</f>
        <v/>
      </c>
      <c r="I604" s="25"/>
      <c r="J604" s="25"/>
      <c r="K604" s="25"/>
      <c r="L604" s="25"/>
    </row>
    <row r="605" customFormat="false" ht="15" hidden="false" customHeight="false" outlineLevel="0" collapsed="false">
      <c r="A605" s="69"/>
      <c r="B605" s="68"/>
      <c r="C605" s="68"/>
      <c r="D605" s="76" t="str">
        <f aca="false">IF(C605="","",IFERROR(INDEX(ST_Design,MATCH(C605,ST_Code,0)),"Code inconnu"))</f>
        <v/>
      </c>
      <c r="E605" s="74" t="str">
        <f aca="false">IF(C605="","",IFERROR(INDEX(ST_Unite,MATCH(C605,ST_Code,0)),""))</f>
        <v/>
      </c>
      <c r="F605" s="82"/>
      <c r="G605" s="68"/>
      <c r="H605" s="76" t="str">
        <f aca="false">IF(G605="","",IFERROR(INDEX(BC_Fourn,MATCH(G605,BC_Num,0)),""))</f>
        <v/>
      </c>
      <c r="I605" s="25"/>
      <c r="J605" s="25"/>
      <c r="K605" s="25"/>
      <c r="L605" s="25"/>
    </row>
    <row r="606" customFormat="false" ht="15" hidden="false" customHeight="false" outlineLevel="0" collapsed="false">
      <c r="A606" s="69"/>
      <c r="B606" s="68"/>
      <c r="C606" s="68"/>
      <c r="D606" s="76" t="str">
        <f aca="false">IF(C606="","",IFERROR(INDEX(ST_Design,MATCH(C606,ST_Code,0)),"Code inconnu"))</f>
        <v/>
      </c>
      <c r="E606" s="74" t="str">
        <f aca="false">IF(C606="","",IFERROR(INDEX(ST_Unite,MATCH(C606,ST_Code,0)),""))</f>
        <v/>
      </c>
      <c r="F606" s="82"/>
      <c r="G606" s="68"/>
      <c r="H606" s="76" t="str">
        <f aca="false">IF(G606="","",IFERROR(INDEX(BC_Fourn,MATCH(G606,BC_Num,0)),""))</f>
        <v/>
      </c>
      <c r="I606" s="25"/>
      <c r="J606" s="25"/>
      <c r="K606" s="25"/>
      <c r="L606" s="25"/>
    </row>
    <row r="607" customFormat="false" ht="15" hidden="false" customHeight="false" outlineLevel="0" collapsed="false">
      <c r="A607" s="69"/>
      <c r="B607" s="68"/>
      <c r="C607" s="68"/>
      <c r="D607" s="76" t="str">
        <f aca="false">IF(C607="","",IFERROR(INDEX(ST_Design,MATCH(C607,ST_Code,0)),"Code inconnu"))</f>
        <v/>
      </c>
      <c r="E607" s="74" t="str">
        <f aca="false">IF(C607="","",IFERROR(INDEX(ST_Unite,MATCH(C607,ST_Code,0)),""))</f>
        <v/>
      </c>
      <c r="F607" s="82"/>
      <c r="G607" s="68"/>
      <c r="H607" s="76" t="str">
        <f aca="false">IF(G607="","",IFERROR(INDEX(BC_Fourn,MATCH(G607,BC_Num,0)),""))</f>
        <v/>
      </c>
      <c r="I607" s="25"/>
      <c r="J607" s="25"/>
      <c r="K607" s="25"/>
      <c r="L607" s="25"/>
    </row>
    <row r="608" customFormat="false" ht="15" hidden="false" customHeight="false" outlineLevel="0" collapsed="false">
      <c r="A608" s="69"/>
      <c r="B608" s="68"/>
      <c r="C608" s="68"/>
      <c r="D608" s="76" t="str">
        <f aca="false">IF(C608="","",IFERROR(INDEX(ST_Design,MATCH(C608,ST_Code,0)),"Code inconnu"))</f>
        <v/>
      </c>
      <c r="E608" s="74" t="str">
        <f aca="false">IF(C608="","",IFERROR(INDEX(ST_Unite,MATCH(C608,ST_Code,0)),""))</f>
        <v/>
      </c>
      <c r="F608" s="82"/>
      <c r="G608" s="68"/>
      <c r="H608" s="76" t="str">
        <f aca="false">IF(G608="","",IFERROR(INDEX(BC_Fourn,MATCH(G608,BC_Num,0)),""))</f>
        <v/>
      </c>
      <c r="I608" s="25"/>
      <c r="J608" s="25"/>
      <c r="K608" s="25"/>
      <c r="L608" s="25"/>
    </row>
    <row r="609" customFormat="false" ht="15" hidden="false" customHeight="false" outlineLevel="0" collapsed="false">
      <c r="A609" s="69"/>
      <c r="B609" s="68"/>
      <c r="C609" s="68"/>
      <c r="D609" s="76" t="str">
        <f aca="false">IF(C609="","",IFERROR(INDEX(ST_Design,MATCH(C609,ST_Code,0)),"Code inconnu"))</f>
        <v/>
      </c>
      <c r="E609" s="74" t="str">
        <f aca="false">IF(C609="","",IFERROR(INDEX(ST_Unite,MATCH(C609,ST_Code,0)),""))</f>
        <v/>
      </c>
      <c r="F609" s="82"/>
      <c r="G609" s="68"/>
      <c r="H609" s="76" t="str">
        <f aca="false">IF(G609="","",IFERROR(INDEX(BC_Fourn,MATCH(G609,BC_Num,0)),""))</f>
        <v/>
      </c>
      <c r="I609" s="25"/>
      <c r="J609" s="25"/>
      <c r="K609" s="25"/>
      <c r="L609" s="25"/>
    </row>
    <row r="610" customFormat="false" ht="15" hidden="false" customHeight="false" outlineLevel="0" collapsed="false">
      <c r="A610" s="69"/>
      <c r="B610" s="68"/>
      <c r="C610" s="68"/>
      <c r="D610" s="76" t="str">
        <f aca="false">IF(C610="","",IFERROR(INDEX(ST_Design,MATCH(C610,ST_Code,0)),"Code inconnu"))</f>
        <v/>
      </c>
      <c r="E610" s="74" t="str">
        <f aca="false">IF(C610="","",IFERROR(INDEX(ST_Unite,MATCH(C610,ST_Code,0)),""))</f>
        <v/>
      </c>
      <c r="F610" s="82"/>
      <c r="G610" s="68"/>
      <c r="H610" s="76" t="str">
        <f aca="false">IF(G610="","",IFERROR(INDEX(BC_Fourn,MATCH(G610,BC_Num,0)),""))</f>
        <v/>
      </c>
      <c r="I610" s="25"/>
      <c r="J610" s="25"/>
      <c r="K610" s="25"/>
      <c r="L610" s="25"/>
    </row>
    <row r="611" customFormat="false" ht="15" hidden="false" customHeight="false" outlineLevel="0" collapsed="false">
      <c r="A611" s="69"/>
      <c r="B611" s="68"/>
      <c r="C611" s="68"/>
      <c r="D611" s="76" t="str">
        <f aca="false">IF(C611="","",IFERROR(INDEX(ST_Design,MATCH(C611,ST_Code,0)),"Code inconnu"))</f>
        <v/>
      </c>
      <c r="E611" s="74" t="str">
        <f aca="false">IF(C611="","",IFERROR(INDEX(ST_Unite,MATCH(C611,ST_Code,0)),""))</f>
        <v/>
      </c>
      <c r="F611" s="82"/>
      <c r="G611" s="68"/>
      <c r="H611" s="76" t="str">
        <f aca="false">IF(G611="","",IFERROR(INDEX(BC_Fourn,MATCH(G611,BC_Num,0)),""))</f>
        <v/>
      </c>
      <c r="I611" s="25"/>
      <c r="J611" s="25"/>
      <c r="K611" s="25"/>
      <c r="L611" s="25"/>
    </row>
    <row r="612" customFormat="false" ht="15" hidden="false" customHeight="false" outlineLevel="0" collapsed="false">
      <c r="A612" s="69"/>
      <c r="B612" s="68"/>
      <c r="C612" s="68"/>
      <c r="D612" s="76" t="str">
        <f aca="false">IF(C612="","",IFERROR(INDEX(ST_Design,MATCH(C612,ST_Code,0)),"Code inconnu"))</f>
        <v/>
      </c>
      <c r="E612" s="74" t="str">
        <f aca="false">IF(C612="","",IFERROR(INDEX(ST_Unite,MATCH(C612,ST_Code,0)),""))</f>
        <v/>
      </c>
      <c r="F612" s="82"/>
      <c r="G612" s="68"/>
      <c r="H612" s="76" t="str">
        <f aca="false">IF(G612="","",IFERROR(INDEX(BC_Fourn,MATCH(G612,BC_Num,0)),""))</f>
        <v/>
      </c>
      <c r="I612" s="25"/>
      <c r="J612" s="25"/>
      <c r="K612" s="25"/>
      <c r="L612" s="25"/>
    </row>
    <row r="613" customFormat="false" ht="15" hidden="false" customHeight="false" outlineLevel="0" collapsed="false">
      <c r="A613" s="69"/>
      <c r="B613" s="68"/>
      <c r="C613" s="68"/>
      <c r="D613" s="76" t="str">
        <f aca="false">IF(C613="","",IFERROR(INDEX(ST_Design,MATCH(C613,ST_Code,0)),"Code inconnu"))</f>
        <v/>
      </c>
      <c r="E613" s="74" t="str">
        <f aca="false">IF(C613="","",IFERROR(INDEX(ST_Unite,MATCH(C613,ST_Code,0)),""))</f>
        <v/>
      </c>
      <c r="F613" s="82"/>
      <c r="G613" s="68"/>
      <c r="H613" s="76" t="str">
        <f aca="false">IF(G613="","",IFERROR(INDEX(BC_Fourn,MATCH(G613,BC_Num,0)),""))</f>
        <v/>
      </c>
      <c r="I613" s="25"/>
      <c r="J613" s="25"/>
      <c r="K613" s="25"/>
      <c r="L613" s="25"/>
    </row>
    <row r="614" customFormat="false" ht="15" hidden="false" customHeight="false" outlineLevel="0" collapsed="false">
      <c r="A614" s="69"/>
      <c r="B614" s="68"/>
      <c r="C614" s="68"/>
      <c r="D614" s="76" t="str">
        <f aca="false">IF(C614="","",IFERROR(INDEX(ST_Design,MATCH(C614,ST_Code,0)),"Code inconnu"))</f>
        <v/>
      </c>
      <c r="E614" s="74" t="str">
        <f aca="false">IF(C614="","",IFERROR(INDEX(ST_Unite,MATCH(C614,ST_Code,0)),""))</f>
        <v/>
      </c>
      <c r="F614" s="82"/>
      <c r="G614" s="68"/>
      <c r="H614" s="76" t="str">
        <f aca="false">IF(G614="","",IFERROR(INDEX(BC_Fourn,MATCH(G614,BC_Num,0)),""))</f>
        <v/>
      </c>
      <c r="I614" s="25"/>
      <c r="J614" s="25"/>
      <c r="K614" s="25"/>
      <c r="L614" s="25"/>
    </row>
    <row r="615" customFormat="false" ht="15" hidden="false" customHeight="false" outlineLevel="0" collapsed="false">
      <c r="A615" s="69"/>
      <c r="B615" s="68"/>
      <c r="C615" s="68"/>
      <c r="D615" s="76" t="str">
        <f aca="false">IF(C615="","",IFERROR(INDEX(ST_Design,MATCH(C615,ST_Code,0)),"Code inconnu"))</f>
        <v/>
      </c>
      <c r="E615" s="74" t="str">
        <f aca="false">IF(C615="","",IFERROR(INDEX(ST_Unite,MATCH(C615,ST_Code,0)),""))</f>
        <v/>
      </c>
      <c r="F615" s="82"/>
      <c r="G615" s="68"/>
      <c r="H615" s="76" t="str">
        <f aca="false">IF(G615="","",IFERROR(INDEX(BC_Fourn,MATCH(G615,BC_Num,0)),""))</f>
        <v/>
      </c>
      <c r="I615" s="25"/>
      <c r="J615" s="25"/>
      <c r="K615" s="25"/>
      <c r="L615" s="25"/>
    </row>
    <row r="616" customFormat="false" ht="15" hidden="false" customHeight="false" outlineLevel="0" collapsed="false">
      <c r="A616" s="69"/>
      <c r="B616" s="68"/>
      <c r="C616" s="68"/>
      <c r="D616" s="76" t="str">
        <f aca="false">IF(C616="","",IFERROR(INDEX(ST_Design,MATCH(C616,ST_Code,0)),"Code inconnu"))</f>
        <v/>
      </c>
      <c r="E616" s="74" t="str">
        <f aca="false">IF(C616="","",IFERROR(INDEX(ST_Unite,MATCH(C616,ST_Code,0)),""))</f>
        <v/>
      </c>
      <c r="F616" s="82"/>
      <c r="G616" s="68"/>
      <c r="H616" s="76" t="str">
        <f aca="false">IF(G616="","",IFERROR(INDEX(BC_Fourn,MATCH(G616,BC_Num,0)),""))</f>
        <v/>
      </c>
      <c r="I616" s="25"/>
      <c r="J616" s="25"/>
      <c r="K616" s="25"/>
      <c r="L616" s="25"/>
    </row>
    <row r="617" customFormat="false" ht="15" hidden="false" customHeight="false" outlineLevel="0" collapsed="false">
      <c r="A617" s="69"/>
      <c r="B617" s="68"/>
      <c r="C617" s="68"/>
      <c r="D617" s="76" t="str">
        <f aca="false">IF(C617="","",IFERROR(INDEX(ST_Design,MATCH(C617,ST_Code,0)),"Code inconnu"))</f>
        <v/>
      </c>
      <c r="E617" s="74" t="str">
        <f aca="false">IF(C617="","",IFERROR(INDEX(ST_Unite,MATCH(C617,ST_Code,0)),""))</f>
        <v/>
      </c>
      <c r="F617" s="82"/>
      <c r="G617" s="68"/>
      <c r="H617" s="76" t="str">
        <f aca="false">IF(G617="","",IFERROR(INDEX(BC_Fourn,MATCH(G617,BC_Num,0)),""))</f>
        <v/>
      </c>
      <c r="I617" s="25"/>
      <c r="J617" s="25"/>
      <c r="K617" s="25"/>
      <c r="L617" s="25"/>
    </row>
    <row r="618" customFormat="false" ht="15" hidden="false" customHeight="false" outlineLevel="0" collapsed="false">
      <c r="A618" s="69"/>
      <c r="B618" s="68"/>
      <c r="C618" s="68"/>
      <c r="D618" s="76" t="str">
        <f aca="false">IF(C618="","",IFERROR(INDEX(ST_Design,MATCH(C618,ST_Code,0)),"Code inconnu"))</f>
        <v/>
      </c>
      <c r="E618" s="74" t="str">
        <f aca="false">IF(C618="","",IFERROR(INDEX(ST_Unite,MATCH(C618,ST_Code,0)),""))</f>
        <v/>
      </c>
      <c r="F618" s="82"/>
      <c r="G618" s="68"/>
      <c r="H618" s="76" t="str">
        <f aca="false">IF(G618="","",IFERROR(INDEX(BC_Fourn,MATCH(G618,BC_Num,0)),""))</f>
        <v/>
      </c>
      <c r="I618" s="25"/>
      <c r="J618" s="25"/>
      <c r="K618" s="25"/>
      <c r="L618" s="25"/>
    </row>
    <row r="619" customFormat="false" ht="15" hidden="false" customHeight="false" outlineLevel="0" collapsed="false">
      <c r="A619" s="69"/>
      <c r="B619" s="68"/>
      <c r="C619" s="68"/>
      <c r="D619" s="76" t="str">
        <f aca="false">IF(C619="","",IFERROR(INDEX(ST_Design,MATCH(C619,ST_Code,0)),"Code inconnu"))</f>
        <v/>
      </c>
      <c r="E619" s="74" t="str">
        <f aca="false">IF(C619="","",IFERROR(INDEX(ST_Unite,MATCH(C619,ST_Code,0)),""))</f>
        <v/>
      </c>
      <c r="F619" s="82"/>
      <c r="G619" s="68"/>
      <c r="H619" s="76" t="str">
        <f aca="false">IF(G619="","",IFERROR(INDEX(BC_Fourn,MATCH(G619,BC_Num,0)),""))</f>
        <v/>
      </c>
      <c r="I619" s="25"/>
      <c r="J619" s="25"/>
      <c r="K619" s="25"/>
      <c r="L619" s="25"/>
    </row>
    <row r="620" customFormat="false" ht="15" hidden="false" customHeight="false" outlineLevel="0" collapsed="false">
      <c r="A620" s="69"/>
      <c r="B620" s="68"/>
      <c r="C620" s="68"/>
      <c r="D620" s="76" t="str">
        <f aca="false">IF(C620="","",IFERROR(INDEX(ST_Design,MATCH(C620,ST_Code,0)),"Code inconnu"))</f>
        <v/>
      </c>
      <c r="E620" s="74" t="str">
        <f aca="false">IF(C620="","",IFERROR(INDEX(ST_Unite,MATCH(C620,ST_Code,0)),""))</f>
        <v/>
      </c>
      <c r="F620" s="82"/>
      <c r="G620" s="68"/>
      <c r="H620" s="76" t="str">
        <f aca="false">IF(G620="","",IFERROR(INDEX(BC_Fourn,MATCH(G620,BC_Num,0)),""))</f>
        <v/>
      </c>
      <c r="I620" s="25"/>
      <c r="J620" s="25"/>
      <c r="K620" s="25"/>
      <c r="L620" s="25"/>
    </row>
    <row r="621" customFormat="false" ht="15" hidden="false" customHeight="false" outlineLevel="0" collapsed="false">
      <c r="A621" s="69"/>
      <c r="B621" s="68"/>
      <c r="C621" s="68"/>
      <c r="D621" s="76" t="str">
        <f aca="false">IF(C621="","",IFERROR(INDEX(ST_Design,MATCH(C621,ST_Code,0)),"Code inconnu"))</f>
        <v/>
      </c>
      <c r="E621" s="74" t="str">
        <f aca="false">IF(C621="","",IFERROR(INDEX(ST_Unite,MATCH(C621,ST_Code,0)),""))</f>
        <v/>
      </c>
      <c r="F621" s="82"/>
      <c r="G621" s="68"/>
      <c r="H621" s="76" t="str">
        <f aca="false">IF(G621="","",IFERROR(INDEX(BC_Fourn,MATCH(G621,BC_Num,0)),""))</f>
        <v/>
      </c>
      <c r="I621" s="25"/>
      <c r="J621" s="25"/>
      <c r="K621" s="25"/>
      <c r="L621" s="25"/>
    </row>
    <row r="622" customFormat="false" ht="15" hidden="false" customHeight="false" outlineLevel="0" collapsed="false">
      <c r="A622" s="69"/>
      <c r="B622" s="68"/>
      <c r="C622" s="68"/>
      <c r="D622" s="76" t="str">
        <f aca="false">IF(C622="","",IFERROR(INDEX(ST_Design,MATCH(C622,ST_Code,0)),"Code inconnu"))</f>
        <v/>
      </c>
      <c r="E622" s="74" t="str">
        <f aca="false">IF(C622="","",IFERROR(INDEX(ST_Unite,MATCH(C622,ST_Code,0)),""))</f>
        <v/>
      </c>
      <c r="F622" s="82"/>
      <c r="G622" s="68"/>
      <c r="H622" s="76" t="str">
        <f aca="false">IF(G622="","",IFERROR(INDEX(BC_Fourn,MATCH(G622,BC_Num,0)),""))</f>
        <v/>
      </c>
      <c r="I622" s="25"/>
      <c r="J622" s="25"/>
      <c r="K622" s="25"/>
      <c r="L622" s="25"/>
    </row>
    <row r="623" customFormat="false" ht="15" hidden="false" customHeight="false" outlineLevel="0" collapsed="false">
      <c r="A623" s="69"/>
      <c r="B623" s="68"/>
      <c r="C623" s="68"/>
      <c r="D623" s="76" t="str">
        <f aca="false">IF(C623="","",IFERROR(INDEX(ST_Design,MATCH(C623,ST_Code,0)),"Code inconnu"))</f>
        <v/>
      </c>
      <c r="E623" s="74" t="str">
        <f aca="false">IF(C623="","",IFERROR(INDEX(ST_Unite,MATCH(C623,ST_Code,0)),""))</f>
        <v/>
      </c>
      <c r="F623" s="82"/>
      <c r="G623" s="68"/>
      <c r="H623" s="76" t="str">
        <f aca="false">IF(G623="","",IFERROR(INDEX(BC_Fourn,MATCH(G623,BC_Num,0)),""))</f>
        <v/>
      </c>
      <c r="I623" s="25"/>
      <c r="J623" s="25"/>
      <c r="K623" s="25"/>
      <c r="L623" s="25"/>
    </row>
    <row r="624" customFormat="false" ht="15" hidden="false" customHeight="false" outlineLevel="0" collapsed="false">
      <c r="A624" s="69"/>
      <c r="B624" s="68"/>
      <c r="C624" s="68"/>
      <c r="D624" s="76" t="str">
        <f aca="false">IF(C624="","",IFERROR(INDEX(ST_Design,MATCH(C624,ST_Code,0)),"Code inconnu"))</f>
        <v/>
      </c>
      <c r="E624" s="74" t="str">
        <f aca="false">IF(C624="","",IFERROR(INDEX(ST_Unite,MATCH(C624,ST_Code,0)),""))</f>
        <v/>
      </c>
      <c r="F624" s="82"/>
      <c r="G624" s="68"/>
      <c r="H624" s="76" t="str">
        <f aca="false">IF(G624="","",IFERROR(INDEX(BC_Fourn,MATCH(G624,BC_Num,0)),""))</f>
        <v/>
      </c>
      <c r="I624" s="25"/>
      <c r="J624" s="25"/>
      <c r="K624" s="25"/>
      <c r="L624" s="25"/>
    </row>
    <row r="625" customFormat="false" ht="15" hidden="false" customHeight="false" outlineLevel="0" collapsed="false">
      <c r="A625" s="69"/>
      <c r="B625" s="68"/>
      <c r="C625" s="68"/>
      <c r="D625" s="76" t="str">
        <f aca="false">IF(C625="","",IFERROR(INDEX(ST_Design,MATCH(C625,ST_Code,0)),"Code inconnu"))</f>
        <v/>
      </c>
      <c r="E625" s="74" t="str">
        <f aca="false">IF(C625="","",IFERROR(INDEX(ST_Unite,MATCH(C625,ST_Code,0)),""))</f>
        <v/>
      </c>
      <c r="F625" s="82"/>
      <c r="G625" s="68"/>
      <c r="H625" s="76" t="str">
        <f aca="false">IF(G625="","",IFERROR(INDEX(BC_Fourn,MATCH(G625,BC_Num,0)),""))</f>
        <v/>
      </c>
      <c r="I625" s="25"/>
      <c r="J625" s="25"/>
      <c r="K625" s="25"/>
      <c r="L625" s="25"/>
    </row>
    <row r="626" customFormat="false" ht="15" hidden="false" customHeight="false" outlineLevel="0" collapsed="false">
      <c r="A626" s="69"/>
      <c r="B626" s="68"/>
      <c r="C626" s="68"/>
      <c r="D626" s="76" t="str">
        <f aca="false">IF(C626="","",IFERROR(INDEX(ST_Design,MATCH(C626,ST_Code,0)),"Code inconnu"))</f>
        <v/>
      </c>
      <c r="E626" s="74" t="str">
        <f aca="false">IF(C626="","",IFERROR(INDEX(ST_Unite,MATCH(C626,ST_Code,0)),""))</f>
        <v/>
      </c>
      <c r="F626" s="82"/>
      <c r="G626" s="68"/>
      <c r="H626" s="76" t="str">
        <f aca="false">IF(G626="","",IFERROR(INDEX(BC_Fourn,MATCH(G626,BC_Num,0)),""))</f>
        <v/>
      </c>
      <c r="I626" s="25"/>
      <c r="J626" s="25"/>
      <c r="K626" s="25"/>
      <c r="L626" s="25"/>
    </row>
    <row r="627" customFormat="false" ht="15" hidden="false" customHeight="false" outlineLevel="0" collapsed="false">
      <c r="A627" s="69"/>
      <c r="B627" s="68"/>
      <c r="C627" s="68"/>
      <c r="D627" s="76" t="str">
        <f aca="false">IF(C627="","",IFERROR(INDEX(ST_Design,MATCH(C627,ST_Code,0)),"Code inconnu"))</f>
        <v/>
      </c>
      <c r="E627" s="74" t="str">
        <f aca="false">IF(C627="","",IFERROR(INDEX(ST_Unite,MATCH(C627,ST_Code,0)),""))</f>
        <v/>
      </c>
      <c r="F627" s="82"/>
      <c r="G627" s="68"/>
      <c r="H627" s="76" t="str">
        <f aca="false">IF(G627="","",IFERROR(INDEX(BC_Fourn,MATCH(G627,BC_Num,0)),""))</f>
        <v/>
      </c>
      <c r="I627" s="25"/>
      <c r="J627" s="25"/>
      <c r="K627" s="25"/>
      <c r="L627" s="25"/>
    </row>
    <row r="628" customFormat="false" ht="15" hidden="false" customHeight="false" outlineLevel="0" collapsed="false">
      <c r="A628" s="69"/>
      <c r="B628" s="68"/>
      <c r="C628" s="68"/>
      <c r="D628" s="76" t="str">
        <f aca="false">IF(C628="","",IFERROR(INDEX(ST_Design,MATCH(C628,ST_Code,0)),"Code inconnu"))</f>
        <v/>
      </c>
      <c r="E628" s="74" t="str">
        <f aca="false">IF(C628="","",IFERROR(INDEX(ST_Unite,MATCH(C628,ST_Code,0)),""))</f>
        <v/>
      </c>
      <c r="F628" s="82"/>
      <c r="G628" s="68"/>
      <c r="H628" s="76" t="str">
        <f aca="false">IF(G628="","",IFERROR(INDEX(BC_Fourn,MATCH(G628,BC_Num,0)),""))</f>
        <v/>
      </c>
      <c r="I628" s="25"/>
      <c r="J628" s="25"/>
      <c r="K628" s="25"/>
      <c r="L628" s="25"/>
    </row>
    <row r="629" customFormat="false" ht="15" hidden="false" customHeight="false" outlineLevel="0" collapsed="false">
      <c r="A629" s="69"/>
      <c r="B629" s="68"/>
      <c r="C629" s="68"/>
      <c r="D629" s="76" t="str">
        <f aca="false">IF(C629="","",IFERROR(INDEX(ST_Design,MATCH(C629,ST_Code,0)),"Code inconnu"))</f>
        <v/>
      </c>
      <c r="E629" s="74" t="str">
        <f aca="false">IF(C629="","",IFERROR(INDEX(ST_Unite,MATCH(C629,ST_Code,0)),""))</f>
        <v/>
      </c>
      <c r="F629" s="82"/>
      <c r="G629" s="68"/>
      <c r="H629" s="76" t="str">
        <f aca="false">IF(G629="","",IFERROR(INDEX(BC_Fourn,MATCH(G629,BC_Num,0)),""))</f>
        <v/>
      </c>
      <c r="I629" s="25"/>
      <c r="J629" s="25"/>
      <c r="K629" s="25"/>
      <c r="L629" s="25"/>
    </row>
    <row r="630" customFormat="false" ht="15" hidden="false" customHeight="false" outlineLevel="0" collapsed="false">
      <c r="A630" s="69"/>
      <c r="B630" s="68"/>
      <c r="C630" s="68"/>
      <c r="D630" s="76" t="str">
        <f aca="false">IF(C630="","",IFERROR(INDEX(ST_Design,MATCH(C630,ST_Code,0)),"Code inconnu"))</f>
        <v/>
      </c>
      <c r="E630" s="74" t="str">
        <f aca="false">IF(C630="","",IFERROR(INDEX(ST_Unite,MATCH(C630,ST_Code,0)),""))</f>
        <v/>
      </c>
      <c r="F630" s="82"/>
      <c r="G630" s="68"/>
      <c r="H630" s="76" t="str">
        <f aca="false">IF(G630="","",IFERROR(INDEX(BC_Fourn,MATCH(G630,BC_Num,0)),""))</f>
        <v/>
      </c>
      <c r="I630" s="25"/>
      <c r="J630" s="25"/>
      <c r="K630" s="25"/>
      <c r="L630" s="25"/>
    </row>
    <row r="631" customFormat="false" ht="15" hidden="false" customHeight="false" outlineLevel="0" collapsed="false">
      <c r="A631" s="69"/>
      <c r="B631" s="68"/>
      <c r="C631" s="68"/>
      <c r="D631" s="76" t="str">
        <f aca="false">IF(C631="","",IFERROR(INDEX(ST_Design,MATCH(C631,ST_Code,0)),"Code inconnu"))</f>
        <v/>
      </c>
      <c r="E631" s="74" t="str">
        <f aca="false">IF(C631="","",IFERROR(INDEX(ST_Unite,MATCH(C631,ST_Code,0)),""))</f>
        <v/>
      </c>
      <c r="F631" s="82"/>
      <c r="G631" s="68"/>
      <c r="H631" s="76" t="str">
        <f aca="false">IF(G631="","",IFERROR(INDEX(BC_Fourn,MATCH(G631,BC_Num,0)),""))</f>
        <v/>
      </c>
      <c r="I631" s="25"/>
      <c r="J631" s="25"/>
      <c r="K631" s="25"/>
      <c r="L631" s="25"/>
    </row>
    <row r="632" customFormat="false" ht="15" hidden="false" customHeight="false" outlineLevel="0" collapsed="false">
      <c r="A632" s="69"/>
      <c r="B632" s="68"/>
      <c r="C632" s="68"/>
      <c r="D632" s="76" t="str">
        <f aca="false">IF(C632="","",IFERROR(INDEX(ST_Design,MATCH(C632,ST_Code,0)),"Code inconnu"))</f>
        <v/>
      </c>
      <c r="E632" s="74" t="str">
        <f aca="false">IF(C632="","",IFERROR(INDEX(ST_Unite,MATCH(C632,ST_Code,0)),""))</f>
        <v/>
      </c>
      <c r="F632" s="82"/>
      <c r="G632" s="68"/>
      <c r="H632" s="76" t="str">
        <f aca="false">IF(G632="","",IFERROR(INDEX(BC_Fourn,MATCH(G632,BC_Num,0)),""))</f>
        <v/>
      </c>
      <c r="I632" s="25"/>
      <c r="J632" s="25"/>
      <c r="K632" s="25"/>
      <c r="L632" s="25"/>
    </row>
    <row r="633" customFormat="false" ht="15" hidden="false" customHeight="false" outlineLevel="0" collapsed="false">
      <c r="A633" s="69"/>
      <c r="B633" s="68"/>
      <c r="C633" s="68"/>
      <c r="D633" s="76" t="str">
        <f aca="false">IF(C633="","",IFERROR(INDEX(ST_Design,MATCH(C633,ST_Code,0)),"Code inconnu"))</f>
        <v/>
      </c>
      <c r="E633" s="74" t="str">
        <f aca="false">IF(C633="","",IFERROR(INDEX(ST_Unite,MATCH(C633,ST_Code,0)),""))</f>
        <v/>
      </c>
      <c r="F633" s="82"/>
      <c r="G633" s="68"/>
      <c r="H633" s="76" t="str">
        <f aca="false">IF(G633="","",IFERROR(INDEX(BC_Fourn,MATCH(G633,BC_Num,0)),""))</f>
        <v/>
      </c>
      <c r="I633" s="25"/>
      <c r="J633" s="25"/>
      <c r="K633" s="25"/>
      <c r="L633" s="25"/>
    </row>
    <row r="634" customFormat="false" ht="15" hidden="false" customHeight="false" outlineLevel="0" collapsed="false">
      <c r="A634" s="69"/>
      <c r="B634" s="68"/>
      <c r="C634" s="68"/>
      <c r="D634" s="76" t="str">
        <f aca="false">IF(C634="","",IFERROR(INDEX(ST_Design,MATCH(C634,ST_Code,0)),"Code inconnu"))</f>
        <v/>
      </c>
      <c r="E634" s="74" t="str">
        <f aca="false">IF(C634="","",IFERROR(INDEX(ST_Unite,MATCH(C634,ST_Code,0)),""))</f>
        <v/>
      </c>
      <c r="F634" s="82"/>
      <c r="G634" s="68"/>
      <c r="H634" s="76" t="str">
        <f aca="false">IF(G634="","",IFERROR(INDEX(BC_Fourn,MATCH(G634,BC_Num,0)),""))</f>
        <v/>
      </c>
      <c r="I634" s="25"/>
      <c r="J634" s="25"/>
      <c r="K634" s="25"/>
      <c r="L634" s="25"/>
    </row>
    <row r="635" customFormat="false" ht="15" hidden="false" customHeight="false" outlineLevel="0" collapsed="false">
      <c r="A635" s="69"/>
      <c r="B635" s="68"/>
      <c r="C635" s="68"/>
      <c r="D635" s="76" t="str">
        <f aca="false">IF(C635="","",IFERROR(INDEX(ST_Design,MATCH(C635,ST_Code,0)),"Code inconnu"))</f>
        <v/>
      </c>
      <c r="E635" s="74" t="str">
        <f aca="false">IF(C635="","",IFERROR(INDEX(ST_Unite,MATCH(C635,ST_Code,0)),""))</f>
        <v/>
      </c>
      <c r="F635" s="82"/>
      <c r="G635" s="68"/>
      <c r="H635" s="76" t="str">
        <f aca="false">IF(G635="","",IFERROR(INDEX(BC_Fourn,MATCH(G635,BC_Num,0)),""))</f>
        <v/>
      </c>
      <c r="I635" s="25"/>
      <c r="J635" s="25"/>
      <c r="K635" s="25"/>
      <c r="L635" s="25"/>
    </row>
    <row r="636" customFormat="false" ht="15" hidden="false" customHeight="false" outlineLevel="0" collapsed="false">
      <c r="A636" s="69"/>
      <c r="B636" s="68"/>
      <c r="C636" s="68"/>
      <c r="D636" s="76" t="str">
        <f aca="false">IF(C636="","",IFERROR(INDEX(ST_Design,MATCH(C636,ST_Code,0)),"Code inconnu"))</f>
        <v/>
      </c>
      <c r="E636" s="74" t="str">
        <f aca="false">IF(C636="","",IFERROR(INDEX(ST_Unite,MATCH(C636,ST_Code,0)),""))</f>
        <v/>
      </c>
      <c r="F636" s="82"/>
      <c r="G636" s="68"/>
      <c r="H636" s="76" t="str">
        <f aca="false">IF(G636="","",IFERROR(INDEX(BC_Fourn,MATCH(G636,BC_Num,0)),""))</f>
        <v/>
      </c>
      <c r="I636" s="25"/>
      <c r="J636" s="25"/>
      <c r="K636" s="25"/>
      <c r="L636" s="25"/>
    </row>
    <row r="637" customFormat="false" ht="15" hidden="false" customHeight="false" outlineLevel="0" collapsed="false">
      <c r="A637" s="69"/>
      <c r="B637" s="68"/>
      <c r="C637" s="68"/>
      <c r="D637" s="76" t="str">
        <f aca="false">IF(C637="","",IFERROR(INDEX(ST_Design,MATCH(C637,ST_Code,0)),"Code inconnu"))</f>
        <v/>
      </c>
      <c r="E637" s="74" t="str">
        <f aca="false">IF(C637="","",IFERROR(INDEX(ST_Unite,MATCH(C637,ST_Code,0)),""))</f>
        <v/>
      </c>
      <c r="F637" s="82"/>
      <c r="G637" s="68"/>
      <c r="H637" s="76" t="str">
        <f aca="false">IF(G637="","",IFERROR(INDEX(BC_Fourn,MATCH(G637,BC_Num,0)),""))</f>
        <v/>
      </c>
      <c r="I637" s="25"/>
      <c r="J637" s="25"/>
      <c r="K637" s="25"/>
      <c r="L637" s="25"/>
    </row>
    <row r="638" customFormat="false" ht="15" hidden="false" customHeight="false" outlineLevel="0" collapsed="false">
      <c r="A638" s="69"/>
      <c r="B638" s="68"/>
      <c r="C638" s="68"/>
      <c r="D638" s="76" t="str">
        <f aca="false">IF(C638="","",IFERROR(INDEX(ST_Design,MATCH(C638,ST_Code,0)),"Code inconnu"))</f>
        <v/>
      </c>
      <c r="E638" s="74" t="str">
        <f aca="false">IF(C638="","",IFERROR(INDEX(ST_Unite,MATCH(C638,ST_Code,0)),""))</f>
        <v/>
      </c>
      <c r="F638" s="82"/>
      <c r="G638" s="68"/>
      <c r="H638" s="76" t="str">
        <f aca="false">IF(G638="","",IFERROR(INDEX(BC_Fourn,MATCH(G638,BC_Num,0)),""))</f>
        <v/>
      </c>
      <c r="I638" s="25"/>
      <c r="J638" s="25"/>
      <c r="K638" s="25"/>
      <c r="L638" s="25"/>
    </row>
    <row r="639" customFormat="false" ht="15" hidden="false" customHeight="false" outlineLevel="0" collapsed="false">
      <c r="A639" s="69"/>
      <c r="B639" s="68"/>
      <c r="C639" s="68"/>
      <c r="D639" s="76" t="str">
        <f aca="false">IF(C639="","",IFERROR(INDEX(ST_Design,MATCH(C639,ST_Code,0)),"Code inconnu"))</f>
        <v/>
      </c>
      <c r="E639" s="74" t="str">
        <f aca="false">IF(C639="","",IFERROR(INDEX(ST_Unite,MATCH(C639,ST_Code,0)),""))</f>
        <v/>
      </c>
      <c r="F639" s="82"/>
      <c r="G639" s="68"/>
      <c r="H639" s="76" t="str">
        <f aca="false">IF(G639="","",IFERROR(INDEX(BC_Fourn,MATCH(G639,BC_Num,0)),""))</f>
        <v/>
      </c>
      <c r="I639" s="25"/>
      <c r="J639" s="25"/>
      <c r="K639" s="25"/>
      <c r="L639" s="25"/>
    </row>
    <row r="640" customFormat="false" ht="15" hidden="false" customHeight="false" outlineLevel="0" collapsed="false">
      <c r="A640" s="69"/>
      <c r="B640" s="68"/>
      <c r="C640" s="68"/>
      <c r="D640" s="76" t="str">
        <f aca="false">IF(C640="","",IFERROR(INDEX(ST_Design,MATCH(C640,ST_Code,0)),"Code inconnu"))</f>
        <v/>
      </c>
      <c r="E640" s="74" t="str">
        <f aca="false">IF(C640="","",IFERROR(INDEX(ST_Unite,MATCH(C640,ST_Code,0)),""))</f>
        <v/>
      </c>
      <c r="F640" s="82"/>
      <c r="G640" s="68"/>
      <c r="H640" s="76" t="str">
        <f aca="false">IF(G640="","",IFERROR(INDEX(BC_Fourn,MATCH(G640,BC_Num,0)),""))</f>
        <v/>
      </c>
      <c r="I640" s="25"/>
      <c r="J640" s="25"/>
      <c r="K640" s="25"/>
      <c r="L640" s="25"/>
    </row>
    <row r="641" customFormat="false" ht="15" hidden="false" customHeight="false" outlineLevel="0" collapsed="false">
      <c r="A641" s="69"/>
      <c r="B641" s="68"/>
      <c r="C641" s="68"/>
      <c r="D641" s="76" t="str">
        <f aca="false">IF(C641="","",IFERROR(INDEX(ST_Design,MATCH(C641,ST_Code,0)),"Code inconnu"))</f>
        <v/>
      </c>
      <c r="E641" s="74" t="str">
        <f aca="false">IF(C641="","",IFERROR(INDEX(ST_Unite,MATCH(C641,ST_Code,0)),""))</f>
        <v/>
      </c>
      <c r="F641" s="82"/>
      <c r="G641" s="68"/>
      <c r="H641" s="76" t="str">
        <f aca="false">IF(G641="","",IFERROR(INDEX(BC_Fourn,MATCH(G641,BC_Num,0)),""))</f>
        <v/>
      </c>
      <c r="I641" s="25"/>
      <c r="J641" s="25"/>
      <c r="K641" s="25"/>
      <c r="L641" s="25"/>
    </row>
    <row r="642" customFormat="false" ht="15" hidden="false" customHeight="false" outlineLevel="0" collapsed="false">
      <c r="A642" s="69"/>
      <c r="B642" s="68"/>
      <c r="C642" s="68"/>
      <c r="D642" s="76" t="str">
        <f aca="false">IF(C642="","",IFERROR(INDEX(ST_Design,MATCH(C642,ST_Code,0)),"Code inconnu"))</f>
        <v/>
      </c>
      <c r="E642" s="74" t="str">
        <f aca="false">IF(C642="","",IFERROR(INDEX(ST_Unite,MATCH(C642,ST_Code,0)),""))</f>
        <v/>
      </c>
      <c r="F642" s="82"/>
      <c r="G642" s="68"/>
      <c r="H642" s="76" t="str">
        <f aca="false">IF(G642="","",IFERROR(INDEX(BC_Fourn,MATCH(G642,BC_Num,0)),""))</f>
        <v/>
      </c>
      <c r="I642" s="25"/>
      <c r="J642" s="25"/>
      <c r="K642" s="25"/>
      <c r="L642" s="25"/>
    </row>
    <row r="643" customFormat="false" ht="15" hidden="false" customHeight="false" outlineLevel="0" collapsed="false">
      <c r="A643" s="69"/>
      <c r="B643" s="68"/>
      <c r="C643" s="68"/>
      <c r="D643" s="76" t="str">
        <f aca="false">IF(C643="","",IFERROR(INDEX(ST_Design,MATCH(C643,ST_Code,0)),"Code inconnu"))</f>
        <v/>
      </c>
      <c r="E643" s="74" t="str">
        <f aca="false">IF(C643="","",IFERROR(INDEX(ST_Unite,MATCH(C643,ST_Code,0)),""))</f>
        <v/>
      </c>
      <c r="F643" s="82"/>
      <c r="G643" s="68"/>
      <c r="H643" s="76" t="str">
        <f aca="false">IF(G643="","",IFERROR(INDEX(BC_Fourn,MATCH(G643,BC_Num,0)),""))</f>
        <v/>
      </c>
      <c r="I643" s="25"/>
      <c r="J643" s="25"/>
      <c r="K643" s="25"/>
      <c r="L643" s="25"/>
    </row>
    <row r="644" customFormat="false" ht="15" hidden="false" customHeight="false" outlineLevel="0" collapsed="false">
      <c r="A644" s="69"/>
      <c r="B644" s="68"/>
      <c r="C644" s="68"/>
      <c r="D644" s="76" t="str">
        <f aca="false">IF(C644="","",IFERROR(INDEX(ST_Design,MATCH(C644,ST_Code,0)),"Code inconnu"))</f>
        <v/>
      </c>
      <c r="E644" s="74" t="str">
        <f aca="false">IF(C644="","",IFERROR(INDEX(ST_Unite,MATCH(C644,ST_Code,0)),""))</f>
        <v/>
      </c>
      <c r="F644" s="82"/>
      <c r="G644" s="68"/>
      <c r="H644" s="76" t="str">
        <f aca="false">IF(G644="","",IFERROR(INDEX(BC_Fourn,MATCH(G644,BC_Num,0)),""))</f>
        <v/>
      </c>
      <c r="I644" s="25"/>
      <c r="J644" s="25"/>
      <c r="K644" s="25"/>
      <c r="L644" s="25"/>
    </row>
    <row r="645" customFormat="false" ht="15" hidden="false" customHeight="false" outlineLevel="0" collapsed="false">
      <c r="A645" s="69"/>
      <c r="B645" s="68"/>
      <c r="C645" s="68"/>
      <c r="D645" s="76" t="str">
        <f aca="false">IF(C645="","",IFERROR(INDEX(ST_Design,MATCH(C645,ST_Code,0)),"Code inconnu"))</f>
        <v/>
      </c>
      <c r="E645" s="74" t="str">
        <f aca="false">IF(C645="","",IFERROR(INDEX(ST_Unite,MATCH(C645,ST_Code,0)),""))</f>
        <v/>
      </c>
      <c r="F645" s="82"/>
      <c r="G645" s="68"/>
      <c r="H645" s="76" t="str">
        <f aca="false">IF(G645="","",IFERROR(INDEX(BC_Fourn,MATCH(G645,BC_Num,0)),""))</f>
        <v/>
      </c>
      <c r="I645" s="25"/>
      <c r="J645" s="25"/>
      <c r="K645" s="25"/>
      <c r="L645" s="25"/>
    </row>
    <row r="646" customFormat="false" ht="15" hidden="false" customHeight="false" outlineLevel="0" collapsed="false">
      <c r="A646" s="69"/>
      <c r="B646" s="68"/>
      <c r="C646" s="68"/>
      <c r="D646" s="76" t="str">
        <f aca="false">IF(C646="","",IFERROR(INDEX(ST_Design,MATCH(C646,ST_Code,0)),"Code inconnu"))</f>
        <v/>
      </c>
      <c r="E646" s="74" t="str">
        <f aca="false">IF(C646="","",IFERROR(INDEX(ST_Unite,MATCH(C646,ST_Code,0)),""))</f>
        <v/>
      </c>
      <c r="F646" s="82"/>
      <c r="G646" s="68"/>
      <c r="H646" s="76" t="str">
        <f aca="false">IF(G646="","",IFERROR(INDEX(BC_Fourn,MATCH(G646,BC_Num,0)),""))</f>
        <v/>
      </c>
      <c r="I646" s="25"/>
      <c r="J646" s="25"/>
      <c r="K646" s="25"/>
      <c r="L646" s="25"/>
    </row>
    <row r="647" customFormat="false" ht="15" hidden="false" customHeight="false" outlineLevel="0" collapsed="false">
      <c r="A647" s="69"/>
      <c r="B647" s="68"/>
      <c r="C647" s="68"/>
      <c r="D647" s="76" t="str">
        <f aca="false">IF(C647="","",IFERROR(INDEX(ST_Design,MATCH(C647,ST_Code,0)),"Code inconnu"))</f>
        <v/>
      </c>
      <c r="E647" s="74" t="str">
        <f aca="false">IF(C647="","",IFERROR(INDEX(ST_Unite,MATCH(C647,ST_Code,0)),""))</f>
        <v/>
      </c>
      <c r="F647" s="82"/>
      <c r="G647" s="68"/>
      <c r="H647" s="76" t="str">
        <f aca="false">IF(G647="","",IFERROR(INDEX(BC_Fourn,MATCH(G647,BC_Num,0)),""))</f>
        <v/>
      </c>
      <c r="I647" s="25"/>
      <c r="J647" s="25"/>
      <c r="K647" s="25"/>
      <c r="L647" s="25"/>
    </row>
    <row r="648" customFormat="false" ht="15" hidden="false" customHeight="false" outlineLevel="0" collapsed="false">
      <c r="A648" s="69"/>
      <c r="B648" s="68"/>
      <c r="C648" s="68"/>
      <c r="D648" s="76" t="str">
        <f aca="false">IF(C648="","",IFERROR(INDEX(ST_Design,MATCH(C648,ST_Code,0)),"Code inconnu"))</f>
        <v/>
      </c>
      <c r="E648" s="74" t="str">
        <f aca="false">IF(C648="","",IFERROR(INDEX(ST_Unite,MATCH(C648,ST_Code,0)),""))</f>
        <v/>
      </c>
      <c r="F648" s="82"/>
      <c r="G648" s="68"/>
      <c r="H648" s="76" t="str">
        <f aca="false">IF(G648="","",IFERROR(INDEX(BC_Fourn,MATCH(G648,BC_Num,0)),""))</f>
        <v/>
      </c>
      <c r="I648" s="25"/>
      <c r="J648" s="25"/>
      <c r="K648" s="25"/>
      <c r="L648" s="25"/>
    </row>
    <row r="649" customFormat="false" ht="15" hidden="false" customHeight="false" outlineLevel="0" collapsed="false">
      <c r="A649" s="69"/>
      <c r="B649" s="68"/>
      <c r="C649" s="68"/>
      <c r="D649" s="76" t="str">
        <f aca="false">IF(C649="","",IFERROR(INDEX(ST_Design,MATCH(C649,ST_Code,0)),"Code inconnu"))</f>
        <v/>
      </c>
      <c r="E649" s="74" t="str">
        <f aca="false">IF(C649="","",IFERROR(INDEX(ST_Unite,MATCH(C649,ST_Code,0)),""))</f>
        <v/>
      </c>
      <c r="F649" s="82"/>
      <c r="G649" s="68"/>
      <c r="H649" s="76" t="str">
        <f aca="false">IF(G649="","",IFERROR(INDEX(BC_Fourn,MATCH(G649,BC_Num,0)),""))</f>
        <v/>
      </c>
      <c r="I649" s="25"/>
      <c r="J649" s="25"/>
      <c r="K649" s="25"/>
      <c r="L649" s="25"/>
    </row>
    <row r="650" customFormat="false" ht="15" hidden="false" customHeight="false" outlineLevel="0" collapsed="false">
      <c r="A650" s="69"/>
      <c r="B650" s="68"/>
      <c r="C650" s="68"/>
      <c r="D650" s="76" t="str">
        <f aca="false">IF(C650="","",IFERROR(INDEX(ST_Design,MATCH(C650,ST_Code,0)),"Code inconnu"))</f>
        <v/>
      </c>
      <c r="E650" s="74" t="str">
        <f aca="false">IF(C650="","",IFERROR(INDEX(ST_Unite,MATCH(C650,ST_Code,0)),""))</f>
        <v/>
      </c>
      <c r="F650" s="82"/>
      <c r="G650" s="68"/>
      <c r="H650" s="76" t="str">
        <f aca="false">IF(G650="","",IFERROR(INDEX(BC_Fourn,MATCH(G650,BC_Num,0)),""))</f>
        <v/>
      </c>
      <c r="I650" s="25"/>
      <c r="J650" s="25"/>
      <c r="K650" s="25"/>
      <c r="L650" s="25"/>
    </row>
    <row r="651" customFormat="false" ht="15" hidden="false" customHeight="false" outlineLevel="0" collapsed="false">
      <c r="A651" s="69"/>
      <c r="B651" s="68"/>
      <c r="C651" s="68"/>
      <c r="D651" s="76" t="str">
        <f aca="false">IF(C651="","",IFERROR(INDEX(ST_Design,MATCH(C651,ST_Code,0)),"Code inconnu"))</f>
        <v/>
      </c>
      <c r="E651" s="74" t="str">
        <f aca="false">IF(C651="","",IFERROR(INDEX(ST_Unite,MATCH(C651,ST_Code,0)),""))</f>
        <v/>
      </c>
      <c r="F651" s="82"/>
      <c r="G651" s="68"/>
      <c r="H651" s="76" t="str">
        <f aca="false">IF(G651="","",IFERROR(INDEX(BC_Fourn,MATCH(G651,BC_Num,0)),""))</f>
        <v/>
      </c>
      <c r="I651" s="25"/>
      <c r="J651" s="25"/>
      <c r="K651" s="25"/>
      <c r="L651" s="25"/>
    </row>
    <row r="652" customFormat="false" ht="15" hidden="false" customHeight="false" outlineLevel="0" collapsed="false">
      <c r="A652" s="69"/>
      <c r="B652" s="68"/>
      <c r="C652" s="68"/>
      <c r="D652" s="76" t="str">
        <f aca="false">IF(C652="","",IFERROR(INDEX(ST_Design,MATCH(C652,ST_Code,0)),"Code inconnu"))</f>
        <v/>
      </c>
      <c r="E652" s="74" t="str">
        <f aca="false">IF(C652="","",IFERROR(INDEX(ST_Unite,MATCH(C652,ST_Code,0)),""))</f>
        <v/>
      </c>
      <c r="F652" s="82"/>
      <c r="G652" s="68"/>
      <c r="H652" s="76" t="str">
        <f aca="false">IF(G652="","",IFERROR(INDEX(BC_Fourn,MATCH(G652,BC_Num,0)),""))</f>
        <v/>
      </c>
      <c r="I652" s="25"/>
      <c r="J652" s="25"/>
      <c r="K652" s="25"/>
      <c r="L652" s="25"/>
    </row>
    <row r="653" customFormat="false" ht="15" hidden="false" customHeight="false" outlineLevel="0" collapsed="false">
      <c r="A653" s="69"/>
      <c r="B653" s="68"/>
      <c r="C653" s="68"/>
      <c r="D653" s="76" t="str">
        <f aca="false">IF(C653="","",IFERROR(INDEX(ST_Design,MATCH(C653,ST_Code,0)),"Code inconnu"))</f>
        <v/>
      </c>
      <c r="E653" s="74" t="str">
        <f aca="false">IF(C653="","",IFERROR(INDEX(ST_Unite,MATCH(C653,ST_Code,0)),""))</f>
        <v/>
      </c>
      <c r="F653" s="82"/>
      <c r="G653" s="68"/>
      <c r="H653" s="76" t="str">
        <f aca="false">IF(G653="","",IFERROR(INDEX(BC_Fourn,MATCH(G653,BC_Num,0)),""))</f>
        <v/>
      </c>
      <c r="I653" s="25"/>
      <c r="J653" s="25"/>
      <c r="K653" s="25"/>
      <c r="L653" s="25"/>
    </row>
    <row r="654" customFormat="false" ht="15" hidden="false" customHeight="false" outlineLevel="0" collapsed="false">
      <c r="A654" s="69"/>
      <c r="B654" s="68"/>
      <c r="C654" s="68"/>
      <c r="D654" s="76" t="str">
        <f aca="false">IF(C654="","",IFERROR(INDEX(ST_Design,MATCH(C654,ST_Code,0)),"Code inconnu"))</f>
        <v/>
      </c>
      <c r="E654" s="74" t="str">
        <f aca="false">IF(C654="","",IFERROR(INDEX(ST_Unite,MATCH(C654,ST_Code,0)),""))</f>
        <v/>
      </c>
      <c r="F654" s="82"/>
      <c r="G654" s="68"/>
      <c r="H654" s="76" t="str">
        <f aca="false">IF(G654="","",IFERROR(INDEX(BC_Fourn,MATCH(G654,BC_Num,0)),""))</f>
        <v/>
      </c>
      <c r="I654" s="25"/>
      <c r="J654" s="25"/>
      <c r="K654" s="25"/>
      <c r="L654" s="25"/>
    </row>
    <row r="655" customFormat="false" ht="15" hidden="false" customHeight="false" outlineLevel="0" collapsed="false">
      <c r="A655" s="69"/>
      <c r="B655" s="68"/>
      <c r="C655" s="68"/>
      <c r="D655" s="76" t="str">
        <f aca="false">IF(C655="","",IFERROR(INDEX(ST_Design,MATCH(C655,ST_Code,0)),"Code inconnu"))</f>
        <v/>
      </c>
      <c r="E655" s="74" t="str">
        <f aca="false">IF(C655="","",IFERROR(INDEX(ST_Unite,MATCH(C655,ST_Code,0)),""))</f>
        <v/>
      </c>
      <c r="F655" s="82"/>
      <c r="G655" s="68"/>
      <c r="H655" s="76" t="str">
        <f aca="false">IF(G655="","",IFERROR(INDEX(BC_Fourn,MATCH(G655,BC_Num,0)),""))</f>
        <v/>
      </c>
      <c r="I655" s="25"/>
      <c r="J655" s="25"/>
      <c r="K655" s="25"/>
      <c r="L655" s="25"/>
    </row>
    <row r="656" customFormat="false" ht="15" hidden="false" customHeight="false" outlineLevel="0" collapsed="false">
      <c r="A656" s="69"/>
      <c r="B656" s="68"/>
      <c r="C656" s="68"/>
      <c r="D656" s="76" t="str">
        <f aca="false">IF(C656="","",IFERROR(INDEX(ST_Design,MATCH(C656,ST_Code,0)),"Code inconnu"))</f>
        <v/>
      </c>
      <c r="E656" s="74" t="str">
        <f aca="false">IF(C656="","",IFERROR(INDEX(ST_Unite,MATCH(C656,ST_Code,0)),""))</f>
        <v/>
      </c>
      <c r="F656" s="82"/>
      <c r="G656" s="68"/>
      <c r="H656" s="76" t="str">
        <f aca="false">IF(G656="","",IFERROR(INDEX(BC_Fourn,MATCH(G656,BC_Num,0)),""))</f>
        <v/>
      </c>
      <c r="I656" s="25"/>
      <c r="J656" s="25"/>
      <c r="K656" s="25"/>
      <c r="L656" s="25"/>
    </row>
    <row r="657" customFormat="false" ht="15" hidden="false" customHeight="false" outlineLevel="0" collapsed="false">
      <c r="A657" s="69"/>
      <c r="B657" s="68"/>
      <c r="C657" s="68"/>
      <c r="D657" s="76" t="str">
        <f aca="false">IF(C657="","",IFERROR(INDEX(ST_Design,MATCH(C657,ST_Code,0)),"Code inconnu"))</f>
        <v/>
      </c>
      <c r="E657" s="74" t="str">
        <f aca="false">IF(C657="","",IFERROR(INDEX(ST_Unite,MATCH(C657,ST_Code,0)),""))</f>
        <v/>
      </c>
      <c r="F657" s="82"/>
      <c r="G657" s="68"/>
      <c r="H657" s="76" t="str">
        <f aca="false">IF(G657="","",IFERROR(INDEX(BC_Fourn,MATCH(G657,BC_Num,0)),""))</f>
        <v/>
      </c>
      <c r="I657" s="25"/>
      <c r="J657" s="25"/>
      <c r="K657" s="25"/>
      <c r="L657" s="25"/>
    </row>
    <row r="658" customFormat="false" ht="15" hidden="false" customHeight="false" outlineLevel="0" collapsed="false">
      <c r="A658" s="69"/>
      <c r="B658" s="68"/>
      <c r="C658" s="68"/>
      <c r="D658" s="76" t="str">
        <f aca="false">IF(C658="","",IFERROR(INDEX(ST_Design,MATCH(C658,ST_Code,0)),"Code inconnu"))</f>
        <v/>
      </c>
      <c r="E658" s="74" t="str">
        <f aca="false">IF(C658="","",IFERROR(INDEX(ST_Unite,MATCH(C658,ST_Code,0)),""))</f>
        <v/>
      </c>
      <c r="F658" s="82"/>
      <c r="G658" s="68"/>
      <c r="H658" s="76" t="str">
        <f aca="false">IF(G658="","",IFERROR(INDEX(BC_Fourn,MATCH(G658,BC_Num,0)),""))</f>
        <v/>
      </c>
      <c r="I658" s="25"/>
      <c r="J658" s="25"/>
      <c r="K658" s="25"/>
      <c r="L658" s="25"/>
    </row>
    <row r="659" customFormat="false" ht="15" hidden="false" customHeight="false" outlineLevel="0" collapsed="false">
      <c r="A659" s="69"/>
      <c r="B659" s="68"/>
      <c r="C659" s="68"/>
      <c r="D659" s="76" t="str">
        <f aca="false">IF(C659="","",IFERROR(INDEX(ST_Design,MATCH(C659,ST_Code,0)),"Code inconnu"))</f>
        <v/>
      </c>
      <c r="E659" s="74" t="str">
        <f aca="false">IF(C659="","",IFERROR(INDEX(ST_Unite,MATCH(C659,ST_Code,0)),""))</f>
        <v/>
      </c>
      <c r="F659" s="82"/>
      <c r="G659" s="68"/>
      <c r="H659" s="76" t="str">
        <f aca="false">IF(G659="","",IFERROR(INDEX(BC_Fourn,MATCH(G659,BC_Num,0)),""))</f>
        <v/>
      </c>
      <c r="I659" s="25"/>
      <c r="J659" s="25"/>
      <c r="K659" s="25"/>
      <c r="L659" s="25"/>
    </row>
    <row r="660" customFormat="false" ht="15" hidden="false" customHeight="false" outlineLevel="0" collapsed="false">
      <c r="A660" s="69"/>
      <c r="B660" s="68"/>
      <c r="C660" s="68"/>
      <c r="D660" s="76" t="str">
        <f aca="false">IF(C660="","",IFERROR(INDEX(ST_Design,MATCH(C660,ST_Code,0)),"Code inconnu"))</f>
        <v/>
      </c>
      <c r="E660" s="74" t="str">
        <f aca="false">IF(C660="","",IFERROR(INDEX(ST_Unite,MATCH(C660,ST_Code,0)),""))</f>
        <v/>
      </c>
      <c r="F660" s="82"/>
      <c r="G660" s="68"/>
      <c r="H660" s="76" t="str">
        <f aca="false">IF(G660="","",IFERROR(INDEX(BC_Fourn,MATCH(G660,BC_Num,0)),""))</f>
        <v/>
      </c>
      <c r="I660" s="25"/>
      <c r="J660" s="25"/>
      <c r="K660" s="25"/>
      <c r="L660" s="25"/>
    </row>
    <row r="661" customFormat="false" ht="15" hidden="false" customHeight="false" outlineLevel="0" collapsed="false">
      <c r="A661" s="69"/>
      <c r="B661" s="68"/>
      <c r="C661" s="68"/>
      <c r="D661" s="76" t="str">
        <f aca="false">IF(C661="","",IFERROR(INDEX(ST_Design,MATCH(C661,ST_Code,0)),"Code inconnu"))</f>
        <v/>
      </c>
      <c r="E661" s="74" t="str">
        <f aca="false">IF(C661="","",IFERROR(INDEX(ST_Unite,MATCH(C661,ST_Code,0)),""))</f>
        <v/>
      </c>
      <c r="F661" s="82"/>
      <c r="G661" s="68"/>
      <c r="H661" s="76" t="str">
        <f aca="false">IF(G661="","",IFERROR(INDEX(BC_Fourn,MATCH(G661,BC_Num,0)),""))</f>
        <v/>
      </c>
      <c r="I661" s="25"/>
      <c r="J661" s="25"/>
      <c r="K661" s="25"/>
      <c r="L661" s="25"/>
    </row>
    <row r="662" customFormat="false" ht="15" hidden="false" customHeight="false" outlineLevel="0" collapsed="false">
      <c r="A662" s="69"/>
      <c r="B662" s="68"/>
      <c r="C662" s="68"/>
      <c r="D662" s="76" t="str">
        <f aca="false">IF(C662="","",IFERROR(INDEX(ST_Design,MATCH(C662,ST_Code,0)),"Code inconnu"))</f>
        <v/>
      </c>
      <c r="E662" s="74" t="str">
        <f aca="false">IF(C662="","",IFERROR(INDEX(ST_Unite,MATCH(C662,ST_Code,0)),""))</f>
        <v/>
      </c>
      <c r="F662" s="82"/>
      <c r="G662" s="68"/>
      <c r="H662" s="76" t="str">
        <f aca="false">IF(G662="","",IFERROR(INDEX(BC_Fourn,MATCH(G662,BC_Num,0)),""))</f>
        <v/>
      </c>
      <c r="I662" s="25"/>
      <c r="J662" s="25"/>
      <c r="K662" s="25"/>
      <c r="L662" s="25"/>
    </row>
    <row r="663" customFormat="false" ht="15" hidden="false" customHeight="false" outlineLevel="0" collapsed="false">
      <c r="A663" s="69"/>
      <c r="B663" s="68"/>
      <c r="C663" s="68"/>
      <c r="D663" s="76" t="str">
        <f aca="false">IF(C663="","",IFERROR(INDEX(ST_Design,MATCH(C663,ST_Code,0)),"Code inconnu"))</f>
        <v/>
      </c>
      <c r="E663" s="74" t="str">
        <f aca="false">IF(C663="","",IFERROR(INDEX(ST_Unite,MATCH(C663,ST_Code,0)),""))</f>
        <v/>
      </c>
      <c r="F663" s="82"/>
      <c r="G663" s="68"/>
      <c r="H663" s="76" t="str">
        <f aca="false">IF(G663="","",IFERROR(INDEX(BC_Fourn,MATCH(G663,BC_Num,0)),""))</f>
        <v/>
      </c>
      <c r="I663" s="25"/>
      <c r="J663" s="25"/>
      <c r="K663" s="25"/>
      <c r="L663" s="25"/>
    </row>
    <row r="664" customFormat="false" ht="15" hidden="false" customHeight="false" outlineLevel="0" collapsed="false">
      <c r="A664" s="69"/>
      <c r="B664" s="68"/>
      <c r="C664" s="68"/>
      <c r="D664" s="76" t="str">
        <f aca="false">IF(C664="","",IFERROR(INDEX(ST_Design,MATCH(C664,ST_Code,0)),"Code inconnu"))</f>
        <v/>
      </c>
      <c r="E664" s="74" t="str">
        <f aca="false">IF(C664="","",IFERROR(INDEX(ST_Unite,MATCH(C664,ST_Code,0)),""))</f>
        <v/>
      </c>
      <c r="F664" s="82"/>
      <c r="G664" s="68"/>
      <c r="H664" s="76" t="str">
        <f aca="false">IF(G664="","",IFERROR(INDEX(BC_Fourn,MATCH(G664,BC_Num,0)),""))</f>
        <v/>
      </c>
      <c r="I664" s="25"/>
      <c r="J664" s="25"/>
      <c r="K664" s="25"/>
      <c r="L664" s="25"/>
    </row>
    <row r="665" customFormat="false" ht="15" hidden="false" customHeight="false" outlineLevel="0" collapsed="false">
      <c r="A665" s="69"/>
      <c r="B665" s="68"/>
      <c r="C665" s="68"/>
      <c r="D665" s="76" t="str">
        <f aca="false">IF(C665="","",IFERROR(INDEX(ST_Design,MATCH(C665,ST_Code,0)),"Code inconnu"))</f>
        <v/>
      </c>
      <c r="E665" s="74" t="str">
        <f aca="false">IF(C665="","",IFERROR(INDEX(ST_Unite,MATCH(C665,ST_Code,0)),""))</f>
        <v/>
      </c>
      <c r="F665" s="82"/>
      <c r="G665" s="68"/>
      <c r="H665" s="76" t="str">
        <f aca="false">IF(G665="","",IFERROR(INDEX(BC_Fourn,MATCH(G665,BC_Num,0)),""))</f>
        <v/>
      </c>
      <c r="I665" s="25"/>
      <c r="J665" s="25"/>
      <c r="K665" s="25"/>
      <c r="L665" s="25"/>
    </row>
    <row r="666" customFormat="false" ht="15" hidden="false" customHeight="false" outlineLevel="0" collapsed="false">
      <c r="A666" s="69"/>
      <c r="B666" s="68"/>
      <c r="C666" s="68"/>
      <c r="D666" s="76" t="str">
        <f aca="false">IF(C666="","",IFERROR(INDEX(ST_Design,MATCH(C666,ST_Code,0)),"Code inconnu"))</f>
        <v/>
      </c>
      <c r="E666" s="74" t="str">
        <f aca="false">IF(C666="","",IFERROR(INDEX(ST_Unite,MATCH(C666,ST_Code,0)),""))</f>
        <v/>
      </c>
      <c r="F666" s="82"/>
      <c r="G666" s="68"/>
      <c r="H666" s="76" t="str">
        <f aca="false">IF(G666="","",IFERROR(INDEX(BC_Fourn,MATCH(G666,BC_Num,0)),""))</f>
        <v/>
      </c>
      <c r="I666" s="25"/>
      <c r="J666" s="25"/>
      <c r="K666" s="25"/>
      <c r="L666" s="25"/>
    </row>
    <row r="667" customFormat="false" ht="15" hidden="false" customHeight="false" outlineLevel="0" collapsed="false">
      <c r="A667" s="69"/>
      <c r="B667" s="68"/>
      <c r="C667" s="68"/>
      <c r="D667" s="76" t="str">
        <f aca="false">IF(C667="","",IFERROR(INDEX(ST_Design,MATCH(C667,ST_Code,0)),"Code inconnu"))</f>
        <v/>
      </c>
      <c r="E667" s="74" t="str">
        <f aca="false">IF(C667="","",IFERROR(INDEX(ST_Unite,MATCH(C667,ST_Code,0)),""))</f>
        <v/>
      </c>
      <c r="F667" s="82"/>
      <c r="G667" s="68"/>
      <c r="H667" s="76" t="str">
        <f aca="false">IF(G667="","",IFERROR(INDEX(BC_Fourn,MATCH(G667,BC_Num,0)),""))</f>
        <v/>
      </c>
      <c r="I667" s="25"/>
      <c r="J667" s="25"/>
      <c r="K667" s="25"/>
      <c r="L667" s="25"/>
    </row>
    <row r="668" customFormat="false" ht="15" hidden="false" customHeight="false" outlineLevel="0" collapsed="false">
      <c r="A668" s="69"/>
      <c r="B668" s="68"/>
      <c r="C668" s="68"/>
      <c r="D668" s="76" t="str">
        <f aca="false">IF(C668="","",IFERROR(INDEX(ST_Design,MATCH(C668,ST_Code,0)),"Code inconnu"))</f>
        <v/>
      </c>
      <c r="E668" s="74" t="str">
        <f aca="false">IF(C668="","",IFERROR(INDEX(ST_Unite,MATCH(C668,ST_Code,0)),""))</f>
        <v/>
      </c>
      <c r="F668" s="82"/>
      <c r="G668" s="68"/>
      <c r="H668" s="76" t="str">
        <f aca="false">IF(G668="","",IFERROR(INDEX(BC_Fourn,MATCH(G668,BC_Num,0)),""))</f>
        <v/>
      </c>
      <c r="I668" s="25"/>
      <c r="J668" s="25"/>
      <c r="K668" s="25"/>
      <c r="L668" s="25"/>
    </row>
    <row r="669" customFormat="false" ht="15" hidden="false" customHeight="false" outlineLevel="0" collapsed="false">
      <c r="A669" s="69"/>
      <c r="B669" s="68"/>
      <c r="C669" s="68"/>
      <c r="D669" s="76" t="str">
        <f aca="false">IF(C669="","",IFERROR(INDEX(ST_Design,MATCH(C669,ST_Code,0)),"Code inconnu"))</f>
        <v/>
      </c>
      <c r="E669" s="74" t="str">
        <f aca="false">IF(C669="","",IFERROR(INDEX(ST_Unite,MATCH(C669,ST_Code,0)),""))</f>
        <v/>
      </c>
      <c r="F669" s="82"/>
      <c r="G669" s="68"/>
      <c r="H669" s="76" t="str">
        <f aca="false">IF(G669="","",IFERROR(INDEX(BC_Fourn,MATCH(G669,BC_Num,0)),""))</f>
        <v/>
      </c>
      <c r="I669" s="25"/>
      <c r="J669" s="25"/>
      <c r="K669" s="25"/>
      <c r="L669" s="25"/>
    </row>
    <row r="670" customFormat="false" ht="15" hidden="false" customHeight="false" outlineLevel="0" collapsed="false">
      <c r="A670" s="69"/>
      <c r="B670" s="68"/>
      <c r="C670" s="68"/>
      <c r="D670" s="76" t="str">
        <f aca="false">IF(C670="","",IFERROR(INDEX(ST_Design,MATCH(C670,ST_Code,0)),"Code inconnu"))</f>
        <v/>
      </c>
      <c r="E670" s="74" t="str">
        <f aca="false">IF(C670="","",IFERROR(INDEX(ST_Unite,MATCH(C670,ST_Code,0)),""))</f>
        <v/>
      </c>
      <c r="F670" s="82"/>
      <c r="G670" s="68"/>
      <c r="H670" s="76" t="str">
        <f aca="false">IF(G670="","",IFERROR(INDEX(BC_Fourn,MATCH(G670,BC_Num,0)),""))</f>
        <v/>
      </c>
      <c r="I670" s="25"/>
      <c r="J670" s="25"/>
      <c r="K670" s="25"/>
      <c r="L670" s="25"/>
    </row>
    <row r="671" customFormat="false" ht="15" hidden="false" customHeight="false" outlineLevel="0" collapsed="false">
      <c r="A671" s="69"/>
      <c r="B671" s="68"/>
      <c r="C671" s="68"/>
      <c r="D671" s="76" t="str">
        <f aca="false">IF(C671="","",IFERROR(INDEX(ST_Design,MATCH(C671,ST_Code,0)),"Code inconnu"))</f>
        <v/>
      </c>
      <c r="E671" s="74" t="str">
        <f aca="false">IF(C671="","",IFERROR(INDEX(ST_Unite,MATCH(C671,ST_Code,0)),""))</f>
        <v/>
      </c>
      <c r="F671" s="82"/>
      <c r="G671" s="68"/>
      <c r="H671" s="76" t="str">
        <f aca="false">IF(G671="","",IFERROR(INDEX(BC_Fourn,MATCH(G671,BC_Num,0)),""))</f>
        <v/>
      </c>
      <c r="I671" s="25"/>
      <c r="J671" s="25"/>
      <c r="K671" s="25"/>
      <c r="L671" s="25"/>
    </row>
    <row r="672" customFormat="false" ht="15" hidden="false" customHeight="false" outlineLevel="0" collapsed="false">
      <c r="A672" s="69"/>
      <c r="B672" s="68"/>
      <c r="C672" s="68"/>
      <c r="D672" s="76" t="str">
        <f aca="false">IF(C672="","",IFERROR(INDEX(ST_Design,MATCH(C672,ST_Code,0)),"Code inconnu"))</f>
        <v/>
      </c>
      <c r="E672" s="74" t="str">
        <f aca="false">IF(C672="","",IFERROR(INDEX(ST_Unite,MATCH(C672,ST_Code,0)),""))</f>
        <v/>
      </c>
      <c r="F672" s="82"/>
      <c r="G672" s="68"/>
      <c r="H672" s="76" t="str">
        <f aca="false">IF(G672="","",IFERROR(INDEX(BC_Fourn,MATCH(G672,BC_Num,0)),""))</f>
        <v/>
      </c>
      <c r="I672" s="25"/>
      <c r="J672" s="25"/>
      <c r="K672" s="25"/>
      <c r="L672" s="25"/>
    </row>
    <row r="673" customFormat="false" ht="15" hidden="false" customHeight="false" outlineLevel="0" collapsed="false">
      <c r="A673" s="69"/>
      <c r="B673" s="68"/>
      <c r="C673" s="68"/>
      <c r="D673" s="76" t="str">
        <f aca="false">IF(C673="","",IFERROR(INDEX(ST_Design,MATCH(C673,ST_Code,0)),"Code inconnu"))</f>
        <v/>
      </c>
      <c r="E673" s="74" t="str">
        <f aca="false">IF(C673="","",IFERROR(INDEX(ST_Unite,MATCH(C673,ST_Code,0)),""))</f>
        <v/>
      </c>
      <c r="F673" s="82"/>
      <c r="G673" s="68"/>
      <c r="H673" s="76" t="str">
        <f aca="false">IF(G673="","",IFERROR(INDEX(BC_Fourn,MATCH(G673,BC_Num,0)),""))</f>
        <v/>
      </c>
      <c r="I673" s="25"/>
      <c r="J673" s="25"/>
      <c r="K673" s="25"/>
      <c r="L673" s="25"/>
    </row>
    <row r="674" customFormat="false" ht="15" hidden="false" customHeight="false" outlineLevel="0" collapsed="false">
      <c r="A674" s="69"/>
      <c r="B674" s="68"/>
      <c r="C674" s="68"/>
      <c r="D674" s="76" t="str">
        <f aca="false">IF(C674="","",IFERROR(INDEX(ST_Design,MATCH(C674,ST_Code,0)),"Code inconnu"))</f>
        <v/>
      </c>
      <c r="E674" s="74" t="str">
        <f aca="false">IF(C674="","",IFERROR(INDEX(ST_Unite,MATCH(C674,ST_Code,0)),""))</f>
        <v/>
      </c>
      <c r="F674" s="82"/>
      <c r="G674" s="68"/>
      <c r="H674" s="76" t="str">
        <f aca="false">IF(G674="","",IFERROR(INDEX(BC_Fourn,MATCH(G674,BC_Num,0)),""))</f>
        <v/>
      </c>
      <c r="I674" s="25"/>
      <c r="J674" s="25"/>
      <c r="K674" s="25"/>
      <c r="L674" s="25"/>
    </row>
    <row r="675" customFormat="false" ht="15" hidden="false" customHeight="false" outlineLevel="0" collapsed="false">
      <c r="A675" s="69"/>
      <c r="B675" s="68"/>
      <c r="C675" s="68"/>
      <c r="D675" s="76" t="str">
        <f aca="false">IF(C675="","",IFERROR(INDEX(ST_Design,MATCH(C675,ST_Code,0)),"Code inconnu"))</f>
        <v/>
      </c>
      <c r="E675" s="74" t="str">
        <f aca="false">IF(C675="","",IFERROR(INDEX(ST_Unite,MATCH(C675,ST_Code,0)),""))</f>
        <v/>
      </c>
      <c r="F675" s="82"/>
      <c r="G675" s="68"/>
      <c r="H675" s="76" t="str">
        <f aca="false">IF(G675="","",IFERROR(INDEX(BC_Fourn,MATCH(G675,BC_Num,0)),""))</f>
        <v/>
      </c>
      <c r="I675" s="25"/>
      <c r="J675" s="25"/>
      <c r="K675" s="25"/>
      <c r="L675" s="25"/>
    </row>
    <row r="676" customFormat="false" ht="15" hidden="false" customHeight="false" outlineLevel="0" collapsed="false">
      <c r="A676" s="69"/>
      <c r="B676" s="68"/>
      <c r="C676" s="68"/>
      <c r="D676" s="76" t="str">
        <f aca="false">IF(C676="","",IFERROR(INDEX(ST_Design,MATCH(C676,ST_Code,0)),"Code inconnu"))</f>
        <v/>
      </c>
      <c r="E676" s="74" t="str">
        <f aca="false">IF(C676="","",IFERROR(INDEX(ST_Unite,MATCH(C676,ST_Code,0)),""))</f>
        <v/>
      </c>
      <c r="F676" s="82"/>
      <c r="G676" s="68"/>
      <c r="H676" s="76" t="str">
        <f aca="false">IF(G676="","",IFERROR(INDEX(BC_Fourn,MATCH(G676,BC_Num,0)),""))</f>
        <v/>
      </c>
      <c r="I676" s="25"/>
      <c r="J676" s="25"/>
      <c r="K676" s="25"/>
      <c r="L676" s="25"/>
    </row>
    <row r="677" customFormat="false" ht="15" hidden="false" customHeight="false" outlineLevel="0" collapsed="false">
      <c r="A677" s="69"/>
      <c r="B677" s="68"/>
      <c r="C677" s="68"/>
      <c r="D677" s="76" t="str">
        <f aca="false">IF(C677="","",IFERROR(INDEX(ST_Design,MATCH(C677,ST_Code,0)),"Code inconnu"))</f>
        <v/>
      </c>
      <c r="E677" s="74" t="str">
        <f aca="false">IF(C677="","",IFERROR(INDEX(ST_Unite,MATCH(C677,ST_Code,0)),""))</f>
        <v/>
      </c>
      <c r="F677" s="82"/>
      <c r="G677" s="68"/>
      <c r="H677" s="76" t="str">
        <f aca="false">IF(G677="","",IFERROR(INDEX(BC_Fourn,MATCH(G677,BC_Num,0)),""))</f>
        <v/>
      </c>
      <c r="I677" s="25"/>
      <c r="J677" s="25"/>
      <c r="K677" s="25"/>
      <c r="L677" s="25"/>
    </row>
    <row r="678" customFormat="false" ht="15" hidden="false" customHeight="false" outlineLevel="0" collapsed="false">
      <c r="A678" s="69"/>
      <c r="B678" s="68"/>
      <c r="C678" s="68"/>
      <c r="D678" s="76" t="str">
        <f aca="false">IF(C678="","",IFERROR(INDEX(ST_Design,MATCH(C678,ST_Code,0)),"Code inconnu"))</f>
        <v/>
      </c>
      <c r="E678" s="74" t="str">
        <f aca="false">IF(C678="","",IFERROR(INDEX(ST_Unite,MATCH(C678,ST_Code,0)),""))</f>
        <v/>
      </c>
      <c r="F678" s="82"/>
      <c r="G678" s="68"/>
      <c r="H678" s="76" t="str">
        <f aca="false">IF(G678="","",IFERROR(INDEX(BC_Fourn,MATCH(G678,BC_Num,0)),""))</f>
        <v/>
      </c>
      <c r="I678" s="25"/>
      <c r="J678" s="25"/>
      <c r="K678" s="25"/>
      <c r="L678" s="25"/>
    </row>
    <row r="679" customFormat="false" ht="15" hidden="false" customHeight="false" outlineLevel="0" collapsed="false">
      <c r="A679" s="69"/>
      <c r="B679" s="68"/>
      <c r="C679" s="68"/>
      <c r="D679" s="76" t="str">
        <f aca="false">IF(C679="","",IFERROR(INDEX(ST_Design,MATCH(C679,ST_Code,0)),"Code inconnu"))</f>
        <v/>
      </c>
      <c r="E679" s="74" t="str">
        <f aca="false">IF(C679="","",IFERROR(INDEX(ST_Unite,MATCH(C679,ST_Code,0)),""))</f>
        <v/>
      </c>
      <c r="F679" s="82"/>
      <c r="G679" s="68"/>
      <c r="H679" s="76" t="str">
        <f aca="false">IF(G679="","",IFERROR(INDEX(BC_Fourn,MATCH(G679,BC_Num,0)),""))</f>
        <v/>
      </c>
      <c r="I679" s="25"/>
      <c r="J679" s="25"/>
      <c r="K679" s="25"/>
      <c r="L679" s="25"/>
    </row>
    <row r="680" customFormat="false" ht="15" hidden="false" customHeight="false" outlineLevel="0" collapsed="false">
      <c r="A680" s="69"/>
      <c r="B680" s="68"/>
      <c r="C680" s="68"/>
      <c r="D680" s="76" t="str">
        <f aca="false">IF(C680="","",IFERROR(INDEX(ST_Design,MATCH(C680,ST_Code,0)),"Code inconnu"))</f>
        <v/>
      </c>
      <c r="E680" s="74" t="str">
        <f aca="false">IF(C680="","",IFERROR(INDEX(ST_Unite,MATCH(C680,ST_Code,0)),""))</f>
        <v/>
      </c>
      <c r="F680" s="82"/>
      <c r="G680" s="68"/>
      <c r="H680" s="76" t="str">
        <f aca="false">IF(G680="","",IFERROR(INDEX(BC_Fourn,MATCH(G680,BC_Num,0)),""))</f>
        <v/>
      </c>
      <c r="I680" s="25"/>
      <c r="J680" s="25"/>
      <c r="K680" s="25"/>
      <c r="L680" s="25"/>
    </row>
    <row r="681" customFormat="false" ht="15" hidden="false" customHeight="false" outlineLevel="0" collapsed="false">
      <c r="A681" s="69"/>
      <c r="B681" s="68"/>
      <c r="C681" s="68"/>
      <c r="D681" s="76" t="str">
        <f aca="false">IF(C681="","",IFERROR(INDEX(ST_Design,MATCH(C681,ST_Code,0)),"Code inconnu"))</f>
        <v/>
      </c>
      <c r="E681" s="74" t="str">
        <f aca="false">IF(C681="","",IFERROR(INDEX(ST_Unite,MATCH(C681,ST_Code,0)),""))</f>
        <v/>
      </c>
      <c r="F681" s="82"/>
      <c r="G681" s="68"/>
      <c r="H681" s="76" t="str">
        <f aca="false">IF(G681="","",IFERROR(INDEX(BC_Fourn,MATCH(G681,BC_Num,0)),""))</f>
        <v/>
      </c>
      <c r="I681" s="25"/>
      <c r="J681" s="25"/>
      <c r="K681" s="25"/>
      <c r="L681" s="25"/>
    </row>
    <row r="682" customFormat="false" ht="15" hidden="false" customHeight="false" outlineLevel="0" collapsed="false">
      <c r="A682" s="69"/>
      <c r="B682" s="68"/>
      <c r="C682" s="68"/>
      <c r="D682" s="76" t="str">
        <f aca="false">IF(C682="","",IFERROR(INDEX(ST_Design,MATCH(C682,ST_Code,0)),"Code inconnu"))</f>
        <v/>
      </c>
      <c r="E682" s="74" t="str">
        <f aca="false">IF(C682="","",IFERROR(INDEX(ST_Unite,MATCH(C682,ST_Code,0)),""))</f>
        <v/>
      </c>
      <c r="F682" s="82"/>
      <c r="G682" s="68"/>
      <c r="H682" s="76" t="str">
        <f aca="false">IF(G682="","",IFERROR(INDEX(BC_Fourn,MATCH(G682,BC_Num,0)),""))</f>
        <v/>
      </c>
      <c r="I682" s="25"/>
      <c r="J682" s="25"/>
      <c r="K682" s="25"/>
      <c r="L682" s="25"/>
    </row>
    <row r="683" customFormat="false" ht="15" hidden="false" customHeight="false" outlineLevel="0" collapsed="false">
      <c r="A683" s="69"/>
      <c r="B683" s="68"/>
      <c r="C683" s="68"/>
      <c r="D683" s="76" t="str">
        <f aca="false">IF(C683="","",IFERROR(INDEX(ST_Design,MATCH(C683,ST_Code,0)),"Code inconnu"))</f>
        <v/>
      </c>
      <c r="E683" s="74" t="str">
        <f aca="false">IF(C683="","",IFERROR(INDEX(ST_Unite,MATCH(C683,ST_Code,0)),""))</f>
        <v/>
      </c>
      <c r="F683" s="82"/>
      <c r="G683" s="68"/>
      <c r="H683" s="76" t="str">
        <f aca="false">IF(G683="","",IFERROR(INDEX(BC_Fourn,MATCH(G683,BC_Num,0)),""))</f>
        <v/>
      </c>
      <c r="I683" s="25"/>
      <c r="J683" s="25"/>
      <c r="K683" s="25"/>
      <c r="L683" s="25"/>
    </row>
    <row r="684" customFormat="false" ht="15" hidden="false" customHeight="false" outlineLevel="0" collapsed="false">
      <c r="A684" s="69"/>
      <c r="B684" s="68"/>
      <c r="C684" s="68"/>
      <c r="D684" s="76" t="str">
        <f aca="false">IF(C684="","",IFERROR(INDEX(ST_Design,MATCH(C684,ST_Code,0)),"Code inconnu"))</f>
        <v/>
      </c>
      <c r="E684" s="74" t="str">
        <f aca="false">IF(C684="","",IFERROR(INDEX(ST_Unite,MATCH(C684,ST_Code,0)),""))</f>
        <v/>
      </c>
      <c r="F684" s="82"/>
      <c r="G684" s="68"/>
      <c r="H684" s="76" t="str">
        <f aca="false">IF(G684="","",IFERROR(INDEX(BC_Fourn,MATCH(G684,BC_Num,0)),""))</f>
        <v/>
      </c>
      <c r="I684" s="25"/>
      <c r="J684" s="25"/>
      <c r="K684" s="25"/>
      <c r="L684" s="25"/>
    </row>
    <row r="685" customFormat="false" ht="15" hidden="false" customHeight="false" outlineLevel="0" collapsed="false">
      <c r="A685" s="69"/>
      <c r="B685" s="68"/>
      <c r="C685" s="68"/>
      <c r="D685" s="76" t="str">
        <f aca="false">IF(C685="","",IFERROR(INDEX(ST_Design,MATCH(C685,ST_Code,0)),"Code inconnu"))</f>
        <v/>
      </c>
      <c r="E685" s="74" t="str">
        <f aca="false">IF(C685="","",IFERROR(INDEX(ST_Unite,MATCH(C685,ST_Code,0)),""))</f>
        <v/>
      </c>
      <c r="F685" s="82"/>
      <c r="G685" s="68"/>
      <c r="H685" s="76" t="str">
        <f aca="false">IF(G685="","",IFERROR(INDEX(BC_Fourn,MATCH(G685,BC_Num,0)),""))</f>
        <v/>
      </c>
      <c r="I685" s="25"/>
      <c r="J685" s="25"/>
      <c r="K685" s="25"/>
      <c r="L685" s="25"/>
    </row>
    <row r="686" customFormat="false" ht="15" hidden="false" customHeight="false" outlineLevel="0" collapsed="false">
      <c r="A686" s="69"/>
      <c r="B686" s="68"/>
      <c r="C686" s="68"/>
      <c r="D686" s="76" t="str">
        <f aca="false">IF(C686="","",IFERROR(INDEX(ST_Design,MATCH(C686,ST_Code,0)),"Code inconnu"))</f>
        <v/>
      </c>
      <c r="E686" s="74" t="str">
        <f aca="false">IF(C686="","",IFERROR(INDEX(ST_Unite,MATCH(C686,ST_Code,0)),""))</f>
        <v/>
      </c>
      <c r="F686" s="82"/>
      <c r="G686" s="68"/>
      <c r="H686" s="76" t="str">
        <f aca="false">IF(G686="","",IFERROR(INDEX(BC_Fourn,MATCH(G686,BC_Num,0)),""))</f>
        <v/>
      </c>
      <c r="I686" s="25"/>
      <c r="J686" s="25"/>
      <c r="K686" s="25"/>
      <c r="L686" s="25"/>
    </row>
    <row r="687" customFormat="false" ht="15" hidden="false" customHeight="false" outlineLevel="0" collapsed="false">
      <c r="A687" s="69"/>
      <c r="B687" s="68"/>
      <c r="C687" s="68"/>
      <c r="D687" s="76" t="str">
        <f aca="false">IF(C687="","",IFERROR(INDEX(ST_Design,MATCH(C687,ST_Code,0)),"Code inconnu"))</f>
        <v/>
      </c>
      <c r="E687" s="74" t="str">
        <f aca="false">IF(C687="","",IFERROR(INDEX(ST_Unite,MATCH(C687,ST_Code,0)),""))</f>
        <v/>
      </c>
      <c r="F687" s="82"/>
      <c r="G687" s="68"/>
      <c r="H687" s="76" t="str">
        <f aca="false">IF(G687="","",IFERROR(INDEX(BC_Fourn,MATCH(G687,BC_Num,0)),""))</f>
        <v/>
      </c>
      <c r="I687" s="25"/>
      <c r="J687" s="25"/>
      <c r="K687" s="25"/>
      <c r="L687" s="25"/>
    </row>
    <row r="688" customFormat="false" ht="15" hidden="false" customHeight="false" outlineLevel="0" collapsed="false">
      <c r="A688" s="69"/>
      <c r="B688" s="68"/>
      <c r="C688" s="68"/>
      <c r="D688" s="76" t="str">
        <f aca="false">IF(C688="","",IFERROR(INDEX(ST_Design,MATCH(C688,ST_Code,0)),"Code inconnu"))</f>
        <v/>
      </c>
      <c r="E688" s="74" t="str">
        <f aca="false">IF(C688="","",IFERROR(INDEX(ST_Unite,MATCH(C688,ST_Code,0)),""))</f>
        <v/>
      </c>
      <c r="F688" s="82"/>
      <c r="G688" s="68"/>
      <c r="H688" s="76" t="str">
        <f aca="false">IF(G688="","",IFERROR(INDEX(BC_Fourn,MATCH(G688,BC_Num,0)),""))</f>
        <v/>
      </c>
      <c r="I688" s="25"/>
      <c r="J688" s="25"/>
      <c r="K688" s="25"/>
      <c r="L688" s="25"/>
    </row>
    <row r="689" customFormat="false" ht="15" hidden="false" customHeight="false" outlineLevel="0" collapsed="false">
      <c r="A689" s="69"/>
      <c r="B689" s="68"/>
      <c r="C689" s="68"/>
      <c r="D689" s="76" t="str">
        <f aca="false">IF(C689="","",IFERROR(INDEX(ST_Design,MATCH(C689,ST_Code,0)),"Code inconnu"))</f>
        <v/>
      </c>
      <c r="E689" s="74" t="str">
        <f aca="false">IF(C689="","",IFERROR(INDEX(ST_Unite,MATCH(C689,ST_Code,0)),""))</f>
        <v/>
      </c>
      <c r="F689" s="82"/>
      <c r="G689" s="68"/>
      <c r="H689" s="76" t="str">
        <f aca="false">IF(G689="","",IFERROR(INDEX(BC_Fourn,MATCH(G689,BC_Num,0)),""))</f>
        <v/>
      </c>
      <c r="I689" s="25"/>
      <c r="J689" s="25"/>
      <c r="K689" s="25"/>
      <c r="L689" s="25"/>
    </row>
    <row r="690" customFormat="false" ht="15" hidden="false" customHeight="false" outlineLevel="0" collapsed="false">
      <c r="A690" s="69"/>
      <c r="B690" s="68"/>
      <c r="C690" s="68"/>
      <c r="D690" s="76" t="str">
        <f aca="false">IF(C690="","",IFERROR(INDEX(ST_Design,MATCH(C690,ST_Code,0)),"Code inconnu"))</f>
        <v/>
      </c>
      <c r="E690" s="74" t="str">
        <f aca="false">IF(C690="","",IFERROR(INDEX(ST_Unite,MATCH(C690,ST_Code,0)),""))</f>
        <v/>
      </c>
      <c r="F690" s="82"/>
      <c r="G690" s="68"/>
      <c r="H690" s="76" t="str">
        <f aca="false">IF(G690="","",IFERROR(INDEX(BC_Fourn,MATCH(G690,BC_Num,0)),""))</f>
        <v/>
      </c>
      <c r="I690" s="25"/>
      <c r="J690" s="25"/>
      <c r="K690" s="25"/>
      <c r="L690" s="25"/>
    </row>
    <row r="691" customFormat="false" ht="15" hidden="false" customHeight="false" outlineLevel="0" collapsed="false">
      <c r="A691" s="69"/>
      <c r="B691" s="68"/>
      <c r="C691" s="68"/>
      <c r="D691" s="76" t="str">
        <f aca="false">IF(C691="","",IFERROR(INDEX(ST_Design,MATCH(C691,ST_Code,0)),"Code inconnu"))</f>
        <v/>
      </c>
      <c r="E691" s="74" t="str">
        <f aca="false">IF(C691="","",IFERROR(INDEX(ST_Unite,MATCH(C691,ST_Code,0)),""))</f>
        <v/>
      </c>
      <c r="F691" s="82"/>
      <c r="G691" s="68"/>
      <c r="H691" s="76" t="str">
        <f aca="false">IF(G691="","",IFERROR(INDEX(BC_Fourn,MATCH(G691,BC_Num,0)),""))</f>
        <v/>
      </c>
      <c r="I691" s="25"/>
      <c r="J691" s="25"/>
      <c r="K691" s="25"/>
      <c r="L691" s="25"/>
    </row>
    <row r="692" customFormat="false" ht="15" hidden="false" customHeight="false" outlineLevel="0" collapsed="false">
      <c r="A692" s="69"/>
      <c r="B692" s="68"/>
      <c r="C692" s="68"/>
      <c r="D692" s="76" t="str">
        <f aca="false">IF(C692="","",IFERROR(INDEX(ST_Design,MATCH(C692,ST_Code,0)),"Code inconnu"))</f>
        <v/>
      </c>
      <c r="E692" s="74" t="str">
        <f aca="false">IF(C692="","",IFERROR(INDEX(ST_Unite,MATCH(C692,ST_Code,0)),""))</f>
        <v/>
      </c>
      <c r="F692" s="82"/>
      <c r="G692" s="68"/>
      <c r="H692" s="76" t="str">
        <f aca="false">IF(G692="","",IFERROR(INDEX(BC_Fourn,MATCH(G692,BC_Num,0)),""))</f>
        <v/>
      </c>
      <c r="I692" s="25"/>
      <c r="J692" s="25"/>
      <c r="K692" s="25"/>
      <c r="L692" s="25"/>
    </row>
    <row r="693" customFormat="false" ht="15" hidden="false" customHeight="false" outlineLevel="0" collapsed="false">
      <c r="A693" s="69"/>
      <c r="B693" s="68"/>
      <c r="C693" s="68"/>
      <c r="D693" s="76" t="str">
        <f aca="false">IF(C693="","",IFERROR(INDEX(ST_Design,MATCH(C693,ST_Code,0)),"Code inconnu"))</f>
        <v/>
      </c>
      <c r="E693" s="74" t="str">
        <f aca="false">IF(C693="","",IFERROR(INDEX(ST_Unite,MATCH(C693,ST_Code,0)),""))</f>
        <v/>
      </c>
      <c r="F693" s="82"/>
      <c r="G693" s="68"/>
      <c r="H693" s="76" t="str">
        <f aca="false">IF(G693="","",IFERROR(INDEX(BC_Fourn,MATCH(G693,BC_Num,0)),""))</f>
        <v/>
      </c>
      <c r="I693" s="25"/>
      <c r="J693" s="25"/>
      <c r="K693" s="25"/>
      <c r="L693" s="25"/>
    </row>
    <row r="694" customFormat="false" ht="15" hidden="false" customHeight="false" outlineLevel="0" collapsed="false">
      <c r="A694" s="69"/>
      <c r="B694" s="68"/>
      <c r="C694" s="68"/>
      <c r="D694" s="76" t="str">
        <f aca="false">IF(C694="","",IFERROR(INDEX(ST_Design,MATCH(C694,ST_Code,0)),"Code inconnu"))</f>
        <v/>
      </c>
      <c r="E694" s="74" t="str">
        <f aca="false">IF(C694="","",IFERROR(INDEX(ST_Unite,MATCH(C694,ST_Code,0)),""))</f>
        <v/>
      </c>
      <c r="F694" s="82"/>
      <c r="G694" s="68"/>
      <c r="H694" s="76" t="str">
        <f aca="false">IF(G694="","",IFERROR(INDEX(BC_Fourn,MATCH(G694,BC_Num,0)),""))</f>
        <v/>
      </c>
      <c r="I694" s="25"/>
      <c r="J694" s="25"/>
      <c r="K694" s="25"/>
      <c r="L694" s="25"/>
    </row>
    <row r="695" customFormat="false" ht="15" hidden="false" customHeight="false" outlineLevel="0" collapsed="false">
      <c r="A695" s="69"/>
      <c r="B695" s="68"/>
      <c r="C695" s="68"/>
      <c r="D695" s="76" t="str">
        <f aca="false">IF(C695="","",IFERROR(INDEX(ST_Design,MATCH(C695,ST_Code,0)),"Code inconnu"))</f>
        <v/>
      </c>
      <c r="E695" s="74" t="str">
        <f aca="false">IF(C695="","",IFERROR(INDEX(ST_Unite,MATCH(C695,ST_Code,0)),""))</f>
        <v/>
      </c>
      <c r="F695" s="82"/>
      <c r="G695" s="68"/>
      <c r="H695" s="76" t="str">
        <f aca="false">IF(G695="","",IFERROR(INDEX(BC_Fourn,MATCH(G695,BC_Num,0)),""))</f>
        <v/>
      </c>
      <c r="I695" s="25"/>
      <c r="J695" s="25"/>
      <c r="K695" s="25"/>
      <c r="L695" s="25"/>
    </row>
    <row r="696" customFormat="false" ht="15" hidden="false" customHeight="false" outlineLevel="0" collapsed="false">
      <c r="A696" s="69"/>
      <c r="B696" s="68"/>
      <c r="C696" s="68"/>
      <c r="D696" s="76" t="str">
        <f aca="false">IF(C696="","",IFERROR(INDEX(ST_Design,MATCH(C696,ST_Code,0)),"Code inconnu"))</f>
        <v/>
      </c>
      <c r="E696" s="74" t="str">
        <f aca="false">IF(C696="","",IFERROR(INDEX(ST_Unite,MATCH(C696,ST_Code,0)),""))</f>
        <v/>
      </c>
      <c r="F696" s="82"/>
      <c r="G696" s="68"/>
      <c r="H696" s="76" t="str">
        <f aca="false">IF(G696="","",IFERROR(INDEX(BC_Fourn,MATCH(G696,BC_Num,0)),""))</f>
        <v/>
      </c>
      <c r="I696" s="25"/>
      <c r="J696" s="25"/>
      <c r="K696" s="25"/>
      <c r="L696" s="25"/>
    </row>
    <row r="697" customFormat="false" ht="15" hidden="false" customHeight="false" outlineLevel="0" collapsed="false">
      <c r="A697" s="69"/>
      <c r="B697" s="68"/>
      <c r="C697" s="68"/>
      <c r="D697" s="76" t="str">
        <f aca="false">IF(C697="","",IFERROR(INDEX(ST_Design,MATCH(C697,ST_Code,0)),"Code inconnu"))</f>
        <v/>
      </c>
      <c r="E697" s="74" t="str">
        <f aca="false">IF(C697="","",IFERROR(INDEX(ST_Unite,MATCH(C697,ST_Code,0)),""))</f>
        <v/>
      </c>
      <c r="F697" s="82"/>
      <c r="G697" s="68"/>
      <c r="H697" s="76" t="str">
        <f aca="false">IF(G697="","",IFERROR(INDEX(BC_Fourn,MATCH(G697,BC_Num,0)),""))</f>
        <v/>
      </c>
      <c r="I697" s="25"/>
      <c r="J697" s="25"/>
      <c r="K697" s="25"/>
      <c r="L697" s="25"/>
    </row>
    <row r="698" customFormat="false" ht="15" hidden="false" customHeight="false" outlineLevel="0" collapsed="false">
      <c r="A698" s="69"/>
      <c r="B698" s="68"/>
      <c r="C698" s="68"/>
      <c r="D698" s="76" t="str">
        <f aca="false">IF(C698="","",IFERROR(INDEX(ST_Design,MATCH(C698,ST_Code,0)),"Code inconnu"))</f>
        <v/>
      </c>
      <c r="E698" s="74" t="str">
        <f aca="false">IF(C698="","",IFERROR(INDEX(ST_Unite,MATCH(C698,ST_Code,0)),""))</f>
        <v/>
      </c>
      <c r="F698" s="82"/>
      <c r="G698" s="68"/>
      <c r="H698" s="76" t="str">
        <f aca="false">IF(G698="","",IFERROR(INDEX(BC_Fourn,MATCH(G698,BC_Num,0)),""))</f>
        <v/>
      </c>
      <c r="I698" s="25"/>
      <c r="J698" s="25"/>
      <c r="K698" s="25"/>
      <c r="L698" s="25"/>
    </row>
    <row r="699" customFormat="false" ht="15" hidden="false" customHeight="false" outlineLevel="0" collapsed="false">
      <c r="A699" s="69"/>
      <c r="B699" s="68"/>
      <c r="C699" s="68"/>
      <c r="D699" s="76" t="str">
        <f aca="false">IF(C699="","",IFERROR(INDEX(ST_Design,MATCH(C699,ST_Code,0)),"Code inconnu"))</f>
        <v/>
      </c>
      <c r="E699" s="74" t="str">
        <f aca="false">IF(C699="","",IFERROR(INDEX(ST_Unite,MATCH(C699,ST_Code,0)),""))</f>
        <v/>
      </c>
      <c r="F699" s="82"/>
      <c r="G699" s="68"/>
      <c r="H699" s="76" t="str">
        <f aca="false">IF(G699="","",IFERROR(INDEX(BC_Fourn,MATCH(G699,BC_Num,0)),""))</f>
        <v/>
      </c>
      <c r="I699" s="25"/>
      <c r="J699" s="25"/>
      <c r="K699" s="25"/>
      <c r="L699" s="25"/>
    </row>
    <row r="700" customFormat="false" ht="15" hidden="false" customHeight="false" outlineLevel="0" collapsed="false">
      <c r="A700" s="69"/>
      <c r="B700" s="68"/>
      <c r="C700" s="68"/>
      <c r="D700" s="76" t="str">
        <f aca="false">IF(C700="","",IFERROR(INDEX(ST_Design,MATCH(C700,ST_Code,0)),"Code inconnu"))</f>
        <v/>
      </c>
      <c r="E700" s="74" t="str">
        <f aca="false">IF(C700="","",IFERROR(INDEX(ST_Unite,MATCH(C700,ST_Code,0)),""))</f>
        <v/>
      </c>
      <c r="F700" s="82"/>
      <c r="G700" s="68"/>
      <c r="H700" s="76" t="str">
        <f aca="false">IF(G700="","",IFERROR(INDEX(BC_Fourn,MATCH(G700,BC_Num,0)),""))</f>
        <v/>
      </c>
      <c r="I700" s="25"/>
      <c r="J700" s="25"/>
      <c r="K700" s="25"/>
      <c r="L700" s="25"/>
    </row>
    <row r="701" customFormat="false" ht="15" hidden="false" customHeight="false" outlineLevel="0" collapsed="false">
      <c r="A701" s="69"/>
      <c r="B701" s="68"/>
      <c r="C701" s="68"/>
      <c r="D701" s="76" t="str">
        <f aca="false">IF(C701="","",IFERROR(INDEX(ST_Design,MATCH(C701,ST_Code,0)),"Code inconnu"))</f>
        <v/>
      </c>
      <c r="E701" s="74" t="str">
        <f aca="false">IF(C701="","",IFERROR(INDEX(ST_Unite,MATCH(C701,ST_Code,0)),""))</f>
        <v/>
      </c>
      <c r="F701" s="82"/>
      <c r="G701" s="68"/>
      <c r="H701" s="76" t="str">
        <f aca="false">IF(G701="","",IFERROR(INDEX(BC_Fourn,MATCH(G701,BC_Num,0)),""))</f>
        <v/>
      </c>
      <c r="I701" s="25"/>
      <c r="J701" s="25"/>
      <c r="K701" s="25"/>
      <c r="L701" s="25"/>
    </row>
    <row r="702" customFormat="false" ht="15" hidden="false" customHeight="false" outlineLevel="0" collapsed="false">
      <c r="A702" s="69"/>
      <c r="B702" s="68"/>
      <c r="C702" s="68"/>
      <c r="D702" s="76" t="str">
        <f aca="false">IF(C702="","",IFERROR(INDEX(ST_Design,MATCH(C702,ST_Code,0)),"Code inconnu"))</f>
        <v/>
      </c>
      <c r="E702" s="74" t="str">
        <f aca="false">IF(C702="","",IFERROR(INDEX(ST_Unite,MATCH(C702,ST_Code,0)),""))</f>
        <v/>
      </c>
      <c r="F702" s="82"/>
      <c r="G702" s="68"/>
      <c r="H702" s="76" t="str">
        <f aca="false">IF(G702="","",IFERROR(INDEX(BC_Fourn,MATCH(G702,BC_Num,0)),""))</f>
        <v/>
      </c>
      <c r="I702" s="25"/>
      <c r="J702" s="25"/>
      <c r="K702" s="25"/>
      <c r="L702" s="25"/>
    </row>
    <row r="703" customFormat="false" ht="15" hidden="false" customHeight="false" outlineLevel="0" collapsed="false">
      <c r="A703" s="69"/>
      <c r="B703" s="68"/>
      <c r="C703" s="68"/>
      <c r="D703" s="76" t="str">
        <f aca="false">IF(C703="","",IFERROR(INDEX(ST_Design,MATCH(C703,ST_Code,0)),"Code inconnu"))</f>
        <v/>
      </c>
      <c r="E703" s="74" t="str">
        <f aca="false">IF(C703="","",IFERROR(INDEX(ST_Unite,MATCH(C703,ST_Code,0)),""))</f>
        <v/>
      </c>
      <c r="F703" s="82"/>
      <c r="G703" s="68"/>
      <c r="H703" s="76" t="str">
        <f aca="false">IF(G703="","",IFERROR(INDEX(BC_Fourn,MATCH(G703,BC_Num,0)),""))</f>
        <v/>
      </c>
      <c r="I703" s="25"/>
      <c r="J703" s="25"/>
      <c r="K703" s="25"/>
      <c r="L703" s="25"/>
    </row>
    <row r="704" customFormat="false" ht="15" hidden="false" customHeight="false" outlineLevel="0" collapsed="false">
      <c r="A704" s="69"/>
      <c r="B704" s="68"/>
      <c r="C704" s="68"/>
      <c r="D704" s="76" t="str">
        <f aca="false">IF(C704="","",IFERROR(INDEX(ST_Design,MATCH(C704,ST_Code,0)),"Code inconnu"))</f>
        <v/>
      </c>
      <c r="E704" s="74" t="str">
        <f aca="false">IF(C704="","",IFERROR(INDEX(ST_Unite,MATCH(C704,ST_Code,0)),""))</f>
        <v/>
      </c>
      <c r="F704" s="82"/>
      <c r="G704" s="68"/>
      <c r="H704" s="76" t="str">
        <f aca="false">IF(G704="","",IFERROR(INDEX(BC_Fourn,MATCH(G704,BC_Num,0)),""))</f>
        <v/>
      </c>
      <c r="I704" s="25"/>
      <c r="J704" s="25"/>
      <c r="K704" s="25"/>
      <c r="L704" s="25"/>
    </row>
    <row r="705" customFormat="false" ht="15" hidden="false" customHeight="false" outlineLevel="0" collapsed="false">
      <c r="A705" s="69"/>
      <c r="B705" s="68"/>
      <c r="C705" s="68"/>
      <c r="D705" s="76" t="str">
        <f aca="false">IF(C705="","",IFERROR(INDEX(ST_Design,MATCH(C705,ST_Code,0)),"Code inconnu"))</f>
        <v/>
      </c>
      <c r="E705" s="74" t="str">
        <f aca="false">IF(C705="","",IFERROR(INDEX(ST_Unite,MATCH(C705,ST_Code,0)),""))</f>
        <v/>
      </c>
      <c r="F705" s="82"/>
      <c r="G705" s="68"/>
      <c r="H705" s="76" t="str">
        <f aca="false">IF(G705="","",IFERROR(INDEX(BC_Fourn,MATCH(G705,BC_Num,0)),""))</f>
        <v/>
      </c>
      <c r="I705" s="25"/>
      <c r="J705" s="25"/>
      <c r="K705" s="25"/>
      <c r="L705" s="25"/>
    </row>
    <row r="706" customFormat="false" ht="15" hidden="false" customHeight="false" outlineLevel="0" collapsed="false">
      <c r="A706" s="69"/>
      <c r="B706" s="68"/>
      <c r="C706" s="68"/>
      <c r="D706" s="76" t="str">
        <f aca="false">IF(C706="","",IFERROR(INDEX(ST_Design,MATCH(C706,ST_Code,0)),"Code inconnu"))</f>
        <v/>
      </c>
      <c r="E706" s="74" t="str">
        <f aca="false">IF(C706="","",IFERROR(INDEX(ST_Unite,MATCH(C706,ST_Code,0)),""))</f>
        <v/>
      </c>
      <c r="F706" s="82"/>
      <c r="G706" s="68"/>
      <c r="H706" s="76" t="str">
        <f aca="false">IF(G706="","",IFERROR(INDEX(BC_Fourn,MATCH(G706,BC_Num,0)),""))</f>
        <v/>
      </c>
      <c r="I706" s="25"/>
      <c r="J706" s="25"/>
      <c r="K706" s="25"/>
      <c r="L706" s="25"/>
    </row>
    <row r="707" customFormat="false" ht="15" hidden="false" customHeight="false" outlineLevel="0" collapsed="false">
      <c r="A707" s="69"/>
      <c r="B707" s="68"/>
      <c r="C707" s="68"/>
      <c r="D707" s="76" t="str">
        <f aca="false">IF(C707="","",IFERROR(INDEX(ST_Design,MATCH(C707,ST_Code,0)),"Code inconnu"))</f>
        <v/>
      </c>
      <c r="E707" s="74" t="str">
        <f aca="false">IF(C707="","",IFERROR(INDEX(ST_Unite,MATCH(C707,ST_Code,0)),""))</f>
        <v/>
      </c>
      <c r="F707" s="82"/>
      <c r="G707" s="68"/>
      <c r="H707" s="76" t="str">
        <f aca="false">IF(G707="","",IFERROR(INDEX(BC_Fourn,MATCH(G707,BC_Num,0)),""))</f>
        <v/>
      </c>
      <c r="I707" s="25"/>
      <c r="J707" s="25"/>
      <c r="K707" s="25"/>
      <c r="L707" s="25"/>
    </row>
    <row r="708" customFormat="false" ht="15" hidden="false" customHeight="false" outlineLevel="0" collapsed="false">
      <c r="A708" s="69"/>
      <c r="B708" s="68"/>
      <c r="C708" s="68"/>
      <c r="D708" s="76" t="str">
        <f aca="false">IF(C708="","",IFERROR(INDEX(ST_Design,MATCH(C708,ST_Code,0)),"Code inconnu"))</f>
        <v/>
      </c>
      <c r="E708" s="74" t="str">
        <f aca="false">IF(C708="","",IFERROR(INDEX(ST_Unite,MATCH(C708,ST_Code,0)),""))</f>
        <v/>
      </c>
      <c r="F708" s="82"/>
      <c r="G708" s="68"/>
      <c r="H708" s="76" t="str">
        <f aca="false">IF(G708="","",IFERROR(INDEX(BC_Fourn,MATCH(G708,BC_Num,0)),""))</f>
        <v/>
      </c>
      <c r="I708" s="25"/>
      <c r="J708" s="25"/>
      <c r="K708" s="25"/>
      <c r="L708" s="25"/>
    </row>
    <row r="709" customFormat="false" ht="15" hidden="false" customHeight="false" outlineLevel="0" collapsed="false">
      <c r="A709" s="69"/>
      <c r="B709" s="68"/>
      <c r="C709" s="68"/>
      <c r="D709" s="76" t="str">
        <f aca="false">IF(C709="","",IFERROR(INDEX(ST_Design,MATCH(C709,ST_Code,0)),"Code inconnu"))</f>
        <v/>
      </c>
      <c r="E709" s="74" t="str">
        <f aca="false">IF(C709="","",IFERROR(INDEX(ST_Unite,MATCH(C709,ST_Code,0)),""))</f>
        <v/>
      </c>
      <c r="F709" s="82"/>
      <c r="G709" s="68"/>
      <c r="H709" s="76" t="str">
        <f aca="false">IF(G709="","",IFERROR(INDEX(BC_Fourn,MATCH(G709,BC_Num,0)),""))</f>
        <v/>
      </c>
      <c r="I709" s="25"/>
      <c r="J709" s="25"/>
      <c r="K709" s="25"/>
      <c r="L709" s="25"/>
    </row>
    <row r="710" customFormat="false" ht="15" hidden="false" customHeight="false" outlineLevel="0" collapsed="false">
      <c r="A710" s="69"/>
      <c r="B710" s="68"/>
      <c r="C710" s="68"/>
      <c r="D710" s="76" t="str">
        <f aca="false">IF(C710="","",IFERROR(INDEX(ST_Design,MATCH(C710,ST_Code,0)),"Code inconnu"))</f>
        <v/>
      </c>
      <c r="E710" s="74" t="str">
        <f aca="false">IF(C710="","",IFERROR(INDEX(ST_Unite,MATCH(C710,ST_Code,0)),""))</f>
        <v/>
      </c>
      <c r="F710" s="82"/>
      <c r="G710" s="68"/>
      <c r="H710" s="76" t="str">
        <f aca="false">IF(G710="","",IFERROR(INDEX(BC_Fourn,MATCH(G710,BC_Num,0)),""))</f>
        <v/>
      </c>
      <c r="I710" s="25"/>
      <c r="J710" s="25"/>
      <c r="K710" s="25"/>
      <c r="L710" s="25"/>
    </row>
    <row r="711" customFormat="false" ht="15" hidden="false" customHeight="false" outlineLevel="0" collapsed="false">
      <c r="A711" s="69"/>
      <c r="B711" s="68"/>
      <c r="C711" s="68"/>
      <c r="D711" s="76" t="str">
        <f aca="false">IF(C711="","",IFERROR(INDEX(ST_Design,MATCH(C711,ST_Code,0)),"Code inconnu"))</f>
        <v/>
      </c>
      <c r="E711" s="74" t="str">
        <f aca="false">IF(C711="","",IFERROR(INDEX(ST_Unite,MATCH(C711,ST_Code,0)),""))</f>
        <v/>
      </c>
      <c r="F711" s="82"/>
      <c r="G711" s="68"/>
      <c r="H711" s="76" t="str">
        <f aca="false">IF(G711="","",IFERROR(INDEX(BC_Fourn,MATCH(G711,BC_Num,0)),""))</f>
        <v/>
      </c>
      <c r="I711" s="25"/>
      <c r="J711" s="25"/>
      <c r="K711" s="25"/>
      <c r="L711" s="25"/>
    </row>
    <row r="712" customFormat="false" ht="15" hidden="false" customHeight="false" outlineLevel="0" collapsed="false">
      <c r="A712" s="69"/>
      <c r="B712" s="68"/>
      <c r="C712" s="68"/>
      <c r="D712" s="76" t="str">
        <f aca="false">IF(C712="","",IFERROR(INDEX(ST_Design,MATCH(C712,ST_Code,0)),"Code inconnu"))</f>
        <v/>
      </c>
      <c r="E712" s="74" t="str">
        <f aca="false">IF(C712="","",IFERROR(INDEX(ST_Unite,MATCH(C712,ST_Code,0)),""))</f>
        <v/>
      </c>
      <c r="F712" s="82"/>
      <c r="G712" s="68"/>
      <c r="H712" s="76" t="str">
        <f aca="false">IF(G712="","",IFERROR(INDEX(BC_Fourn,MATCH(G712,BC_Num,0)),""))</f>
        <v/>
      </c>
      <c r="I712" s="25"/>
      <c r="J712" s="25"/>
      <c r="K712" s="25"/>
      <c r="L712" s="25"/>
    </row>
    <row r="713" customFormat="false" ht="15" hidden="false" customHeight="false" outlineLevel="0" collapsed="false">
      <c r="A713" s="69"/>
      <c r="B713" s="68"/>
      <c r="C713" s="68"/>
      <c r="D713" s="76" t="str">
        <f aca="false">IF(C713="","",IFERROR(INDEX(ST_Design,MATCH(C713,ST_Code,0)),"Code inconnu"))</f>
        <v/>
      </c>
      <c r="E713" s="74" t="str">
        <f aca="false">IF(C713="","",IFERROR(INDEX(ST_Unite,MATCH(C713,ST_Code,0)),""))</f>
        <v/>
      </c>
      <c r="F713" s="82"/>
      <c r="G713" s="68"/>
      <c r="H713" s="76" t="str">
        <f aca="false">IF(G713="","",IFERROR(INDEX(BC_Fourn,MATCH(G713,BC_Num,0)),""))</f>
        <v/>
      </c>
      <c r="I713" s="25"/>
      <c r="J713" s="25"/>
      <c r="K713" s="25"/>
      <c r="L713" s="25"/>
    </row>
    <row r="714" customFormat="false" ht="15" hidden="false" customHeight="false" outlineLevel="0" collapsed="false">
      <c r="A714" s="69"/>
      <c r="B714" s="68"/>
      <c r="C714" s="68"/>
      <c r="D714" s="76" t="str">
        <f aca="false">IF(C714="","",IFERROR(INDEX(ST_Design,MATCH(C714,ST_Code,0)),"Code inconnu"))</f>
        <v/>
      </c>
      <c r="E714" s="74" t="str">
        <f aca="false">IF(C714="","",IFERROR(INDEX(ST_Unite,MATCH(C714,ST_Code,0)),""))</f>
        <v/>
      </c>
      <c r="F714" s="82"/>
      <c r="G714" s="68"/>
      <c r="H714" s="76" t="str">
        <f aca="false">IF(G714="","",IFERROR(INDEX(BC_Fourn,MATCH(G714,BC_Num,0)),""))</f>
        <v/>
      </c>
      <c r="I714" s="25"/>
      <c r="J714" s="25"/>
      <c r="K714" s="25"/>
      <c r="L714" s="25"/>
    </row>
    <row r="715" customFormat="false" ht="15" hidden="false" customHeight="false" outlineLevel="0" collapsed="false">
      <c r="A715" s="69"/>
      <c r="B715" s="68"/>
      <c r="C715" s="68"/>
      <c r="D715" s="76" t="str">
        <f aca="false">IF(C715="","",IFERROR(INDEX(ST_Design,MATCH(C715,ST_Code,0)),"Code inconnu"))</f>
        <v/>
      </c>
      <c r="E715" s="74" t="str">
        <f aca="false">IF(C715="","",IFERROR(INDEX(ST_Unite,MATCH(C715,ST_Code,0)),""))</f>
        <v/>
      </c>
      <c r="F715" s="82"/>
      <c r="G715" s="68"/>
      <c r="H715" s="76" t="str">
        <f aca="false">IF(G715="","",IFERROR(INDEX(BC_Fourn,MATCH(G715,BC_Num,0)),""))</f>
        <v/>
      </c>
      <c r="I715" s="25"/>
      <c r="J715" s="25"/>
      <c r="K715" s="25"/>
      <c r="L715" s="25"/>
    </row>
    <row r="716" customFormat="false" ht="15" hidden="false" customHeight="false" outlineLevel="0" collapsed="false">
      <c r="A716" s="69"/>
      <c r="B716" s="68"/>
      <c r="C716" s="68"/>
      <c r="D716" s="76" t="str">
        <f aca="false">IF(C716="","",IFERROR(INDEX(ST_Design,MATCH(C716,ST_Code,0)),"Code inconnu"))</f>
        <v/>
      </c>
      <c r="E716" s="74" t="str">
        <f aca="false">IF(C716="","",IFERROR(INDEX(ST_Unite,MATCH(C716,ST_Code,0)),""))</f>
        <v/>
      </c>
      <c r="F716" s="82"/>
      <c r="G716" s="68"/>
      <c r="H716" s="76" t="str">
        <f aca="false">IF(G716="","",IFERROR(INDEX(BC_Fourn,MATCH(G716,BC_Num,0)),""))</f>
        <v/>
      </c>
      <c r="I716" s="25"/>
      <c r="J716" s="25"/>
      <c r="K716" s="25"/>
      <c r="L716" s="25"/>
    </row>
    <row r="717" customFormat="false" ht="15" hidden="false" customHeight="false" outlineLevel="0" collapsed="false">
      <c r="A717" s="69"/>
      <c r="B717" s="68"/>
      <c r="C717" s="68"/>
      <c r="D717" s="76" t="str">
        <f aca="false">IF(C717="","",IFERROR(INDEX(ST_Design,MATCH(C717,ST_Code,0)),"Code inconnu"))</f>
        <v/>
      </c>
      <c r="E717" s="74" t="str">
        <f aca="false">IF(C717="","",IFERROR(INDEX(ST_Unite,MATCH(C717,ST_Code,0)),""))</f>
        <v/>
      </c>
      <c r="F717" s="82"/>
      <c r="G717" s="68"/>
      <c r="H717" s="76" t="str">
        <f aca="false">IF(G717="","",IFERROR(INDEX(BC_Fourn,MATCH(G717,BC_Num,0)),""))</f>
        <v/>
      </c>
      <c r="I717" s="25"/>
      <c r="J717" s="25"/>
      <c r="K717" s="25"/>
      <c r="L717" s="25"/>
    </row>
    <row r="718" customFormat="false" ht="15" hidden="false" customHeight="false" outlineLevel="0" collapsed="false">
      <c r="A718" s="69"/>
      <c r="B718" s="68"/>
      <c r="C718" s="68"/>
      <c r="D718" s="76" t="str">
        <f aca="false">IF(C718="","",IFERROR(INDEX(ST_Design,MATCH(C718,ST_Code,0)),"Code inconnu"))</f>
        <v/>
      </c>
      <c r="E718" s="74" t="str">
        <f aca="false">IF(C718="","",IFERROR(INDEX(ST_Unite,MATCH(C718,ST_Code,0)),""))</f>
        <v/>
      </c>
      <c r="F718" s="82"/>
      <c r="G718" s="68"/>
      <c r="H718" s="76" t="str">
        <f aca="false">IF(G718="","",IFERROR(INDEX(BC_Fourn,MATCH(G718,BC_Num,0)),""))</f>
        <v/>
      </c>
      <c r="I718" s="25"/>
      <c r="J718" s="25"/>
      <c r="K718" s="25"/>
      <c r="L718" s="25"/>
    </row>
    <row r="719" customFormat="false" ht="15" hidden="false" customHeight="false" outlineLevel="0" collapsed="false">
      <c r="A719" s="69"/>
      <c r="B719" s="68"/>
      <c r="C719" s="68"/>
      <c r="D719" s="76" t="str">
        <f aca="false">IF(C719="","",IFERROR(INDEX(ST_Design,MATCH(C719,ST_Code,0)),"Code inconnu"))</f>
        <v/>
      </c>
      <c r="E719" s="74" t="str">
        <f aca="false">IF(C719="","",IFERROR(INDEX(ST_Unite,MATCH(C719,ST_Code,0)),""))</f>
        <v/>
      </c>
      <c r="F719" s="82"/>
      <c r="G719" s="68"/>
      <c r="H719" s="76" t="str">
        <f aca="false">IF(G719="","",IFERROR(INDEX(BC_Fourn,MATCH(G719,BC_Num,0)),""))</f>
        <v/>
      </c>
      <c r="I719" s="25"/>
      <c r="J719" s="25"/>
      <c r="K719" s="25"/>
      <c r="L719" s="25"/>
    </row>
    <row r="720" customFormat="false" ht="15" hidden="false" customHeight="false" outlineLevel="0" collapsed="false">
      <c r="A720" s="69"/>
      <c r="B720" s="68"/>
      <c r="C720" s="68"/>
      <c r="D720" s="76" t="str">
        <f aca="false">IF(C720="","",IFERROR(INDEX(ST_Design,MATCH(C720,ST_Code,0)),"Code inconnu"))</f>
        <v/>
      </c>
      <c r="E720" s="74" t="str">
        <f aca="false">IF(C720="","",IFERROR(INDEX(ST_Unite,MATCH(C720,ST_Code,0)),""))</f>
        <v/>
      </c>
      <c r="F720" s="82"/>
      <c r="G720" s="68"/>
      <c r="H720" s="76" t="str">
        <f aca="false">IF(G720="","",IFERROR(INDEX(BC_Fourn,MATCH(G720,BC_Num,0)),""))</f>
        <v/>
      </c>
      <c r="I720" s="25"/>
      <c r="J720" s="25"/>
      <c r="K720" s="25"/>
      <c r="L720" s="25"/>
    </row>
    <row r="721" customFormat="false" ht="15" hidden="false" customHeight="false" outlineLevel="0" collapsed="false">
      <c r="A721" s="69"/>
      <c r="B721" s="68"/>
      <c r="C721" s="68"/>
      <c r="D721" s="76" t="str">
        <f aca="false">IF(C721="","",IFERROR(INDEX(ST_Design,MATCH(C721,ST_Code,0)),"Code inconnu"))</f>
        <v/>
      </c>
      <c r="E721" s="74" t="str">
        <f aca="false">IF(C721="","",IFERROR(INDEX(ST_Unite,MATCH(C721,ST_Code,0)),""))</f>
        <v/>
      </c>
      <c r="F721" s="82"/>
      <c r="G721" s="68"/>
      <c r="H721" s="76" t="str">
        <f aca="false">IF(G721="","",IFERROR(INDEX(BC_Fourn,MATCH(G721,BC_Num,0)),""))</f>
        <v/>
      </c>
      <c r="I721" s="25"/>
      <c r="J721" s="25"/>
      <c r="K721" s="25"/>
      <c r="L721" s="25"/>
    </row>
    <row r="722" customFormat="false" ht="15" hidden="false" customHeight="false" outlineLevel="0" collapsed="false">
      <c r="A722" s="69"/>
      <c r="B722" s="68"/>
      <c r="C722" s="68"/>
      <c r="D722" s="76" t="str">
        <f aca="false">IF(C722="","",IFERROR(INDEX(ST_Design,MATCH(C722,ST_Code,0)),"Code inconnu"))</f>
        <v/>
      </c>
      <c r="E722" s="74" t="str">
        <f aca="false">IF(C722="","",IFERROR(INDEX(ST_Unite,MATCH(C722,ST_Code,0)),""))</f>
        <v/>
      </c>
      <c r="F722" s="82"/>
      <c r="G722" s="68"/>
      <c r="H722" s="76" t="str">
        <f aca="false">IF(G722="","",IFERROR(INDEX(BC_Fourn,MATCH(G722,BC_Num,0)),""))</f>
        <v/>
      </c>
      <c r="I722" s="25"/>
      <c r="J722" s="25"/>
      <c r="K722" s="25"/>
      <c r="L722" s="25"/>
    </row>
    <row r="723" customFormat="false" ht="15" hidden="false" customHeight="false" outlineLevel="0" collapsed="false">
      <c r="A723" s="69"/>
      <c r="B723" s="68"/>
      <c r="C723" s="68"/>
      <c r="D723" s="76" t="str">
        <f aca="false">IF(C723="","",IFERROR(INDEX(ST_Design,MATCH(C723,ST_Code,0)),"Code inconnu"))</f>
        <v/>
      </c>
      <c r="E723" s="74" t="str">
        <f aca="false">IF(C723="","",IFERROR(INDEX(ST_Unite,MATCH(C723,ST_Code,0)),""))</f>
        <v/>
      </c>
      <c r="F723" s="82"/>
      <c r="G723" s="68"/>
      <c r="H723" s="76" t="str">
        <f aca="false">IF(G723="","",IFERROR(INDEX(BC_Fourn,MATCH(G723,BC_Num,0)),""))</f>
        <v/>
      </c>
      <c r="I723" s="25"/>
      <c r="J723" s="25"/>
      <c r="K723" s="25"/>
      <c r="L723" s="25"/>
    </row>
    <row r="724" customFormat="false" ht="15" hidden="false" customHeight="false" outlineLevel="0" collapsed="false">
      <c r="A724" s="69"/>
      <c r="B724" s="68"/>
      <c r="C724" s="68"/>
      <c r="D724" s="76" t="str">
        <f aca="false">IF(C724="","",IFERROR(INDEX(ST_Design,MATCH(C724,ST_Code,0)),"Code inconnu"))</f>
        <v/>
      </c>
      <c r="E724" s="74" t="str">
        <f aca="false">IF(C724="","",IFERROR(INDEX(ST_Unite,MATCH(C724,ST_Code,0)),""))</f>
        <v/>
      </c>
      <c r="F724" s="82"/>
      <c r="G724" s="68"/>
      <c r="H724" s="76" t="str">
        <f aca="false">IF(G724="","",IFERROR(INDEX(BC_Fourn,MATCH(G724,BC_Num,0)),""))</f>
        <v/>
      </c>
      <c r="I724" s="25"/>
      <c r="J724" s="25"/>
      <c r="K724" s="25"/>
      <c r="L724" s="25"/>
    </row>
    <row r="725" customFormat="false" ht="15" hidden="false" customHeight="false" outlineLevel="0" collapsed="false">
      <c r="A725" s="69"/>
      <c r="B725" s="68"/>
      <c r="C725" s="68"/>
      <c r="D725" s="76" t="str">
        <f aca="false">IF(C725="","",IFERROR(INDEX(ST_Design,MATCH(C725,ST_Code,0)),"Code inconnu"))</f>
        <v/>
      </c>
      <c r="E725" s="74" t="str">
        <f aca="false">IF(C725="","",IFERROR(INDEX(ST_Unite,MATCH(C725,ST_Code,0)),""))</f>
        <v/>
      </c>
      <c r="F725" s="82"/>
      <c r="G725" s="68"/>
      <c r="H725" s="76" t="str">
        <f aca="false">IF(G725="","",IFERROR(INDEX(BC_Fourn,MATCH(G725,BC_Num,0)),""))</f>
        <v/>
      </c>
      <c r="I725" s="25"/>
      <c r="J725" s="25"/>
      <c r="K725" s="25"/>
      <c r="L725" s="25"/>
    </row>
    <row r="726" customFormat="false" ht="15" hidden="false" customHeight="false" outlineLevel="0" collapsed="false">
      <c r="A726" s="69"/>
      <c r="B726" s="68"/>
      <c r="C726" s="68"/>
      <c r="D726" s="76" t="str">
        <f aca="false">IF(C726="","",IFERROR(INDEX(ST_Design,MATCH(C726,ST_Code,0)),"Code inconnu"))</f>
        <v/>
      </c>
      <c r="E726" s="74" t="str">
        <f aca="false">IF(C726="","",IFERROR(INDEX(ST_Unite,MATCH(C726,ST_Code,0)),""))</f>
        <v/>
      </c>
      <c r="F726" s="82"/>
      <c r="G726" s="68"/>
      <c r="H726" s="76" t="str">
        <f aca="false">IF(G726="","",IFERROR(INDEX(BC_Fourn,MATCH(G726,BC_Num,0)),""))</f>
        <v/>
      </c>
      <c r="I726" s="25"/>
      <c r="J726" s="25"/>
      <c r="K726" s="25"/>
      <c r="L726" s="25"/>
    </row>
    <row r="727" customFormat="false" ht="15" hidden="false" customHeight="false" outlineLevel="0" collapsed="false">
      <c r="A727" s="69"/>
      <c r="B727" s="68"/>
      <c r="C727" s="68"/>
      <c r="D727" s="76" t="str">
        <f aca="false">IF(C727="","",IFERROR(INDEX(ST_Design,MATCH(C727,ST_Code,0)),"Code inconnu"))</f>
        <v/>
      </c>
      <c r="E727" s="74" t="str">
        <f aca="false">IF(C727="","",IFERROR(INDEX(ST_Unite,MATCH(C727,ST_Code,0)),""))</f>
        <v/>
      </c>
      <c r="F727" s="82"/>
      <c r="G727" s="68"/>
      <c r="H727" s="76" t="str">
        <f aca="false">IF(G727="","",IFERROR(INDEX(BC_Fourn,MATCH(G727,BC_Num,0)),""))</f>
        <v/>
      </c>
      <c r="I727" s="25"/>
      <c r="J727" s="25"/>
      <c r="K727" s="25"/>
      <c r="L727" s="25"/>
    </row>
    <row r="728" customFormat="false" ht="15" hidden="false" customHeight="false" outlineLevel="0" collapsed="false">
      <c r="A728" s="69"/>
      <c r="B728" s="68"/>
      <c r="C728" s="68"/>
      <c r="D728" s="76" t="str">
        <f aca="false">IF(C728="","",IFERROR(INDEX(ST_Design,MATCH(C728,ST_Code,0)),"Code inconnu"))</f>
        <v/>
      </c>
      <c r="E728" s="74" t="str">
        <f aca="false">IF(C728="","",IFERROR(INDEX(ST_Unite,MATCH(C728,ST_Code,0)),""))</f>
        <v/>
      </c>
      <c r="F728" s="82"/>
      <c r="G728" s="68"/>
      <c r="H728" s="76" t="str">
        <f aca="false">IF(G728="","",IFERROR(INDEX(BC_Fourn,MATCH(G728,BC_Num,0)),""))</f>
        <v/>
      </c>
      <c r="I728" s="25"/>
      <c r="J728" s="25"/>
      <c r="K728" s="25"/>
      <c r="L728" s="25"/>
    </row>
    <row r="729" customFormat="false" ht="15" hidden="false" customHeight="false" outlineLevel="0" collapsed="false">
      <c r="A729" s="69"/>
      <c r="B729" s="68"/>
      <c r="C729" s="68"/>
      <c r="D729" s="76" t="str">
        <f aca="false">IF(C729="","",IFERROR(INDEX(ST_Design,MATCH(C729,ST_Code,0)),"Code inconnu"))</f>
        <v/>
      </c>
      <c r="E729" s="74" t="str">
        <f aca="false">IF(C729="","",IFERROR(INDEX(ST_Unite,MATCH(C729,ST_Code,0)),""))</f>
        <v/>
      </c>
      <c r="F729" s="82"/>
      <c r="G729" s="68"/>
      <c r="H729" s="76" t="str">
        <f aca="false">IF(G729="","",IFERROR(INDEX(BC_Fourn,MATCH(G729,BC_Num,0)),""))</f>
        <v/>
      </c>
      <c r="I729" s="25"/>
      <c r="J729" s="25"/>
      <c r="K729" s="25"/>
      <c r="L729" s="25"/>
    </row>
    <row r="730" customFormat="false" ht="15" hidden="false" customHeight="false" outlineLevel="0" collapsed="false">
      <c r="A730" s="69"/>
      <c r="B730" s="68"/>
      <c r="C730" s="68"/>
      <c r="D730" s="76" t="str">
        <f aca="false">IF(C730="","",IFERROR(INDEX(ST_Design,MATCH(C730,ST_Code,0)),"Code inconnu"))</f>
        <v/>
      </c>
      <c r="E730" s="74" t="str">
        <f aca="false">IF(C730="","",IFERROR(INDEX(ST_Unite,MATCH(C730,ST_Code,0)),""))</f>
        <v/>
      </c>
      <c r="F730" s="82"/>
      <c r="G730" s="68"/>
      <c r="H730" s="76" t="str">
        <f aca="false">IF(G730="","",IFERROR(INDEX(BC_Fourn,MATCH(G730,BC_Num,0)),""))</f>
        <v/>
      </c>
      <c r="I730" s="25"/>
      <c r="J730" s="25"/>
      <c r="K730" s="25"/>
      <c r="L730" s="25"/>
    </row>
    <row r="731" customFormat="false" ht="15" hidden="false" customHeight="false" outlineLevel="0" collapsed="false">
      <c r="A731" s="69"/>
      <c r="B731" s="68"/>
      <c r="C731" s="68"/>
      <c r="D731" s="76" t="str">
        <f aca="false">IF(C731="","",IFERROR(INDEX(ST_Design,MATCH(C731,ST_Code,0)),"Code inconnu"))</f>
        <v/>
      </c>
      <c r="E731" s="74" t="str">
        <f aca="false">IF(C731="","",IFERROR(INDEX(ST_Unite,MATCH(C731,ST_Code,0)),""))</f>
        <v/>
      </c>
      <c r="F731" s="82"/>
      <c r="G731" s="68"/>
      <c r="H731" s="76" t="str">
        <f aca="false">IF(G731="","",IFERROR(INDEX(BC_Fourn,MATCH(G731,BC_Num,0)),""))</f>
        <v/>
      </c>
      <c r="I731" s="25"/>
      <c r="J731" s="25"/>
      <c r="K731" s="25"/>
      <c r="L731" s="25"/>
    </row>
    <row r="732" customFormat="false" ht="15" hidden="false" customHeight="false" outlineLevel="0" collapsed="false">
      <c r="A732" s="69"/>
      <c r="B732" s="68"/>
      <c r="C732" s="68"/>
      <c r="D732" s="76" t="str">
        <f aca="false">IF(C732="","",IFERROR(INDEX(ST_Design,MATCH(C732,ST_Code,0)),"Code inconnu"))</f>
        <v/>
      </c>
      <c r="E732" s="74" t="str">
        <f aca="false">IF(C732="","",IFERROR(INDEX(ST_Unite,MATCH(C732,ST_Code,0)),""))</f>
        <v/>
      </c>
      <c r="F732" s="82"/>
      <c r="G732" s="68"/>
      <c r="H732" s="76" t="str">
        <f aca="false">IF(G732="","",IFERROR(INDEX(BC_Fourn,MATCH(G732,BC_Num,0)),""))</f>
        <v/>
      </c>
      <c r="I732" s="25"/>
      <c r="J732" s="25"/>
      <c r="K732" s="25"/>
      <c r="L732" s="25"/>
    </row>
    <row r="733" customFormat="false" ht="15" hidden="false" customHeight="false" outlineLevel="0" collapsed="false">
      <c r="A733" s="69"/>
      <c r="B733" s="68"/>
      <c r="C733" s="68"/>
      <c r="D733" s="76" t="str">
        <f aca="false">IF(C733="","",IFERROR(INDEX(ST_Design,MATCH(C733,ST_Code,0)),"Code inconnu"))</f>
        <v/>
      </c>
      <c r="E733" s="74" t="str">
        <f aca="false">IF(C733="","",IFERROR(INDEX(ST_Unite,MATCH(C733,ST_Code,0)),""))</f>
        <v/>
      </c>
      <c r="F733" s="82"/>
      <c r="G733" s="68"/>
      <c r="H733" s="76" t="str">
        <f aca="false">IF(G733="","",IFERROR(INDEX(BC_Fourn,MATCH(G733,BC_Num,0)),""))</f>
        <v/>
      </c>
      <c r="I733" s="25"/>
      <c r="J733" s="25"/>
      <c r="K733" s="25"/>
      <c r="L733" s="25"/>
    </row>
    <row r="734" customFormat="false" ht="15" hidden="false" customHeight="false" outlineLevel="0" collapsed="false">
      <c r="A734" s="69"/>
      <c r="B734" s="68"/>
      <c r="C734" s="68"/>
      <c r="D734" s="76" t="str">
        <f aca="false">IF(C734="","",IFERROR(INDEX(ST_Design,MATCH(C734,ST_Code,0)),"Code inconnu"))</f>
        <v/>
      </c>
      <c r="E734" s="74" t="str">
        <f aca="false">IF(C734="","",IFERROR(INDEX(ST_Unite,MATCH(C734,ST_Code,0)),""))</f>
        <v/>
      </c>
      <c r="F734" s="82"/>
      <c r="G734" s="68"/>
      <c r="H734" s="76" t="str">
        <f aca="false">IF(G734="","",IFERROR(INDEX(BC_Fourn,MATCH(G734,BC_Num,0)),""))</f>
        <v/>
      </c>
      <c r="I734" s="25"/>
      <c r="J734" s="25"/>
      <c r="K734" s="25"/>
      <c r="L734" s="25"/>
    </row>
    <row r="735" customFormat="false" ht="15" hidden="false" customHeight="false" outlineLevel="0" collapsed="false">
      <c r="A735" s="69"/>
      <c r="B735" s="68"/>
      <c r="C735" s="68"/>
      <c r="D735" s="76" t="str">
        <f aca="false">IF(C735="","",IFERROR(INDEX(ST_Design,MATCH(C735,ST_Code,0)),"Code inconnu"))</f>
        <v/>
      </c>
      <c r="E735" s="74" t="str">
        <f aca="false">IF(C735="","",IFERROR(INDEX(ST_Unite,MATCH(C735,ST_Code,0)),""))</f>
        <v/>
      </c>
      <c r="F735" s="82"/>
      <c r="G735" s="68"/>
      <c r="H735" s="76" t="str">
        <f aca="false">IF(G735="","",IFERROR(INDEX(BC_Fourn,MATCH(G735,BC_Num,0)),""))</f>
        <v/>
      </c>
      <c r="I735" s="25"/>
      <c r="J735" s="25"/>
      <c r="K735" s="25"/>
      <c r="L735" s="25"/>
    </row>
    <row r="736" customFormat="false" ht="15" hidden="false" customHeight="false" outlineLevel="0" collapsed="false">
      <c r="A736" s="69"/>
      <c r="B736" s="68"/>
      <c r="C736" s="68"/>
      <c r="D736" s="76" t="str">
        <f aca="false">IF(C736="","",IFERROR(INDEX(ST_Design,MATCH(C736,ST_Code,0)),"Code inconnu"))</f>
        <v/>
      </c>
      <c r="E736" s="74" t="str">
        <f aca="false">IF(C736="","",IFERROR(INDEX(ST_Unite,MATCH(C736,ST_Code,0)),""))</f>
        <v/>
      </c>
      <c r="F736" s="82"/>
      <c r="G736" s="68"/>
      <c r="H736" s="76" t="str">
        <f aca="false">IF(G736="","",IFERROR(INDEX(BC_Fourn,MATCH(G736,BC_Num,0)),""))</f>
        <v/>
      </c>
      <c r="I736" s="25"/>
      <c r="J736" s="25"/>
      <c r="K736" s="25"/>
      <c r="L736" s="25"/>
    </row>
    <row r="737" customFormat="false" ht="15" hidden="false" customHeight="false" outlineLevel="0" collapsed="false">
      <c r="A737" s="69"/>
      <c r="B737" s="68"/>
      <c r="C737" s="68"/>
      <c r="D737" s="76" t="str">
        <f aca="false">IF(C737="","",IFERROR(INDEX(ST_Design,MATCH(C737,ST_Code,0)),"Code inconnu"))</f>
        <v/>
      </c>
      <c r="E737" s="74" t="str">
        <f aca="false">IF(C737="","",IFERROR(INDEX(ST_Unite,MATCH(C737,ST_Code,0)),""))</f>
        <v/>
      </c>
      <c r="F737" s="82"/>
      <c r="G737" s="68"/>
      <c r="H737" s="76" t="str">
        <f aca="false">IF(G737="","",IFERROR(INDEX(BC_Fourn,MATCH(G737,BC_Num,0)),""))</f>
        <v/>
      </c>
      <c r="I737" s="25"/>
      <c r="J737" s="25"/>
      <c r="K737" s="25"/>
      <c r="L737" s="25"/>
    </row>
    <row r="738" customFormat="false" ht="15" hidden="false" customHeight="false" outlineLevel="0" collapsed="false">
      <c r="A738" s="69"/>
      <c r="B738" s="68"/>
      <c r="C738" s="68"/>
      <c r="D738" s="76" t="str">
        <f aca="false">IF(C738="","",IFERROR(INDEX(ST_Design,MATCH(C738,ST_Code,0)),"Code inconnu"))</f>
        <v/>
      </c>
      <c r="E738" s="74" t="str">
        <f aca="false">IF(C738="","",IFERROR(INDEX(ST_Unite,MATCH(C738,ST_Code,0)),""))</f>
        <v/>
      </c>
      <c r="F738" s="82"/>
      <c r="G738" s="68"/>
      <c r="H738" s="76" t="str">
        <f aca="false">IF(G738="","",IFERROR(INDEX(BC_Fourn,MATCH(G738,BC_Num,0)),""))</f>
        <v/>
      </c>
      <c r="I738" s="25"/>
      <c r="J738" s="25"/>
      <c r="K738" s="25"/>
      <c r="L738" s="25"/>
    </row>
    <row r="739" customFormat="false" ht="15" hidden="false" customHeight="false" outlineLevel="0" collapsed="false">
      <c r="A739" s="69"/>
      <c r="B739" s="68"/>
      <c r="C739" s="68"/>
      <c r="D739" s="76" t="str">
        <f aca="false">IF(C739="","",IFERROR(INDEX(ST_Design,MATCH(C739,ST_Code,0)),"Code inconnu"))</f>
        <v/>
      </c>
      <c r="E739" s="74" t="str">
        <f aca="false">IF(C739="","",IFERROR(INDEX(ST_Unite,MATCH(C739,ST_Code,0)),""))</f>
        <v/>
      </c>
      <c r="F739" s="82"/>
      <c r="G739" s="68"/>
      <c r="H739" s="76" t="str">
        <f aca="false">IF(G739="","",IFERROR(INDEX(BC_Fourn,MATCH(G739,BC_Num,0)),""))</f>
        <v/>
      </c>
      <c r="I739" s="25"/>
      <c r="J739" s="25"/>
      <c r="K739" s="25"/>
      <c r="L739" s="25"/>
    </row>
    <row r="740" customFormat="false" ht="15" hidden="false" customHeight="false" outlineLevel="0" collapsed="false">
      <c r="A740" s="69"/>
      <c r="B740" s="68"/>
      <c r="C740" s="68"/>
      <c r="D740" s="76" t="str">
        <f aca="false">IF(C740="","",IFERROR(INDEX(ST_Design,MATCH(C740,ST_Code,0)),"Code inconnu"))</f>
        <v/>
      </c>
      <c r="E740" s="74" t="str">
        <f aca="false">IF(C740="","",IFERROR(INDEX(ST_Unite,MATCH(C740,ST_Code,0)),""))</f>
        <v/>
      </c>
      <c r="F740" s="82"/>
      <c r="G740" s="68"/>
      <c r="H740" s="76" t="str">
        <f aca="false">IF(G740="","",IFERROR(INDEX(BC_Fourn,MATCH(G740,BC_Num,0)),""))</f>
        <v/>
      </c>
      <c r="I740" s="25"/>
      <c r="J740" s="25"/>
      <c r="K740" s="25"/>
      <c r="L740" s="25"/>
    </row>
    <row r="741" customFormat="false" ht="15" hidden="false" customHeight="false" outlineLevel="0" collapsed="false">
      <c r="A741" s="69"/>
      <c r="B741" s="68"/>
      <c r="C741" s="68"/>
      <c r="D741" s="76" t="str">
        <f aca="false">IF(C741="","",IFERROR(INDEX(ST_Design,MATCH(C741,ST_Code,0)),"Code inconnu"))</f>
        <v/>
      </c>
      <c r="E741" s="74" t="str">
        <f aca="false">IF(C741="","",IFERROR(INDEX(ST_Unite,MATCH(C741,ST_Code,0)),""))</f>
        <v/>
      </c>
      <c r="F741" s="82"/>
      <c r="G741" s="68"/>
      <c r="H741" s="76" t="str">
        <f aca="false">IF(G741="","",IFERROR(INDEX(BC_Fourn,MATCH(G741,BC_Num,0)),""))</f>
        <v/>
      </c>
      <c r="I741" s="25"/>
      <c r="J741" s="25"/>
      <c r="K741" s="25"/>
      <c r="L741" s="25"/>
    </row>
    <row r="742" customFormat="false" ht="15" hidden="false" customHeight="false" outlineLevel="0" collapsed="false">
      <c r="A742" s="69"/>
      <c r="B742" s="68"/>
      <c r="C742" s="68"/>
      <c r="D742" s="76" t="str">
        <f aca="false">IF(C742="","",IFERROR(INDEX(ST_Design,MATCH(C742,ST_Code,0)),"Code inconnu"))</f>
        <v/>
      </c>
      <c r="E742" s="74" t="str">
        <f aca="false">IF(C742="","",IFERROR(INDEX(ST_Unite,MATCH(C742,ST_Code,0)),""))</f>
        <v/>
      </c>
      <c r="F742" s="82"/>
      <c r="G742" s="68"/>
      <c r="H742" s="76" t="str">
        <f aca="false">IF(G742="","",IFERROR(INDEX(BC_Fourn,MATCH(G742,BC_Num,0)),""))</f>
        <v/>
      </c>
      <c r="I742" s="25"/>
      <c r="J742" s="25"/>
      <c r="K742" s="25"/>
      <c r="L742" s="25"/>
    </row>
    <row r="743" customFormat="false" ht="15" hidden="false" customHeight="false" outlineLevel="0" collapsed="false">
      <c r="A743" s="69"/>
      <c r="B743" s="68"/>
      <c r="C743" s="68"/>
      <c r="D743" s="76" t="str">
        <f aca="false">IF(C743="","",IFERROR(INDEX(ST_Design,MATCH(C743,ST_Code,0)),"Code inconnu"))</f>
        <v/>
      </c>
      <c r="E743" s="74" t="str">
        <f aca="false">IF(C743="","",IFERROR(INDEX(ST_Unite,MATCH(C743,ST_Code,0)),""))</f>
        <v/>
      </c>
      <c r="F743" s="82"/>
      <c r="G743" s="68"/>
      <c r="H743" s="76" t="str">
        <f aca="false">IF(G743="","",IFERROR(INDEX(BC_Fourn,MATCH(G743,BC_Num,0)),""))</f>
        <v/>
      </c>
      <c r="I743" s="25"/>
      <c r="J743" s="25"/>
      <c r="K743" s="25"/>
      <c r="L743" s="25"/>
    </row>
    <row r="744" customFormat="false" ht="15" hidden="false" customHeight="false" outlineLevel="0" collapsed="false">
      <c r="A744" s="69"/>
      <c r="B744" s="68"/>
      <c r="C744" s="68"/>
      <c r="D744" s="76" t="str">
        <f aca="false">IF(C744="","",IFERROR(INDEX(ST_Design,MATCH(C744,ST_Code,0)),"Code inconnu"))</f>
        <v/>
      </c>
      <c r="E744" s="74" t="str">
        <f aca="false">IF(C744="","",IFERROR(INDEX(ST_Unite,MATCH(C744,ST_Code,0)),""))</f>
        <v/>
      </c>
      <c r="F744" s="82"/>
      <c r="G744" s="68"/>
      <c r="H744" s="76" t="str">
        <f aca="false">IF(G744="","",IFERROR(INDEX(BC_Fourn,MATCH(G744,BC_Num,0)),""))</f>
        <v/>
      </c>
      <c r="I744" s="25"/>
      <c r="J744" s="25"/>
      <c r="K744" s="25"/>
      <c r="L744" s="25"/>
    </row>
    <row r="745" customFormat="false" ht="15" hidden="false" customHeight="false" outlineLevel="0" collapsed="false">
      <c r="A745" s="69"/>
      <c r="B745" s="68"/>
      <c r="C745" s="68"/>
      <c r="D745" s="76" t="str">
        <f aca="false">IF(C745="","",IFERROR(INDEX(ST_Design,MATCH(C745,ST_Code,0)),"Code inconnu"))</f>
        <v/>
      </c>
      <c r="E745" s="74" t="str">
        <f aca="false">IF(C745="","",IFERROR(INDEX(ST_Unite,MATCH(C745,ST_Code,0)),""))</f>
        <v/>
      </c>
      <c r="F745" s="82"/>
      <c r="G745" s="68"/>
      <c r="H745" s="76" t="str">
        <f aca="false">IF(G745="","",IFERROR(INDEX(BC_Fourn,MATCH(G745,BC_Num,0)),""))</f>
        <v/>
      </c>
      <c r="I745" s="25"/>
      <c r="J745" s="25"/>
      <c r="K745" s="25"/>
      <c r="L745" s="25"/>
    </row>
    <row r="746" customFormat="false" ht="15" hidden="false" customHeight="false" outlineLevel="0" collapsed="false">
      <c r="A746" s="69"/>
      <c r="B746" s="68"/>
      <c r="C746" s="68"/>
      <c r="D746" s="76" t="str">
        <f aca="false">IF(C746="","",IFERROR(INDEX(ST_Design,MATCH(C746,ST_Code,0)),"Code inconnu"))</f>
        <v/>
      </c>
      <c r="E746" s="74" t="str">
        <f aca="false">IF(C746="","",IFERROR(INDEX(ST_Unite,MATCH(C746,ST_Code,0)),""))</f>
        <v/>
      </c>
      <c r="F746" s="82"/>
      <c r="G746" s="68"/>
      <c r="H746" s="76" t="str">
        <f aca="false">IF(G746="","",IFERROR(INDEX(BC_Fourn,MATCH(G746,BC_Num,0)),""))</f>
        <v/>
      </c>
      <c r="I746" s="25"/>
      <c r="J746" s="25"/>
      <c r="K746" s="25"/>
      <c r="L746" s="25"/>
    </row>
    <row r="747" customFormat="false" ht="15" hidden="false" customHeight="false" outlineLevel="0" collapsed="false">
      <c r="A747" s="69"/>
      <c r="B747" s="68"/>
      <c r="C747" s="68"/>
      <c r="D747" s="76" t="str">
        <f aca="false">IF(C747="","",IFERROR(INDEX(ST_Design,MATCH(C747,ST_Code,0)),"Code inconnu"))</f>
        <v/>
      </c>
      <c r="E747" s="74" t="str">
        <f aca="false">IF(C747="","",IFERROR(INDEX(ST_Unite,MATCH(C747,ST_Code,0)),""))</f>
        <v/>
      </c>
      <c r="F747" s="82"/>
      <c r="G747" s="68"/>
      <c r="H747" s="76" t="str">
        <f aca="false">IF(G747="","",IFERROR(INDEX(BC_Fourn,MATCH(G747,BC_Num,0)),""))</f>
        <v/>
      </c>
      <c r="I747" s="25"/>
      <c r="J747" s="25"/>
      <c r="K747" s="25"/>
      <c r="L747" s="25"/>
    </row>
    <row r="748" customFormat="false" ht="15" hidden="false" customHeight="false" outlineLevel="0" collapsed="false">
      <c r="A748" s="69"/>
      <c r="B748" s="68"/>
      <c r="C748" s="68"/>
      <c r="D748" s="76" t="str">
        <f aca="false">IF(C748="","",IFERROR(INDEX(ST_Design,MATCH(C748,ST_Code,0)),"Code inconnu"))</f>
        <v/>
      </c>
      <c r="E748" s="74" t="str">
        <f aca="false">IF(C748="","",IFERROR(INDEX(ST_Unite,MATCH(C748,ST_Code,0)),""))</f>
        <v/>
      </c>
      <c r="F748" s="82"/>
      <c r="G748" s="68"/>
      <c r="H748" s="76" t="str">
        <f aca="false">IF(G748="","",IFERROR(INDEX(BC_Fourn,MATCH(G748,BC_Num,0)),""))</f>
        <v/>
      </c>
      <c r="I748" s="25"/>
      <c r="J748" s="25"/>
      <c r="K748" s="25"/>
      <c r="L748" s="25"/>
    </row>
    <row r="749" customFormat="false" ht="15" hidden="false" customHeight="false" outlineLevel="0" collapsed="false">
      <c r="A749" s="69"/>
      <c r="B749" s="68"/>
      <c r="C749" s="68"/>
      <c r="D749" s="76" t="str">
        <f aca="false">IF(C749="","",IFERROR(INDEX(ST_Design,MATCH(C749,ST_Code,0)),"Code inconnu"))</f>
        <v/>
      </c>
      <c r="E749" s="74" t="str">
        <f aca="false">IF(C749="","",IFERROR(INDEX(ST_Unite,MATCH(C749,ST_Code,0)),""))</f>
        <v/>
      </c>
      <c r="F749" s="82"/>
      <c r="G749" s="68"/>
      <c r="H749" s="76" t="str">
        <f aca="false">IF(G749="","",IFERROR(INDEX(BC_Fourn,MATCH(G749,BC_Num,0)),""))</f>
        <v/>
      </c>
      <c r="I749" s="25"/>
      <c r="J749" s="25"/>
      <c r="K749" s="25"/>
      <c r="L749" s="25"/>
    </row>
    <row r="750" customFormat="false" ht="15" hidden="false" customHeight="false" outlineLevel="0" collapsed="false">
      <c r="A750" s="69"/>
      <c r="B750" s="68"/>
      <c r="C750" s="68"/>
      <c r="D750" s="76" t="str">
        <f aca="false">IF(C750="","",IFERROR(INDEX(ST_Design,MATCH(C750,ST_Code,0)),"Code inconnu"))</f>
        <v/>
      </c>
      <c r="E750" s="74" t="str">
        <f aca="false">IF(C750="","",IFERROR(INDEX(ST_Unite,MATCH(C750,ST_Code,0)),""))</f>
        <v/>
      </c>
      <c r="F750" s="82"/>
      <c r="G750" s="68"/>
      <c r="H750" s="76" t="str">
        <f aca="false">IF(G750="","",IFERROR(INDEX(BC_Fourn,MATCH(G750,BC_Num,0)),""))</f>
        <v/>
      </c>
      <c r="I750" s="25"/>
      <c r="J750" s="25"/>
      <c r="K750" s="25"/>
      <c r="L750" s="25"/>
    </row>
    <row r="751" customFormat="false" ht="15" hidden="false" customHeight="false" outlineLevel="0" collapsed="false">
      <c r="A751" s="69"/>
      <c r="B751" s="68"/>
      <c r="C751" s="68"/>
      <c r="D751" s="76" t="str">
        <f aca="false">IF(C751="","",IFERROR(INDEX(ST_Design,MATCH(C751,ST_Code,0)),"Code inconnu"))</f>
        <v/>
      </c>
      <c r="E751" s="74" t="str">
        <f aca="false">IF(C751="","",IFERROR(INDEX(ST_Unite,MATCH(C751,ST_Code,0)),""))</f>
        <v/>
      </c>
      <c r="F751" s="82"/>
      <c r="G751" s="68"/>
      <c r="H751" s="76" t="str">
        <f aca="false">IF(G751="","",IFERROR(INDEX(BC_Fourn,MATCH(G751,BC_Num,0)),""))</f>
        <v/>
      </c>
      <c r="I751" s="25"/>
      <c r="J751" s="25"/>
      <c r="K751" s="25"/>
      <c r="L751" s="25"/>
    </row>
    <row r="752" customFormat="false" ht="15" hidden="false" customHeight="false" outlineLevel="0" collapsed="false">
      <c r="A752" s="69"/>
      <c r="B752" s="68"/>
      <c r="C752" s="68"/>
      <c r="D752" s="76" t="str">
        <f aca="false">IF(C752="","",IFERROR(INDEX(ST_Design,MATCH(C752,ST_Code,0)),"Code inconnu"))</f>
        <v/>
      </c>
      <c r="E752" s="74" t="str">
        <f aca="false">IF(C752="","",IFERROR(INDEX(ST_Unite,MATCH(C752,ST_Code,0)),""))</f>
        <v/>
      </c>
      <c r="F752" s="82"/>
      <c r="G752" s="68"/>
      <c r="H752" s="76" t="str">
        <f aca="false">IF(G752="","",IFERROR(INDEX(BC_Fourn,MATCH(G752,BC_Num,0)),""))</f>
        <v/>
      </c>
      <c r="I752" s="25"/>
      <c r="J752" s="25"/>
      <c r="K752" s="25"/>
      <c r="L752" s="25"/>
    </row>
    <row r="753" customFormat="false" ht="15" hidden="false" customHeight="false" outlineLevel="0" collapsed="false">
      <c r="A753" s="69"/>
      <c r="B753" s="68"/>
      <c r="C753" s="68"/>
      <c r="D753" s="76" t="str">
        <f aca="false">IF(C753="","",IFERROR(INDEX(ST_Design,MATCH(C753,ST_Code,0)),"Code inconnu"))</f>
        <v/>
      </c>
      <c r="E753" s="74" t="str">
        <f aca="false">IF(C753="","",IFERROR(INDEX(ST_Unite,MATCH(C753,ST_Code,0)),""))</f>
        <v/>
      </c>
      <c r="F753" s="82"/>
      <c r="G753" s="68"/>
      <c r="H753" s="76" t="str">
        <f aca="false">IF(G753="","",IFERROR(INDEX(BC_Fourn,MATCH(G753,BC_Num,0)),""))</f>
        <v/>
      </c>
      <c r="I753" s="25"/>
      <c r="J753" s="25"/>
      <c r="K753" s="25"/>
      <c r="L753" s="25"/>
    </row>
    <row r="754" customFormat="false" ht="15" hidden="false" customHeight="false" outlineLevel="0" collapsed="false">
      <c r="A754" s="69"/>
      <c r="B754" s="68"/>
      <c r="C754" s="68"/>
      <c r="D754" s="76" t="str">
        <f aca="false">IF(C754="","",IFERROR(INDEX(ST_Design,MATCH(C754,ST_Code,0)),"Code inconnu"))</f>
        <v/>
      </c>
      <c r="E754" s="74" t="str">
        <f aca="false">IF(C754="","",IFERROR(INDEX(ST_Unite,MATCH(C754,ST_Code,0)),""))</f>
        <v/>
      </c>
      <c r="F754" s="82"/>
      <c r="G754" s="68"/>
      <c r="H754" s="76" t="str">
        <f aca="false">IF(G754="","",IFERROR(INDEX(BC_Fourn,MATCH(G754,BC_Num,0)),""))</f>
        <v/>
      </c>
      <c r="I754" s="25"/>
      <c r="J754" s="25"/>
      <c r="K754" s="25"/>
      <c r="L754" s="25"/>
    </row>
    <row r="755" customFormat="false" ht="15" hidden="false" customHeight="false" outlineLevel="0" collapsed="false">
      <c r="A755" s="69"/>
      <c r="B755" s="68"/>
      <c r="C755" s="68"/>
      <c r="D755" s="76" t="str">
        <f aca="false">IF(C755="","",IFERROR(INDEX(ST_Design,MATCH(C755,ST_Code,0)),"Code inconnu"))</f>
        <v/>
      </c>
      <c r="E755" s="74" t="str">
        <f aca="false">IF(C755="","",IFERROR(INDEX(ST_Unite,MATCH(C755,ST_Code,0)),""))</f>
        <v/>
      </c>
      <c r="F755" s="82"/>
      <c r="G755" s="68"/>
      <c r="H755" s="76" t="str">
        <f aca="false">IF(G755="","",IFERROR(INDEX(BC_Fourn,MATCH(G755,BC_Num,0)),""))</f>
        <v/>
      </c>
      <c r="I755" s="25"/>
      <c r="J755" s="25"/>
      <c r="K755" s="25"/>
      <c r="L755" s="25"/>
    </row>
    <row r="756" customFormat="false" ht="15" hidden="false" customHeight="false" outlineLevel="0" collapsed="false">
      <c r="A756" s="69"/>
      <c r="B756" s="68"/>
      <c r="C756" s="68"/>
      <c r="D756" s="76" t="str">
        <f aca="false">IF(C756="","",IFERROR(INDEX(ST_Design,MATCH(C756,ST_Code,0)),"Code inconnu"))</f>
        <v/>
      </c>
      <c r="E756" s="74" t="str">
        <f aca="false">IF(C756="","",IFERROR(INDEX(ST_Unite,MATCH(C756,ST_Code,0)),""))</f>
        <v/>
      </c>
      <c r="F756" s="82"/>
      <c r="G756" s="68"/>
      <c r="H756" s="76" t="str">
        <f aca="false">IF(G756="","",IFERROR(INDEX(BC_Fourn,MATCH(G756,BC_Num,0)),""))</f>
        <v/>
      </c>
      <c r="I756" s="25"/>
      <c r="J756" s="25"/>
      <c r="K756" s="25"/>
      <c r="L756" s="25"/>
    </row>
    <row r="757" customFormat="false" ht="15" hidden="false" customHeight="false" outlineLevel="0" collapsed="false">
      <c r="A757" s="69"/>
      <c r="B757" s="68"/>
      <c r="C757" s="68"/>
      <c r="D757" s="76" t="str">
        <f aca="false">IF(C757="","",IFERROR(INDEX(ST_Design,MATCH(C757,ST_Code,0)),"Code inconnu"))</f>
        <v/>
      </c>
      <c r="E757" s="74" t="str">
        <f aca="false">IF(C757="","",IFERROR(INDEX(ST_Unite,MATCH(C757,ST_Code,0)),""))</f>
        <v/>
      </c>
      <c r="F757" s="82"/>
      <c r="G757" s="68"/>
      <c r="H757" s="76" t="str">
        <f aca="false">IF(G757="","",IFERROR(INDEX(BC_Fourn,MATCH(G757,BC_Num,0)),""))</f>
        <v/>
      </c>
      <c r="I757" s="25"/>
      <c r="J757" s="25"/>
      <c r="K757" s="25"/>
      <c r="L757" s="25"/>
    </row>
    <row r="758" customFormat="false" ht="15" hidden="false" customHeight="false" outlineLevel="0" collapsed="false">
      <c r="A758" s="69"/>
      <c r="B758" s="68"/>
      <c r="C758" s="68"/>
      <c r="D758" s="76" t="str">
        <f aca="false">IF(C758="","",IFERROR(INDEX(ST_Design,MATCH(C758,ST_Code,0)),"Code inconnu"))</f>
        <v/>
      </c>
      <c r="E758" s="74" t="str">
        <f aca="false">IF(C758="","",IFERROR(INDEX(ST_Unite,MATCH(C758,ST_Code,0)),""))</f>
        <v/>
      </c>
      <c r="F758" s="82"/>
      <c r="G758" s="68"/>
      <c r="H758" s="76" t="str">
        <f aca="false">IF(G758="","",IFERROR(INDEX(BC_Fourn,MATCH(G758,BC_Num,0)),""))</f>
        <v/>
      </c>
      <c r="I758" s="25"/>
      <c r="J758" s="25"/>
      <c r="K758" s="25"/>
      <c r="L758" s="25"/>
    </row>
    <row r="759" customFormat="false" ht="15" hidden="false" customHeight="false" outlineLevel="0" collapsed="false">
      <c r="A759" s="69"/>
      <c r="B759" s="68"/>
      <c r="C759" s="68"/>
      <c r="D759" s="76" t="str">
        <f aca="false">IF(C759="","",IFERROR(INDEX(ST_Design,MATCH(C759,ST_Code,0)),"Code inconnu"))</f>
        <v/>
      </c>
      <c r="E759" s="74" t="str">
        <f aca="false">IF(C759="","",IFERROR(INDEX(ST_Unite,MATCH(C759,ST_Code,0)),""))</f>
        <v/>
      </c>
      <c r="F759" s="82"/>
      <c r="G759" s="68"/>
      <c r="H759" s="76" t="str">
        <f aca="false">IF(G759="","",IFERROR(INDEX(BC_Fourn,MATCH(G759,BC_Num,0)),""))</f>
        <v/>
      </c>
      <c r="I759" s="25"/>
      <c r="J759" s="25"/>
      <c r="K759" s="25"/>
      <c r="L759" s="25"/>
    </row>
    <row r="760" customFormat="false" ht="15" hidden="false" customHeight="false" outlineLevel="0" collapsed="false">
      <c r="A760" s="69"/>
      <c r="B760" s="68"/>
      <c r="C760" s="68"/>
      <c r="D760" s="76" t="str">
        <f aca="false">IF(C760="","",IFERROR(INDEX(ST_Design,MATCH(C760,ST_Code,0)),"Code inconnu"))</f>
        <v/>
      </c>
      <c r="E760" s="74" t="str">
        <f aca="false">IF(C760="","",IFERROR(INDEX(ST_Unite,MATCH(C760,ST_Code,0)),""))</f>
        <v/>
      </c>
      <c r="F760" s="82"/>
      <c r="G760" s="68"/>
      <c r="H760" s="76" t="str">
        <f aca="false">IF(G760="","",IFERROR(INDEX(BC_Fourn,MATCH(G760,BC_Num,0)),""))</f>
        <v/>
      </c>
      <c r="I760" s="25"/>
      <c r="J760" s="25"/>
      <c r="K760" s="25"/>
      <c r="L760" s="25"/>
    </row>
    <row r="761" customFormat="false" ht="15" hidden="false" customHeight="false" outlineLevel="0" collapsed="false">
      <c r="A761" s="69"/>
      <c r="B761" s="68"/>
      <c r="C761" s="68"/>
      <c r="D761" s="76" t="str">
        <f aca="false">IF(C761="","",IFERROR(INDEX(ST_Design,MATCH(C761,ST_Code,0)),"Code inconnu"))</f>
        <v/>
      </c>
      <c r="E761" s="74" t="str">
        <f aca="false">IF(C761="","",IFERROR(INDEX(ST_Unite,MATCH(C761,ST_Code,0)),""))</f>
        <v/>
      </c>
      <c r="F761" s="82"/>
      <c r="G761" s="68"/>
      <c r="H761" s="76" t="str">
        <f aca="false">IF(G761="","",IFERROR(INDEX(BC_Fourn,MATCH(G761,BC_Num,0)),""))</f>
        <v/>
      </c>
      <c r="I761" s="25"/>
      <c r="J761" s="25"/>
      <c r="K761" s="25"/>
      <c r="L761" s="25"/>
    </row>
    <row r="762" customFormat="false" ht="15" hidden="false" customHeight="false" outlineLevel="0" collapsed="false">
      <c r="A762" s="69"/>
      <c r="B762" s="68"/>
      <c r="C762" s="68"/>
      <c r="D762" s="76" t="str">
        <f aca="false">IF(C762="","",IFERROR(INDEX(ST_Design,MATCH(C762,ST_Code,0)),"Code inconnu"))</f>
        <v/>
      </c>
      <c r="E762" s="74" t="str">
        <f aca="false">IF(C762="","",IFERROR(INDEX(ST_Unite,MATCH(C762,ST_Code,0)),""))</f>
        <v/>
      </c>
      <c r="F762" s="82"/>
      <c r="G762" s="68"/>
      <c r="H762" s="76" t="str">
        <f aca="false">IF(G762="","",IFERROR(INDEX(BC_Fourn,MATCH(G762,BC_Num,0)),""))</f>
        <v/>
      </c>
      <c r="I762" s="25"/>
      <c r="J762" s="25"/>
      <c r="K762" s="25"/>
      <c r="L762" s="25"/>
    </row>
    <row r="763" customFormat="false" ht="15" hidden="false" customHeight="false" outlineLevel="0" collapsed="false">
      <c r="A763" s="69"/>
      <c r="B763" s="68"/>
      <c r="C763" s="68"/>
      <c r="D763" s="76" t="str">
        <f aca="false">IF(C763="","",IFERROR(INDEX(ST_Design,MATCH(C763,ST_Code,0)),"Code inconnu"))</f>
        <v/>
      </c>
      <c r="E763" s="74" t="str">
        <f aca="false">IF(C763="","",IFERROR(INDEX(ST_Unite,MATCH(C763,ST_Code,0)),""))</f>
        <v/>
      </c>
      <c r="F763" s="82"/>
      <c r="G763" s="68"/>
      <c r="H763" s="76" t="str">
        <f aca="false">IF(G763="","",IFERROR(INDEX(BC_Fourn,MATCH(G763,BC_Num,0)),""))</f>
        <v/>
      </c>
      <c r="I763" s="25"/>
      <c r="J763" s="25"/>
      <c r="K763" s="25"/>
      <c r="L763" s="25"/>
    </row>
    <row r="764" customFormat="false" ht="15" hidden="false" customHeight="false" outlineLevel="0" collapsed="false">
      <c r="A764" s="69"/>
      <c r="B764" s="68"/>
      <c r="C764" s="68"/>
      <c r="D764" s="76" t="str">
        <f aca="false">IF(C764="","",IFERROR(INDEX(ST_Design,MATCH(C764,ST_Code,0)),"Code inconnu"))</f>
        <v/>
      </c>
      <c r="E764" s="74" t="str">
        <f aca="false">IF(C764="","",IFERROR(INDEX(ST_Unite,MATCH(C764,ST_Code,0)),""))</f>
        <v/>
      </c>
      <c r="F764" s="82"/>
      <c r="G764" s="68"/>
      <c r="H764" s="76" t="str">
        <f aca="false">IF(G764="","",IFERROR(INDEX(BC_Fourn,MATCH(G764,BC_Num,0)),""))</f>
        <v/>
      </c>
      <c r="I764" s="25"/>
      <c r="J764" s="25"/>
      <c r="K764" s="25"/>
      <c r="L764" s="25"/>
    </row>
    <row r="765" customFormat="false" ht="15" hidden="false" customHeight="false" outlineLevel="0" collapsed="false">
      <c r="A765" s="69"/>
      <c r="B765" s="68"/>
      <c r="C765" s="68"/>
      <c r="D765" s="76" t="str">
        <f aca="false">IF(C765="","",IFERROR(INDEX(ST_Design,MATCH(C765,ST_Code,0)),"Code inconnu"))</f>
        <v/>
      </c>
      <c r="E765" s="74" t="str">
        <f aca="false">IF(C765="","",IFERROR(INDEX(ST_Unite,MATCH(C765,ST_Code,0)),""))</f>
        <v/>
      </c>
      <c r="F765" s="82"/>
      <c r="G765" s="68"/>
      <c r="H765" s="76" t="str">
        <f aca="false">IF(G765="","",IFERROR(INDEX(BC_Fourn,MATCH(G765,BC_Num,0)),""))</f>
        <v/>
      </c>
      <c r="I765" s="25"/>
      <c r="J765" s="25"/>
      <c r="K765" s="25"/>
      <c r="L765" s="25"/>
    </row>
    <row r="766" customFormat="false" ht="15" hidden="false" customHeight="false" outlineLevel="0" collapsed="false">
      <c r="A766" s="69"/>
      <c r="B766" s="68"/>
      <c r="C766" s="68"/>
      <c r="D766" s="76" t="str">
        <f aca="false">IF(C766="","",IFERROR(INDEX(ST_Design,MATCH(C766,ST_Code,0)),"Code inconnu"))</f>
        <v/>
      </c>
      <c r="E766" s="74" t="str">
        <f aca="false">IF(C766="","",IFERROR(INDEX(ST_Unite,MATCH(C766,ST_Code,0)),""))</f>
        <v/>
      </c>
      <c r="F766" s="82"/>
      <c r="G766" s="68"/>
      <c r="H766" s="76" t="str">
        <f aca="false">IF(G766="","",IFERROR(INDEX(BC_Fourn,MATCH(G766,BC_Num,0)),""))</f>
        <v/>
      </c>
      <c r="I766" s="25"/>
      <c r="J766" s="25"/>
      <c r="K766" s="25"/>
      <c r="L766" s="25"/>
    </row>
    <row r="767" customFormat="false" ht="15" hidden="false" customHeight="false" outlineLevel="0" collapsed="false">
      <c r="A767" s="69"/>
      <c r="B767" s="68"/>
      <c r="C767" s="68"/>
      <c r="D767" s="76" t="str">
        <f aca="false">IF(C767="","",IFERROR(INDEX(ST_Design,MATCH(C767,ST_Code,0)),"Code inconnu"))</f>
        <v/>
      </c>
      <c r="E767" s="74" t="str">
        <f aca="false">IF(C767="","",IFERROR(INDEX(ST_Unite,MATCH(C767,ST_Code,0)),""))</f>
        <v/>
      </c>
      <c r="F767" s="82"/>
      <c r="G767" s="68"/>
      <c r="H767" s="76" t="str">
        <f aca="false">IF(G767="","",IFERROR(INDEX(BC_Fourn,MATCH(G767,BC_Num,0)),""))</f>
        <v/>
      </c>
      <c r="I767" s="25"/>
      <c r="J767" s="25"/>
      <c r="K767" s="25"/>
      <c r="L767" s="25"/>
    </row>
    <row r="768" customFormat="false" ht="15" hidden="false" customHeight="false" outlineLevel="0" collapsed="false">
      <c r="A768" s="69"/>
      <c r="B768" s="68"/>
      <c r="C768" s="68"/>
      <c r="D768" s="76" t="str">
        <f aca="false">IF(C768="","",IFERROR(INDEX(ST_Design,MATCH(C768,ST_Code,0)),"Code inconnu"))</f>
        <v/>
      </c>
      <c r="E768" s="74" t="str">
        <f aca="false">IF(C768="","",IFERROR(INDEX(ST_Unite,MATCH(C768,ST_Code,0)),""))</f>
        <v/>
      </c>
      <c r="F768" s="82"/>
      <c r="G768" s="68"/>
      <c r="H768" s="76" t="str">
        <f aca="false">IF(G768="","",IFERROR(INDEX(BC_Fourn,MATCH(G768,BC_Num,0)),""))</f>
        <v/>
      </c>
      <c r="I768" s="25"/>
      <c r="J768" s="25"/>
      <c r="K768" s="25"/>
      <c r="L768" s="25"/>
    </row>
    <row r="769" customFormat="false" ht="15" hidden="false" customHeight="false" outlineLevel="0" collapsed="false">
      <c r="A769" s="69"/>
      <c r="B769" s="68"/>
      <c r="C769" s="68"/>
      <c r="D769" s="76" t="str">
        <f aca="false">IF(C769="","",IFERROR(INDEX(ST_Design,MATCH(C769,ST_Code,0)),"Code inconnu"))</f>
        <v/>
      </c>
      <c r="E769" s="74" t="str">
        <f aca="false">IF(C769="","",IFERROR(INDEX(ST_Unite,MATCH(C769,ST_Code,0)),""))</f>
        <v/>
      </c>
      <c r="F769" s="82"/>
      <c r="G769" s="68"/>
      <c r="H769" s="76" t="str">
        <f aca="false">IF(G769="","",IFERROR(INDEX(BC_Fourn,MATCH(G769,BC_Num,0)),""))</f>
        <v/>
      </c>
      <c r="I769" s="25"/>
      <c r="J769" s="25"/>
      <c r="K769" s="25"/>
      <c r="L769" s="25"/>
    </row>
    <row r="770" customFormat="false" ht="15" hidden="false" customHeight="false" outlineLevel="0" collapsed="false">
      <c r="A770" s="69"/>
      <c r="B770" s="68"/>
      <c r="C770" s="68"/>
      <c r="D770" s="76" t="str">
        <f aca="false">IF(C770="","",IFERROR(INDEX(ST_Design,MATCH(C770,ST_Code,0)),"Code inconnu"))</f>
        <v/>
      </c>
      <c r="E770" s="74" t="str">
        <f aca="false">IF(C770="","",IFERROR(INDEX(ST_Unite,MATCH(C770,ST_Code,0)),""))</f>
        <v/>
      </c>
      <c r="F770" s="82"/>
      <c r="G770" s="68"/>
      <c r="H770" s="76" t="str">
        <f aca="false">IF(G770="","",IFERROR(INDEX(BC_Fourn,MATCH(G770,BC_Num,0)),""))</f>
        <v/>
      </c>
      <c r="I770" s="25"/>
      <c r="J770" s="25"/>
      <c r="K770" s="25"/>
      <c r="L770" s="25"/>
    </row>
    <row r="771" customFormat="false" ht="15" hidden="false" customHeight="false" outlineLevel="0" collapsed="false">
      <c r="A771" s="69"/>
      <c r="B771" s="68"/>
      <c r="C771" s="68"/>
      <c r="D771" s="76" t="str">
        <f aca="false">IF(C771="","",IFERROR(INDEX(ST_Design,MATCH(C771,ST_Code,0)),"Code inconnu"))</f>
        <v/>
      </c>
      <c r="E771" s="74" t="str">
        <f aca="false">IF(C771="","",IFERROR(INDEX(ST_Unite,MATCH(C771,ST_Code,0)),""))</f>
        <v/>
      </c>
      <c r="F771" s="82"/>
      <c r="G771" s="68"/>
      <c r="H771" s="76" t="str">
        <f aca="false">IF(G771="","",IFERROR(INDEX(BC_Fourn,MATCH(G771,BC_Num,0)),""))</f>
        <v/>
      </c>
      <c r="I771" s="25"/>
      <c r="J771" s="25"/>
      <c r="K771" s="25"/>
      <c r="L771" s="25"/>
    </row>
    <row r="772" customFormat="false" ht="15" hidden="false" customHeight="false" outlineLevel="0" collapsed="false">
      <c r="A772" s="69"/>
      <c r="B772" s="68"/>
      <c r="C772" s="68"/>
      <c r="D772" s="76" t="str">
        <f aca="false">IF(C772="","",IFERROR(INDEX(ST_Design,MATCH(C772,ST_Code,0)),"Code inconnu"))</f>
        <v/>
      </c>
      <c r="E772" s="74" t="str">
        <f aca="false">IF(C772="","",IFERROR(INDEX(ST_Unite,MATCH(C772,ST_Code,0)),""))</f>
        <v/>
      </c>
      <c r="F772" s="82"/>
      <c r="G772" s="68"/>
      <c r="H772" s="76" t="str">
        <f aca="false">IF(G772="","",IFERROR(INDEX(BC_Fourn,MATCH(G772,BC_Num,0)),""))</f>
        <v/>
      </c>
      <c r="I772" s="25"/>
      <c r="J772" s="25"/>
      <c r="K772" s="25"/>
      <c r="L772" s="25"/>
    </row>
    <row r="773" customFormat="false" ht="15" hidden="false" customHeight="false" outlineLevel="0" collapsed="false">
      <c r="A773" s="69"/>
      <c r="B773" s="68"/>
      <c r="C773" s="68"/>
      <c r="D773" s="76" t="str">
        <f aca="false">IF(C773="","",IFERROR(INDEX(ST_Design,MATCH(C773,ST_Code,0)),"Code inconnu"))</f>
        <v/>
      </c>
      <c r="E773" s="74" t="str">
        <f aca="false">IF(C773="","",IFERROR(INDEX(ST_Unite,MATCH(C773,ST_Code,0)),""))</f>
        <v/>
      </c>
      <c r="F773" s="82"/>
      <c r="G773" s="68"/>
      <c r="H773" s="76" t="str">
        <f aca="false">IF(G773="","",IFERROR(INDEX(BC_Fourn,MATCH(G773,BC_Num,0)),""))</f>
        <v/>
      </c>
      <c r="I773" s="25"/>
      <c r="J773" s="25"/>
      <c r="K773" s="25"/>
      <c r="L773" s="25"/>
    </row>
    <row r="774" customFormat="false" ht="15" hidden="false" customHeight="false" outlineLevel="0" collapsed="false">
      <c r="A774" s="69"/>
      <c r="B774" s="68"/>
      <c r="C774" s="68"/>
      <c r="D774" s="76" t="str">
        <f aca="false">IF(C774="","",IFERROR(INDEX(ST_Design,MATCH(C774,ST_Code,0)),"Code inconnu"))</f>
        <v/>
      </c>
      <c r="E774" s="74" t="str">
        <f aca="false">IF(C774="","",IFERROR(INDEX(ST_Unite,MATCH(C774,ST_Code,0)),""))</f>
        <v/>
      </c>
      <c r="F774" s="82"/>
      <c r="G774" s="68"/>
      <c r="H774" s="76" t="str">
        <f aca="false">IF(G774="","",IFERROR(INDEX(BC_Fourn,MATCH(G774,BC_Num,0)),""))</f>
        <v/>
      </c>
      <c r="I774" s="25"/>
      <c r="J774" s="25"/>
      <c r="K774" s="25"/>
      <c r="L774" s="25"/>
    </row>
    <row r="775" customFormat="false" ht="15" hidden="false" customHeight="false" outlineLevel="0" collapsed="false">
      <c r="A775" s="69"/>
      <c r="B775" s="68"/>
      <c r="C775" s="68"/>
      <c r="D775" s="76" t="str">
        <f aca="false">IF(C775="","",IFERROR(INDEX(ST_Design,MATCH(C775,ST_Code,0)),"Code inconnu"))</f>
        <v/>
      </c>
      <c r="E775" s="74" t="str">
        <f aca="false">IF(C775="","",IFERROR(INDEX(ST_Unite,MATCH(C775,ST_Code,0)),""))</f>
        <v/>
      </c>
      <c r="F775" s="82"/>
      <c r="G775" s="68"/>
      <c r="H775" s="76" t="str">
        <f aca="false">IF(G775="","",IFERROR(INDEX(BC_Fourn,MATCH(G775,BC_Num,0)),""))</f>
        <v/>
      </c>
      <c r="I775" s="25"/>
      <c r="J775" s="25"/>
      <c r="K775" s="25"/>
      <c r="L775" s="25"/>
    </row>
    <row r="776" customFormat="false" ht="15" hidden="false" customHeight="false" outlineLevel="0" collapsed="false">
      <c r="A776" s="69"/>
      <c r="B776" s="68"/>
      <c r="C776" s="68"/>
      <c r="D776" s="76" t="str">
        <f aca="false">IF(C776="","",IFERROR(INDEX(ST_Design,MATCH(C776,ST_Code,0)),"Code inconnu"))</f>
        <v/>
      </c>
      <c r="E776" s="74" t="str">
        <f aca="false">IF(C776="","",IFERROR(INDEX(ST_Unite,MATCH(C776,ST_Code,0)),""))</f>
        <v/>
      </c>
      <c r="F776" s="82"/>
      <c r="G776" s="68"/>
      <c r="H776" s="76" t="str">
        <f aca="false">IF(G776="","",IFERROR(INDEX(BC_Fourn,MATCH(G776,BC_Num,0)),""))</f>
        <v/>
      </c>
      <c r="I776" s="25"/>
      <c r="J776" s="25"/>
      <c r="K776" s="25"/>
      <c r="L776" s="25"/>
    </row>
    <row r="777" customFormat="false" ht="15" hidden="false" customHeight="false" outlineLevel="0" collapsed="false">
      <c r="A777" s="69"/>
      <c r="B777" s="68"/>
      <c r="C777" s="68"/>
      <c r="D777" s="76" t="str">
        <f aca="false">IF(C777="","",IFERROR(INDEX(ST_Design,MATCH(C777,ST_Code,0)),"Code inconnu"))</f>
        <v/>
      </c>
      <c r="E777" s="74" t="str">
        <f aca="false">IF(C777="","",IFERROR(INDEX(ST_Unite,MATCH(C777,ST_Code,0)),""))</f>
        <v/>
      </c>
      <c r="F777" s="82"/>
      <c r="G777" s="68"/>
      <c r="H777" s="76" t="str">
        <f aca="false">IF(G777="","",IFERROR(INDEX(BC_Fourn,MATCH(G777,BC_Num,0)),""))</f>
        <v/>
      </c>
      <c r="I777" s="25"/>
      <c r="J777" s="25"/>
      <c r="K777" s="25"/>
      <c r="L777" s="25"/>
    </row>
    <row r="778" customFormat="false" ht="15" hidden="false" customHeight="false" outlineLevel="0" collapsed="false">
      <c r="A778" s="69"/>
      <c r="B778" s="68"/>
      <c r="C778" s="68"/>
      <c r="D778" s="76" t="str">
        <f aca="false">IF(C778="","",IFERROR(INDEX(ST_Design,MATCH(C778,ST_Code,0)),"Code inconnu"))</f>
        <v/>
      </c>
      <c r="E778" s="74" t="str">
        <f aca="false">IF(C778="","",IFERROR(INDEX(ST_Unite,MATCH(C778,ST_Code,0)),""))</f>
        <v/>
      </c>
      <c r="F778" s="82"/>
      <c r="G778" s="68"/>
      <c r="H778" s="76" t="str">
        <f aca="false">IF(G778="","",IFERROR(INDEX(BC_Fourn,MATCH(G778,BC_Num,0)),""))</f>
        <v/>
      </c>
      <c r="I778" s="25"/>
      <c r="J778" s="25"/>
      <c r="K778" s="25"/>
      <c r="L778" s="25"/>
    </row>
    <row r="779" customFormat="false" ht="15" hidden="false" customHeight="false" outlineLevel="0" collapsed="false">
      <c r="A779" s="69"/>
      <c r="B779" s="68"/>
      <c r="C779" s="68"/>
      <c r="D779" s="76" t="str">
        <f aca="false">IF(C779="","",IFERROR(INDEX(ST_Design,MATCH(C779,ST_Code,0)),"Code inconnu"))</f>
        <v/>
      </c>
      <c r="E779" s="74" t="str">
        <f aca="false">IF(C779="","",IFERROR(INDEX(ST_Unite,MATCH(C779,ST_Code,0)),""))</f>
        <v/>
      </c>
      <c r="F779" s="82"/>
      <c r="G779" s="68"/>
      <c r="H779" s="76" t="str">
        <f aca="false">IF(G779="","",IFERROR(INDEX(BC_Fourn,MATCH(G779,BC_Num,0)),""))</f>
        <v/>
      </c>
      <c r="I779" s="25"/>
      <c r="J779" s="25"/>
      <c r="K779" s="25"/>
      <c r="L779" s="25"/>
    </row>
    <row r="780" customFormat="false" ht="15" hidden="false" customHeight="false" outlineLevel="0" collapsed="false">
      <c r="A780" s="69"/>
      <c r="B780" s="68"/>
      <c r="C780" s="68"/>
      <c r="D780" s="76" t="str">
        <f aca="false">IF(C780="","",IFERROR(INDEX(ST_Design,MATCH(C780,ST_Code,0)),"Code inconnu"))</f>
        <v/>
      </c>
      <c r="E780" s="74" t="str">
        <f aca="false">IF(C780="","",IFERROR(INDEX(ST_Unite,MATCH(C780,ST_Code,0)),""))</f>
        <v/>
      </c>
      <c r="F780" s="82"/>
      <c r="G780" s="68"/>
      <c r="H780" s="76" t="str">
        <f aca="false">IF(G780="","",IFERROR(INDEX(BC_Fourn,MATCH(G780,BC_Num,0)),""))</f>
        <v/>
      </c>
      <c r="I780" s="25"/>
      <c r="J780" s="25"/>
      <c r="K780" s="25"/>
      <c r="L780" s="25"/>
    </row>
    <row r="781" customFormat="false" ht="15" hidden="false" customHeight="false" outlineLevel="0" collapsed="false">
      <c r="A781" s="69"/>
      <c r="B781" s="68"/>
      <c r="C781" s="68"/>
      <c r="D781" s="76" t="str">
        <f aca="false">IF(C781="","",IFERROR(INDEX(ST_Design,MATCH(C781,ST_Code,0)),"Code inconnu"))</f>
        <v/>
      </c>
      <c r="E781" s="74" t="str">
        <f aca="false">IF(C781="","",IFERROR(INDEX(ST_Unite,MATCH(C781,ST_Code,0)),""))</f>
        <v/>
      </c>
      <c r="F781" s="82"/>
      <c r="G781" s="68"/>
      <c r="H781" s="76" t="str">
        <f aca="false">IF(G781="","",IFERROR(INDEX(BC_Fourn,MATCH(G781,BC_Num,0)),""))</f>
        <v/>
      </c>
      <c r="I781" s="25"/>
      <c r="J781" s="25"/>
      <c r="K781" s="25"/>
      <c r="L781" s="25"/>
    </row>
    <row r="782" customFormat="false" ht="15" hidden="false" customHeight="false" outlineLevel="0" collapsed="false">
      <c r="A782" s="69"/>
      <c r="B782" s="68"/>
      <c r="C782" s="68"/>
      <c r="D782" s="76" t="str">
        <f aca="false">IF(C782="","",IFERROR(INDEX(ST_Design,MATCH(C782,ST_Code,0)),"Code inconnu"))</f>
        <v/>
      </c>
      <c r="E782" s="74" t="str">
        <f aca="false">IF(C782="","",IFERROR(INDEX(ST_Unite,MATCH(C782,ST_Code,0)),""))</f>
        <v/>
      </c>
      <c r="F782" s="82"/>
      <c r="G782" s="68"/>
      <c r="H782" s="76" t="str">
        <f aca="false">IF(G782="","",IFERROR(INDEX(BC_Fourn,MATCH(G782,BC_Num,0)),""))</f>
        <v/>
      </c>
      <c r="I782" s="25"/>
      <c r="J782" s="25"/>
      <c r="K782" s="25"/>
      <c r="L782" s="25"/>
    </row>
    <row r="783" customFormat="false" ht="15" hidden="false" customHeight="false" outlineLevel="0" collapsed="false">
      <c r="A783" s="69"/>
      <c r="B783" s="68"/>
      <c r="C783" s="68"/>
      <c r="D783" s="76" t="str">
        <f aca="false">IF(C783="","",IFERROR(INDEX(ST_Design,MATCH(C783,ST_Code,0)),"Code inconnu"))</f>
        <v/>
      </c>
      <c r="E783" s="74" t="str">
        <f aca="false">IF(C783="","",IFERROR(INDEX(ST_Unite,MATCH(C783,ST_Code,0)),""))</f>
        <v/>
      </c>
      <c r="F783" s="82"/>
      <c r="G783" s="68"/>
      <c r="H783" s="76" t="str">
        <f aca="false">IF(G783="","",IFERROR(INDEX(BC_Fourn,MATCH(G783,BC_Num,0)),""))</f>
        <v/>
      </c>
      <c r="I783" s="25"/>
      <c r="J783" s="25"/>
      <c r="K783" s="25"/>
      <c r="L783" s="25"/>
    </row>
    <row r="784" customFormat="false" ht="15" hidden="false" customHeight="false" outlineLevel="0" collapsed="false">
      <c r="A784" s="69"/>
      <c r="B784" s="68"/>
      <c r="C784" s="68"/>
      <c r="D784" s="76" t="str">
        <f aca="false">IF(C784="","",IFERROR(INDEX(ST_Design,MATCH(C784,ST_Code,0)),"Code inconnu"))</f>
        <v/>
      </c>
      <c r="E784" s="74" t="str">
        <f aca="false">IF(C784="","",IFERROR(INDEX(ST_Unite,MATCH(C784,ST_Code,0)),""))</f>
        <v/>
      </c>
      <c r="F784" s="82"/>
      <c r="G784" s="68"/>
      <c r="H784" s="76" t="str">
        <f aca="false">IF(G784="","",IFERROR(INDEX(BC_Fourn,MATCH(G784,BC_Num,0)),""))</f>
        <v/>
      </c>
      <c r="I784" s="25"/>
      <c r="J784" s="25"/>
      <c r="K784" s="25"/>
      <c r="L784" s="25"/>
    </row>
    <row r="785" customFormat="false" ht="15" hidden="false" customHeight="false" outlineLevel="0" collapsed="false">
      <c r="A785" s="69"/>
      <c r="B785" s="68"/>
      <c r="C785" s="68"/>
      <c r="D785" s="76" t="str">
        <f aca="false">IF(C785="","",IFERROR(INDEX(ST_Design,MATCH(C785,ST_Code,0)),"Code inconnu"))</f>
        <v/>
      </c>
      <c r="E785" s="74" t="str">
        <f aca="false">IF(C785="","",IFERROR(INDEX(ST_Unite,MATCH(C785,ST_Code,0)),""))</f>
        <v/>
      </c>
      <c r="F785" s="82"/>
      <c r="G785" s="68"/>
      <c r="H785" s="76" t="str">
        <f aca="false">IF(G785="","",IFERROR(INDEX(BC_Fourn,MATCH(G785,BC_Num,0)),""))</f>
        <v/>
      </c>
      <c r="I785" s="25"/>
      <c r="J785" s="25"/>
      <c r="K785" s="25"/>
      <c r="L785" s="25"/>
    </row>
    <row r="786" customFormat="false" ht="15" hidden="false" customHeight="false" outlineLevel="0" collapsed="false">
      <c r="A786" s="69"/>
      <c r="B786" s="68"/>
      <c r="C786" s="68"/>
      <c r="D786" s="76" t="str">
        <f aca="false">IF(C786="","",IFERROR(INDEX(ST_Design,MATCH(C786,ST_Code,0)),"Code inconnu"))</f>
        <v/>
      </c>
      <c r="E786" s="74" t="str">
        <f aca="false">IF(C786="","",IFERROR(INDEX(ST_Unite,MATCH(C786,ST_Code,0)),""))</f>
        <v/>
      </c>
      <c r="F786" s="82"/>
      <c r="G786" s="68"/>
      <c r="H786" s="76" t="str">
        <f aca="false">IF(G786="","",IFERROR(INDEX(BC_Fourn,MATCH(G786,BC_Num,0)),""))</f>
        <v/>
      </c>
      <c r="I786" s="25"/>
      <c r="J786" s="25"/>
      <c r="K786" s="25"/>
      <c r="L786" s="25"/>
    </row>
    <row r="787" customFormat="false" ht="15" hidden="false" customHeight="false" outlineLevel="0" collapsed="false">
      <c r="A787" s="69"/>
      <c r="B787" s="68"/>
      <c r="C787" s="68"/>
      <c r="D787" s="76" t="str">
        <f aca="false">IF(C787="","",IFERROR(INDEX(ST_Design,MATCH(C787,ST_Code,0)),"Code inconnu"))</f>
        <v/>
      </c>
      <c r="E787" s="74" t="str">
        <f aca="false">IF(C787="","",IFERROR(INDEX(ST_Unite,MATCH(C787,ST_Code,0)),""))</f>
        <v/>
      </c>
      <c r="F787" s="82"/>
      <c r="G787" s="68"/>
      <c r="H787" s="76" t="str">
        <f aca="false">IF(G787="","",IFERROR(INDEX(BC_Fourn,MATCH(G787,BC_Num,0)),""))</f>
        <v/>
      </c>
      <c r="I787" s="25"/>
      <c r="J787" s="25"/>
      <c r="K787" s="25"/>
      <c r="L787" s="25"/>
    </row>
    <row r="788" customFormat="false" ht="15" hidden="false" customHeight="false" outlineLevel="0" collapsed="false">
      <c r="A788" s="69"/>
      <c r="B788" s="68"/>
      <c r="C788" s="68"/>
      <c r="D788" s="76" t="str">
        <f aca="false">IF(C788="","",IFERROR(INDEX(ST_Design,MATCH(C788,ST_Code,0)),"Code inconnu"))</f>
        <v/>
      </c>
      <c r="E788" s="74" t="str">
        <f aca="false">IF(C788="","",IFERROR(INDEX(ST_Unite,MATCH(C788,ST_Code,0)),""))</f>
        <v/>
      </c>
      <c r="F788" s="82"/>
      <c r="G788" s="68"/>
      <c r="H788" s="76" t="str">
        <f aca="false">IF(G788="","",IFERROR(INDEX(BC_Fourn,MATCH(G788,BC_Num,0)),""))</f>
        <v/>
      </c>
      <c r="I788" s="25"/>
      <c r="J788" s="25"/>
      <c r="K788" s="25"/>
      <c r="L788" s="25"/>
    </row>
    <row r="789" customFormat="false" ht="15" hidden="false" customHeight="false" outlineLevel="0" collapsed="false">
      <c r="A789" s="69"/>
      <c r="B789" s="68"/>
      <c r="C789" s="68"/>
      <c r="D789" s="76" t="str">
        <f aca="false">IF(C789="","",IFERROR(INDEX(ST_Design,MATCH(C789,ST_Code,0)),"Code inconnu"))</f>
        <v/>
      </c>
      <c r="E789" s="74" t="str">
        <f aca="false">IF(C789="","",IFERROR(INDEX(ST_Unite,MATCH(C789,ST_Code,0)),""))</f>
        <v/>
      </c>
      <c r="F789" s="82"/>
      <c r="G789" s="68"/>
      <c r="H789" s="76" t="str">
        <f aca="false">IF(G789="","",IFERROR(INDEX(BC_Fourn,MATCH(G789,BC_Num,0)),""))</f>
        <v/>
      </c>
      <c r="I789" s="25"/>
      <c r="J789" s="25"/>
      <c r="K789" s="25"/>
      <c r="L789" s="25"/>
    </row>
    <row r="790" customFormat="false" ht="15" hidden="false" customHeight="false" outlineLevel="0" collapsed="false">
      <c r="A790" s="69"/>
      <c r="B790" s="68"/>
      <c r="C790" s="68"/>
      <c r="D790" s="76" t="str">
        <f aca="false">IF(C790="","",IFERROR(INDEX(ST_Design,MATCH(C790,ST_Code,0)),"Code inconnu"))</f>
        <v/>
      </c>
      <c r="E790" s="74" t="str">
        <f aca="false">IF(C790="","",IFERROR(INDEX(ST_Unite,MATCH(C790,ST_Code,0)),""))</f>
        <v/>
      </c>
      <c r="F790" s="82"/>
      <c r="G790" s="68"/>
      <c r="H790" s="76" t="str">
        <f aca="false">IF(G790="","",IFERROR(INDEX(BC_Fourn,MATCH(G790,BC_Num,0)),""))</f>
        <v/>
      </c>
      <c r="I790" s="25"/>
      <c r="J790" s="25"/>
      <c r="K790" s="25"/>
      <c r="L790" s="25"/>
    </row>
    <row r="791" customFormat="false" ht="15" hidden="false" customHeight="false" outlineLevel="0" collapsed="false">
      <c r="A791" s="69"/>
      <c r="B791" s="68"/>
      <c r="C791" s="68"/>
      <c r="D791" s="76" t="str">
        <f aca="false">IF(C791="","",IFERROR(INDEX(ST_Design,MATCH(C791,ST_Code,0)),"Code inconnu"))</f>
        <v/>
      </c>
      <c r="E791" s="74" t="str">
        <f aca="false">IF(C791="","",IFERROR(INDEX(ST_Unite,MATCH(C791,ST_Code,0)),""))</f>
        <v/>
      </c>
      <c r="F791" s="82"/>
      <c r="G791" s="68"/>
      <c r="H791" s="76" t="str">
        <f aca="false">IF(G791="","",IFERROR(INDEX(BC_Fourn,MATCH(G791,BC_Num,0)),""))</f>
        <v/>
      </c>
      <c r="I791" s="25"/>
      <c r="J791" s="25"/>
      <c r="K791" s="25"/>
      <c r="L791" s="25"/>
    </row>
    <row r="792" customFormat="false" ht="15" hidden="false" customHeight="false" outlineLevel="0" collapsed="false">
      <c r="A792" s="69"/>
      <c r="B792" s="68"/>
      <c r="C792" s="68"/>
      <c r="D792" s="76" t="str">
        <f aca="false">IF(C792="","",IFERROR(INDEX(ST_Design,MATCH(C792,ST_Code,0)),"Code inconnu"))</f>
        <v/>
      </c>
      <c r="E792" s="74" t="str">
        <f aca="false">IF(C792="","",IFERROR(INDEX(ST_Unite,MATCH(C792,ST_Code,0)),""))</f>
        <v/>
      </c>
      <c r="F792" s="82"/>
      <c r="G792" s="68"/>
      <c r="H792" s="76" t="str">
        <f aca="false">IF(G792="","",IFERROR(INDEX(BC_Fourn,MATCH(G792,BC_Num,0)),""))</f>
        <v/>
      </c>
      <c r="I792" s="25"/>
      <c r="J792" s="25"/>
      <c r="K792" s="25"/>
      <c r="L792" s="25"/>
    </row>
    <row r="793" customFormat="false" ht="15" hidden="false" customHeight="false" outlineLevel="0" collapsed="false">
      <c r="A793" s="69"/>
      <c r="B793" s="68"/>
      <c r="C793" s="68"/>
      <c r="D793" s="76" t="str">
        <f aca="false">IF(C793="","",IFERROR(INDEX(ST_Design,MATCH(C793,ST_Code,0)),"Code inconnu"))</f>
        <v/>
      </c>
      <c r="E793" s="74" t="str">
        <f aca="false">IF(C793="","",IFERROR(INDEX(ST_Unite,MATCH(C793,ST_Code,0)),""))</f>
        <v/>
      </c>
      <c r="F793" s="82"/>
      <c r="G793" s="68"/>
      <c r="H793" s="76" t="str">
        <f aca="false">IF(G793="","",IFERROR(INDEX(BC_Fourn,MATCH(G793,BC_Num,0)),""))</f>
        <v/>
      </c>
      <c r="I793" s="25"/>
      <c r="J793" s="25"/>
      <c r="K793" s="25"/>
      <c r="L793" s="25"/>
    </row>
    <row r="794" customFormat="false" ht="15" hidden="false" customHeight="false" outlineLevel="0" collapsed="false">
      <c r="A794" s="69"/>
      <c r="B794" s="68"/>
      <c r="C794" s="68"/>
      <c r="D794" s="76" t="str">
        <f aca="false">IF(C794="","",IFERROR(INDEX(ST_Design,MATCH(C794,ST_Code,0)),"Code inconnu"))</f>
        <v/>
      </c>
      <c r="E794" s="74" t="str">
        <f aca="false">IF(C794="","",IFERROR(INDEX(ST_Unite,MATCH(C794,ST_Code,0)),""))</f>
        <v/>
      </c>
      <c r="F794" s="82"/>
      <c r="G794" s="68"/>
      <c r="H794" s="76" t="str">
        <f aca="false">IF(G794="","",IFERROR(INDEX(BC_Fourn,MATCH(G794,BC_Num,0)),""))</f>
        <v/>
      </c>
      <c r="I794" s="25"/>
      <c r="J794" s="25"/>
      <c r="K794" s="25"/>
      <c r="L794" s="25"/>
    </row>
    <row r="795" customFormat="false" ht="15" hidden="false" customHeight="false" outlineLevel="0" collapsed="false">
      <c r="A795" s="69"/>
      <c r="B795" s="68"/>
      <c r="C795" s="68"/>
      <c r="D795" s="76" t="str">
        <f aca="false">IF(C795="","",IFERROR(INDEX(ST_Design,MATCH(C795,ST_Code,0)),"Code inconnu"))</f>
        <v/>
      </c>
      <c r="E795" s="74" t="str">
        <f aca="false">IF(C795="","",IFERROR(INDEX(ST_Unite,MATCH(C795,ST_Code,0)),""))</f>
        <v/>
      </c>
      <c r="F795" s="82"/>
      <c r="G795" s="68"/>
      <c r="H795" s="76" t="str">
        <f aca="false">IF(G795="","",IFERROR(INDEX(BC_Fourn,MATCH(G795,BC_Num,0)),""))</f>
        <v/>
      </c>
      <c r="I795" s="25"/>
      <c r="J795" s="25"/>
      <c r="K795" s="25"/>
      <c r="L795" s="25"/>
    </row>
    <row r="796" customFormat="false" ht="15" hidden="false" customHeight="false" outlineLevel="0" collapsed="false">
      <c r="A796" s="69"/>
      <c r="B796" s="68"/>
      <c r="C796" s="68"/>
      <c r="D796" s="76" t="str">
        <f aca="false">IF(C796="","",IFERROR(INDEX(ST_Design,MATCH(C796,ST_Code,0)),"Code inconnu"))</f>
        <v/>
      </c>
      <c r="E796" s="74" t="str">
        <f aca="false">IF(C796="","",IFERROR(INDEX(ST_Unite,MATCH(C796,ST_Code,0)),""))</f>
        <v/>
      </c>
      <c r="F796" s="82"/>
      <c r="G796" s="68"/>
      <c r="H796" s="76" t="str">
        <f aca="false">IF(G796="","",IFERROR(INDEX(BC_Fourn,MATCH(G796,BC_Num,0)),""))</f>
        <v/>
      </c>
      <c r="I796" s="25"/>
      <c r="J796" s="25"/>
      <c r="K796" s="25"/>
      <c r="L796" s="25"/>
    </row>
    <row r="797" customFormat="false" ht="15" hidden="false" customHeight="false" outlineLevel="0" collapsed="false">
      <c r="A797" s="69"/>
      <c r="B797" s="68"/>
      <c r="C797" s="68"/>
      <c r="D797" s="76" t="str">
        <f aca="false">IF(C797="","",IFERROR(INDEX(ST_Design,MATCH(C797,ST_Code,0)),"Code inconnu"))</f>
        <v/>
      </c>
      <c r="E797" s="74" t="str">
        <f aca="false">IF(C797="","",IFERROR(INDEX(ST_Unite,MATCH(C797,ST_Code,0)),""))</f>
        <v/>
      </c>
      <c r="F797" s="82"/>
      <c r="G797" s="68"/>
      <c r="H797" s="76" t="str">
        <f aca="false">IF(G797="","",IFERROR(INDEX(BC_Fourn,MATCH(G797,BC_Num,0)),""))</f>
        <v/>
      </c>
      <c r="I797" s="25"/>
      <c r="J797" s="25"/>
      <c r="K797" s="25"/>
      <c r="L797" s="25"/>
    </row>
    <row r="798" customFormat="false" ht="15" hidden="false" customHeight="false" outlineLevel="0" collapsed="false">
      <c r="A798" s="69"/>
      <c r="B798" s="68"/>
      <c r="C798" s="68"/>
      <c r="D798" s="76" t="str">
        <f aca="false">IF(C798="","",IFERROR(INDEX(ST_Design,MATCH(C798,ST_Code,0)),"Code inconnu"))</f>
        <v/>
      </c>
      <c r="E798" s="74" t="str">
        <f aca="false">IF(C798="","",IFERROR(INDEX(ST_Unite,MATCH(C798,ST_Code,0)),""))</f>
        <v/>
      </c>
      <c r="F798" s="82"/>
      <c r="G798" s="68"/>
      <c r="H798" s="76" t="str">
        <f aca="false">IF(G798="","",IFERROR(INDEX(BC_Fourn,MATCH(G798,BC_Num,0)),""))</f>
        <v/>
      </c>
      <c r="I798" s="25"/>
      <c r="J798" s="25"/>
      <c r="K798" s="25"/>
      <c r="L798" s="25"/>
    </row>
    <row r="799" customFormat="false" ht="15" hidden="false" customHeight="false" outlineLevel="0" collapsed="false">
      <c r="A799" s="69"/>
      <c r="B799" s="68"/>
      <c r="C799" s="68"/>
      <c r="D799" s="76" t="str">
        <f aca="false">IF(C799="","",IFERROR(INDEX(ST_Design,MATCH(C799,ST_Code,0)),"Code inconnu"))</f>
        <v/>
      </c>
      <c r="E799" s="74" t="str">
        <f aca="false">IF(C799="","",IFERROR(INDEX(ST_Unite,MATCH(C799,ST_Code,0)),""))</f>
        <v/>
      </c>
      <c r="F799" s="82"/>
      <c r="G799" s="68"/>
      <c r="H799" s="76" t="str">
        <f aca="false">IF(G799="","",IFERROR(INDEX(BC_Fourn,MATCH(G799,BC_Num,0)),""))</f>
        <v/>
      </c>
      <c r="I799" s="25"/>
      <c r="J799" s="25"/>
      <c r="K799" s="25"/>
      <c r="L799" s="25"/>
    </row>
    <row r="800" customFormat="false" ht="15" hidden="false" customHeight="false" outlineLevel="0" collapsed="false">
      <c r="A800" s="69"/>
      <c r="B800" s="68"/>
      <c r="C800" s="68"/>
      <c r="D800" s="76" t="str">
        <f aca="false">IF(C800="","",IFERROR(INDEX(ST_Design,MATCH(C800,ST_Code,0)),"Code inconnu"))</f>
        <v/>
      </c>
      <c r="E800" s="74" t="str">
        <f aca="false">IF(C800="","",IFERROR(INDEX(ST_Unite,MATCH(C800,ST_Code,0)),""))</f>
        <v/>
      </c>
      <c r="F800" s="82"/>
      <c r="G800" s="68"/>
      <c r="H800" s="76" t="str">
        <f aca="false">IF(G800="","",IFERROR(INDEX(BC_Fourn,MATCH(G800,BC_Num,0)),""))</f>
        <v/>
      </c>
      <c r="I800" s="25"/>
      <c r="J800" s="25"/>
      <c r="K800" s="25"/>
      <c r="L800" s="25"/>
    </row>
    <row r="801" customFormat="false" ht="15" hidden="false" customHeight="false" outlineLevel="0" collapsed="false">
      <c r="A801" s="69"/>
      <c r="B801" s="68"/>
      <c r="C801" s="68"/>
      <c r="D801" s="76" t="str">
        <f aca="false">IF(C801="","",IFERROR(INDEX(ST_Design,MATCH(C801,ST_Code,0)),"Code inconnu"))</f>
        <v/>
      </c>
      <c r="E801" s="74" t="str">
        <f aca="false">IF(C801="","",IFERROR(INDEX(ST_Unite,MATCH(C801,ST_Code,0)),""))</f>
        <v/>
      </c>
      <c r="F801" s="82"/>
      <c r="G801" s="68"/>
      <c r="H801" s="76" t="str">
        <f aca="false">IF(G801="","",IFERROR(INDEX(BC_Fourn,MATCH(G801,BC_Num,0)),""))</f>
        <v/>
      </c>
      <c r="I801" s="25"/>
      <c r="J801" s="25"/>
      <c r="K801" s="25"/>
      <c r="L801" s="25"/>
    </row>
    <row r="802" customFormat="false" ht="15" hidden="false" customHeight="false" outlineLevel="0" collapsed="false">
      <c r="A802" s="69"/>
      <c r="B802" s="68"/>
      <c r="C802" s="68"/>
      <c r="D802" s="76" t="str">
        <f aca="false">IF(C802="","",IFERROR(INDEX(ST_Design,MATCH(C802,ST_Code,0)),"Code inconnu"))</f>
        <v/>
      </c>
      <c r="E802" s="74" t="str">
        <f aca="false">IF(C802="","",IFERROR(INDEX(ST_Unite,MATCH(C802,ST_Code,0)),""))</f>
        <v/>
      </c>
      <c r="F802" s="82"/>
      <c r="G802" s="68"/>
      <c r="H802" s="76" t="str">
        <f aca="false">IF(G802="","",IFERROR(INDEX(BC_Fourn,MATCH(G802,BC_Num,0)),""))</f>
        <v/>
      </c>
      <c r="I802" s="25"/>
      <c r="J802" s="25"/>
      <c r="K802" s="25"/>
      <c r="L802" s="25"/>
    </row>
    <row r="803" customFormat="false" ht="15" hidden="false" customHeight="false" outlineLevel="0" collapsed="false">
      <c r="A803" s="69"/>
      <c r="B803" s="68"/>
      <c r="C803" s="68"/>
      <c r="D803" s="76" t="str">
        <f aca="false">IF(C803="","",IFERROR(INDEX(ST_Design,MATCH(C803,ST_Code,0)),"Code inconnu"))</f>
        <v/>
      </c>
      <c r="E803" s="74" t="str">
        <f aca="false">IF(C803="","",IFERROR(INDEX(ST_Unite,MATCH(C803,ST_Code,0)),""))</f>
        <v/>
      </c>
      <c r="F803" s="82"/>
      <c r="G803" s="68"/>
      <c r="H803" s="76" t="str">
        <f aca="false">IF(G803="","",IFERROR(INDEX(BC_Fourn,MATCH(G803,BC_Num,0)),""))</f>
        <v/>
      </c>
      <c r="I803" s="25"/>
      <c r="J803" s="25"/>
      <c r="K803" s="25"/>
      <c r="L803" s="25"/>
    </row>
    <row r="804" customFormat="false" ht="15" hidden="false" customHeight="false" outlineLevel="0" collapsed="false">
      <c r="A804" s="69"/>
      <c r="B804" s="68"/>
      <c r="C804" s="68"/>
      <c r="D804" s="76" t="str">
        <f aca="false">IF(C804="","",IFERROR(INDEX(ST_Design,MATCH(C804,ST_Code,0)),"Code inconnu"))</f>
        <v/>
      </c>
      <c r="E804" s="74" t="str">
        <f aca="false">IF(C804="","",IFERROR(INDEX(ST_Unite,MATCH(C804,ST_Code,0)),""))</f>
        <v/>
      </c>
      <c r="F804" s="82"/>
      <c r="G804" s="68"/>
      <c r="H804" s="76" t="str">
        <f aca="false">IF(G804="","",IFERROR(INDEX(BC_Fourn,MATCH(G804,BC_Num,0)),""))</f>
        <v/>
      </c>
      <c r="I804" s="25"/>
      <c r="J804" s="25"/>
      <c r="K804" s="25"/>
      <c r="L804" s="25"/>
    </row>
    <row r="805" customFormat="false" ht="15" hidden="false" customHeight="false" outlineLevel="0" collapsed="false">
      <c r="A805" s="69"/>
      <c r="B805" s="68"/>
      <c r="C805" s="68"/>
      <c r="D805" s="76" t="str">
        <f aca="false">IF(C805="","",IFERROR(INDEX(ST_Design,MATCH(C805,ST_Code,0)),"Code inconnu"))</f>
        <v/>
      </c>
      <c r="E805" s="74" t="str">
        <f aca="false">IF(C805="","",IFERROR(INDEX(ST_Unite,MATCH(C805,ST_Code,0)),""))</f>
        <v/>
      </c>
      <c r="F805" s="82"/>
      <c r="G805" s="68"/>
      <c r="H805" s="76" t="str">
        <f aca="false">IF(G805="","",IFERROR(INDEX(BC_Fourn,MATCH(G805,BC_Num,0)),""))</f>
        <v/>
      </c>
      <c r="I805" s="25"/>
      <c r="J805" s="25"/>
      <c r="K805" s="25"/>
      <c r="L805" s="25"/>
    </row>
    <row r="806" customFormat="false" ht="15" hidden="false" customHeight="false" outlineLevel="0" collapsed="false">
      <c r="A806" s="69"/>
      <c r="B806" s="68"/>
      <c r="C806" s="68"/>
      <c r="D806" s="76" t="str">
        <f aca="false">IF(C806="","",IFERROR(INDEX(ST_Design,MATCH(C806,ST_Code,0)),"Code inconnu"))</f>
        <v/>
      </c>
      <c r="E806" s="74" t="str">
        <f aca="false">IF(C806="","",IFERROR(INDEX(ST_Unite,MATCH(C806,ST_Code,0)),""))</f>
        <v/>
      </c>
      <c r="F806" s="82"/>
      <c r="G806" s="68"/>
      <c r="H806" s="76" t="str">
        <f aca="false">IF(G806="","",IFERROR(INDEX(BC_Fourn,MATCH(G806,BC_Num,0)),""))</f>
        <v/>
      </c>
      <c r="I806" s="25"/>
      <c r="J806" s="25"/>
      <c r="K806" s="25"/>
      <c r="L806" s="25"/>
    </row>
  </sheetData>
  <autoFilter ref="A6:L806"/>
  <mergeCells count="4">
    <mergeCell ref="A1:L1"/>
    <mergeCell ref="A2:L2"/>
    <mergeCell ref="A3:L3"/>
    <mergeCell ref="A4:L4"/>
  </mergeCells>
  <conditionalFormatting sqref="B7:B806">
    <cfRule type="cellIs" priority="2" operator="equal" aboveAverage="0" equalAverage="0" bottom="0" percent="0" rank="0" text="" dxfId="2">
      <formula>"Sortie"</formula>
    </cfRule>
    <cfRule type="cellIs" priority="3" operator="equal" aboveAverage="0" equalAverage="0" bottom="0" percent="0" rank="0" text="" dxfId="1">
      <formula>"Entrée"</formula>
    </cfRule>
  </conditionalFormatting>
  <dataValidations count="4">
    <dataValidation allowBlank="true" errorStyle="stop" operator="between" showDropDown="false" showErrorMessage="true" showInputMessage="false" sqref="B7:B806" type="list">
      <formula1>L_TypeMvt</formula1>
      <formula2>0</formula2>
    </dataValidation>
    <dataValidation allowBlank="true" errorStyle="stop" operator="between" showDropDown="false" showErrorMessage="true" showInputMessage="false" sqref="C7:C806" type="list">
      <formula1>ST_Code</formula1>
      <formula2>0</formula2>
    </dataValidation>
    <dataValidation allowBlank="true" errorStyle="stop" operator="between" showDropDown="false" showErrorMessage="false" showInputMessage="false" sqref="G7:G806" type="list">
      <formula1>BC_Num</formula1>
      <formula2>0</formula2>
    </dataValidation>
    <dataValidation allowBlank="true" errorStyle="stop" operator="between" showDropDown="false" showErrorMessage="true" showInputMessage="false" sqref="J7:J806" type="list">
      <formula1>L_Lots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L3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44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9" min="9" style="0" width="28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0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9.5" hidden="false" customHeight="true" outlineLevel="0" collapsed="false">
      <c r="A2" s="20" t="s">
        <v>693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21" t="s">
        <v>694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6" customFormat="false" ht="31.5" hidden="false" customHeight="true" outlineLevel="0" collapsed="false">
      <c r="A6" s="23" t="s">
        <v>571</v>
      </c>
      <c r="B6" s="23" t="s">
        <v>121</v>
      </c>
      <c r="C6" s="23" t="s">
        <v>695</v>
      </c>
      <c r="D6" s="23" t="s">
        <v>287</v>
      </c>
      <c r="E6" s="23" t="s">
        <v>696</v>
      </c>
      <c r="F6" s="23" t="s">
        <v>697</v>
      </c>
      <c r="G6" s="23" t="s">
        <v>698</v>
      </c>
      <c r="H6" s="23" t="s">
        <v>699</v>
      </c>
      <c r="I6" s="23" t="s">
        <v>700</v>
      </c>
      <c r="J6" s="23" t="s">
        <v>701</v>
      </c>
      <c r="K6" s="23" t="s">
        <v>702</v>
      </c>
      <c r="L6" s="23" t="s">
        <v>703</v>
      </c>
    </row>
    <row r="7" customFormat="false" ht="23.85" hidden="false" customHeight="false" outlineLevel="0" collapsed="false">
      <c r="A7" s="69" t="n">
        <v>46307</v>
      </c>
      <c r="B7" s="25" t="s">
        <v>143</v>
      </c>
      <c r="C7" s="70" t="n">
        <v>33</v>
      </c>
      <c r="D7" s="90" t="n">
        <f aca="false">IF(A7="","",COUNTIFS(PT_Date,A7,PT_Pres,"P")+0.5*COUNTIFS(PT_Date,A7,PT_Pres,"1/2"))</f>
        <v>0</v>
      </c>
      <c r="E7" s="25" t="s">
        <v>704</v>
      </c>
      <c r="F7" s="88" t="n">
        <f aca="false">IF(A7="","",COUNTIFS(MV_Date,A7,MV_Type,"Entrée"))</f>
        <v>0</v>
      </c>
      <c r="G7" s="25"/>
      <c r="H7" s="68" t="s">
        <v>170</v>
      </c>
      <c r="I7" s="25" t="s">
        <v>705</v>
      </c>
      <c r="J7" s="89" t="n">
        <v>0</v>
      </c>
      <c r="K7" s="25" t="s">
        <v>214</v>
      </c>
      <c r="L7" s="25"/>
    </row>
    <row r="8" customFormat="false" ht="23.85" hidden="false" customHeight="false" outlineLevel="0" collapsed="false">
      <c r="A8" s="69" t="n">
        <v>46308</v>
      </c>
      <c r="B8" s="25" t="s">
        <v>200</v>
      </c>
      <c r="C8" s="70" t="n">
        <v>27</v>
      </c>
      <c r="D8" s="90" t="n">
        <f aca="false">IF(A8="","",COUNTIFS(PT_Date,A8,PT_Pres,"P")+0.5*COUNTIFS(PT_Date,A8,PT_Pres,"1/2"))</f>
        <v>0</v>
      </c>
      <c r="E8" s="25" t="s">
        <v>706</v>
      </c>
      <c r="F8" s="88" t="n">
        <f aca="false">IF(A8="","",COUNTIFS(MV_Date,A8,MV_Type,"Entrée"))</f>
        <v>0</v>
      </c>
      <c r="G8" s="25"/>
      <c r="H8" s="68" t="s">
        <v>149</v>
      </c>
      <c r="I8" s="25" t="s">
        <v>707</v>
      </c>
      <c r="J8" s="89" t="n">
        <v>4</v>
      </c>
      <c r="K8" s="25" t="s">
        <v>214</v>
      </c>
      <c r="L8" s="25"/>
    </row>
    <row r="9" customFormat="false" ht="23.85" hidden="false" customHeight="false" outlineLevel="0" collapsed="false">
      <c r="A9" s="69" t="n">
        <v>46309</v>
      </c>
      <c r="B9" s="25" t="s">
        <v>164</v>
      </c>
      <c r="C9" s="70" t="n">
        <v>30</v>
      </c>
      <c r="D9" s="90" t="n">
        <f aca="false">IF(A9="","",COUNTIFS(PT_Date,A9,PT_Pres,"P")+0.5*COUNTIFS(PT_Date,A9,PT_Pres,"1/2"))</f>
        <v>0</v>
      </c>
      <c r="E9" s="25" t="s">
        <v>708</v>
      </c>
      <c r="F9" s="88" t="n">
        <f aca="false">IF(A9="","",COUNTIFS(MV_Date,A9,MV_Type,"Entrée"))</f>
        <v>0</v>
      </c>
      <c r="G9" s="25" t="s">
        <v>709</v>
      </c>
      <c r="H9" s="68" t="s">
        <v>149</v>
      </c>
      <c r="I9" s="25" t="s">
        <v>710</v>
      </c>
      <c r="J9" s="89" t="n">
        <v>0</v>
      </c>
      <c r="K9" s="25" t="s">
        <v>214</v>
      </c>
      <c r="L9" s="25"/>
    </row>
    <row r="10" customFormat="false" ht="23.85" hidden="false" customHeight="false" outlineLevel="0" collapsed="false">
      <c r="A10" s="69" t="n">
        <v>46310</v>
      </c>
      <c r="B10" s="25" t="s">
        <v>143</v>
      </c>
      <c r="C10" s="70" t="n">
        <v>33</v>
      </c>
      <c r="D10" s="90" t="n">
        <f aca="false">IF(A10="","",COUNTIFS(PT_Date,A10,PT_Pres,"P")+0.5*COUNTIFS(PT_Date,A10,PT_Pres,"1/2"))</f>
        <v>17.5</v>
      </c>
      <c r="E10" s="25" t="s">
        <v>711</v>
      </c>
      <c r="F10" s="88" t="n">
        <f aca="false">IF(A10="","",COUNTIFS(MV_Date,A10,MV_Type,"Entrée"))</f>
        <v>0</v>
      </c>
      <c r="G10" s="25"/>
      <c r="H10" s="68" t="s">
        <v>149</v>
      </c>
      <c r="I10" s="25" t="s">
        <v>712</v>
      </c>
      <c r="J10" s="89" t="n">
        <v>0</v>
      </c>
      <c r="K10" s="25" t="s">
        <v>214</v>
      </c>
      <c r="L10" s="25"/>
    </row>
    <row r="11" customFormat="false" ht="23.85" hidden="false" customHeight="false" outlineLevel="0" collapsed="false">
      <c r="A11" s="69" t="n">
        <v>46311</v>
      </c>
      <c r="B11" s="25" t="s">
        <v>185</v>
      </c>
      <c r="C11" s="70" t="n">
        <v>29</v>
      </c>
      <c r="D11" s="90" t="n">
        <f aca="false">IF(A11="","",COUNTIFS(PT_Date,A11,PT_Pres,"P")+0.5*COUNTIFS(PT_Date,A11,PT_Pres,"1/2"))</f>
        <v>17</v>
      </c>
      <c r="E11" s="25" t="s">
        <v>713</v>
      </c>
      <c r="F11" s="88" t="n">
        <f aca="false">IF(A11="","",COUNTIFS(MV_Date,A11,MV_Type,"Entrée"))</f>
        <v>0</v>
      </c>
      <c r="G11" s="25"/>
      <c r="H11" s="68" t="s">
        <v>149</v>
      </c>
      <c r="I11" s="25" t="s">
        <v>714</v>
      </c>
      <c r="J11" s="89" t="n">
        <v>1</v>
      </c>
      <c r="K11" s="25" t="s">
        <v>214</v>
      </c>
      <c r="L11" s="25"/>
    </row>
    <row r="12" customFormat="false" ht="15" hidden="false" customHeight="false" outlineLevel="0" collapsed="false">
      <c r="A12" s="69"/>
      <c r="B12" s="25"/>
      <c r="C12" s="70"/>
      <c r="D12" s="90" t="str">
        <f aca="false">IF(A12="","",COUNTIFS(PT_Date,A12,PT_Pres,"P")+0.5*COUNTIFS(PT_Date,A12,PT_Pres,"1/2"))</f>
        <v/>
      </c>
      <c r="E12" s="25"/>
      <c r="F12" s="88" t="str">
        <f aca="false">IF(A12="","",COUNTIFS(MV_Date,A12,MV_Type,"Entrée"))</f>
        <v/>
      </c>
      <c r="G12" s="25"/>
      <c r="H12" s="68"/>
      <c r="I12" s="25"/>
      <c r="J12" s="89"/>
      <c r="K12" s="25"/>
      <c r="L12" s="25"/>
    </row>
    <row r="13" customFormat="false" ht="15" hidden="false" customHeight="false" outlineLevel="0" collapsed="false">
      <c r="A13" s="69"/>
      <c r="B13" s="25"/>
      <c r="C13" s="70"/>
      <c r="D13" s="90" t="str">
        <f aca="false">IF(A13="","",COUNTIFS(PT_Date,A13,PT_Pres,"P")+0.5*COUNTIFS(PT_Date,A13,PT_Pres,"1/2"))</f>
        <v/>
      </c>
      <c r="E13" s="25"/>
      <c r="F13" s="88" t="str">
        <f aca="false">IF(A13="","",COUNTIFS(MV_Date,A13,MV_Type,"Entrée"))</f>
        <v/>
      </c>
      <c r="G13" s="25"/>
      <c r="H13" s="68"/>
      <c r="I13" s="25"/>
      <c r="J13" s="89"/>
      <c r="K13" s="25"/>
      <c r="L13" s="25"/>
    </row>
    <row r="14" customFormat="false" ht="15" hidden="false" customHeight="false" outlineLevel="0" collapsed="false">
      <c r="A14" s="69"/>
      <c r="B14" s="25"/>
      <c r="C14" s="70"/>
      <c r="D14" s="90" t="str">
        <f aca="false">IF(A14="","",COUNTIFS(PT_Date,A14,PT_Pres,"P")+0.5*COUNTIFS(PT_Date,A14,PT_Pres,"1/2"))</f>
        <v/>
      </c>
      <c r="E14" s="25"/>
      <c r="F14" s="88" t="str">
        <f aca="false">IF(A14="","",COUNTIFS(MV_Date,A14,MV_Type,"Entrée"))</f>
        <v/>
      </c>
      <c r="G14" s="25"/>
      <c r="H14" s="68"/>
      <c r="I14" s="25"/>
      <c r="J14" s="89"/>
      <c r="K14" s="25"/>
      <c r="L14" s="25"/>
    </row>
    <row r="15" customFormat="false" ht="15" hidden="false" customHeight="false" outlineLevel="0" collapsed="false">
      <c r="A15" s="69"/>
      <c r="B15" s="25"/>
      <c r="C15" s="70"/>
      <c r="D15" s="90" t="str">
        <f aca="false">IF(A15="","",COUNTIFS(PT_Date,A15,PT_Pres,"P")+0.5*COUNTIFS(PT_Date,A15,PT_Pres,"1/2"))</f>
        <v/>
      </c>
      <c r="E15" s="25"/>
      <c r="F15" s="88" t="str">
        <f aca="false">IF(A15="","",COUNTIFS(MV_Date,A15,MV_Type,"Entrée"))</f>
        <v/>
      </c>
      <c r="G15" s="25"/>
      <c r="H15" s="68"/>
      <c r="I15" s="25"/>
      <c r="J15" s="89"/>
      <c r="K15" s="25"/>
      <c r="L15" s="25"/>
    </row>
    <row r="16" customFormat="false" ht="15" hidden="false" customHeight="false" outlineLevel="0" collapsed="false">
      <c r="A16" s="69"/>
      <c r="B16" s="25"/>
      <c r="C16" s="70"/>
      <c r="D16" s="90" t="str">
        <f aca="false">IF(A16="","",COUNTIFS(PT_Date,A16,PT_Pres,"P")+0.5*COUNTIFS(PT_Date,A16,PT_Pres,"1/2"))</f>
        <v/>
      </c>
      <c r="E16" s="25"/>
      <c r="F16" s="88" t="str">
        <f aca="false">IF(A16="","",COUNTIFS(MV_Date,A16,MV_Type,"Entrée"))</f>
        <v/>
      </c>
      <c r="G16" s="25"/>
      <c r="H16" s="68"/>
      <c r="I16" s="25"/>
      <c r="J16" s="89"/>
      <c r="K16" s="25"/>
      <c r="L16" s="25"/>
    </row>
    <row r="17" customFormat="false" ht="15" hidden="false" customHeight="false" outlineLevel="0" collapsed="false">
      <c r="A17" s="69"/>
      <c r="B17" s="25"/>
      <c r="C17" s="70"/>
      <c r="D17" s="90" t="str">
        <f aca="false">IF(A17="","",COUNTIFS(PT_Date,A17,PT_Pres,"P")+0.5*COUNTIFS(PT_Date,A17,PT_Pres,"1/2"))</f>
        <v/>
      </c>
      <c r="E17" s="25"/>
      <c r="F17" s="88" t="str">
        <f aca="false">IF(A17="","",COUNTIFS(MV_Date,A17,MV_Type,"Entrée"))</f>
        <v/>
      </c>
      <c r="G17" s="25"/>
      <c r="H17" s="68"/>
      <c r="I17" s="25"/>
      <c r="J17" s="89"/>
      <c r="K17" s="25"/>
      <c r="L17" s="25"/>
    </row>
    <row r="18" customFormat="false" ht="15" hidden="false" customHeight="false" outlineLevel="0" collapsed="false">
      <c r="A18" s="69"/>
      <c r="B18" s="25"/>
      <c r="C18" s="70"/>
      <c r="D18" s="90" t="str">
        <f aca="false">IF(A18="","",COUNTIFS(PT_Date,A18,PT_Pres,"P")+0.5*COUNTIFS(PT_Date,A18,PT_Pres,"1/2"))</f>
        <v/>
      </c>
      <c r="E18" s="25"/>
      <c r="F18" s="88" t="str">
        <f aca="false">IF(A18="","",COUNTIFS(MV_Date,A18,MV_Type,"Entrée"))</f>
        <v/>
      </c>
      <c r="G18" s="25"/>
      <c r="H18" s="68"/>
      <c r="I18" s="25"/>
      <c r="J18" s="89"/>
      <c r="K18" s="25"/>
      <c r="L18" s="25"/>
    </row>
    <row r="19" customFormat="false" ht="15" hidden="false" customHeight="false" outlineLevel="0" collapsed="false">
      <c r="A19" s="69"/>
      <c r="B19" s="25"/>
      <c r="C19" s="70"/>
      <c r="D19" s="90" t="str">
        <f aca="false">IF(A19="","",COUNTIFS(PT_Date,A19,PT_Pres,"P")+0.5*COUNTIFS(PT_Date,A19,PT_Pres,"1/2"))</f>
        <v/>
      </c>
      <c r="E19" s="25"/>
      <c r="F19" s="88" t="str">
        <f aca="false">IF(A19="","",COUNTIFS(MV_Date,A19,MV_Type,"Entrée"))</f>
        <v/>
      </c>
      <c r="G19" s="25"/>
      <c r="H19" s="68"/>
      <c r="I19" s="25"/>
      <c r="J19" s="89"/>
      <c r="K19" s="25"/>
      <c r="L19" s="25"/>
    </row>
    <row r="20" customFormat="false" ht="15" hidden="false" customHeight="false" outlineLevel="0" collapsed="false">
      <c r="A20" s="69"/>
      <c r="B20" s="25"/>
      <c r="C20" s="70"/>
      <c r="D20" s="90" t="str">
        <f aca="false">IF(A20="","",COUNTIFS(PT_Date,A20,PT_Pres,"P")+0.5*COUNTIFS(PT_Date,A20,PT_Pres,"1/2"))</f>
        <v/>
      </c>
      <c r="E20" s="25"/>
      <c r="F20" s="88" t="str">
        <f aca="false">IF(A20="","",COUNTIFS(MV_Date,A20,MV_Type,"Entrée"))</f>
        <v/>
      </c>
      <c r="G20" s="25"/>
      <c r="H20" s="68"/>
      <c r="I20" s="25"/>
      <c r="J20" s="89"/>
      <c r="K20" s="25"/>
      <c r="L20" s="25"/>
    </row>
    <row r="21" customFormat="false" ht="15" hidden="false" customHeight="false" outlineLevel="0" collapsed="false">
      <c r="A21" s="69"/>
      <c r="B21" s="25"/>
      <c r="C21" s="70"/>
      <c r="D21" s="90" t="str">
        <f aca="false">IF(A21="","",COUNTIFS(PT_Date,A21,PT_Pres,"P")+0.5*COUNTIFS(PT_Date,A21,PT_Pres,"1/2"))</f>
        <v/>
      </c>
      <c r="E21" s="25"/>
      <c r="F21" s="88" t="str">
        <f aca="false">IF(A21="","",COUNTIFS(MV_Date,A21,MV_Type,"Entrée"))</f>
        <v/>
      </c>
      <c r="G21" s="25"/>
      <c r="H21" s="68"/>
      <c r="I21" s="25"/>
      <c r="J21" s="89"/>
      <c r="K21" s="25"/>
      <c r="L21" s="25"/>
    </row>
    <row r="22" customFormat="false" ht="15" hidden="false" customHeight="false" outlineLevel="0" collapsed="false">
      <c r="A22" s="69"/>
      <c r="B22" s="25"/>
      <c r="C22" s="70"/>
      <c r="D22" s="90" t="str">
        <f aca="false">IF(A22="","",COUNTIFS(PT_Date,A22,PT_Pres,"P")+0.5*COUNTIFS(PT_Date,A22,PT_Pres,"1/2"))</f>
        <v/>
      </c>
      <c r="E22" s="25"/>
      <c r="F22" s="88" t="str">
        <f aca="false">IF(A22="","",COUNTIFS(MV_Date,A22,MV_Type,"Entrée"))</f>
        <v/>
      </c>
      <c r="G22" s="25"/>
      <c r="H22" s="68"/>
      <c r="I22" s="25"/>
      <c r="J22" s="89"/>
      <c r="K22" s="25"/>
      <c r="L22" s="25"/>
    </row>
    <row r="23" customFormat="false" ht="15" hidden="false" customHeight="false" outlineLevel="0" collapsed="false">
      <c r="A23" s="69"/>
      <c r="B23" s="25"/>
      <c r="C23" s="70"/>
      <c r="D23" s="90" t="str">
        <f aca="false">IF(A23="","",COUNTIFS(PT_Date,A23,PT_Pres,"P")+0.5*COUNTIFS(PT_Date,A23,PT_Pres,"1/2"))</f>
        <v/>
      </c>
      <c r="E23" s="25"/>
      <c r="F23" s="88" t="str">
        <f aca="false">IF(A23="","",COUNTIFS(MV_Date,A23,MV_Type,"Entrée"))</f>
        <v/>
      </c>
      <c r="G23" s="25"/>
      <c r="H23" s="68"/>
      <c r="I23" s="25"/>
      <c r="J23" s="89"/>
      <c r="K23" s="25"/>
      <c r="L23" s="25"/>
    </row>
    <row r="24" customFormat="false" ht="15" hidden="false" customHeight="false" outlineLevel="0" collapsed="false">
      <c r="A24" s="69"/>
      <c r="B24" s="25"/>
      <c r="C24" s="70"/>
      <c r="D24" s="90" t="str">
        <f aca="false">IF(A24="","",COUNTIFS(PT_Date,A24,PT_Pres,"P")+0.5*COUNTIFS(PT_Date,A24,PT_Pres,"1/2"))</f>
        <v/>
      </c>
      <c r="E24" s="25"/>
      <c r="F24" s="88" t="str">
        <f aca="false">IF(A24="","",COUNTIFS(MV_Date,A24,MV_Type,"Entrée"))</f>
        <v/>
      </c>
      <c r="G24" s="25"/>
      <c r="H24" s="68"/>
      <c r="I24" s="25"/>
      <c r="J24" s="89"/>
      <c r="K24" s="25"/>
      <c r="L24" s="25"/>
    </row>
    <row r="25" customFormat="false" ht="15" hidden="false" customHeight="false" outlineLevel="0" collapsed="false">
      <c r="A25" s="69"/>
      <c r="B25" s="25"/>
      <c r="C25" s="70"/>
      <c r="D25" s="90" t="str">
        <f aca="false">IF(A25="","",COUNTIFS(PT_Date,A25,PT_Pres,"P")+0.5*COUNTIFS(PT_Date,A25,PT_Pres,"1/2"))</f>
        <v/>
      </c>
      <c r="E25" s="25"/>
      <c r="F25" s="88" t="str">
        <f aca="false">IF(A25="","",COUNTIFS(MV_Date,A25,MV_Type,"Entrée"))</f>
        <v/>
      </c>
      <c r="G25" s="25"/>
      <c r="H25" s="68"/>
      <c r="I25" s="25"/>
      <c r="J25" s="89"/>
      <c r="K25" s="25"/>
      <c r="L25" s="25"/>
    </row>
    <row r="26" customFormat="false" ht="15" hidden="false" customHeight="false" outlineLevel="0" collapsed="false">
      <c r="A26" s="69"/>
      <c r="B26" s="25"/>
      <c r="C26" s="70"/>
      <c r="D26" s="90" t="str">
        <f aca="false">IF(A26="","",COUNTIFS(PT_Date,A26,PT_Pres,"P")+0.5*COUNTIFS(PT_Date,A26,PT_Pres,"1/2"))</f>
        <v/>
      </c>
      <c r="E26" s="25"/>
      <c r="F26" s="88" t="str">
        <f aca="false">IF(A26="","",COUNTIFS(MV_Date,A26,MV_Type,"Entrée"))</f>
        <v/>
      </c>
      <c r="G26" s="25"/>
      <c r="H26" s="68"/>
      <c r="I26" s="25"/>
      <c r="J26" s="89"/>
      <c r="K26" s="25"/>
      <c r="L26" s="25"/>
    </row>
    <row r="27" customFormat="false" ht="15" hidden="false" customHeight="false" outlineLevel="0" collapsed="false">
      <c r="A27" s="69"/>
      <c r="B27" s="25"/>
      <c r="C27" s="70"/>
      <c r="D27" s="90" t="str">
        <f aca="false">IF(A27="","",COUNTIFS(PT_Date,A27,PT_Pres,"P")+0.5*COUNTIFS(PT_Date,A27,PT_Pres,"1/2"))</f>
        <v/>
      </c>
      <c r="E27" s="25"/>
      <c r="F27" s="88" t="str">
        <f aca="false">IF(A27="","",COUNTIFS(MV_Date,A27,MV_Type,"Entrée"))</f>
        <v/>
      </c>
      <c r="G27" s="25"/>
      <c r="H27" s="68"/>
      <c r="I27" s="25"/>
      <c r="J27" s="89"/>
      <c r="K27" s="25"/>
      <c r="L27" s="25"/>
    </row>
    <row r="28" customFormat="false" ht="15" hidden="false" customHeight="false" outlineLevel="0" collapsed="false">
      <c r="A28" s="69"/>
      <c r="B28" s="25"/>
      <c r="C28" s="70"/>
      <c r="D28" s="90" t="str">
        <f aca="false">IF(A28="","",COUNTIFS(PT_Date,A28,PT_Pres,"P")+0.5*COUNTIFS(PT_Date,A28,PT_Pres,"1/2"))</f>
        <v/>
      </c>
      <c r="E28" s="25"/>
      <c r="F28" s="88" t="str">
        <f aca="false">IF(A28="","",COUNTIFS(MV_Date,A28,MV_Type,"Entrée"))</f>
        <v/>
      </c>
      <c r="G28" s="25"/>
      <c r="H28" s="68"/>
      <c r="I28" s="25"/>
      <c r="J28" s="89"/>
      <c r="K28" s="25"/>
      <c r="L28" s="25"/>
    </row>
    <row r="29" customFormat="false" ht="15" hidden="false" customHeight="false" outlineLevel="0" collapsed="false">
      <c r="A29" s="69"/>
      <c r="B29" s="25"/>
      <c r="C29" s="70"/>
      <c r="D29" s="90" t="str">
        <f aca="false">IF(A29="","",COUNTIFS(PT_Date,A29,PT_Pres,"P")+0.5*COUNTIFS(PT_Date,A29,PT_Pres,"1/2"))</f>
        <v/>
      </c>
      <c r="E29" s="25"/>
      <c r="F29" s="88" t="str">
        <f aca="false">IF(A29="","",COUNTIFS(MV_Date,A29,MV_Type,"Entrée"))</f>
        <v/>
      </c>
      <c r="G29" s="25"/>
      <c r="H29" s="68"/>
      <c r="I29" s="25"/>
      <c r="J29" s="89"/>
      <c r="K29" s="25"/>
      <c r="L29" s="25"/>
    </row>
    <row r="30" customFormat="false" ht="15" hidden="false" customHeight="false" outlineLevel="0" collapsed="false">
      <c r="A30" s="69"/>
      <c r="B30" s="25"/>
      <c r="C30" s="70"/>
      <c r="D30" s="90" t="str">
        <f aca="false">IF(A30="","",COUNTIFS(PT_Date,A30,PT_Pres,"P")+0.5*COUNTIFS(PT_Date,A30,PT_Pres,"1/2"))</f>
        <v/>
      </c>
      <c r="E30" s="25"/>
      <c r="F30" s="88" t="str">
        <f aca="false">IF(A30="","",COUNTIFS(MV_Date,A30,MV_Type,"Entrée"))</f>
        <v/>
      </c>
      <c r="G30" s="25"/>
      <c r="H30" s="68"/>
      <c r="I30" s="25"/>
      <c r="J30" s="89"/>
      <c r="K30" s="25"/>
      <c r="L30" s="25"/>
    </row>
    <row r="31" customFormat="false" ht="15" hidden="false" customHeight="false" outlineLevel="0" collapsed="false">
      <c r="A31" s="69"/>
      <c r="B31" s="25"/>
      <c r="C31" s="70"/>
      <c r="D31" s="90" t="str">
        <f aca="false">IF(A31="","",COUNTIFS(PT_Date,A31,PT_Pres,"P")+0.5*COUNTIFS(PT_Date,A31,PT_Pres,"1/2"))</f>
        <v/>
      </c>
      <c r="E31" s="25"/>
      <c r="F31" s="88" t="str">
        <f aca="false">IF(A31="","",COUNTIFS(MV_Date,A31,MV_Type,"Entrée"))</f>
        <v/>
      </c>
      <c r="G31" s="25"/>
      <c r="H31" s="68"/>
      <c r="I31" s="25"/>
      <c r="J31" s="89"/>
      <c r="K31" s="25"/>
      <c r="L31" s="25"/>
    </row>
    <row r="32" customFormat="false" ht="15" hidden="false" customHeight="false" outlineLevel="0" collapsed="false">
      <c r="A32" s="69"/>
      <c r="B32" s="25"/>
      <c r="C32" s="70"/>
      <c r="D32" s="90" t="str">
        <f aca="false">IF(A32="","",COUNTIFS(PT_Date,A32,PT_Pres,"P")+0.5*COUNTIFS(PT_Date,A32,PT_Pres,"1/2"))</f>
        <v/>
      </c>
      <c r="E32" s="25"/>
      <c r="F32" s="88" t="str">
        <f aca="false">IF(A32="","",COUNTIFS(MV_Date,A32,MV_Type,"Entrée"))</f>
        <v/>
      </c>
      <c r="G32" s="25"/>
      <c r="H32" s="68"/>
      <c r="I32" s="25"/>
      <c r="J32" s="89"/>
      <c r="K32" s="25"/>
      <c r="L32" s="25"/>
    </row>
    <row r="33" customFormat="false" ht="15" hidden="false" customHeight="false" outlineLevel="0" collapsed="false">
      <c r="A33" s="69"/>
      <c r="B33" s="25"/>
      <c r="C33" s="70"/>
      <c r="D33" s="90" t="str">
        <f aca="false">IF(A33="","",COUNTIFS(PT_Date,A33,PT_Pres,"P")+0.5*COUNTIFS(PT_Date,A33,PT_Pres,"1/2"))</f>
        <v/>
      </c>
      <c r="E33" s="25"/>
      <c r="F33" s="88" t="str">
        <f aca="false">IF(A33="","",COUNTIFS(MV_Date,A33,MV_Type,"Entrée"))</f>
        <v/>
      </c>
      <c r="G33" s="25"/>
      <c r="H33" s="68"/>
      <c r="I33" s="25"/>
      <c r="J33" s="89"/>
      <c r="K33" s="25"/>
      <c r="L33" s="25"/>
    </row>
    <row r="34" customFormat="false" ht="15" hidden="false" customHeight="false" outlineLevel="0" collapsed="false">
      <c r="A34" s="69"/>
      <c r="B34" s="25"/>
      <c r="C34" s="70"/>
      <c r="D34" s="90" t="str">
        <f aca="false">IF(A34="","",COUNTIFS(PT_Date,A34,PT_Pres,"P")+0.5*COUNTIFS(PT_Date,A34,PT_Pres,"1/2"))</f>
        <v/>
      </c>
      <c r="E34" s="25"/>
      <c r="F34" s="88" t="str">
        <f aca="false">IF(A34="","",COUNTIFS(MV_Date,A34,MV_Type,"Entrée"))</f>
        <v/>
      </c>
      <c r="G34" s="25"/>
      <c r="H34" s="68"/>
      <c r="I34" s="25"/>
      <c r="J34" s="89"/>
      <c r="K34" s="25"/>
      <c r="L34" s="25"/>
    </row>
    <row r="35" customFormat="false" ht="15" hidden="false" customHeight="false" outlineLevel="0" collapsed="false">
      <c r="A35" s="69"/>
      <c r="B35" s="25"/>
      <c r="C35" s="70"/>
      <c r="D35" s="90" t="str">
        <f aca="false">IF(A35="","",COUNTIFS(PT_Date,A35,PT_Pres,"P")+0.5*COUNTIFS(PT_Date,A35,PT_Pres,"1/2"))</f>
        <v/>
      </c>
      <c r="E35" s="25"/>
      <c r="F35" s="88" t="str">
        <f aca="false">IF(A35="","",COUNTIFS(MV_Date,A35,MV_Type,"Entrée"))</f>
        <v/>
      </c>
      <c r="G35" s="25"/>
      <c r="H35" s="68"/>
      <c r="I35" s="25"/>
      <c r="J35" s="89"/>
      <c r="K35" s="25"/>
      <c r="L35" s="25"/>
    </row>
    <row r="36" customFormat="false" ht="15" hidden="false" customHeight="false" outlineLevel="0" collapsed="false">
      <c r="A36" s="69"/>
      <c r="B36" s="25"/>
      <c r="C36" s="70"/>
      <c r="D36" s="90" t="str">
        <f aca="false">IF(A36="","",COUNTIFS(PT_Date,A36,PT_Pres,"P")+0.5*COUNTIFS(PT_Date,A36,PT_Pres,"1/2"))</f>
        <v/>
      </c>
      <c r="E36" s="25"/>
      <c r="F36" s="88" t="str">
        <f aca="false">IF(A36="","",COUNTIFS(MV_Date,A36,MV_Type,"Entrée"))</f>
        <v/>
      </c>
      <c r="G36" s="25"/>
      <c r="H36" s="68"/>
      <c r="I36" s="25"/>
      <c r="J36" s="89"/>
      <c r="K36" s="25"/>
      <c r="L36" s="25"/>
    </row>
    <row r="37" customFormat="false" ht="15" hidden="false" customHeight="false" outlineLevel="0" collapsed="false">
      <c r="A37" s="69"/>
      <c r="B37" s="25"/>
      <c r="C37" s="70"/>
      <c r="D37" s="90" t="str">
        <f aca="false">IF(A37="","",COUNTIFS(PT_Date,A37,PT_Pres,"P")+0.5*COUNTIFS(PT_Date,A37,PT_Pres,"1/2"))</f>
        <v/>
      </c>
      <c r="E37" s="25"/>
      <c r="F37" s="88" t="str">
        <f aca="false">IF(A37="","",COUNTIFS(MV_Date,A37,MV_Type,"Entrée"))</f>
        <v/>
      </c>
      <c r="G37" s="25"/>
      <c r="H37" s="68"/>
      <c r="I37" s="25"/>
      <c r="J37" s="89"/>
      <c r="K37" s="25"/>
      <c r="L37" s="25"/>
    </row>
    <row r="38" customFormat="false" ht="15" hidden="false" customHeight="false" outlineLevel="0" collapsed="false">
      <c r="A38" s="69"/>
      <c r="B38" s="25"/>
      <c r="C38" s="70"/>
      <c r="D38" s="90" t="str">
        <f aca="false">IF(A38="","",COUNTIFS(PT_Date,A38,PT_Pres,"P")+0.5*COUNTIFS(PT_Date,A38,PT_Pres,"1/2"))</f>
        <v/>
      </c>
      <c r="E38" s="25"/>
      <c r="F38" s="88" t="str">
        <f aca="false">IF(A38="","",COUNTIFS(MV_Date,A38,MV_Type,"Entrée"))</f>
        <v/>
      </c>
      <c r="G38" s="25"/>
      <c r="H38" s="68"/>
      <c r="I38" s="25"/>
      <c r="J38" s="89"/>
      <c r="K38" s="25"/>
      <c r="L38" s="25"/>
    </row>
    <row r="39" customFormat="false" ht="15" hidden="false" customHeight="false" outlineLevel="0" collapsed="false">
      <c r="A39" s="69"/>
      <c r="B39" s="25"/>
      <c r="C39" s="70"/>
      <c r="D39" s="90" t="str">
        <f aca="false">IF(A39="","",COUNTIFS(PT_Date,A39,PT_Pres,"P")+0.5*COUNTIFS(PT_Date,A39,PT_Pres,"1/2"))</f>
        <v/>
      </c>
      <c r="E39" s="25"/>
      <c r="F39" s="88" t="str">
        <f aca="false">IF(A39="","",COUNTIFS(MV_Date,A39,MV_Type,"Entrée"))</f>
        <v/>
      </c>
      <c r="G39" s="25"/>
      <c r="H39" s="68"/>
      <c r="I39" s="25"/>
      <c r="J39" s="89"/>
      <c r="K39" s="25"/>
      <c r="L39" s="25"/>
    </row>
    <row r="40" customFormat="false" ht="15" hidden="false" customHeight="false" outlineLevel="0" collapsed="false">
      <c r="A40" s="69"/>
      <c r="B40" s="25"/>
      <c r="C40" s="70"/>
      <c r="D40" s="90" t="str">
        <f aca="false">IF(A40="","",COUNTIFS(PT_Date,A40,PT_Pres,"P")+0.5*COUNTIFS(PT_Date,A40,PT_Pres,"1/2"))</f>
        <v/>
      </c>
      <c r="E40" s="25"/>
      <c r="F40" s="88" t="str">
        <f aca="false">IF(A40="","",COUNTIFS(MV_Date,A40,MV_Type,"Entrée"))</f>
        <v/>
      </c>
      <c r="G40" s="25"/>
      <c r="H40" s="68"/>
      <c r="I40" s="25"/>
      <c r="J40" s="89"/>
      <c r="K40" s="25"/>
      <c r="L40" s="25"/>
    </row>
    <row r="41" customFormat="false" ht="15" hidden="false" customHeight="false" outlineLevel="0" collapsed="false">
      <c r="A41" s="69"/>
      <c r="B41" s="25"/>
      <c r="C41" s="70"/>
      <c r="D41" s="90" t="str">
        <f aca="false">IF(A41="","",COUNTIFS(PT_Date,A41,PT_Pres,"P")+0.5*COUNTIFS(PT_Date,A41,PT_Pres,"1/2"))</f>
        <v/>
      </c>
      <c r="E41" s="25"/>
      <c r="F41" s="88" t="str">
        <f aca="false">IF(A41="","",COUNTIFS(MV_Date,A41,MV_Type,"Entrée"))</f>
        <v/>
      </c>
      <c r="G41" s="25"/>
      <c r="H41" s="68"/>
      <c r="I41" s="25"/>
      <c r="J41" s="89"/>
      <c r="K41" s="25"/>
      <c r="L41" s="25"/>
    </row>
    <row r="42" customFormat="false" ht="15" hidden="false" customHeight="false" outlineLevel="0" collapsed="false">
      <c r="A42" s="69"/>
      <c r="B42" s="25"/>
      <c r="C42" s="70"/>
      <c r="D42" s="90" t="str">
        <f aca="false">IF(A42="","",COUNTIFS(PT_Date,A42,PT_Pres,"P")+0.5*COUNTIFS(PT_Date,A42,PT_Pres,"1/2"))</f>
        <v/>
      </c>
      <c r="E42" s="25"/>
      <c r="F42" s="88" t="str">
        <f aca="false">IF(A42="","",COUNTIFS(MV_Date,A42,MV_Type,"Entrée"))</f>
        <v/>
      </c>
      <c r="G42" s="25"/>
      <c r="H42" s="68"/>
      <c r="I42" s="25"/>
      <c r="J42" s="89"/>
      <c r="K42" s="25"/>
      <c r="L42" s="25"/>
    </row>
    <row r="43" customFormat="false" ht="15" hidden="false" customHeight="false" outlineLevel="0" collapsed="false">
      <c r="A43" s="69"/>
      <c r="B43" s="25"/>
      <c r="C43" s="70"/>
      <c r="D43" s="90" t="str">
        <f aca="false">IF(A43="","",COUNTIFS(PT_Date,A43,PT_Pres,"P")+0.5*COUNTIFS(PT_Date,A43,PT_Pres,"1/2"))</f>
        <v/>
      </c>
      <c r="E43" s="25"/>
      <c r="F43" s="88" t="str">
        <f aca="false">IF(A43="","",COUNTIFS(MV_Date,A43,MV_Type,"Entrée"))</f>
        <v/>
      </c>
      <c r="G43" s="25"/>
      <c r="H43" s="68"/>
      <c r="I43" s="25"/>
      <c r="J43" s="89"/>
      <c r="K43" s="25"/>
      <c r="L43" s="25"/>
    </row>
    <row r="44" customFormat="false" ht="15" hidden="false" customHeight="false" outlineLevel="0" collapsed="false">
      <c r="A44" s="69"/>
      <c r="B44" s="25"/>
      <c r="C44" s="70"/>
      <c r="D44" s="90" t="str">
        <f aca="false">IF(A44="","",COUNTIFS(PT_Date,A44,PT_Pres,"P")+0.5*COUNTIFS(PT_Date,A44,PT_Pres,"1/2"))</f>
        <v/>
      </c>
      <c r="E44" s="25"/>
      <c r="F44" s="88" t="str">
        <f aca="false">IF(A44="","",COUNTIFS(MV_Date,A44,MV_Type,"Entrée"))</f>
        <v/>
      </c>
      <c r="G44" s="25"/>
      <c r="H44" s="68"/>
      <c r="I44" s="25"/>
      <c r="J44" s="89"/>
      <c r="K44" s="25"/>
      <c r="L44" s="25"/>
    </row>
    <row r="45" customFormat="false" ht="15" hidden="false" customHeight="false" outlineLevel="0" collapsed="false">
      <c r="A45" s="69"/>
      <c r="B45" s="25"/>
      <c r="C45" s="70"/>
      <c r="D45" s="90" t="str">
        <f aca="false">IF(A45="","",COUNTIFS(PT_Date,A45,PT_Pres,"P")+0.5*COUNTIFS(PT_Date,A45,PT_Pres,"1/2"))</f>
        <v/>
      </c>
      <c r="E45" s="25"/>
      <c r="F45" s="88" t="str">
        <f aca="false">IF(A45="","",COUNTIFS(MV_Date,A45,MV_Type,"Entrée"))</f>
        <v/>
      </c>
      <c r="G45" s="25"/>
      <c r="H45" s="68"/>
      <c r="I45" s="25"/>
      <c r="J45" s="89"/>
      <c r="K45" s="25"/>
      <c r="L45" s="25"/>
    </row>
    <row r="46" customFormat="false" ht="15" hidden="false" customHeight="false" outlineLevel="0" collapsed="false">
      <c r="A46" s="69"/>
      <c r="B46" s="25"/>
      <c r="C46" s="70"/>
      <c r="D46" s="90" t="str">
        <f aca="false">IF(A46="","",COUNTIFS(PT_Date,A46,PT_Pres,"P")+0.5*COUNTIFS(PT_Date,A46,PT_Pres,"1/2"))</f>
        <v/>
      </c>
      <c r="E46" s="25"/>
      <c r="F46" s="88" t="str">
        <f aca="false">IF(A46="","",COUNTIFS(MV_Date,A46,MV_Type,"Entrée"))</f>
        <v/>
      </c>
      <c r="G46" s="25"/>
      <c r="H46" s="68"/>
      <c r="I46" s="25"/>
      <c r="J46" s="89"/>
      <c r="K46" s="25"/>
      <c r="L46" s="25"/>
    </row>
    <row r="47" customFormat="false" ht="15" hidden="false" customHeight="false" outlineLevel="0" collapsed="false">
      <c r="A47" s="69"/>
      <c r="B47" s="25"/>
      <c r="C47" s="70"/>
      <c r="D47" s="90" t="str">
        <f aca="false">IF(A47="","",COUNTIFS(PT_Date,A47,PT_Pres,"P")+0.5*COUNTIFS(PT_Date,A47,PT_Pres,"1/2"))</f>
        <v/>
      </c>
      <c r="E47" s="25"/>
      <c r="F47" s="88" t="str">
        <f aca="false">IF(A47="","",COUNTIFS(MV_Date,A47,MV_Type,"Entrée"))</f>
        <v/>
      </c>
      <c r="G47" s="25"/>
      <c r="H47" s="68"/>
      <c r="I47" s="25"/>
      <c r="J47" s="89"/>
      <c r="K47" s="25"/>
      <c r="L47" s="25"/>
    </row>
    <row r="48" customFormat="false" ht="15" hidden="false" customHeight="false" outlineLevel="0" collapsed="false">
      <c r="A48" s="69"/>
      <c r="B48" s="25"/>
      <c r="C48" s="70"/>
      <c r="D48" s="90" t="str">
        <f aca="false">IF(A48="","",COUNTIFS(PT_Date,A48,PT_Pres,"P")+0.5*COUNTIFS(PT_Date,A48,PT_Pres,"1/2"))</f>
        <v/>
      </c>
      <c r="E48" s="25"/>
      <c r="F48" s="88" t="str">
        <f aca="false">IF(A48="","",COUNTIFS(MV_Date,A48,MV_Type,"Entrée"))</f>
        <v/>
      </c>
      <c r="G48" s="25"/>
      <c r="H48" s="68"/>
      <c r="I48" s="25"/>
      <c r="J48" s="89"/>
      <c r="K48" s="25"/>
      <c r="L48" s="25"/>
    </row>
    <row r="49" customFormat="false" ht="15" hidden="false" customHeight="false" outlineLevel="0" collapsed="false">
      <c r="A49" s="69"/>
      <c r="B49" s="25"/>
      <c r="C49" s="70"/>
      <c r="D49" s="90" t="str">
        <f aca="false">IF(A49="","",COUNTIFS(PT_Date,A49,PT_Pres,"P")+0.5*COUNTIFS(PT_Date,A49,PT_Pres,"1/2"))</f>
        <v/>
      </c>
      <c r="E49" s="25"/>
      <c r="F49" s="88" t="str">
        <f aca="false">IF(A49="","",COUNTIFS(MV_Date,A49,MV_Type,"Entrée"))</f>
        <v/>
      </c>
      <c r="G49" s="25"/>
      <c r="H49" s="68"/>
      <c r="I49" s="25"/>
      <c r="J49" s="89"/>
      <c r="K49" s="25"/>
      <c r="L49" s="25"/>
    </row>
    <row r="50" customFormat="false" ht="15" hidden="false" customHeight="false" outlineLevel="0" collapsed="false">
      <c r="A50" s="69"/>
      <c r="B50" s="25"/>
      <c r="C50" s="70"/>
      <c r="D50" s="90" t="str">
        <f aca="false">IF(A50="","",COUNTIFS(PT_Date,A50,PT_Pres,"P")+0.5*COUNTIFS(PT_Date,A50,PT_Pres,"1/2"))</f>
        <v/>
      </c>
      <c r="E50" s="25"/>
      <c r="F50" s="88" t="str">
        <f aca="false">IF(A50="","",COUNTIFS(MV_Date,A50,MV_Type,"Entrée"))</f>
        <v/>
      </c>
      <c r="G50" s="25"/>
      <c r="H50" s="68"/>
      <c r="I50" s="25"/>
      <c r="J50" s="89"/>
      <c r="K50" s="25"/>
      <c r="L50" s="25"/>
    </row>
    <row r="51" customFormat="false" ht="15" hidden="false" customHeight="false" outlineLevel="0" collapsed="false">
      <c r="A51" s="69"/>
      <c r="B51" s="25"/>
      <c r="C51" s="70"/>
      <c r="D51" s="90" t="str">
        <f aca="false">IF(A51="","",COUNTIFS(PT_Date,A51,PT_Pres,"P")+0.5*COUNTIFS(PT_Date,A51,PT_Pres,"1/2"))</f>
        <v/>
      </c>
      <c r="E51" s="25"/>
      <c r="F51" s="88" t="str">
        <f aca="false">IF(A51="","",COUNTIFS(MV_Date,A51,MV_Type,"Entrée"))</f>
        <v/>
      </c>
      <c r="G51" s="25"/>
      <c r="H51" s="68"/>
      <c r="I51" s="25"/>
      <c r="J51" s="89"/>
      <c r="K51" s="25"/>
      <c r="L51" s="25"/>
    </row>
    <row r="52" customFormat="false" ht="15" hidden="false" customHeight="false" outlineLevel="0" collapsed="false">
      <c r="A52" s="69"/>
      <c r="B52" s="25"/>
      <c r="C52" s="70"/>
      <c r="D52" s="90" t="str">
        <f aca="false">IF(A52="","",COUNTIFS(PT_Date,A52,PT_Pres,"P")+0.5*COUNTIFS(PT_Date,A52,PT_Pres,"1/2"))</f>
        <v/>
      </c>
      <c r="E52" s="25"/>
      <c r="F52" s="88" t="str">
        <f aca="false">IF(A52="","",COUNTIFS(MV_Date,A52,MV_Type,"Entrée"))</f>
        <v/>
      </c>
      <c r="G52" s="25"/>
      <c r="H52" s="68"/>
      <c r="I52" s="25"/>
      <c r="J52" s="89"/>
      <c r="K52" s="25"/>
      <c r="L52" s="25"/>
    </row>
    <row r="53" customFormat="false" ht="15" hidden="false" customHeight="false" outlineLevel="0" collapsed="false">
      <c r="A53" s="69"/>
      <c r="B53" s="25"/>
      <c r="C53" s="70"/>
      <c r="D53" s="90" t="str">
        <f aca="false">IF(A53="","",COUNTIFS(PT_Date,A53,PT_Pres,"P")+0.5*COUNTIFS(PT_Date,A53,PT_Pres,"1/2"))</f>
        <v/>
      </c>
      <c r="E53" s="25"/>
      <c r="F53" s="88" t="str">
        <f aca="false">IF(A53="","",COUNTIFS(MV_Date,A53,MV_Type,"Entrée"))</f>
        <v/>
      </c>
      <c r="G53" s="25"/>
      <c r="H53" s="68"/>
      <c r="I53" s="25"/>
      <c r="J53" s="89"/>
      <c r="K53" s="25"/>
      <c r="L53" s="25"/>
    </row>
    <row r="54" customFormat="false" ht="15" hidden="false" customHeight="false" outlineLevel="0" collapsed="false">
      <c r="A54" s="69"/>
      <c r="B54" s="25"/>
      <c r="C54" s="70"/>
      <c r="D54" s="90" t="str">
        <f aca="false">IF(A54="","",COUNTIFS(PT_Date,A54,PT_Pres,"P")+0.5*COUNTIFS(PT_Date,A54,PT_Pres,"1/2"))</f>
        <v/>
      </c>
      <c r="E54" s="25"/>
      <c r="F54" s="88" t="str">
        <f aca="false">IF(A54="","",COUNTIFS(MV_Date,A54,MV_Type,"Entrée"))</f>
        <v/>
      </c>
      <c r="G54" s="25"/>
      <c r="H54" s="68"/>
      <c r="I54" s="25"/>
      <c r="J54" s="89"/>
      <c r="K54" s="25"/>
      <c r="L54" s="25"/>
    </row>
    <row r="55" customFormat="false" ht="15" hidden="false" customHeight="false" outlineLevel="0" collapsed="false">
      <c r="A55" s="69"/>
      <c r="B55" s="25"/>
      <c r="C55" s="70"/>
      <c r="D55" s="90" t="str">
        <f aca="false">IF(A55="","",COUNTIFS(PT_Date,A55,PT_Pres,"P")+0.5*COUNTIFS(PT_Date,A55,PT_Pres,"1/2"))</f>
        <v/>
      </c>
      <c r="E55" s="25"/>
      <c r="F55" s="88" t="str">
        <f aca="false">IF(A55="","",COUNTIFS(MV_Date,A55,MV_Type,"Entrée"))</f>
        <v/>
      </c>
      <c r="G55" s="25"/>
      <c r="H55" s="68"/>
      <c r="I55" s="25"/>
      <c r="J55" s="89"/>
      <c r="K55" s="25"/>
      <c r="L55" s="25"/>
    </row>
    <row r="56" customFormat="false" ht="15" hidden="false" customHeight="false" outlineLevel="0" collapsed="false">
      <c r="A56" s="69"/>
      <c r="B56" s="25"/>
      <c r="C56" s="70"/>
      <c r="D56" s="90" t="str">
        <f aca="false">IF(A56="","",COUNTIFS(PT_Date,A56,PT_Pres,"P")+0.5*COUNTIFS(PT_Date,A56,PT_Pres,"1/2"))</f>
        <v/>
      </c>
      <c r="E56" s="25"/>
      <c r="F56" s="88" t="str">
        <f aca="false">IF(A56="","",COUNTIFS(MV_Date,A56,MV_Type,"Entrée"))</f>
        <v/>
      </c>
      <c r="G56" s="25"/>
      <c r="H56" s="68"/>
      <c r="I56" s="25"/>
      <c r="J56" s="89"/>
      <c r="K56" s="25"/>
      <c r="L56" s="25"/>
    </row>
    <row r="57" customFormat="false" ht="15" hidden="false" customHeight="false" outlineLevel="0" collapsed="false">
      <c r="A57" s="69"/>
      <c r="B57" s="25"/>
      <c r="C57" s="70"/>
      <c r="D57" s="90" t="str">
        <f aca="false">IF(A57="","",COUNTIFS(PT_Date,A57,PT_Pres,"P")+0.5*COUNTIFS(PT_Date,A57,PT_Pres,"1/2"))</f>
        <v/>
      </c>
      <c r="E57" s="25"/>
      <c r="F57" s="88" t="str">
        <f aca="false">IF(A57="","",COUNTIFS(MV_Date,A57,MV_Type,"Entrée"))</f>
        <v/>
      </c>
      <c r="G57" s="25"/>
      <c r="H57" s="68"/>
      <c r="I57" s="25"/>
      <c r="J57" s="89"/>
      <c r="K57" s="25"/>
      <c r="L57" s="25"/>
    </row>
    <row r="58" customFormat="false" ht="15" hidden="false" customHeight="false" outlineLevel="0" collapsed="false">
      <c r="A58" s="69"/>
      <c r="B58" s="25"/>
      <c r="C58" s="70"/>
      <c r="D58" s="90" t="str">
        <f aca="false">IF(A58="","",COUNTIFS(PT_Date,A58,PT_Pres,"P")+0.5*COUNTIFS(PT_Date,A58,PT_Pres,"1/2"))</f>
        <v/>
      </c>
      <c r="E58" s="25"/>
      <c r="F58" s="88" t="str">
        <f aca="false">IF(A58="","",COUNTIFS(MV_Date,A58,MV_Type,"Entrée"))</f>
        <v/>
      </c>
      <c r="G58" s="25"/>
      <c r="H58" s="68"/>
      <c r="I58" s="25"/>
      <c r="J58" s="89"/>
      <c r="K58" s="25"/>
      <c r="L58" s="25"/>
    </row>
    <row r="59" customFormat="false" ht="15" hidden="false" customHeight="false" outlineLevel="0" collapsed="false">
      <c r="A59" s="69"/>
      <c r="B59" s="25"/>
      <c r="C59" s="70"/>
      <c r="D59" s="90" t="str">
        <f aca="false">IF(A59="","",COUNTIFS(PT_Date,A59,PT_Pres,"P")+0.5*COUNTIFS(PT_Date,A59,PT_Pres,"1/2"))</f>
        <v/>
      </c>
      <c r="E59" s="25"/>
      <c r="F59" s="88" t="str">
        <f aca="false">IF(A59="","",COUNTIFS(MV_Date,A59,MV_Type,"Entrée"))</f>
        <v/>
      </c>
      <c r="G59" s="25"/>
      <c r="H59" s="68"/>
      <c r="I59" s="25"/>
      <c r="J59" s="89"/>
      <c r="K59" s="25"/>
      <c r="L59" s="25"/>
    </row>
    <row r="60" customFormat="false" ht="15" hidden="false" customHeight="false" outlineLevel="0" collapsed="false">
      <c r="A60" s="69"/>
      <c r="B60" s="25"/>
      <c r="C60" s="70"/>
      <c r="D60" s="90" t="str">
        <f aca="false">IF(A60="","",COUNTIFS(PT_Date,A60,PT_Pres,"P")+0.5*COUNTIFS(PT_Date,A60,PT_Pres,"1/2"))</f>
        <v/>
      </c>
      <c r="E60" s="25"/>
      <c r="F60" s="88" t="str">
        <f aca="false">IF(A60="","",COUNTIFS(MV_Date,A60,MV_Type,"Entrée"))</f>
        <v/>
      </c>
      <c r="G60" s="25"/>
      <c r="H60" s="68"/>
      <c r="I60" s="25"/>
      <c r="J60" s="89"/>
      <c r="K60" s="25"/>
      <c r="L60" s="25"/>
    </row>
    <row r="61" customFormat="false" ht="15" hidden="false" customHeight="false" outlineLevel="0" collapsed="false">
      <c r="A61" s="69"/>
      <c r="B61" s="25"/>
      <c r="C61" s="70"/>
      <c r="D61" s="90" t="str">
        <f aca="false">IF(A61="","",COUNTIFS(PT_Date,A61,PT_Pres,"P")+0.5*COUNTIFS(PT_Date,A61,PT_Pres,"1/2"))</f>
        <v/>
      </c>
      <c r="E61" s="25"/>
      <c r="F61" s="88" t="str">
        <f aca="false">IF(A61="","",COUNTIFS(MV_Date,A61,MV_Type,"Entrée"))</f>
        <v/>
      </c>
      <c r="G61" s="25"/>
      <c r="H61" s="68"/>
      <c r="I61" s="25"/>
      <c r="J61" s="89"/>
      <c r="K61" s="25"/>
      <c r="L61" s="25"/>
    </row>
    <row r="62" customFormat="false" ht="15" hidden="false" customHeight="false" outlineLevel="0" collapsed="false">
      <c r="A62" s="69"/>
      <c r="B62" s="25"/>
      <c r="C62" s="70"/>
      <c r="D62" s="90" t="str">
        <f aca="false">IF(A62="","",COUNTIFS(PT_Date,A62,PT_Pres,"P")+0.5*COUNTIFS(PT_Date,A62,PT_Pres,"1/2"))</f>
        <v/>
      </c>
      <c r="E62" s="25"/>
      <c r="F62" s="88" t="str">
        <f aca="false">IF(A62="","",COUNTIFS(MV_Date,A62,MV_Type,"Entrée"))</f>
        <v/>
      </c>
      <c r="G62" s="25"/>
      <c r="H62" s="68"/>
      <c r="I62" s="25"/>
      <c r="J62" s="89"/>
      <c r="K62" s="25"/>
      <c r="L62" s="25"/>
    </row>
    <row r="63" customFormat="false" ht="15" hidden="false" customHeight="false" outlineLevel="0" collapsed="false">
      <c r="A63" s="69"/>
      <c r="B63" s="25"/>
      <c r="C63" s="70"/>
      <c r="D63" s="90" t="str">
        <f aca="false">IF(A63="","",COUNTIFS(PT_Date,A63,PT_Pres,"P")+0.5*COUNTIFS(PT_Date,A63,PT_Pres,"1/2"))</f>
        <v/>
      </c>
      <c r="E63" s="25"/>
      <c r="F63" s="88" t="str">
        <f aca="false">IF(A63="","",COUNTIFS(MV_Date,A63,MV_Type,"Entrée"))</f>
        <v/>
      </c>
      <c r="G63" s="25"/>
      <c r="H63" s="68"/>
      <c r="I63" s="25"/>
      <c r="J63" s="89"/>
      <c r="K63" s="25"/>
      <c r="L63" s="25"/>
    </row>
    <row r="64" customFormat="false" ht="15" hidden="false" customHeight="false" outlineLevel="0" collapsed="false">
      <c r="A64" s="69"/>
      <c r="B64" s="25"/>
      <c r="C64" s="70"/>
      <c r="D64" s="90" t="str">
        <f aca="false">IF(A64="","",COUNTIFS(PT_Date,A64,PT_Pres,"P")+0.5*COUNTIFS(PT_Date,A64,PT_Pres,"1/2"))</f>
        <v/>
      </c>
      <c r="E64" s="25"/>
      <c r="F64" s="88" t="str">
        <f aca="false">IF(A64="","",COUNTIFS(MV_Date,A64,MV_Type,"Entrée"))</f>
        <v/>
      </c>
      <c r="G64" s="25"/>
      <c r="H64" s="68"/>
      <c r="I64" s="25"/>
      <c r="J64" s="89"/>
      <c r="K64" s="25"/>
      <c r="L64" s="25"/>
    </row>
    <row r="65" customFormat="false" ht="15" hidden="false" customHeight="false" outlineLevel="0" collapsed="false">
      <c r="A65" s="69"/>
      <c r="B65" s="25"/>
      <c r="C65" s="70"/>
      <c r="D65" s="90" t="str">
        <f aca="false">IF(A65="","",COUNTIFS(PT_Date,A65,PT_Pres,"P")+0.5*COUNTIFS(PT_Date,A65,PT_Pres,"1/2"))</f>
        <v/>
      </c>
      <c r="E65" s="25"/>
      <c r="F65" s="88" t="str">
        <f aca="false">IF(A65="","",COUNTIFS(MV_Date,A65,MV_Type,"Entrée"))</f>
        <v/>
      </c>
      <c r="G65" s="25"/>
      <c r="H65" s="68"/>
      <c r="I65" s="25"/>
      <c r="J65" s="89"/>
      <c r="K65" s="25"/>
      <c r="L65" s="25"/>
    </row>
    <row r="66" customFormat="false" ht="15" hidden="false" customHeight="false" outlineLevel="0" collapsed="false">
      <c r="A66" s="69"/>
      <c r="B66" s="25"/>
      <c r="C66" s="70"/>
      <c r="D66" s="90" t="str">
        <f aca="false">IF(A66="","",COUNTIFS(PT_Date,A66,PT_Pres,"P")+0.5*COUNTIFS(PT_Date,A66,PT_Pres,"1/2"))</f>
        <v/>
      </c>
      <c r="E66" s="25"/>
      <c r="F66" s="88" t="str">
        <f aca="false">IF(A66="","",COUNTIFS(MV_Date,A66,MV_Type,"Entrée"))</f>
        <v/>
      </c>
      <c r="G66" s="25"/>
      <c r="H66" s="68"/>
      <c r="I66" s="25"/>
      <c r="J66" s="89"/>
      <c r="K66" s="25"/>
      <c r="L66" s="25"/>
    </row>
    <row r="67" customFormat="false" ht="15" hidden="false" customHeight="false" outlineLevel="0" collapsed="false">
      <c r="A67" s="69"/>
      <c r="B67" s="25"/>
      <c r="C67" s="70"/>
      <c r="D67" s="90" t="str">
        <f aca="false">IF(A67="","",COUNTIFS(PT_Date,A67,PT_Pres,"P")+0.5*COUNTIFS(PT_Date,A67,PT_Pres,"1/2"))</f>
        <v/>
      </c>
      <c r="E67" s="25"/>
      <c r="F67" s="88" t="str">
        <f aca="false">IF(A67="","",COUNTIFS(MV_Date,A67,MV_Type,"Entrée"))</f>
        <v/>
      </c>
      <c r="G67" s="25"/>
      <c r="H67" s="68"/>
      <c r="I67" s="25"/>
      <c r="J67" s="89"/>
      <c r="K67" s="25"/>
      <c r="L67" s="25"/>
    </row>
    <row r="68" customFormat="false" ht="15" hidden="false" customHeight="false" outlineLevel="0" collapsed="false">
      <c r="A68" s="69"/>
      <c r="B68" s="25"/>
      <c r="C68" s="70"/>
      <c r="D68" s="90" t="str">
        <f aca="false">IF(A68="","",COUNTIFS(PT_Date,A68,PT_Pres,"P")+0.5*COUNTIFS(PT_Date,A68,PT_Pres,"1/2"))</f>
        <v/>
      </c>
      <c r="E68" s="25"/>
      <c r="F68" s="88" t="str">
        <f aca="false">IF(A68="","",COUNTIFS(MV_Date,A68,MV_Type,"Entrée"))</f>
        <v/>
      </c>
      <c r="G68" s="25"/>
      <c r="H68" s="68"/>
      <c r="I68" s="25"/>
      <c r="J68" s="89"/>
      <c r="K68" s="25"/>
      <c r="L68" s="25"/>
    </row>
    <row r="69" customFormat="false" ht="15" hidden="false" customHeight="false" outlineLevel="0" collapsed="false">
      <c r="A69" s="69"/>
      <c r="B69" s="25"/>
      <c r="C69" s="70"/>
      <c r="D69" s="90" t="str">
        <f aca="false">IF(A69="","",COUNTIFS(PT_Date,A69,PT_Pres,"P")+0.5*COUNTIFS(PT_Date,A69,PT_Pres,"1/2"))</f>
        <v/>
      </c>
      <c r="E69" s="25"/>
      <c r="F69" s="88" t="str">
        <f aca="false">IF(A69="","",COUNTIFS(MV_Date,A69,MV_Type,"Entrée"))</f>
        <v/>
      </c>
      <c r="G69" s="25"/>
      <c r="H69" s="68"/>
      <c r="I69" s="25"/>
      <c r="J69" s="89"/>
      <c r="K69" s="25"/>
      <c r="L69" s="25"/>
    </row>
    <row r="70" customFormat="false" ht="15" hidden="false" customHeight="false" outlineLevel="0" collapsed="false">
      <c r="A70" s="69"/>
      <c r="B70" s="25"/>
      <c r="C70" s="70"/>
      <c r="D70" s="90" t="str">
        <f aca="false">IF(A70="","",COUNTIFS(PT_Date,A70,PT_Pres,"P")+0.5*COUNTIFS(PT_Date,A70,PT_Pres,"1/2"))</f>
        <v/>
      </c>
      <c r="E70" s="25"/>
      <c r="F70" s="88" t="str">
        <f aca="false">IF(A70="","",COUNTIFS(MV_Date,A70,MV_Type,"Entrée"))</f>
        <v/>
      </c>
      <c r="G70" s="25"/>
      <c r="H70" s="68"/>
      <c r="I70" s="25"/>
      <c r="J70" s="89"/>
      <c r="K70" s="25"/>
      <c r="L70" s="25"/>
    </row>
    <row r="71" customFormat="false" ht="15" hidden="false" customHeight="false" outlineLevel="0" collapsed="false">
      <c r="A71" s="69"/>
      <c r="B71" s="25"/>
      <c r="C71" s="70"/>
      <c r="D71" s="90" t="str">
        <f aca="false">IF(A71="","",COUNTIFS(PT_Date,A71,PT_Pres,"P")+0.5*COUNTIFS(PT_Date,A71,PT_Pres,"1/2"))</f>
        <v/>
      </c>
      <c r="E71" s="25"/>
      <c r="F71" s="88" t="str">
        <f aca="false">IF(A71="","",COUNTIFS(MV_Date,A71,MV_Type,"Entrée"))</f>
        <v/>
      </c>
      <c r="G71" s="25"/>
      <c r="H71" s="68"/>
      <c r="I71" s="25"/>
      <c r="J71" s="89"/>
      <c r="K71" s="25"/>
      <c r="L71" s="25"/>
    </row>
    <row r="72" customFormat="false" ht="15" hidden="false" customHeight="false" outlineLevel="0" collapsed="false">
      <c r="A72" s="69"/>
      <c r="B72" s="25"/>
      <c r="C72" s="70"/>
      <c r="D72" s="90" t="str">
        <f aca="false">IF(A72="","",COUNTIFS(PT_Date,A72,PT_Pres,"P")+0.5*COUNTIFS(PT_Date,A72,PT_Pres,"1/2"))</f>
        <v/>
      </c>
      <c r="E72" s="25"/>
      <c r="F72" s="88" t="str">
        <f aca="false">IF(A72="","",COUNTIFS(MV_Date,A72,MV_Type,"Entrée"))</f>
        <v/>
      </c>
      <c r="G72" s="25"/>
      <c r="H72" s="68"/>
      <c r="I72" s="25"/>
      <c r="J72" s="89"/>
      <c r="K72" s="25"/>
      <c r="L72" s="25"/>
    </row>
    <row r="73" customFormat="false" ht="15" hidden="false" customHeight="false" outlineLevel="0" collapsed="false">
      <c r="A73" s="69"/>
      <c r="B73" s="25"/>
      <c r="C73" s="70"/>
      <c r="D73" s="90" t="str">
        <f aca="false">IF(A73="","",COUNTIFS(PT_Date,A73,PT_Pres,"P")+0.5*COUNTIFS(PT_Date,A73,PT_Pres,"1/2"))</f>
        <v/>
      </c>
      <c r="E73" s="25"/>
      <c r="F73" s="88" t="str">
        <f aca="false">IF(A73="","",COUNTIFS(MV_Date,A73,MV_Type,"Entrée"))</f>
        <v/>
      </c>
      <c r="G73" s="25"/>
      <c r="H73" s="68"/>
      <c r="I73" s="25"/>
      <c r="J73" s="89"/>
      <c r="K73" s="25"/>
      <c r="L73" s="25"/>
    </row>
    <row r="74" customFormat="false" ht="15" hidden="false" customHeight="false" outlineLevel="0" collapsed="false">
      <c r="A74" s="69"/>
      <c r="B74" s="25"/>
      <c r="C74" s="70"/>
      <c r="D74" s="90" t="str">
        <f aca="false">IF(A74="","",COUNTIFS(PT_Date,A74,PT_Pres,"P")+0.5*COUNTIFS(PT_Date,A74,PT_Pres,"1/2"))</f>
        <v/>
      </c>
      <c r="E74" s="25"/>
      <c r="F74" s="88" t="str">
        <f aca="false">IF(A74="","",COUNTIFS(MV_Date,A74,MV_Type,"Entrée"))</f>
        <v/>
      </c>
      <c r="G74" s="25"/>
      <c r="H74" s="68"/>
      <c r="I74" s="25"/>
      <c r="J74" s="89"/>
      <c r="K74" s="25"/>
      <c r="L74" s="25"/>
    </row>
    <row r="75" customFormat="false" ht="15" hidden="false" customHeight="false" outlineLevel="0" collapsed="false">
      <c r="A75" s="69"/>
      <c r="B75" s="25"/>
      <c r="C75" s="70"/>
      <c r="D75" s="90" t="str">
        <f aca="false">IF(A75="","",COUNTIFS(PT_Date,A75,PT_Pres,"P")+0.5*COUNTIFS(PT_Date,A75,PT_Pres,"1/2"))</f>
        <v/>
      </c>
      <c r="E75" s="25"/>
      <c r="F75" s="88" t="str">
        <f aca="false">IF(A75="","",COUNTIFS(MV_Date,A75,MV_Type,"Entrée"))</f>
        <v/>
      </c>
      <c r="G75" s="25"/>
      <c r="H75" s="68"/>
      <c r="I75" s="25"/>
      <c r="J75" s="89"/>
      <c r="K75" s="25"/>
      <c r="L75" s="25"/>
    </row>
    <row r="76" customFormat="false" ht="15" hidden="false" customHeight="false" outlineLevel="0" collapsed="false">
      <c r="A76" s="69"/>
      <c r="B76" s="25"/>
      <c r="C76" s="70"/>
      <c r="D76" s="90" t="str">
        <f aca="false">IF(A76="","",COUNTIFS(PT_Date,A76,PT_Pres,"P")+0.5*COUNTIFS(PT_Date,A76,PT_Pres,"1/2"))</f>
        <v/>
      </c>
      <c r="E76" s="25"/>
      <c r="F76" s="88" t="str">
        <f aca="false">IF(A76="","",COUNTIFS(MV_Date,A76,MV_Type,"Entrée"))</f>
        <v/>
      </c>
      <c r="G76" s="25"/>
      <c r="H76" s="68"/>
      <c r="I76" s="25"/>
      <c r="J76" s="89"/>
      <c r="K76" s="25"/>
      <c r="L76" s="25"/>
    </row>
    <row r="77" customFormat="false" ht="15" hidden="false" customHeight="false" outlineLevel="0" collapsed="false">
      <c r="A77" s="69"/>
      <c r="B77" s="25"/>
      <c r="C77" s="70"/>
      <c r="D77" s="90" t="str">
        <f aca="false">IF(A77="","",COUNTIFS(PT_Date,A77,PT_Pres,"P")+0.5*COUNTIFS(PT_Date,A77,PT_Pres,"1/2"))</f>
        <v/>
      </c>
      <c r="E77" s="25"/>
      <c r="F77" s="88" t="str">
        <f aca="false">IF(A77="","",COUNTIFS(MV_Date,A77,MV_Type,"Entrée"))</f>
        <v/>
      </c>
      <c r="G77" s="25"/>
      <c r="H77" s="68"/>
      <c r="I77" s="25"/>
      <c r="J77" s="89"/>
      <c r="K77" s="25"/>
      <c r="L77" s="25"/>
    </row>
    <row r="78" customFormat="false" ht="15" hidden="false" customHeight="false" outlineLevel="0" collapsed="false">
      <c r="A78" s="69"/>
      <c r="B78" s="25"/>
      <c r="C78" s="70"/>
      <c r="D78" s="90" t="str">
        <f aca="false">IF(A78="","",COUNTIFS(PT_Date,A78,PT_Pres,"P")+0.5*COUNTIFS(PT_Date,A78,PT_Pres,"1/2"))</f>
        <v/>
      </c>
      <c r="E78" s="25"/>
      <c r="F78" s="88" t="str">
        <f aca="false">IF(A78="","",COUNTIFS(MV_Date,A78,MV_Type,"Entrée"))</f>
        <v/>
      </c>
      <c r="G78" s="25"/>
      <c r="H78" s="68"/>
      <c r="I78" s="25"/>
      <c r="J78" s="89"/>
      <c r="K78" s="25"/>
      <c r="L78" s="25"/>
    </row>
    <row r="79" customFormat="false" ht="15" hidden="false" customHeight="false" outlineLevel="0" collapsed="false">
      <c r="A79" s="69"/>
      <c r="B79" s="25"/>
      <c r="C79" s="70"/>
      <c r="D79" s="90" t="str">
        <f aca="false">IF(A79="","",COUNTIFS(PT_Date,A79,PT_Pres,"P")+0.5*COUNTIFS(PT_Date,A79,PT_Pres,"1/2"))</f>
        <v/>
      </c>
      <c r="E79" s="25"/>
      <c r="F79" s="88" t="str">
        <f aca="false">IF(A79="","",COUNTIFS(MV_Date,A79,MV_Type,"Entrée"))</f>
        <v/>
      </c>
      <c r="G79" s="25"/>
      <c r="H79" s="68"/>
      <c r="I79" s="25"/>
      <c r="J79" s="89"/>
      <c r="K79" s="25"/>
      <c r="L79" s="25"/>
    </row>
    <row r="80" customFormat="false" ht="15" hidden="false" customHeight="false" outlineLevel="0" collapsed="false">
      <c r="A80" s="69"/>
      <c r="B80" s="25"/>
      <c r="C80" s="70"/>
      <c r="D80" s="90" t="str">
        <f aca="false">IF(A80="","",COUNTIFS(PT_Date,A80,PT_Pres,"P")+0.5*COUNTIFS(PT_Date,A80,PT_Pres,"1/2"))</f>
        <v/>
      </c>
      <c r="E80" s="25"/>
      <c r="F80" s="88" t="str">
        <f aca="false">IF(A80="","",COUNTIFS(MV_Date,A80,MV_Type,"Entrée"))</f>
        <v/>
      </c>
      <c r="G80" s="25"/>
      <c r="H80" s="68"/>
      <c r="I80" s="25"/>
      <c r="J80" s="89"/>
      <c r="K80" s="25"/>
      <c r="L80" s="25"/>
    </row>
    <row r="81" customFormat="false" ht="15" hidden="false" customHeight="false" outlineLevel="0" collapsed="false">
      <c r="A81" s="69"/>
      <c r="B81" s="25"/>
      <c r="C81" s="70"/>
      <c r="D81" s="90" t="str">
        <f aca="false">IF(A81="","",COUNTIFS(PT_Date,A81,PT_Pres,"P")+0.5*COUNTIFS(PT_Date,A81,PT_Pres,"1/2"))</f>
        <v/>
      </c>
      <c r="E81" s="25"/>
      <c r="F81" s="88" t="str">
        <f aca="false">IF(A81="","",COUNTIFS(MV_Date,A81,MV_Type,"Entrée"))</f>
        <v/>
      </c>
      <c r="G81" s="25"/>
      <c r="H81" s="68"/>
      <c r="I81" s="25"/>
      <c r="J81" s="89"/>
      <c r="K81" s="25"/>
      <c r="L81" s="25"/>
    </row>
    <row r="82" customFormat="false" ht="15" hidden="false" customHeight="false" outlineLevel="0" collapsed="false">
      <c r="A82" s="69"/>
      <c r="B82" s="25"/>
      <c r="C82" s="70"/>
      <c r="D82" s="90" t="str">
        <f aca="false">IF(A82="","",COUNTIFS(PT_Date,A82,PT_Pres,"P")+0.5*COUNTIFS(PT_Date,A82,PT_Pres,"1/2"))</f>
        <v/>
      </c>
      <c r="E82" s="25"/>
      <c r="F82" s="88" t="str">
        <f aca="false">IF(A82="","",COUNTIFS(MV_Date,A82,MV_Type,"Entrée"))</f>
        <v/>
      </c>
      <c r="G82" s="25"/>
      <c r="H82" s="68"/>
      <c r="I82" s="25"/>
      <c r="J82" s="89"/>
      <c r="K82" s="25"/>
      <c r="L82" s="25"/>
    </row>
    <row r="83" customFormat="false" ht="15" hidden="false" customHeight="false" outlineLevel="0" collapsed="false">
      <c r="A83" s="69"/>
      <c r="B83" s="25"/>
      <c r="C83" s="70"/>
      <c r="D83" s="90" t="str">
        <f aca="false">IF(A83="","",COUNTIFS(PT_Date,A83,PT_Pres,"P")+0.5*COUNTIFS(PT_Date,A83,PT_Pres,"1/2"))</f>
        <v/>
      </c>
      <c r="E83" s="25"/>
      <c r="F83" s="88" t="str">
        <f aca="false">IF(A83="","",COUNTIFS(MV_Date,A83,MV_Type,"Entrée"))</f>
        <v/>
      </c>
      <c r="G83" s="25"/>
      <c r="H83" s="68"/>
      <c r="I83" s="25"/>
      <c r="J83" s="89"/>
      <c r="K83" s="25"/>
      <c r="L83" s="25"/>
    </row>
    <row r="84" customFormat="false" ht="15" hidden="false" customHeight="false" outlineLevel="0" collapsed="false">
      <c r="A84" s="69"/>
      <c r="B84" s="25"/>
      <c r="C84" s="70"/>
      <c r="D84" s="90" t="str">
        <f aca="false">IF(A84="","",COUNTIFS(PT_Date,A84,PT_Pres,"P")+0.5*COUNTIFS(PT_Date,A84,PT_Pres,"1/2"))</f>
        <v/>
      </c>
      <c r="E84" s="25"/>
      <c r="F84" s="88" t="str">
        <f aca="false">IF(A84="","",COUNTIFS(MV_Date,A84,MV_Type,"Entrée"))</f>
        <v/>
      </c>
      <c r="G84" s="25"/>
      <c r="H84" s="68"/>
      <c r="I84" s="25"/>
      <c r="J84" s="89"/>
      <c r="K84" s="25"/>
      <c r="L84" s="25"/>
    </row>
    <row r="85" customFormat="false" ht="15" hidden="false" customHeight="false" outlineLevel="0" collapsed="false">
      <c r="A85" s="69"/>
      <c r="B85" s="25"/>
      <c r="C85" s="70"/>
      <c r="D85" s="90" t="str">
        <f aca="false">IF(A85="","",COUNTIFS(PT_Date,A85,PT_Pres,"P")+0.5*COUNTIFS(PT_Date,A85,PT_Pres,"1/2"))</f>
        <v/>
      </c>
      <c r="E85" s="25"/>
      <c r="F85" s="88" t="str">
        <f aca="false">IF(A85="","",COUNTIFS(MV_Date,A85,MV_Type,"Entrée"))</f>
        <v/>
      </c>
      <c r="G85" s="25"/>
      <c r="H85" s="68"/>
      <c r="I85" s="25"/>
      <c r="J85" s="89"/>
      <c r="K85" s="25"/>
      <c r="L85" s="25"/>
    </row>
    <row r="86" customFormat="false" ht="15" hidden="false" customHeight="false" outlineLevel="0" collapsed="false">
      <c r="A86" s="69"/>
      <c r="B86" s="25"/>
      <c r="C86" s="70"/>
      <c r="D86" s="90" t="str">
        <f aca="false">IF(A86="","",COUNTIFS(PT_Date,A86,PT_Pres,"P")+0.5*COUNTIFS(PT_Date,A86,PT_Pres,"1/2"))</f>
        <v/>
      </c>
      <c r="E86" s="25"/>
      <c r="F86" s="88" t="str">
        <f aca="false">IF(A86="","",COUNTIFS(MV_Date,A86,MV_Type,"Entrée"))</f>
        <v/>
      </c>
      <c r="G86" s="25"/>
      <c r="H86" s="68"/>
      <c r="I86" s="25"/>
      <c r="J86" s="89"/>
      <c r="K86" s="25"/>
      <c r="L86" s="25"/>
    </row>
    <row r="87" customFormat="false" ht="15" hidden="false" customHeight="false" outlineLevel="0" collapsed="false">
      <c r="A87" s="69"/>
      <c r="B87" s="25"/>
      <c r="C87" s="70"/>
      <c r="D87" s="90" t="str">
        <f aca="false">IF(A87="","",COUNTIFS(PT_Date,A87,PT_Pres,"P")+0.5*COUNTIFS(PT_Date,A87,PT_Pres,"1/2"))</f>
        <v/>
      </c>
      <c r="E87" s="25"/>
      <c r="F87" s="88" t="str">
        <f aca="false">IF(A87="","",COUNTIFS(MV_Date,A87,MV_Type,"Entrée"))</f>
        <v/>
      </c>
      <c r="G87" s="25"/>
      <c r="H87" s="68"/>
      <c r="I87" s="25"/>
      <c r="J87" s="89"/>
      <c r="K87" s="25"/>
      <c r="L87" s="25"/>
    </row>
    <row r="88" customFormat="false" ht="15" hidden="false" customHeight="false" outlineLevel="0" collapsed="false">
      <c r="A88" s="69"/>
      <c r="B88" s="25"/>
      <c r="C88" s="70"/>
      <c r="D88" s="90" t="str">
        <f aca="false">IF(A88="","",COUNTIFS(PT_Date,A88,PT_Pres,"P")+0.5*COUNTIFS(PT_Date,A88,PT_Pres,"1/2"))</f>
        <v/>
      </c>
      <c r="E88" s="25"/>
      <c r="F88" s="88" t="str">
        <f aca="false">IF(A88="","",COUNTIFS(MV_Date,A88,MV_Type,"Entrée"))</f>
        <v/>
      </c>
      <c r="G88" s="25"/>
      <c r="H88" s="68"/>
      <c r="I88" s="25"/>
      <c r="J88" s="89"/>
      <c r="K88" s="25"/>
      <c r="L88" s="25"/>
    </row>
    <row r="89" customFormat="false" ht="15" hidden="false" customHeight="false" outlineLevel="0" collapsed="false">
      <c r="A89" s="69"/>
      <c r="B89" s="25"/>
      <c r="C89" s="70"/>
      <c r="D89" s="90" t="str">
        <f aca="false">IF(A89="","",COUNTIFS(PT_Date,A89,PT_Pres,"P")+0.5*COUNTIFS(PT_Date,A89,PT_Pres,"1/2"))</f>
        <v/>
      </c>
      <c r="E89" s="25"/>
      <c r="F89" s="88" t="str">
        <f aca="false">IF(A89="","",COUNTIFS(MV_Date,A89,MV_Type,"Entrée"))</f>
        <v/>
      </c>
      <c r="G89" s="25"/>
      <c r="H89" s="68"/>
      <c r="I89" s="25"/>
      <c r="J89" s="89"/>
      <c r="K89" s="25"/>
      <c r="L89" s="25"/>
    </row>
    <row r="90" customFormat="false" ht="15" hidden="false" customHeight="false" outlineLevel="0" collapsed="false">
      <c r="A90" s="69"/>
      <c r="B90" s="25"/>
      <c r="C90" s="70"/>
      <c r="D90" s="90" t="str">
        <f aca="false">IF(A90="","",COUNTIFS(PT_Date,A90,PT_Pres,"P")+0.5*COUNTIFS(PT_Date,A90,PT_Pres,"1/2"))</f>
        <v/>
      </c>
      <c r="E90" s="25"/>
      <c r="F90" s="88" t="str">
        <f aca="false">IF(A90="","",COUNTIFS(MV_Date,A90,MV_Type,"Entrée"))</f>
        <v/>
      </c>
      <c r="G90" s="25"/>
      <c r="H90" s="68"/>
      <c r="I90" s="25"/>
      <c r="J90" s="89"/>
      <c r="K90" s="25"/>
      <c r="L90" s="25"/>
    </row>
    <row r="91" customFormat="false" ht="15" hidden="false" customHeight="false" outlineLevel="0" collapsed="false">
      <c r="A91" s="69"/>
      <c r="B91" s="25"/>
      <c r="C91" s="70"/>
      <c r="D91" s="90" t="str">
        <f aca="false">IF(A91="","",COUNTIFS(PT_Date,A91,PT_Pres,"P")+0.5*COUNTIFS(PT_Date,A91,PT_Pres,"1/2"))</f>
        <v/>
      </c>
      <c r="E91" s="25"/>
      <c r="F91" s="88" t="str">
        <f aca="false">IF(A91="","",COUNTIFS(MV_Date,A91,MV_Type,"Entrée"))</f>
        <v/>
      </c>
      <c r="G91" s="25"/>
      <c r="H91" s="68"/>
      <c r="I91" s="25"/>
      <c r="J91" s="89"/>
      <c r="K91" s="25"/>
      <c r="L91" s="25"/>
    </row>
    <row r="92" customFormat="false" ht="15" hidden="false" customHeight="false" outlineLevel="0" collapsed="false">
      <c r="A92" s="69"/>
      <c r="B92" s="25"/>
      <c r="C92" s="70"/>
      <c r="D92" s="90" t="str">
        <f aca="false">IF(A92="","",COUNTIFS(PT_Date,A92,PT_Pres,"P")+0.5*COUNTIFS(PT_Date,A92,PT_Pres,"1/2"))</f>
        <v/>
      </c>
      <c r="E92" s="25"/>
      <c r="F92" s="88" t="str">
        <f aca="false">IF(A92="","",COUNTIFS(MV_Date,A92,MV_Type,"Entrée"))</f>
        <v/>
      </c>
      <c r="G92" s="25"/>
      <c r="H92" s="68"/>
      <c r="I92" s="25"/>
      <c r="J92" s="89"/>
      <c r="K92" s="25"/>
      <c r="L92" s="25"/>
    </row>
    <row r="93" customFormat="false" ht="15" hidden="false" customHeight="false" outlineLevel="0" collapsed="false">
      <c r="A93" s="69"/>
      <c r="B93" s="25"/>
      <c r="C93" s="70"/>
      <c r="D93" s="90" t="str">
        <f aca="false">IF(A93="","",COUNTIFS(PT_Date,A93,PT_Pres,"P")+0.5*COUNTIFS(PT_Date,A93,PT_Pres,"1/2"))</f>
        <v/>
      </c>
      <c r="E93" s="25"/>
      <c r="F93" s="88" t="str">
        <f aca="false">IF(A93="","",COUNTIFS(MV_Date,A93,MV_Type,"Entrée"))</f>
        <v/>
      </c>
      <c r="G93" s="25"/>
      <c r="H93" s="68"/>
      <c r="I93" s="25"/>
      <c r="J93" s="89"/>
      <c r="K93" s="25"/>
      <c r="L93" s="25"/>
    </row>
    <row r="94" customFormat="false" ht="15" hidden="false" customHeight="false" outlineLevel="0" collapsed="false">
      <c r="A94" s="69"/>
      <c r="B94" s="25"/>
      <c r="C94" s="70"/>
      <c r="D94" s="90" t="str">
        <f aca="false">IF(A94="","",COUNTIFS(PT_Date,A94,PT_Pres,"P")+0.5*COUNTIFS(PT_Date,A94,PT_Pres,"1/2"))</f>
        <v/>
      </c>
      <c r="E94" s="25"/>
      <c r="F94" s="88" t="str">
        <f aca="false">IF(A94="","",COUNTIFS(MV_Date,A94,MV_Type,"Entrée"))</f>
        <v/>
      </c>
      <c r="G94" s="25"/>
      <c r="H94" s="68"/>
      <c r="I94" s="25"/>
      <c r="J94" s="89"/>
      <c r="K94" s="25"/>
      <c r="L94" s="25"/>
    </row>
    <row r="95" customFormat="false" ht="15" hidden="false" customHeight="false" outlineLevel="0" collapsed="false">
      <c r="A95" s="69"/>
      <c r="B95" s="25"/>
      <c r="C95" s="70"/>
      <c r="D95" s="90" t="str">
        <f aca="false">IF(A95="","",COUNTIFS(PT_Date,A95,PT_Pres,"P")+0.5*COUNTIFS(PT_Date,A95,PT_Pres,"1/2"))</f>
        <v/>
      </c>
      <c r="E95" s="25"/>
      <c r="F95" s="88" t="str">
        <f aca="false">IF(A95="","",COUNTIFS(MV_Date,A95,MV_Type,"Entrée"))</f>
        <v/>
      </c>
      <c r="G95" s="25"/>
      <c r="H95" s="68"/>
      <c r="I95" s="25"/>
      <c r="J95" s="89"/>
      <c r="K95" s="25"/>
      <c r="L95" s="25"/>
    </row>
    <row r="96" customFormat="false" ht="15" hidden="false" customHeight="false" outlineLevel="0" collapsed="false">
      <c r="A96" s="69"/>
      <c r="B96" s="25"/>
      <c r="C96" s="70"/>
      <c r="D96" s="90" t="str">
        <f aca="false">IF(A96="","",COUNTIFS(PT_Date,A96,PT_Pres,"P")+0.5*COUNTIFS(PT_Date,A96,PT_Pres,"1/2"))</f>
        <v/>
      </c>
      <c r="E96" s="25"/>
      <c r="F96" s="88" t="str">
        <f aca="false">IF(A96="","",COUNTIFS(MV_Date,A96,MV_Type,"Entrée"))</f>
        <v/>
      </c>
      <c r="G96" s="25"/>
      <c r="H96" s="68"/>
      <c r="I96" s="25"/>
      <c r="J96" s="89"/>
      <c r="K96" s="25"/>
      <c r="L96" s="25"/>
    </row>
    <row r="97" customFormat="false" ht="15" hidden="false" customHeight="false" outlineLevel="0" collapsed="false">
      <c r="A97" s="69"/>
      <c r="B97" s="25"/>
      <c r="C97" s="70"/>
      <c r="D97" s="90" t="str">
        <f aca="false">IF(A97="","",COUNTIFS(PT_Date,A97,PT_Pres,"P")+0.5*COUNTIFS(PT_Date,A97,PT_Pres,"1/2"))</f>
        <v/>
      </c>
      <c r="E97" s="25"/>
      <c r="F97" s="88" t="str">
        <f aca="false">IF(A97="","",COUNTIFS(MV_Date,A97,MV_Type,"Entrée"))</f>
        <v/>
      </c>
      <c r="G97" s="25"/>
      <c r="H97" s="68"/>
      <c r="I97" s="25"/>
      <c r="J97" s="89"/>
      <c r="K97" s="25"/>
      <c r="L97" s="25"/>
    </row>
    <row r="98" customFormat="false" ht="15" hidden="false" customHeight="false" outlineLevel="0" collapsed="false">
      <c r="A98" s="69"/>
      <c r="B98" s="25"/>
      <c r="C98" s="70"/>
      <c r="D98" s="90" t="str">
        <f aca="false">IF(A98="","",COUNTIFS(PT_Date,A98,PT_Pres,"P")+0.5*COUNTIFS(PT_Date,A98,PT_Pres,"1/2"))</f>
        <v/>
      </c>
      <c r="E98" s="25"/>
      <c r="F98" s="88" t="str">
        <f aca="false">IF(A98="","",COUNTIFS(MV_Date,A98,MV_Type,"Entrée"))</f>
        <v/>
      </c>
      <c r="G98" s="25"/>
      <c r="H98" s="68"/>
      <c r="I98" s="25"/>
      <c r="J98" s="89"/>
      <c r="K98" s="25"/>
      <c r="L98" s="25"/>
    </row>
    <row r="99" customFormat="false" ht="15" hidden="false" customHeight="false" outlineLevel="0" collapsed="false">
      <c r="A99" s="69"/>
      <c r="B99" s="25"/>
      <c r="C99" s="70"/>
      <c r="D99" s="90" t="str">
        <f aca="false">IF(A99="","",COUNTIFS(PT_Date,A99,PT_Pres,"P")+0.5*COUNTIFS(PT_Date,A99,PT_Pres,"1/2"))</f>
        <v/>
      </c>
      <c r="E99" s="25"/>
      <c r="F99" s="88" t="str">
        <f aca="false">IF(A99="","",COUNTIFS(MV_Date,A99,MV_Type,"Entrée"))</f>
        <v/>
      </c>
      <c r="G99" s="25"/>
      <c r="H99" s="68"/>
      <c r="I99" s="25"/>
      <c r="J99" s="89"/>
      <c r="K99" s="25"/>
      <c r="L99" s="25"/>
    </row>
    <row r="100" customFormat="false" ht="15" hidden="false" customHeight="false" outlineLevel="0" collapsed="false">
      <c r="A100" s="69"/>
      <c r="B100" s="25"/>
      <c r="C100" s="70"/>
      <c r="D100" s="90" t="str">
        <f aca="false">IF(A100="","",COUNTIFS(PT_Date,A100,PT_Pres,"P")+0.5*COUNTIFS(PT_Date,A100,PT_Pres,"1/2"))</f>
        <v/>
      </c>
      <c r="E100" s="25"/>
      <c r="F100" s="88" t="str">
        <f aca="false">IF(A100="","",COUNTIFS(MV_Date,A100,MV_Type,"Entrée"))</f>
        <v/>
      </c>
      <c r="G100" s="25"/>
      <c r="H100" s="68"/>
      <c r="I100" s="25"/>
      <c r="J100" s="89"/>
      <c r="K100" s="25"/>
      <c r="L100" s="25"/>
    </row>
    <row r="101" customFormat="false" ht="15" hidden="false" customHeight="false" outlineLevel="0" collapsed="false">
      <c r="A101" s="69"/>
      <c r="B101" s="25"/>
      <c r="C101" s="70"/>
      <c r="D101" s="90" t="str">
        <f aca="false">IF(A101="","",COUNTIFS(PT_Date,A101,PT_Pres,"P")+0.5*COUNTIFS(PT_Date,A101,PT_Pres,"1/2"))</f>
        <v/>
      </c>
      <c r="E101" s="25"/>
      <c r="F101" s="88" t="str">
        <f aca="false">IF(A101="","",COUNTIFS(MV_Date,A101,MV_Type,"Entrée"))</f>
        <v/>
      </c>
      <c r="G101" s="25"/>
      <c r="H101" s="68"/>
      <c r="I101" s="25"/>
      <c r="J101" s="89"/>
      <c r="K101" s="25"/>
      <c r="L101" s="25"/>
    </row>
    <row r="102" customFormat="false" ht="15" hidden="false" customHeight="false" outlineLevel="0" collapsed="false">
      <c r="A102" s="69"/>
      <c r="B102" s="25"/>
      <c r="C102" s="70"/>
      <c r="D102" s="90" t="str">
        <f aca="false">IF(A102="","",COUNTIFS(PT_Date,A102,PT_Pres,"P")+0.5*COUNTIFS(PT_Date,A102,PT_Pres,"1/2"))</f>
        <v/>
      </c>
      <c r="E102" s="25"/>
      <c r="F102" s="88" t="str">
        <f aca="false">IF(A102="","",COUNTIFS(MV_Date,A102,MV_Type,"Entrée"))</f>
        <v/>
      </c>
      <c r="G102" s="25"/>
      <c r="H102" s="68"/>
      <c r="I102" s="25"/>
      <c r="J102" s="89"/>
      <c r="K102" s="25"/>
      <c r="L102" s="25"/>
    </row>
    <row r="103" customFormat="false" ht="15" hidden="false" customHeight="false" outlineLevel="0" collapsed="false">
      <c r="A103" s="69"/>
      <c r="B103" s="25"/>
      <c r="C103" s="70"/>
      <c r="D103" s="90" t="str">
        <f aca="false">IF(A103="","",COUNTIFS(PT_Date,A103,PT_Pres,"P")+0.5*COUNTIFS(PT_Date,A103,PT_Pres,"1/2"))</f>
        <v/>
      </c>
      <c r="E103" s="25"/>
      <c r="F103" s="88" t="str">
        <f aca="false">IF(A103="","",COUNTIFS(MV_Date,A103,MV_Type,"Entrée"))</f>
        <v/>
      </c>
      <c r="G103" s="25"/>
      <c r="H103" s="68"/>
      <c r="I103" s="25"/>
      <c r="J103" s="89"/>
      <c r="K103" s="25"/>
      <c r="L103" s="25"/>
    </row>
    <row r="104" customFormat="false" ht="15" hidden="false" customHeight="false" outlineLevel="0" collapsed="false">
      <c r="A104" s="69"/>
      <c r="B104" s="25"/>
      <c r="C104" s="70"/>
      <c r="D104" s="90" t="str">
        <f aca="false">IF(A104="","",COUNTIFS(PT_Date,A104,PT_Pres,"P")+0.5*COUNTIFS(PT_Date,A104,PT_Pres,"1/2"))</f>
        <v/>
      </c>
      <c r="E104" s="25"/>
      <c r="F104" s="88" t="str">
        <f aca="false">IF(A104="","",COUNTIFS(MV_Date,A104,MV_Type,"Entrée"))</f>
        <v/>
      </c>
      <c r="G104" s="25"/>
      <c r="H104" s="68"/>
      <c r="I104" s="25"/>
      <c r="J104" s="89"/>
      <c r="K104" s="25"/>
      <c r="L104" s="25"/>
    </row>
    <row r="105" customFormat="false" ht="15" hidden="false" customHeight="false" outlineLevel="0" collapsed="false">
      <c r="A105" s="69"/>
      <c r="B105" s="25"/>
      <c r="C105" s="70"/>
      <c r="D105" s="90" t="str">
        <f aca="false">IF(A105="","",COUNTIFS(PT_Date,A105,PT_Pres,"P")+0.5*COUNTIFS(PT_Date,A105,PT_Pres,"1/2"))</f>
        <v/>
      </c>
      <c r="E105" s="25"/>
      <c r="F105" s="88" t="str">
        <f aca="false">IF(A105="","",COUNTIFS(MV_Date,A105,MV_Type,"Entrée"))</f>
        <v/>
      </c>
      <c r="G105" s="25"/>
      <c r="H105" s="68"/>
      <c r="I105" s="25"/>
      <c r="J105" s="89"/>
      <c r="K105" s="25"/>
      <c r="L105" s="25"/>
    </row>
    <row r="106" customFormat="false" ht="15" hidden="false" customHeight="false" outlineLevel="0" collapsed="false">
      <c r="A106" s="69"/>
      <c r="B106" s="25"/>
      <c r="C106" s="70"/>
      <c r="D106" s="90" t="str">
        <f aca="false">IF(A106="","",COUNTIFS(PT_Date,A106,PT_Pres,"P")+0.5*COUNTIFS(PT_Date,A106,PT_Pres,"1/2"))</f>
        <v/>
      </c>
      <c r="E106" s="25"/>
      <c r="F106" s="88" t="str">
        <f aca="false">IF(A106="","",COUNTIFS(MV_Date,A106,MV_Type,"Entrée"))</f>
        <v/>
      </c>
      <c r="G106" s="25"/>
      <c r="H106" s="68"/>
      <c r="I106" s="25"/>
      <c r="J106" s="89"/>
      <c r="K106" s="25"/>
      <c r="L106" s="25"/>
    </row>
    <row r="107" customFormat="false" ht="15" hidden="false" customHeight="false" outlineLevel="0" collapsed="false">
      <c r="A107" s="69"/>
      <c r="B107" s="25"/>
      <c r="C107" s="70"/>
      <c r="D107" s="90" t="str">
        <f aca="false">IF(A107="","",COUNTIFS(PT_Date,A107,PT_Pres,"P")+0.5*COUNTIFS(PT_Date,A107,PT_Pres,"1/2"))</f>
        <v/>
      </c>
      <c r="E107" s="25"/>
      <c r="F107" s="88" t="str">
        <f aca="false">IF(A107="","",COUNTIFS(MV_Date,A107,MV_Type,"Entrée"))</f>
        <v/>
      </c>
      <c r="G107" s="25"/>
      <c r="H107" s="68"/>
      <c r="I107" s="25"/>
      <c r="J107" s="89"/>
      <c r="K107" s="25"/>
      <c r="L107" s="25"/>
    </row>
    <row r="108" customFormat="false" ht="15" hidden="false" customHeight="false" outlineLevel="0" collapsed="false">
      <c r="A108" s="69"/>
      <c r="B108" s="25"/>
      <c r="C108" s="70"/>
      <c r="D108" s="90" t="str">
        <f aca="false">IF(A108="","",COUNTIFS(PT_Date,A108,PT_Pres,"P")+0.5*COUNTIFS(PT_Date,A108,PT_Pres,"1/2"))</f>
        <v/>
      </c>
      <c r="E108" s="25"/>
      <c r="F108" s="88" t="str">
        <f aca="false">IF(A108="","",COUNTIFS(MV_Date,A108,MV_Type,"Entrée"))</f>
        <v/>
      </c>
      <c r="G108" s="25"/>
      <c r="H108" s="68"/>
      <c r="I108" s="25"/>
      <c r="J108" s="89"/>
      <c r="K108" s="25"/>
      <c r="L108" s="25"/>
    </row>
    <row r="109" customFormat="false" ht="15" hidden="false" customHeight="false" outlineLevel="0" collapsed="false">
      <c r="A109" s="69"/>
      <c r="B109" s="25"/>
      <c r="C109" s="70"/>
      <c r="D109" s="90" t="str">
        <f aca="false">IF(A109="","",COUNTIFS(PT_Date,A109,PT_Pres,"P")+0.5*COUNTIFS(PT_Date,A109,PT_Pres,"1/2"))</f>
        <v/>
      </c>
      <c r="E109" s="25"/>
      <c r="F109" s="88" t="str">
        <f aca="false">IF(A109="","",COUNTIFS(MV_Date,A109,MV_Type,"Entrée"))</f>
        <v/>
      </c>
      <c r="G109" s="25"/>
      <c r="H109" s="68"/>
      <c r="I109" s="25"/>
      <c r="J109" s="89"/>
      <c r="K109" s="25"/>
      <c r="L109" s="25"/>
    </row>
    <row r="110" customFormat="false" ht="15" hidden="false" customHeight="false" outlineLevel="0" collapsed="false">
      <c r="A110" s="69"/>
      <c r="B110" s="25"/>
      <c r="C110" s="70"/>
      <c r="D110" s="90" t="str">
        <f aca="false">IF(A110="","",COUNTIFS(PT_Date,A110,PT_Pres,"P")+0.5*COUNTIFS(PT_Date,A110,PT_Pres,"1/2"))</f>
        <v/>
      </c>
      <c r="E110" s="25"/>
      <c r="F110" s="88" t="str">
        <f aca="false">IF(A110="","",COUNTIFS(MV_Date,A110,MV_Type,"Entrée"))</f>
        <v/>
      </c>
      <c r="G110" s="25"/>
      <c r="H110" s="68"/>
      <c r="I110" s="25"/>
      <c r="J110" s="89"/>
      <c r="K110" s="25"/>
      <c r="L110" s="25"/>
    </row>
    <row r="111" customFormat="false" ht="15" hidden="false" customHeight="false" outlineLevel="0" collapsed="false">
      <c r="A111" s="69"/>
      <c r="B111" s="25"/>
      <c r="C111" s="70"/>
      <c r="D111" s="90" t="str">
        <f aca="false">IF(A111="","",COUNTIFS(PT_Date,A111,PT_Pres,"P")+0.5*COUNTIFS(PT_Date,A111,PT_Pres,"1/2"))</f>
        <v/>
      </c>
      <c r="E111" s="25"/>
      <c r="F111" s="88" t="str">
        <f aca="false">IF(A111="","",COUNTIFS(MV_Date,A111,MV_Type,"Entrée"))</f>
        <v/>
      </c>
      <c r="G111" s="25"/>
      <c r="H111" s="68"/>
      <c r="I111" s="25"/>
      <c r="J111" s="89"/>
      <c r="K111" s="25"/>
      <c r="L111" s="25"/>
    </row>
    <row r="112" customFormat="false" ht="15" hidden="false" customHeight="false" outlineLevel="0" collapsed="false">
      <c r="A112" s="69"/>
      <c r="B112" s="25"/>
      <c r="C112" s="70"/>
      <c r="D112" s="90" t="str">
        <f aca="false">IF(A112="","",COUNTIFS(PT_Date,A112,PT_Pres,"P")+0.5*COUNTIFS(PT_Date,A112,PT_Pres,"1/2"))</f>
        <v/>
      </c>
      <c r="E112" s="25"/>
      <c r="F112" s="88" t="str">
        <f aca="false">IF(A112="","",COUNTIFS(MV_Date,A112,MV_Type,"Entrée"))</f>
        <v/>
      </c>
      <c r="G112" s="25"/>
      <c r="H112" s="68"/>
      <c r="I112" s="25"/>
      <c r="J112" s="89"/>
      <c r="K112" s="25"/>
      <c r="L112" s="25"/>
    </row>
    <row r="113" customFormat="false" ht="15" hidden="false" customHeight="false" outlineLevel="0" collapsed="false">
      <c r="A113" s="69"/>
      <c r="B113" s="25"/>
      <c r="C113" s="70"/>
      <c r="D113" s="90" t="str">
        <f aca="false">IF(A113="","",COUNTIFS(PT_Date,A113,PT_Pres,"P")+0.5*COUNTIFS(PT_Date,A113,PT_Pres,"1/2"))</f>
        <v/>
      </c>
      <c r="E113" s="25"/>
      <c r="F113" s="88" t="str">
        <f aca="false">IF(A113="","",COUNTIFS(MV_Date,A113,MV_Type,"Entrée"))</f>
        <v/>
      </c>
      <c r="G113" s="25"/>
      <c r="H113" s="68"/>
      <c r="I113" s="25"/>
      <c r="J113" s="89"/>
      <c r="K113" s="25"/>
      <c r="L113" s="25"/>
    </row>
    <row r="114" customFormat="false" ht="15" hidden="false" customHeight="false" outlineLevel="0" collapsed="false">
      <c r="A114" s="69"/>
      <c r="B114" s="25"/>
      <c r="C114" s="70"/>
      <c r="D114" s="90" t="str">
        <f aca="false">IF(A114="","",COUNTIFS(PT_Date,A114,PT_Pres,"P")+0.5*COUNTIFS(PT_Date,A114,PT_Pres,"1/2"))</f>
        <v/>
      </c>
      <c r="E114" s="25"/>
      <c r="F114" s="88" t="str">
        <f aca="false">IF(A114="","",COUNTIFS(MV_Date,A114,MV_Type,"Entrée"))</f>
        <v/>
      </c>
      <c r="G114" s="25"/>
      <c r="H114" s="68"/>
      <c r="I114" s="25"/>
      <c r="J114" s="89"/>
      <c r="K114" s="25"/>
      <c r="L114" s="25"/>
    </row>
    <row r="115" customFormat="false" ht="15" hidden="false" customHeight="false" outlineLevel="0" collapsed="false">
      <c r="A115" s="69"/>
      <c r="B115" s="25"/>
      <c r="C115" s="70"/>
      <c r="D115" s="90" t="str">
        <f aca="false">IF(A115="","",COUNTIFS(PT_Date,A115,PT_Pres,"P")+0.5*COUNTIFS(PT_Date,A115,PT_Pres,"1/2"))</f>
        <v/>
      </c>
      <c r="E115" s="25"/>
      <c r="F115" s="88" t="str">
        <f aca="false">IF(A115="","",COUNTIFS(MV_Date,A115,MV_Type,"Entrée"))</f>
        <v/>
      </c>
      <c r="G115" s="25"/>
      <c r="H115" s="68"/>
      <c r="I115" s="25"/>
      <c r="J115" s="89"/>
      <c r="K115" s="25"/>
      <c r="L115" s="25"/>
    </row>
    <row r="116" customFormat="false" ht="15" hidden="false" customHeight="false" outlineLevel="0" collapsed="false">
      <c r="A116" s="69"/>
      <c r="B116" s="25"/>
      <c r="C116" s="70"/>
      <c r="D116" s="90" t="str">
        <f aca="false">IF(A116="","",COUNTIFS(PT_Date,A116,PT_Pres,"P")+0.5*COUNTIFS(PT_Date,A116,PT_Pres,"1/2"))</f>
        <v/>
      </c>
      <c r="E116" s="25"/>
      <c r="F116" s="88" t="str">
        <f aca="false">IF(A116="","",COUNTIFS(MV_Date,A116,MV_Type,"Entrée"))</f>
        <v/>
      </c>
      <c r="G116" s="25"/>
      <c r="H116" s="68"/>
      <c r="I116" s="25"/>
      <c r="J116" s="89"/>
      <c r="K116" s="25"/>
      <c r="L116" s="25"/>
    </row>
    <row r="117" customFormat="false" ht="15" hidden="false" customHeight="false" outlineLevel="0" collapsed="false">
      <c r="A117" s="69"/>
      <c r="B117" s="25"/>
      <c r="C117" s="70"/>
      <c r="D117" s="90" t="str">
        <f aca="false">IF(A117="","",COUNTIFS(PT_Date,A117,PT_Pres,"P")+0.5*COUNTIFS(PT_Date,A117,PT_Pres,"1/2"))</f>
        <v/>
      </c>
      <c r="E117" s="25"/>
      <c r="F117" s="88" t="str">
        <f aca="false">IF(A117="","",COUNTIFS(MV_Date,A117,MV_Type,"Entrée"))</f>
        <v/>
      </c>
      <c r="G117" s="25"/>
      <c r="H117" s="68"/>
      <c r="I117" s="25"/>
      <c r="J117" s="89"/>
      <c r="K117" s="25"/>
      <c r="L117" s="25"/>
    </row>
    <row r="118" customFormat="false" ht="15" hidden="false" customHeight="false" outlineLevel="0" collapsed="false">
      <c r="A118" s="69"/>
      <c r="B118" s="25"/>
      <c r="C118" s="70"/>
      <c r="D118" s="90" t="str">
        <f aca="false">IF(A118="","",COUNTIFS(PT_Date,A118,PT_Pres,"P")+0.5*COUNTIFS(PT_Date,A118,PT_Pres,"1/2"))</f>
        <v/>
      </c>
      <c r="E118" s="25"/>
      <c r="F118" s="88" t="str">
        <f aca="false">IF(A118="","",COUNTIFS(MV_Date,A118,MV_Type,"Entrée"))</f>
        <v/>
      </c>
      <c r="G118" s="25"/>
      <c r="H118" s="68"/>
      <c r="I118" s="25"/>
      <c r="J118" s="89"/>
      <c r="K118" s="25"/>
      <c r="L118" s="25"/>
    </row>
    <row r="119" customFormat="false" ht="15" hidden="false" customHeight="false" outlineLevel="0" collapsed="false">
      <c r="A119" s="69"/>
      <c r="B119" s="25"/>
      <c r="C119" s="70"/>
      <c r="D119" s="90" t="str">
        <f aca="false">IF(A119="","",COUNTIFS(PT_Date,A119,PT_Pres,"P")+0.5*COUNTIFS(PT_Date,A119,PT_Pres,"1/2"))</f>
        <v/>
      </c>
      <c r="E119" s="25"/>
      <c r="F119" s="88" t="str">
        <f aca="false">IF(A119="","",COUNTIFS(MV_Date,A119,MV_Type,"Entrée"))</f>
        <v/>
      </c>
      <c r="G119" s="25"/>
      <c r="H119" s="68"/>
      <c r="I119" s="25"/>
      <c r="J119" s="89"/>
      <c r="K119" s="25"/>
      <c r="L119" s="25"/>
    </row>
    <row r="120" customFormat="false" ht="15" hidden="false" customHeight="false" outlineLevel="0" collapsed="false">
      <c r="A120" s="69"/>
      <c r="B120" s="25"/>
      <c r="C120" s="70"/>
      <c r="D120" s="90" t="str">
        <f aca="false">IF(A120="","",COUNTIFS(PT_Date,A120,PT_Pres,"P")+0.5*COUNTIFS(PT_Date,A120,PT_Pres,"1/2"))</f>
        <v/>
      </c>
      <c r="E120" s="25"/>
      <c r="F120" s="88" t="str">
        <f aca="false">IF(A120="","",COUNTIFS(MV_Date,A120,MV_Type,"Entrée"))</f>
        <v/>
      </c>
      <c r="G120" s="25"/>
      <c r="H120" s="68"/>
      <c r="I120" s="25"/>
      <c r="J120" s="89"/>
      <c r="K120" s="25"/>
      <c r="L120" s="25"/>
    </row>
    <row r="121" customFormat="false" ht="15" hidden="false" customHeight="false" outlineLevel="0" collapsed="false">
      <c r="A121" s="69"/>
      <c r="B121" s="25"/>
      <c r="C121" s="70"/>
      <c r="D121" s="90" t="str">
        <f aca="false">IF(A121="","",COUNTIFS(PT_Date,A121,PT_Pres,"P")+0.5*COUNTIFS(PT_Date,A121,PT_Pres,"1/2"))</f>
        <v/>
      </c>
      <c r="E121" s="25"/>
      <c r="F121" s="88" t="str">
        <f aca="false">IF(A121="","",COUNTIFS(MV_Date,A121,MV_Type,"Entrée"))</f>
        <v/>
      </c>
      <c r="G121" s="25"/>
      <c r="H121" s="68"/>
      <c r="I121" s="25"/>
      <c r="J121" s="89"/>
      <c r="K121" s="25"/>
      <c r="L121" s="25"/>
    </row>
    <row r="122" customFormat="false" ht="15" hidden="false" customHeight="false" outlineLevel="0" collapsed="false">
      <c r="A122" s="69"/>
      <c r="B122" s="25"/>
      <c r="C122" s="70"/>
      <c r="D122" s="90" t="str">
        <f aca="false">IF(A122="","",COUNTIFS(PT_Date,A122,PT_Pres,"P")+0.5*COUNTIFS(PT_Date,A122,PT_Pres,"1/2"))</f>
        <v/>
      </c>
      <c r="E122" s="25"/>
      <c r="F122" s="88" t="str">
        <f aca="false">IF(A122="","",COUNTIFS(MV_Date,A122,MV_Type,"Entrée"))</f>
        <v/>
      </c>
      <c r="G122" s="25"/>
      <c r="H122" s="68"/>
      <c r="I122" s="25"/>
      <c r="J122" s="89"/>
      <c r="K122" s="25"/>
      <c r="L122" s="25"/>
    </row>
    <row r="123" customFormat="false" ht="15" hidden="false" customHeight="false" outlineLevel="0" collapsed="false">
      <c r="A123" s="69"/>
      <c r="B123" s="25"/>
      <c r="C123" s="70"/>
      <c r="D123" s="90" t="str">
        <f aca="false">IF(A123="","",COUNTIFS(PT_Date,A123,PT_Pres,"P")+0.5*COUNTIFS(PT_Date,A123,PT_Pres,"1/2"))</f>
        <v/>
      </c>
      <c r="E123" s="25"/>
      <c r="F123" s="88" t="str">
        <f aca="false">IF(A123="","",COUNTIFS(MV_Date,A123,MV_Type,"Entrée"))</f>
        <v/>
      </c>
      <c r="G123" s="25"/>
      <c r="H123" s="68"/>
      <c r="I123" s="25"/>
      <c r="J123" s="89"/>
      <c r="K123" s="25"/>
      <c r="L123" s="25"/>
    </row>
    <row r="124" customFormat="false" ht="15" hidden="false" customHeight="false" outlineLevel="0" collapsed="false">
      <c r="A124" s="69"/>
      <c r="B124" s="25"/>
      <c r="C124" s="70"/>
      <c r="D124" s="90" t="str">
        <f aca="false">IF(A124="","",COUNTIFS(PT_Date,A124,PT_Pres,"P")+0.5*COUNTIFS(PT_Date,A124,PT_Pres,"1/2"))</f>
        <v/>
      </c>
      <c r="E124" s="25"/>
      <c r="F124" s="88" t="str">
        <f aca="false">IF(A124="","",COUNTIFS(MV_Date,A124,MV_Type,"Entrée"))</f>
        <v/>
      </c>
      <c r="G124" s="25"/>
      <c r="H124" s="68"/>
      <c r="I124" s="25"/>
      <c r="J124" s="89"/>
      <c r="K124" s="25"/>
      <c r="L124" s="25"/>
    </row>
    <row r="125" customFormat="false" ht="15" hidden="false" customHeight="false" outlineLevel="0" collapsed="false">
      <c r="A125" s="69"/>
      <c r="B125" s="25"/>
      <c r="C125" s="70"/>
      <c r="D125" s="90" t="str">
        <f aca="false">IF(A125="","",COUNTIFS(PT_Date,A125,PT_Pres,"P")+0.5*COUNTIFS(PT_Date,A125,PT_Pres,"1/2"))</f>
        <v/>
      </c>
      <c r="E125" s="25"/>
      <c r="F125" s="88" t="str">
        <f aca="false">IF(A125="","",COUNTIFS(MV_Date,A125,MV_Type,"Entrée"))</f>
        <v/>
      </c>
      <c r="G125" s="25"/>
      <c r="H125" s="68"/>
      <c r="I125" s="25"/>
      <c r="J125" s="89"/>
      <c r="K125" s="25"/>
      <c r="L125" s="25"/>
    </row>
    <row r="126" customFormat="false" ht="15" hidden="false" customHeight="false" outlineLevel="0" collapsed="false">
      <c r="A126" s="69"/>
      <c r="B126" s="25"/>
      <c r="C126" s="70"/>
      <c r="D126" s="90" t="str">
        <f aca="false">IF(A126="","",COUNTIFS(PT_Date,A126,PT_Pres,"P")+0.5*COUNTIFS(PT_Date,A126,PT_Pres,"1/2"))</f>
        <v/>
      </c>
      <c r="E126" s="25"/>
      <c r="F126" s="88" t="str">
        <f aca="false">IF(A126="","",COUNTIFS(MV_Date,A126,MV_Type,"Entrée"))</f>
        <v/>
      </c>
      <c r="G126" s="25"/>
      <c r="H126" s="68"/>
      <c r="I126" s="25"/>
      <c r="J126" s="89"/>
      <c r="K126" s="25"/>
      <c r="L126" s="25"/>
    </row>
    <row r="127" customFormat="false" ht="15" hidden="false" customHeight="false" outlineLevel="0" collapsed="false">
      <c r="A127" s="69"/>
      <c r="B127" s="25"/>
      <c r="C127" s="70"/>
      <c r="D127" s="90" t="str">
        <f aca="false">IF(A127="","",COUNTIFS(PT_Date,A127,PT_Pres,"P")+0.5*COUNTIFS(PT_Date,A127,PT_Pres,"1/2"))</f>
        <v/>
      </c>
      <c r="E127" s="25"/>
      <c r="F127" s="88" t="str">
        <f aca="false">IF(A127="","",COUNTIFS(MV_Date,A127,MV_Type,"Entrée"))</f>
        <v/>
      </c>
      <c r="G127" s="25"/>
      <c r="H127" s="68"/>
      <c r="I127" s="25"/>
      <c r="J127" s="89"/>
      <c r="K127" s="25"/>
      <c r="L127" s="25"/>
    </row>
    <row r="128" customFormat="false" ht="15" hidden="false" customHeight="false" outlineLevel="0" collapsed="false">
      <c r="A128" s="69"/>
      <c r="B128" s="25"/>
      <c r="C128" s="70"/>
      <c r="D128" s="90" t="str">
        <f aca="false">IF(A128="","",COUNTIFS(PT_Date,A128,PT_Pres,"P")+0.5*COUNTIFS(PT_Date,A128,PT_Pres,"1/2"))</f>
        <v/>
      </c>
      <c r="E128" s="25"/>
      <c r="F128" s="88" t="str">
        <f aca="false">IF(A128="","",COUNTIFS(MV_Date,A128,MV_Type,"Entrée"))</f>
        <v/>
      </c>
      <c r="G128" s="25"/>
      <c r="H128" s="68"/>
      <c r="I128" s="25"/>
      <c r="J128" s="89"/>
      <c r="K128" s="25"/>
      <c r="L128" s="25"/>
    </row>
    <row r="129" customFormat="false" ht="15" hidden="false" customHeight="false" outlineLevel="0" collapsed="false">
      <c r="A129" s="69"/>
      <c r="B129" s="25"/>
      <c r="C129" s="70"/>
      <c r="D129" s="90" t="str">
        <f aca="false">IF(A129="","",COUNTIFS(PT_Date,A129,PT_Pres,"P")+0.5*COUNTIFS(PT_Date,A129,PT_Pres,"1/2"))</f>
        <v/>
      </c>
      <c r="E129" s="25"/>
      <c r="F129" s="88" t="str">
        <f aca="false">IF(A129="","",COUNTIFS(MV_Date,A129,MV_Type,"Entrée"))</f>
        <v/>
      </c>
      <c r="G129" s="25"/>
      <c r="H129" s="68"/>
      <c r="I129" s="25"/>
      <c r="J129" s="89"/>
      <c r="K129" s="25"/>
      <c r="L129" s="25"/>
    </row>
    <row r="130" customFormat="false" ht="15" hidden="false" customHeight="false" outlineLevel="0" collapsed="false">
      <c r="A130" s="69"/>
      <c r="B130" s="25"/>
      <c r="C130" s="70"/>
      <c r="D130" s="90" t="str">
        <f aca="false">IF(A130="","",COUNTIFS(PT_Date,A130,PT_Pres,"P")+0.5*COUNTIFS(PT_Date,A130,PT_Pres,"1/2"))</f>
        <v/>
      </c>
      <c r="E130" s="25"/>
      <c r="F130" s="88" t="str">
        <f aca="false">IF(A130="","",COUNTIFS(MV_Date,A130,MV_Type,"Entrée"))</f>
        <v/>
      </c>
      <c r="G130" s="25"/>
      <c r="H130" s="68"/>
      <c r="I130" s="25"/>
      <c r="J130" s="89"/>
      <c r="K130" s="25"/>
      <c r="L130" s="25"/>
    </row>
    <row r="131" customFormat="false" ht="15" hidden="false" customHeight="false" outlineLevel="0" collapsed="false">
      <c r="A131" s="69"/>
      <c r="B131" s="25"/>
      <c r="C131" s="70"/>
      <c r="D131" s="90" t="str">
        <f aca="false">IF(A131="","",COUNTIFS(PT_Date,A131,PT_Pres,"P")+0.5*COUNTIFS(PT_Date,A131,PT_Pres,"1/2"))</f>
        <v/>
      </c>
      <c r="E131" s="25"/>
      <c r="F131" s="88" t="str">
        <f aca="false">IF(A131="","",COUNTIFS(MV_Date,A131,MV_Type,"Entrée"))</f>
        <v/>
      </c>
      <c r="G131" s="25"/>
      <c r="H131" s="68"/>
      <c r="I131" s="25"/>
      <c r="J131" s="89"/>
      <c r="K131" s="25"/>
      <c r="L131" s="25"/>
    </row>
    <row r="132" customFormat="false" ht="15" hidden="false" customHeight="false" outlineLevel="0" collapsed="false">
      <c r="A132" s="69"/>
      <c r="B132" s="25"/>
      <c r="C132" s="70"/>
      <c r="D132" s="90" t="str">
        <f aca="false">IF(A132="","",COUNTIFS(PT_Date,A132,PT_Pres,"P")+0.5*COUNTIFS(PT_Date,A132,PT_Pres,"1/2"))</f>
        <v/>
      </c>
      <c r="E132" s="25"/>
      <c r="F132" s="88" t="str">
        <f aca="false">IF(A132="","",COUNTIFS(MV_Date,A132,MV_Type,"Entrée"))</f>
        <v/>
      </c>
      <c r="G132" s="25"/>
      <c r="H132" s="68"/>
      <c r="I132" s="25"/>
      <c r="J132" s="89"/>
      <c r="K132" s="25"/>
      <c r="L132" s="25"/>
    </row>
    <row r="133" customFormat="false" ht="15" hidden="false" customHeight="false" outlineLevel="0" collapsed="false">
      <c r="A133" s="69"/>
      <c r="B133" s="25"/>
      <c r="C133" s="70"/>
      <c r="D133" s="90" t="str">
        <f aca="false">IF(A133="","",COUNTIFS(PT_Date,A133,PT_Pres,"P")+0.5*COUNTIFS(PT_Date,A133,PT_Pres,"1/2"))</f>
        <v/>
      </c>
      <c r="E133" s="25"/>
      <c r="F133" s="88" t="str">
        <f aca="false">IF(A133="","",COUNTIFS(MV_Date,A133,MV_Type,"Entrée"))</f>
        <v/>
      </c>
      <c r="G133" s="25"/>
      <c r="H133" s="68"/>
      <c r="I133" s="25"/>
      <c r="J133" s="89"/>
      <c r="K133" s="25"/>
      <c r="L133" s="25"/>
    </row>
    <row r="134" customFormat="false" ht="15" hidden="false" customHeight="false" outlineLevel="0" collapsed="false">
      <c r="A134" s="69"/>
      <c r="B134" s="25"/>
      <c r="C134" s="70"/>
      <c r="D134" s="90" t="str">
        <f aca="false">IF(A134="","",COUNTIFS(PT_Date,A134,PT_Pres,"P")+0.5*COUNTIFS(PT_Date,A134,PT_Pres,"1/2"))</f>
        <v/>
      </c>
      <c r="E134" s="25"/>
      <c r="F134" s="88" t="str">
        <f aca="false">IF(A134="","",COUNTIFS(MV_Date,A134,MV_Type,"Entrée"))</f>
        <v/>
      </c>
      <c r="G134" s="25"/>
      <c r="H134" s="68"/>
      <c r="I134" s="25"/>
      <c r="J134" s="89"/>
      <c r="K134" s="25"/>
      <c r="L134" s="25"/>
    </row>
    <row r="135" customFormat="false" ht="15" hidden="false" customHeight="false" outlineLevel="0" collapsed="false">
      <c r="A135" s="69"/>
      <c r="B135" s="25"/>
      <c r="C135" s="70"/>
      <c r="D135" s="90" t="str">
        <f aca="false">IF(A135="","",COUNTIFS(PT_Date,A135,PT_Pres,"P")+0.5*COUNTIFS(PT_Date,A135,PT_Pres,"1/2"))</f>
        <v/>
      </c>
      <c r="E135" s="25"/>
      <c r="F135" s="88" t="str">
        <f aca="false">IF(A135="","",COUNTIFS(MV_Date,A135,MV_Type,"Entrée"))</f>
        <v/>
      </c>
      <c r="G135" s="25"/>
      <c r="H135" s="68"/>
      <c r="I135" s="25"/>
      <c r="J135" s="89"/>
      <c r="K135" s="25"/>
      <c r="L135" s="25"/>
    </row>
    <row r="136" customFormat="false" ht="15" hidden="false" customHeight="false" outlineLevel="0" collapsed="false">
      <c r="A136" s="69"/>
      <c r="B136" s="25"/>
      <c r="C136" s="70"/>
      <c r="D136" s="90" t="str">
        <f aca="false">IF(A136="","",COUNTIFS(PT_Date,A136,PT_Pres,"P")+0.5*COUNTIFS(PT_Date,A136,PT_Pres,"1/2"))</f>
        <v/>
      </c>
      <c r="E136" s="25"/>
      <c r="F136" s="88" t="str">
        <f aca="false">IF(A136="","",COUNTIFS(MV_Date,A136,MV_Type,"Entrée"))</f>
        <v/>
      </c>
      <c r="G136" s="25"/>
      <c r="H136" s="68"/>
      <c r="I136" s="25"/>
      <c r="J136" s="89"/>
      <c r="K136" s="25"/>
      <c r="L136" s="25"/>
    </row>
    <row r="137" customFormat="false" ht="15" hidden="false" customHeight="false" outlineLevel="0" collapsed="false">
      <c r="A137" s="69"/>
      <c r="B137" s="25"/>
      <c r="C137" s="70"/>
      <c r="D137" s="90" t="str">
        <f aca="false">IF(A137="","",COUNTIFS(PT_Date,A137,PT_Pres,"P")+0.5*COUNTIFS(PT_Date,A137,PT_Pres,"1/2"))</f>
        <v/>
      </c>
      <c r="E137" s="25"/>
      <c r="F137" s="88" t="str">
        <f aca="false">IF(A137="","",COUNTIFS(MV_Date,A137,MV_Type,"Entrée"))</f>
        <v/>
      </c>
      <c r="G137" s="25"/>
      <c r="H137" s="68"/>
      <c r="I137" s="25"/>
      <c r="J137" s="89"/>
      <c r="K137" s="25"/>
      <c r="L137" s="25"/>
    </row>
    <row r="138" customFormat="false" ht="15" hidden="false" customHeight="false" outlineLevel="0" collapsed="false">
      <c r="A138" s="69"/>
      <c r="B138" s="25"/>
      <c r="C138" s="70"/>
      <c r="D138" s="90" t="str">
        <f aca="false">IF(A138="","",COUNTIFS(PT_Date,A138,PT_Pres,"P")+0.5*COUNTIFS(PT_Date,A138,PT_Pres,"1/2"))</f>
        <v/>
      </c>
      <c r="E138" s="25"/>
      <c r="F138" s="88" t="str">
        <f aca="false">IF(A138="","",COUNTIFS(MV_Date,A138,MV_Type,"Entrée"))</f>
        <v/>
      </c>
      <c r="G138" s="25"/>
      <c r="H138" s="68"/>
      <c r="I138" s="25"/>
      <c r="J138" s="89"/>
      <c r="K138" s="25"/>
      <c r="L138" s="25"/>
    </row>
    <row r="139" customFormat="false" ht="15" hidden="false" customHeight="false" outlineLevel="0" collapsed="false">
      <c r="A139" s="69"/>
      <c r="B139" s="25"/>
      <c r="C139" s="70"/>
      <c r="D139" s="90" t="str">
        <f aca="false">IF(A139="","",COUNTIFS(PT_Date,A139,PT_Pres,"P")+0.5*COUNTIFS(PT_Date,A139,PT_Pres,"1/2"))</f>
        <v/>
      </c>
      <c r="E139" s="25"/>
      <c r="F139" s="88" t="str">
        <f aca="false">IF(A139="","",COUNTIFS(MV_Date,A139,MV_Type,"Entrée"))</f>
        <v/>
      </c>
      <c r="G139" s="25"/>
      <c r="H139" s="68"/>
      <c r="I139" s="25"/>
      <c r="J139" s="89"/>
      <c r="K139" s="25"/>
      <c r="L139" s="25"/>
    </row>
    <row r="140" customFormat="false" ht="15" hidden="false" customHeight="false" outlineLevel="0" collapsed="false">
      <c r="A140" s="69"/>
      <c r="B140" s="25"/>
      <c r="C140" s="70"/>
      <c r="D140" s="90" t="str">
        <f aca="false">IF(A140="","",COUNTIFS(PT_Date,A140,PT_Pres,"P")+0.5*COUNTIFS(PT_Date,A140,PT_Pres,"1/2"))</f>
        <v/>
      </c>
      <c r="E140" s="25"/>
      <c r="F140" s="88" t="str">
        <f aca="false">IF(A140="","",COUNTIFS(MV_Date,A140,MV_Type,"Entrée"))</f>
        <v/>
      </c>
      <c r="G140" s="25"/>
      <c r="H140" s="68"/>
      <c r="I140" s="25"/>
      <c r="J140" s="89"/>
      <c r="K140" s="25"/>
      <c r="L140" s="25"/>
    </row>
    <row r="141" customFormat="false" ht="15" hidden="false" customHeight="false" outlineLevel="0" collapsed="false">
      <c r="A141" s="69"/>
      <c r="B141" s="25"/>
      <c r="C141" s="70"/>
      <c r="D141" s="90" t="str">
        <f aca="false">IF(A141="","",COUNTIFS(PT_Date,A141,PT_Pres,"P")+0.5*COUNTIFS(PT_Date,A141,PT_Pres,"1/2"))</f>
        <v/>
      </c>
      <c r="E141" s="25"/>
      <c r="F141" s="88" t="str">
        <f aca="false">IF(A141="","",COUNTIFS(MV_Date,A141,MV_Type,"Entrée"))</f>
        <v/>
      </c>
      <c r="G141" s="25"/>
      <c r="H141" s="68"/>
      <c r="I141" s="25"/>
      <c r="J141" s="89"/>
      <c r="K141" s="25"/>
      <c r="L141" s="25"/>
    </row>
    <row r="142" customFormat="false" ht="15" hidden="false" customHeight="false" outlineLevel="0" collapsed="false">
      <c r="A142" s="69"/>
      <c r="B142" s="25"/>
      <c r="C142" s="70"/>
      <c r="D142" s="90" t="str">
        <f aca="false">IF(A142="","",COUNTIFS(PT_Date,A142,PT_Pres,"P")+0.5*COUNTIFS(PT_Date,A142,PT_Pres,"1/2"))</f>
        <v/>
      </c>
      <c r="E142" s="25"/>
      <c r="F142" s="88" t="str">
        <f aca="false">IF(A142="","",COUNTIFS(MV_Date,A142,MV_Type,"Entrée"))</f>
        <v/>
      </c>
      <c r="G142" s="25"/>
      <c r="H142" s="68"/>
      <c r="I142" s="25"/>
      <c r="J142" s="89"/>
      <c r="K142" s="25"/>
      <c r="L142" s="25"/>
    </row>
    <row r="143" customFormat="false" ht="15" hidden="false" customHeight="false" outlineLevel="0" collapsed="false">
      <c r="A143" s="69"/>
      <c r="B143" s="25"/>
      <c r="C143" s="70"/>
      <c r="D143" s="90" t="str">
        <f aca="false">IF(A143="","",COUNTIFS(PT_Date,A143,PT_Pres,"P")+0.5*COUNTIFS(PT_Date,A143,PT_Pres,"1/2"))</f>
        <v/>
      </c>
      <c r="E143" s="25"/>
      <c r="F143" s="88" t="str">
        <f aca="false">IF(A143="","",COUNTIFS(MV_Date,A143,MV_Type,"Entrée"))</f>
        <v/>
      </c>
      <c r="G143" s="25"/>
      <c r="H143" s="68"/>
      <c r="I143" s="25"/>
      <c r="J143" s="89"/>
      <c r="K143" s="25"/>
      <c r="L143" s="25"/>
    </row>
    <row r="144" customFormat="false" ht="15" hidden="false" customHeight="false" outlineLevel="0" collapsed="false">
      <c r="A144" s="69"/>
      <c r="B144" s="25"/>
      <c r="C144" s="70"/>
      <c r="D144" s="90" t="str">
        <f aca="false">IF(A144="","",COUNTIFS(PT_Date,A144,PT_Pres,"P")+0.5*COUNTIFS(PT_Date,A144,PT_Pres,"1/2"))</f>
        <v/>
      </c>
      <c r="E144" s="25"/>
      <c r="F144" s="88" t="str">
        <f aca="false">IF(A144="","",COUNTIFS(MV_Date,A144,MV_Type,"Entrée"))</f>
        <v/>
      </c>
      <c r="G144" s="25"/>
      <c r="H144" s="68"/>
      <c r="I144" s="25"/>
      <c r="J144" s="89"/>
      <c r="K144" s="25"/>
      <c r="L144" s="25"/>
    </row>
    <row r="145" customFormat="false" ht="15" hidden="false" customHeight="false" outlineLevel="0" collapsed="false">
      <c r="A145" s="69"/>
      <c r="B145" s="25"/>
      <c r="C145" s="70"/>
      <c r="D145" s="90" t="str">
        <f aca="false">IF(A145="","",COUNTIFS(PT_Date,A145,PT_Pres,"P")+0.5*COUNTIFS(PT_Date,A145,PT_Pres,"1/2"))</f>
        <v/>
      </c>
      <c r="E145" s="25"/>
      <c r="F145" s="88" t="str">
        <f aca="false">IF(A145="","",COUNTIFS(MV_Date,A145,MV_Type,"Entrée"))</f>
        <v/>
      </c>
      <c r="G145" s="25"/>
      <c r="H145" s="68"/>
      <c r="I145" s="25"/>
      <c r="J145" s="89"/>
      <c r="K145" s="25"/>
      <c r="L145" s="25"/>
    </row>
    <row r="146" customFormat="false" ht="15" hidden="false" customHeight="false" outlineLevel="0" collapsed="false">
      <c r="A146" s="69"/>
      <c r="B146" s="25"/>
      <c r="C146" s="70"/>
      <c r="D146" s="90" t="str">
        <f aca="false">IF(A146="","",COUNTIFS(PT_Date,A146,PT_Pres,"P")+0.5*COUNTIFS(PT_Date,A146,PT_Pres,"1/2"))</f>
        <v/>
      </c>
      <c r="E146" s="25"/>
      <c r="F146" s="88" t="str">
        <f aca="false">IF(A146="","",COUNTIFS(MV_Date,A146,MV_Type,"Entrée"))</f>
        <v/>
      </c>
      <c r="G146" s="25"/>
      <c r="H146" s="68"/>
      <c r="I146" s="25"/>
      <c r="J146" s="89"/>
      <c r="K146" s="25"/>
      <c r="L146" s="25"/>
    </row>
    <row r="147" customFormat="false" ht="15" hidden="false" customHeight="false" outlineLevel="0" collapsed="false">
      <c r="A147" s="69"/>
      <c r="B147" s="25"/>
      <c r="C147" s="70"/>
      <c r="D147" s="90" t="str">
        <f aca="false">IF(A147="","",COUNTIFS(PT_Date,A147,PT_Pres,"P")+0.5*COUNTIFS(PT_Date,A147,PT_Pres,"1/2"))</f>
        <v/>
      </c>
      <c r="E147" s="25"/>
      <c r="F147" s="88" t="str">
        <f aca="false">IF(A147="","",COUNTIFS(MV_Date,A147,MV_Type,"Entrée"))</f>
        <v/>
      </c>
      <c r="G147" s="25"/>
      <c r="H147" s="68"/>
      <c r="I147" s="25"/>
      <c r="J147" s="89"/>
      <c r="K147" s="25"/>
      <c r="L147" s="25"/>
    </row>
    <row r="148" customFormat="false" ht="15" hidden="false" customHeight="false" outlineLevel="0" collapsed="false">
      <c r="A148" s="69"/>
      <c r="B148" s="25"/>
      <c r="C148" s="70"/>
      <c r="D148" s="90" t="str">
        <f aca="false">IF(A148="","",COUNTIFS(PT_Date,A148,PT_Pres,"P")+0.5*COUNTIFS(PT_Date,A148,PT_Pres,"1/2"))</f>
        <v/>
      </c>
      <c r="E148" s="25"/>
      <c r="F148" s="88" t="str">
        <f aca="false">IF(A148="","",COUNTIFS(MV_Date,A148,MV_Type,"Entrée"))</f>
        <v/>
      </c>
      <c r="G148" s="25"/>
      <c r="H148" s="68"/>
      <c r="I148" s="25"/>
      <c r="J148" s="89"/>
      <c r="K148" s="25"/>
      <c r="L148" s="25"/>
    </row>
    <row r="149" customFormat="false" ht="15" hidden="false" customHeight="false" outlineLevel="0" collapsed="false">
      <c r="A149" s="69"/>
      <c r="B149" s="25"/>
      <c r="C149" s="70"/>
      <c r="D149" s="90" t="str">
        <f aca="false">IF(A149="","",COUNTIFS(PT_Date,A149,PT_Pres,"P")+0.5*COUNTIFS(PT_Date,A149,PT_Pres,"1/2"))</f>
        <v/>
      </c>
      <c r="E149" s="25"/>
      <c r="F149" s="88" t="str">
        <f aca="false">IF(A149="","",COUNTIFS(MV_Date,A149,MV_Type,"Entrée"))</f>
        <v/>
      </c>
      <c r="G149" s="25"/>
      <c r="H149" s="68"/>
      <c r="I149" s="25"/>
      <c r="J149" s="89"/>
      <c r="K149" s="25"/>
      <c r="L149" s="25"/>
    </row>
    <row r="150" customFormat="false" ht="15" hidden="false" customHeight="false" outlineLevel="0" collapsed="false">
      <c r="A150" s="69"/>
      <c r="B150" s="25"/>
      <c r="C150" s="70"/>
      <c r="D150" s="90" t="str">
        <f aca="false">IF(A150="","",COUNTIFS(PT_Date,A150,PT_Pres,"P")+0.5*COUNTIFS(PT_Date,A150,PT_Pres,"1/2"))</f>
        <v/>
      </c>
      <c r="E150" s="25"/>
      <c r="F150" s="88" t="str">
        <f aca="false">IF(A150="","",COUNTIFS(MV_Date,A150,MV_Type,"Entrée"))</f>
        <v/>
      </c>
      <c r="G150" s="25"/>
      <c r="H150" s="68"/>
      <c r="I150" s="25"/>
      <c r="J150" s="89"/>
      <c r="K150" s="25"/>
      <c r="L150" s="25"/>
    </row>
    <row r="151" customFormat="false" ht="15" hidden="false" customHeight="false" outlineLevel="0" collapsed="false">
      <c r="A151" s="69"/>
      <c r="B151" s="25"/>
      <c r="C151" s="70"/>
      <c r="D151" s="90" t="str">
        <f aca="false">IF(A151="","",COUNTIFS(PT_Date,A151,PT_Pres,"P")+0.5*COUNTIFS(PT_Date,A151,PT_Pres,"1/2"))</f>
        <v/>
      </c>
      <c r="E151" s="25"/>
      <c r="F151" s="88" t="str">
        <f aca="false">IF(A151="","",COUNTIFS(MV_Date,A151,MV_Type,"Entrée"))</f>
        <v/>
      </c>
      <c r="G151" s="25"/>
      <c r="H151" s="68"/>
      <c r="I151" s="25"/>
      <c r="J151" s="89"/>
      <c r="K151" s="25"/>
      <c r="L151" s="25"/>
    </row>
    <row r="152" customFormat="false" ht="15" hidden="false" customHeight="false" outlineLevel="0" collapsed="false">
      <c r="A152" s="69"/>
      <c r="B152" s="25"/>
      <c r="C152" s="70"/>
      <c r="D152" s="90" t="str">
        <f aca="false">IF(A152="","",COUNTIFS(PT_Date,A152,PT_Pres,"P")+0.5*COUNTIFS(PT_Date,A152,PT_Pres,"1/2"))</f>
        <v/>
      </c>
      <c r="E152" s="25"/>
      <c r="F152" s="88" t="str">
        <f aca="false">IF(A152="","",COUNTIFS(MV_Date,A152,MV_Type,"Entrée"))</f>
        <v/>
      </c>
      <c r="G152" s="25"/>
      <c r="H152" s="68"/>
      <c r="I152" s="25"/>
      <c r="J152" s="89"/>
      <c r="K152" s="25"/>
      <c r="L152" s="25"/>
    </row>
    <row r="153" customFormat="false" ht="15" hidden="false" customHeight="false" outlineLevel="0" collapsed="false">
      <c r="A153" s="69"/>
      <c r="B153" s="25"/>
      <c r="C153" s="70"/>
      <c r="D153" s="90" t="str">
        <f aca="false">IF(A153="","",COUNTIFS(PT_Date,A153,PT_Pres,"P")+0.5*COUNTIFS(PT_Date,A153,PT_Pres,"1/2"))</f>
        <v/>
      </c>
      <c r="E153" s="25"/>
      <c r="F153" s="88" t="str">
        <f aca="false">IF(A153="","",COUNTIFS(MV_Date,A153,MV_Type,"Entrée"))</f>
        <v/>
      </c>
      <c r="G153" s="25"/>
      <c r="H153" s="68"/>
      <c r="I153" s="25"/>
      <c r="J153" s="89"/>
      <c r="K153" s="25"/>
      <c r="L153" s="25"/>
    </row>
    <row r="154" customFormat="false" ht="15" hidden="false" customHeight="false" outlineLevel="0" collapsed="false">
      <c r="A154" s="69"/>
      <c r="B154" s="25"/>
      <c r="C154" s="70"/>
      <c r="D154" s="90" t="str">
        <f aca="false">IF(A154="","",COUNTIFS(PT_Date,A154,PT_Pres,"P")+0.5*COUNTIFS(PT_Date,A154,PT_Pres,"1/2"))</f>
        <v/>
      </c>
      <c r="E154" s="25"/>
      <c r="F154" s="88" t="str">
        <f aca="false">IF(A154="","",COUNTIFS(MV_Date,A154,MV_Type,"Entrée"))</f>
        <v/>
      </c>
      <c r="G154" s="25"/>
      <c r="H154" s="68"/>
      <c r="I154" s="25"/>
      <c r="J154" s="89"/>
      <c r="K154" s="25"/>
      <c r="L154" s="25"/>
    </row>
    <row r="155" customFormat="false" ht="15" hidden="false" customHeight="false" outlineLevel="0" collapsed="false">
      <c r="A155" s="69"/>
      <c r="B155" s="25"/>
      <c r="C155" s="70"/>
      <c r="D155" s="90" t="str">
        <f aca="false">IF(A155="","",COUNTIFS(PT_Date,A155,PT_Pres,"P")+0.5*COUNTIFS(PT_Date,A155,PT_Pres,"1/2"))</f>
        <v/>
      </c>
      <c r="E155" s="25"/>
      <c r="F155" s="88" t="str">
        <f aca="false">IF(A155="","",COUNTIFS(MV_Date,A155,MV_Type,"Entrée"))</f>
        <v/>
      </c>
      <c r="G155" s="25"/>
      <c r="H155" s="68"/>
      <c r="I155" s="25"/>
      <c r="J155" s="89"/>
      <c r="K155" s="25"/>
      <c r="L155" s="25"/>
    </row>
    <row r="156" customFormat="false" ht="15" hidden="false" customHeight="false" outlineLevel="0" collapsed="false">
      <c r="A156" s="69"/>
      <c r="B156" s="25"/>
      <c r="C156" s="70"/>
      <c r="D156" s="90" t="str">
        <f aca="false">IF(A156="","",COUNTIFS(PT_Date,A156,PT_Pres,"P")+0.5*COUNTIFS(PT_Date,A156,PT_Pres,"1/2"))</f>
        <v/>
      </c>
      <c r="E156" s="25"/>
      <c r="F156" s="88" t="str">
        <f aca="false">IF(A156="","",COUNTIFS(MV_Date,A156,MV_Type,"Entrée"))</f>
        <v/>
      </c>
      <c r="G156" s="25"/>
      <c r="H156" s="68"/>
      <c r="I156" s="25"/>
      <c r="J156" s="89"/>
      <c r="K156" s="25"/>
      <c r="L156" s="25"/>
    </row>
    <row r="157" customFormat="false" ht="15" hidden="false" customHeight="false" outlineLevel="0" collapsed="false">
      <c r="A157" s="69"/>
      <c r="B157" s="25"/>
      <c r="C157" s="70"/>
      <c r="D157" s="90" t="str">
        <f aca="false">IF(A157="","",COUNTIFS(PT_Date,A157,PT_Pres,"P")+0.5*COUNTIFS(PT_Date,A157,PT_Pres,"1/2"))</f>
        <v/>
      </c>
      <c r="E157" s="25"/>
      <c r="F157" s="88" t="str">
        <f aca="false">IF(A157="","",COUNTIFS(MV_Date,A157,MV_Type,"Entrée"))</f>
        <v/>
      </c>
      <c r="G157" s="25"/>
      <c r="H157" s="68"/>
      <c r="I157" s="25"/>
      <c r="J157" s="89"/>
      <c r="K157" s="25"/>
      <c r="L157" s="25"/>
    </row>
    <row r="158" customFormat="false" ht="15" hidden="false" customHeight="false" outlineLevel="0" collapsed="false">
      <c r="A158" s="69"/>
      <c r="B158" s="25"/>
      <c r="C158" s="70"/>
      <c r="D158" s="90" t="str">
        <f aca="false">IF(A158="","",COUNTIFS(PT_Date,A158,PT_Pres,"P")+0.5*COUNTIFS(PT_Date,A158,PT_Pres,"1/2"))</f>
        <v/>
      </c>
      <c r="E158" s="25"/>
      <c r="F158" s="88" t="str">
        <f aca="false">IF(A158="","",COUNTIFS(MV_Date,A158,MV_Type,"Entrée"))</f>
        <v/>
      </c>
      <c r="G158" s="25"/>
      <c r="H158" s="68"/>
      <c r="I158" s="25"/>
      <c r="J158" s="89"/>
      <c r="K158" s="25"/>
      <c r="L158" s="25"/>
    </row>
    <row r="159" customFormat="false" ht="15" hidden="false" customHeight="false" outlineLevel="0" collapsed="false">
      <c r="A159" s="69"/>
      <c r="B159" s="25"/>
      <c r="C159" s="70"/>
      <c r="D159" s="90" t="str">
        <f aca="false">IF(A159="","",COUNTIFS(PT_Date,A159,PT_Pres,"P")+0.5*COUNTIFS(PT_Date,A159,PT_Pres,"1/2"))</f>
        <v/>
      </c>
      <c r="E159" s="25"/>
      <c r="F159" s="88" t="str">
        <f aca="false">IF(A159="","",COUNTIFS(MV_Date,A159,MV_Type,"Entrée"))</f>
        <v/>
      </c>
      <c r="G159" s="25"/>
      <c r="H159" s="68"/>
      <c r="I159" s="25"/>
      <c r="J159" s="89"/>
      <c r="K159" s="25"/>
      <c r="L159" s="25"/>
    </row>
    <row r="160" customFormat="false" ht="15" hidden="false" customHeight="false" outlineLevel="0" collapsed="false">
      <c r="A160" s="69"/>
      <c r="B160" s="25"/>
      <c r="C160" s="70"/>
      <c r="D160" s="90" t="str">
        <f aca="false">IF(A160="","",COUNTIFS(PT_Date,A160,PT_Pres,"P")+0.5*COUNTIFS(PT_Date,A160,PT_Pres,"1/2"))</f>
        <v/>
      </c>
      <c r="E160" s="25"/>
      <c r="F160" s="88" t="str">
        <f aca="false">IF(A160="","",COUNTIFS(MV_Date,A160,MV_Type,"Entrée"))</f>
        <v/>
      </c>
      <c r="G160" s="25"/>
      <c r="H160" s="68"/>
      <c r="I160" s="25"/>
      <c r="J160" s="89"/>
      <c r="K160" s="25"/>
      <c r="L160" s="25"/>
    </row>
    <row r="161" customFormat="false" ht="15" hidden="false" customHeight="false" outlineLevel="0" collapsed="false">
      <c r="A161" s="69"/>
      <c r="B161" s="25"/>
      <c r="C161" s="70"/>
      <c r="D161" s="90" t="str">
        <f aca="false">IF(A161="","",COUNTIFS(PT_Date,A161,PT_Pres,"P")+0.5*COUNTIFS(PT_Date,A161,PT_Pres,"1/2"))</f>
        <v/>
      </c>
      <c r="E161" s="25"/>
      <c r="F161" s="88" t="str">
        <f aca="false">IF(A161="","",COUNTIFS(MV_Date,A161,MV_Type,"Entrée"))</f>
        <v/>
      </c>
      <c r="G161" s="25"/>
      <c r="H161" s="68"/>
      <c r="I161" s="25"/>
      <c r="J161" s="89"/>
      <c r="K161" s="25"/>
      <c r="L161" s="25"/>
    </row>
    <row r="162" customFormat="false" ht="15" hidden="false" customHeight="false" outlineLevel="0" collapsed="false">
      <c r="A162" s="69"/>
      <c r="B162" s="25"/>
      <c r="C162" s="70"/>
      <c r="D162" s="90" t="str">
        <f aca="false">IF(A162="","",COUNTIFS(PT_Date,A162,PT_Pres,"P")+0.5*COUNTIFS(PT_Date,A162,PT_Pres,"1/2"))</f>
        <v/>
      </c>
      <c r="E162" s="25"/>
      <c r="F162" s="88" t="str">
        <f aca="false">IF(A162="","",COUNTIFS(MV_Date,A162,MV_Type,"Entrée"))</f>
        <v/>
      </c>
      <c r="G162" s="25"/>
      <c r="H162" s="68"/>
      <c r="I162" s="25"/>
      <c r="J162" s="89"/>
      <c r="K162" s="25"/>
      <c r="L162" s="25"/>
    </row>
    <row r="163" customFormat="false" ht="15" hidden="false" customHeight="false" outlineLevel="0" collapsed="false">
      <c r="A163" s="69"/>
      <c r="B163" s="25"/>
      <c r="C163" s="70"/>
      <c r="D163" s="90" t="str">
        <f aca="false">IF(A163="","",COUNTIFS(PT_Date,A163,PT_Pres,"P")+0.5*COUNTIFS(PT_Date,A163,PT_Pres,"1/2"))</f>
        <v/>
      </c>
      <c r="E163" s="25"/>
      <c r="F163" s="88" t="str">
        <f aca="false">IF(A163="","",COUNTIFS(MV_Date,A163,MV_Type,"Entrée"))</f>
        <v/>
      </c>
      <c r="G163" s="25"/>
      <c r="H163" s="68"/>
      <c r="I163" s="25"/>
      <c r="J163" s="89"/>
      <c r="K163" s="25"/>
      <c r="L163" s="25"/>
    </row>
    <row r="164" customFormat="false" ht="15" hidden="false" customHeight="false" outlineLevel="0" collapsed="false">
      <c r="A164" s="69"/>
      <c r="B164" s="25"/>
      <c r="C164" s="70"/>
      <c r="D164" s="90" t="str">
        <f aca="false">IF(A164="","",COUNTIFS(PT_Date,A164,PT_Pres,"P")+0.5*COUNTIFS(PT_Date,A164,PT_Pres,"1/2"))</f>
        <v/>
      </c>
      <c r="E164" s="25"/>
      <c r="F164" s="88" t="str">
        <f aca="false">IF(A164="","",COUNTIFS(MV_Date,A164,MV_Type,"Entrée"))</f>
        <v/>
      </c>
      <c r="G164" s="25"/>
      <c r="H164" s="68"/>
      <c r="I164" s="25"/>
      <c r="J164" s="89"/>
      <c r="K164" s="25"/>
      <c r="L164" s="25"/>
    </row>
    <row r="165" customFormat="false" ht="15" hidden="false" customHeight="false" outlineLevel="0" collapsed="false">
      <c r="A165" s="69"/>
      <c r="B165" s="25"/>
      <c r="C165" s="70"/>
      <c r="D165" s="90" t="str">
        <f aca="false">IF(A165="","",COUNTIFS(PT_Date,A165,PT_Pres,"P")+0.5*COUNTIFS(PT_Date,A165,PT_Pres,"1/2"))</f>
        <v/>
      </c>
      <c r="E165" s="25"/>
      <c r="F165" s="88" t="str">
        <f aca="false">IF(A165="","",COUNTIFS(MV_Date,A165,MV_Type,"Entrée"))</f>
        <v/>
      </c>
      <c r="G165" s="25"/>
      <c r="H165" s="68"/>
      <c r="I165" s="25"/>
      <c r="J165" s="89"/>
      <c r="K165" s="25"/>
      <c r="L165" s="25"/>
    </row>
    <row r="166" customFormat="false" ht="15" hidden="false" customHeight="false" outlineLevel="0" collapsed="false">
      <c r="A166" s="69"/>
      <c r="B166" s="25"/>
      <c r="C166" s="70"/>
      <c r="D166" s="90" t="str">
        <f aca="false">IF(A166="","",COUNTIFS(PT_Date,A166,PT_Pres,"P")+0.5*COUNTIFS(PT_Date,A166,PT_Pres,"1/2"))</f>
        <v/>
      </c>
      <c r="E166" s="25"/>
      <c r="F166" s="88" t="str">
        <f aca="false">IF(A166="","",COUNTIFS(MV_Date,A166,MV_Type,"Entrée"))</f>
        <v/>
      </c>
      <c r="G166" s="25"/>
      <c r="H166" s="68"/>
      <c r="I166" s="25"/>
      <c r="J166" s="89"/>
      <c r="K166" s="25"/>
      <c r="L166" s="25"/>
    </row>
    <row r="167" customFormat="false" ht="15" hidden="false" customHeight="false" outlineLevel="0" collapsed="false">
      <c r="A167" s="69"/>
      <c r="B167" s="25"/>
      <c r="C167" s="70"/>
      <c r="D167" s="90" t="str">
        <f aca="false">IF(A167="","",COUNTIFS(PT_Date,A167,PT_Pres,"P")+0.5*COUNTIFS(PT_Date,A167,PT_Pres,"1/2"))</f>
        <v/>
      </c>
      <c r="E167" s="25"/>
      <c r="F167" s="88" t="str">
        <f aca="false">IF(A167="","",COUNTIFS(MV_Date,A167,MV_Type,"Entrée"))</f>
        <v/>
      </c>
      <c r="G167" s="25"/>
      <c r="H167" s="68"/>
      <c r="I167" s="25"/>
      <c r="J167" s="89"/>
      <c r="K167" s="25"/>
      <c r="L167" s="25"/>
    </row>
    <row r="168" customFormat="false" ht="15" hidden="false" customHeight="false" outlineLevel="0" collapsed="false">
      <c r="A168" s="69"/>
      <c r="B168" s="25"/>
      <c r="C168" s="70"/>
      <c r="D168" s="90" t="str">
        <f aca="false">IF(A168="","",COUNTIFS(PT_Date,A168,PT_Pres,"P")+0.5*COUNTIFS(PT_Date,A168,PT_Pres,"1/2"))</f>
        <v/>
      </c>
      <c r="E168" s="25"/>
      <c r="F168" s="88" t="str">
        <f aca="false">IF(A168="","",COUNTIFS(MV_Date,A168,MV_Type,"Entrée"))</f>
        <v/>
      </c>
      <c r="G168" s="25"/>
      <c r="H168" s="68"/>
      <c r="I168" s="25"/>
      <c r="J168" s="89"/>
      <c r="K168" s="25"/>
      <c r="L168" s="25"/>
    </row>
    <row r="169" customFormat="false" ht="15" hidden="false" customHeight="false" outlineLevel="0" collapsed="false">
      <c r="A169" s="69"/>
      <c r="B169" s="25"/>
      <c r="C169" s="70"/>
      <c r="D169" s="90" t="str">
        <f aca="false">IF(A169="","",COUNTIFS(PT_Date,A169,PT_Pres,"P")+0.5*COUNTIFS(PT_Date,A169,PT_Pres,"1/2"))</f>
        <v/>
      </c>
      <c r="E169" s="25"/>
      <c r="F169" s="88" t="str">
        <f aca="false">IF(A169="","",COUNTIFS(MV_Date,A169,MV_Type,"Entrée"))</f>
        <v/>
      </c>
      <c r="G169" s="25"/>
      <c r="H169" s="68"/>
      <c r="I169" s="25"/>
      <c r="J169" s="89"/>
      <c r="K169" s="25"/>
      <c r="L169" s="25"/>
    </row>
    <row r="170" customFormat="false" ht="15" hidden="false" customHeight="false" outlineLevel="0" collapsed="false">
      <c r="A170" s="69"/>
      <c r="B170" s="25"/>
      <c r="C170" s="70"/>
      <c r="D170" s="90" t="str">
        <f aca="false">IF(A170="","",COUNTIFS(PT_Date,A170,PT_Pres,"P")+0.5*COUNTIFS(PT_Date,A170,PT_Pres,"1/2"))</f>
        <v/>
      </c>
      <c r="E170" s="25"/>
      <c r="F170" s="88" t="str">
        <f aca="false">IF(A170="","",COUNTIFS(MV_Date,A170,MV_Type,"Entrée"))</f>
        <v/>
      </c>
      <c r="G170" s="25"/>
      <c r="H170" s="68"/>
      <c r="I170" s="25"/>
      <c r="J170" s="89"/>
      <c r="K170" s="25"/>
      <c r="L170" s="25"/>
    </row>
    <row r="171" customFormat="false" ht="15" hidden="false" customHeight="false" outlineLevel="0" collapsed="false">
      <c r="A171" s="69"/>
      <c r="B171" s="25"/>
      <c r="C171" s="70"/>
      <c r="D171" s="90" t="str">
        <f aca="false">IF(A171="","",COUNTIFS(PT_Date,A171,PT_Pres,"P")+0.5*COUNTIFS(PT_Date,A171,PT_Pres,"1/2"))</f>
        <v/>
      </c>
      <c r="E171" s="25"/>
      <c r="F171" s="88" t="str">
        <f aca="false">IF(A171="","",COUNTIFS(MV_Date,A171,MV_Type,"Entrée"))</f>
        <v/>
      </c>
      <c r="G171" s="25"/>
      <c r="H171" s="68"/>
      <c r="I171" s="25"/>
      <c r="J171" s="89"/>
      <c r="K171" s="25"/>
      <c r="L171" s="25"/>
    </row>
    <row r="172" customFormat="false" ht="15" hidden="false" customHeight="false" outlineLevel="0" collapsed="false">
      <c r="A172" s="69"/>
      <c r="B172" s="25"/>
      <c r="C172" s="70"/>
      <c r="D172" s="90" t="str">
        <f aca="false">IF(A172="","",COUNTIFS(PT_Date,A172,PT_Pres,"P")+0.5*COUNTIFS(PT_Date,A172,PT_Pres,"1/2"))</f>
        <v/>
      </c>
      <c r="E172" s="25"/>
      <c r="F172" s="88" t="str">
        <f aca="false">IF(A172="","",COUNTIFS(MV_Date,A172,MV_Type,"Entrée"))</f>
        <v/>
      </c>
      <c r="G172" s="25"/>
      <c r="H172" s="68"/>
      <c r="I172" s="25"/>
      <c r="J172" s="89"/>
      <c r="K172" s="25"/>
      <c r="L172" s="25"/>
    </row>
    <row r="173" customFormat="false" ht="15" hidden="false" customHeight="false" outlineLevel="0" collapsed="false">
      <c r="A173" s="69"/>
      <c r="B173" s="25"/>
      <c r="C173" s="70"/>
      <c r="D173" s="90" t="str">
        <f aca="false">IF(A173="","",COUNTIFS(PT_Date,A173,PT_Pres,"P")+0.5*COUNTIFS(PT_Date,A173,PT_Pres,"1/2"))</f>
        <v/>
      </c>
      <c r="E173" s="25"/>
      <c r="F173" s="88" t="str">
        <f aca="false">IF(A173="","",COUNTIFS(MV_Date,A173,MV_Type,"Entrée"))</f>
        <v/>
      </c>
      <c r="G173" s="25"/>
      <c r="H173" s="68"/>
      <c r="I173" s="25"/>
      <c r="J173" s="89"/>
      <c r="K173" s="25"/>
      <c r="L173" s="25"/>
    </row>
    <row r="174" customFormat="false" ht="15" hidden="false" customHeight="false" outlineLevel="0" collapsed="false">
      <c r="A174" s="69"/>
      <c r="B174" s="25"/>
      <c r="C174" s="70"/>
      <c r="D174" s="90" t="str">
        <f aca="false">IF(A174="","",COUNTIFS(PT_Date,A174,PT_Pres,"P")+0.5*COUNTIFS(PT_Date,A174,PT_Pres,"1/2"))</f>
        <v/>
      </c>
      <c r="E174" s="25"/>
      <c r="F174" s="88" t="str">
        <f aca="false">IF(A174="","",COUNTIFS(MV_Date,A174,MV_Type,"Entrée"))</f>
        <v/>
      </c>
      <c r="G174" s="25"/>
      <c r="H174" s="68"/>
      <c r="I174" s="25"/>
      <c r="J174" s="89"/>
      <c r="K174" s="25"/>
      <c r="L174" s="25"/>
    </row>
    <row r="175" customFormat="false" ht="15" hidden="false" customHeight="false" outlineLevel="0" collapsed="false">
      <c r="A175" s="69"/>
      <c r="B175" s="25"/>
      <c r="C175" s="70"/>
      <c r="D175" s="90" t="str">
        <f aca="false">IF(A175="","",COUNTIFS(PT_Date,A175,PT_Pres,"P")+0.5*COUNTIFS(PT_Date,A175,PT_Pres,"1/2"))</f>
        <v/>
      </c>
      <c r="E175" s="25"/>
      <c r="F175" s="88" t="str">
        <f aca="false">IF(A175="","",COUNTIFS(MV_Date,A175,MV_Type,"Entrée"))</f>
        <v/>
      </c>
      <c r="G175" s="25"/>
      <c r="H175" s="68"/>
      <c r="I175" s="25"/>
      <c r="J175" s="89"/>
      <c r="K175" s="25"/>
      <c r="L175" s="25"/>
    </row>
    <row r="176" customFormat="false" ht="15" hidden="false" customHeight="false" outlineLevel="0" collapsed="false">
      <c r="A176" s="69"/>
      <c r="B176" s="25"/>
      <c r="C176" s="70"/>
      <c r="D176" s="90" t="str">
        <f aca="false">IF(A176="","",COUNTIFS(PT_Date,A176,PT_Pres,"P")+0.5*COUNTIFS(PT_Date,A176,PT_Pres,"1/2"))</f>
        <v/>
      </c>
      <c r="E176" s="25"/>
      <c r="F176" s="88" t="str">
        <f aca="false">IF(A176="","",COUNTIFS(MV_Date,A176,MV_Type,"Entrée"))</f>
        <v/>
      </c>
      <c r="G176" s="25"/>
      <c r="H176" s="68"/>
      <c r="I176" s="25"/>
      <c r="J176" s="89"/>
      <c r="K176" s="25"/>
      <c r="L176" s="25"/>
    </row>
    <row r="177" customFormat="false" ht="15" hidden="false" customHeight="false" outlineLevel="0" collapsed="false">
      <c r="A177" s="69"/>
      <c r="B177" s="25"/>
      <c r="C177" s="70"/>
      <c r="D177" s="90" t="str">
        <f aca="false">IF(A177="","",COUNTIFS(PT_Date,A177,PT_Pres,"P")+0.5*COUNTIFS(PT_Date,A177,PT_Pres,"1/2"))</f>
        <v/>
      </c>
      <c r="E177" s="25"/>
      <c r="F177" s="88" t="str">
        <f aca="false">IF(A177="","",COUNTIFS(MV_Date,A177,MV_Type,"Entrée"))</f>
        <v/>
      </c>
      <c r="G177" s="25"/>
      <c r="H177" s="68"/>
      <c r="I177" s="25"/>
      <c r="J177" s="89"/>
      <c r="K177" s="25"/>
      <c r="L177" s="25"/>
    </row>
    <row r="178" customFormat="false" ht="15" hidden="false" customHeight="false" outlineLevel="0" collapsed="false">
      <c r="A178" s="69"/>
      <c r="B178" s="25"/>
      <c r="C178" s="70"/>
      <c r="D178" s="90" t="str">
        <f aca="false">IF(A178="","",COUNTIFS(PT_Date,A178,PT_Pres,"P")+0.5*COUNTIFS(PT_Date,A178,PT_Pres,"1/2"))</f>
        <v/>
      </c>
      <c r="E178" s="25"/>
      <c r="F178" s="88" t="str">
        <f aca="false">IF(A178="","",COUNTIFS(MV_Date,A178,MV_Type,"Entrée"))</f>
        <v/>
      </c>
      <c r="G178" s="25"/>
      <c r="H178" s="68"/>
      <c r="I178" s="25"/>
      <c r="J178" s="89"/>
      <c r="K178" s="25"/>
      <c r="L178" s="25"/>
    </row>
    <row r="179" customFormat="false" ht="15" hidden="false" customHeight="false" outlineLevel="0" collapsed="false">
      <c r="A179" s="69"/>
      <c r="B179" s="25"/>
      <c r="C179" s="70"/>
      <c r="D179" s="90" t="str">
        <f aca="false">IF(A179="","",COUNTIFS(PT_Date,A179,PT_Pres,"P")+0.5*COUNTIFS(PT_Date,A179,PT_Pres,"1/2"))</f>
        <v/>
      </c>
      <c r="E179" s="25"/>
      <c r="F179" s="88" t="str">
        <f aca="false">IF(A179="","",COUNTIFS(MV_Date,A179,MV_Type,"Entrée"))</f>
        <v/>
      </c>
      <c r="G179" s="25"/>
      <c r="H179" s="68"/>
      <c r="I179" s="25"/>
      <c r="J179" s="89"/>
      <c r="K179" s="25"/>
      <c r="L179" s="25"/>
    </row>
    <row r="180" customFormat="false" ht="15" hidden="false" customHeight="false" outlineLevel="0" collapsed="false">
      <c r="A180" s="69"/>
      <c r="B180" s="25"/>
      <c r="C180" s="70"/>
      <c r="D180" s="90" t="str">
        <f aca="false">IF(A180="","",COUNTIFS(PT_Date,A180,PT_Pres,"P")+0.5*COUNTIFS(PT_Date,A180,PT_Pres,"1/2"))</f>
        <v/>
      </c>
      <c r="E180" s="25"/>
      <c r="F180" s="88" t="str">
        <f aca="false">IF(A180="","",COUNTIFS(MV_Date,A180,MV_Type,"Entrée"))</f>
        <v/>
      </c>
      <c r="G180" s="25"/>
      <c r="H180" s="68"/>
      <c r="I180" s="25"/>
      <c r="J180" s="89"/>
      <c r="K180" s="25"/>
      <c r="L180" s="25"/>
    </row>
    <row r="181" customFormat="false" ht="15" hidden="false" customHeight="false" outlineLevel="0" collapsed="false">
      <c r="A181" s="69"/>
      <c r="B181" s="25"/>
      <c r="C181" s="70"/>
      <c r="D181" s="90" t="str">
        <f aca="false">IF(A181="","",COUNTIFS(PT_Date,A181,PT_Pres,"P")+0.5*COUNTIFS(PT_Date,A181,PT_Pres,"1/2"))</f>
        <v/>
      </c>
      <c r="E181" s="25"/>
      <c r="F181" s="88" t="str">
        <f aca="false">IF(A181="","",COUNTIFS(MV_Date,A181,MV_Type,"Entrée"))</f>
        <v/>
      </c>
      <c r="G181" s="25"/>
      <c r="H181" s="68"/>
      <c r="I181" s="25"/>
      <c r="J181" s="89"/>
      <c r="K181" s="25"/>
      <c r="L181" s="25"/>
    </row>
    <row r="182" customFormat="false" ht="15" hidden="false" customHeight="false" outlineLevel="0" collapsed="false">
      <c r="A182" s="69"/>
      <c r="B182" s="25"/>
      <c r="C182" s="70"/>
      <c r="D182" s="90" t="str">
        <f aca="false">IF(A182="","",COUNTIFS(PT_Date,A182,PT_Pres,"P")+0.5*COUNTIFS(PT_Date,A182,PT_Pres,"1/2"))</f>
        <v/>
      </c>
      <c r="E182" s="25"/>
      <c r="F182" s="88" t="str">
        <f aca="false">IF(A182="","",COUNTIFS(MV_Date,A182,MV_Type,"Entrée"))</f>
        <v/>
      </c>
      <c r="G182" s="25"/>
      <c r="H182" s="68"/>
      <c r="I182" s="25"/>
      <c r="J182" s="89"/>
      <c r="K182" s="25"/>
      <c r="L182" s="25"/>
    </row>
    <row r="183" customFormat="false" ht="15" hidden="false" customHeight="false" outlineLevel="0" collapsed="false">
      <c r="A183" s="69"/>
      <c r="B183" s="25"/>
      <c r="C183" s="70"/>
      <c r="D183" s="90" t="str">
        <f aca="false">IF(A183="","",COUNTIFS(PT_Date,A183,PT_Pres,"P")+0.5*COUNTIFS(PT_Date,A183,PT_Pres,"1/2"))</f>
        <v/>
      </c>
      <c r="E183" s="25"/>
      <c r="F183" s="88" t="str">
        <f aca="false">IF(A183="","",COUNTIFS(MV_Date,A183,MV_Type,"Entrée"))</f>
        <v/>
      </c>
      <c r="G183" s="25"/>
      <c r="H183" s="68"/>
      <c r="I183" s="25"/>
      <c r="J183" s="89"/>
      <c r="K183" s="25"/>
      <c r="L183" s="25"/>
    </row>
    <row r="184" customFormat="false" ht="15" hidden="false" customHeight="false" outlineLevel="0" collapsed="false">
      <c r="A184" s="69"/>
      <c r="B184" s="25"/>
      <c r="C184" s="70"/>
      <c r="D184" s="90" t="str">
        <f aca="false">IF(A184="","",COUNTIFS(PT_Date,A184,PT_Pres,"P")+0.5*COUNTIFS(PT_Date,A184,PT_Pres,"1/2"))</f>
        <v/>
      </c>
      <c r="E184" s="25"/>
      <c r="F184" s="88" t="str">
        <f aca="false">IF(A184="","",COUNTIFS(MV_Date,A184,MV_Type,"Entrée"))</f>
        <v/>
      </c>
      <c r="G184" s="25"/>
      <c r="H184" s="68"/>
      <c r="I184" s="25"/>
      <c r="J184" s="89"/>
      <c r="K184" s="25"/>
      <c r="L184" s="25"/>
    </row>
    <row r="185" customFormat="false" ht="15" hidden="false" customHeight="false" outlineLevel="0" collapsed="false">
      <c r="A185" s="69"/>
      <c r="B185" s="25"/>
      <c r="C185" s="70"/>
      <c r="D185" s="90" t="str">
        <f aca="false">IF(A185="","",COUNTIFS(PT_Date,A185,PT_Pres,"P")+0.5*COUNTIFS(PT_Date,A185,PT_Pres,"1/2"))</f>
        <v/>
      </c>
      <c r="E185" s="25"/>
      <c r="F185" s="88" t="str">
        <f aca="false">IF(A185="","",COUNTIFS(MV_Date,A185,MV_Type,"Entrée"))</f>
        <v/>
      </c>
      <c r="G185" s="25"/>
      <c r="H185" s="68"/>
      <c r="I185" s="25"/>
      <c r="J185" s="89"/>
      <c r="K185" s="25"/>
      <c r="L185" s="25"/>
    </row>
    <row r="186" customFormat="false" ht="15" hidden="false" customHeight="false" outlineLevel="0" collapsed="false">
      <c r="A186" s="69"/>
      <c r="B186" s="25"/>
      <c r="C186" s="70"/>
      <c r="D186" s="90" t="str">
        <f aca="false">IF(A186="","",COUNTIFS(PT_Date,A186,PT_Pres,"P")+0.5*COUNTIFS(PT_Date,A186,PT_Pres,"1/2"))</f>
        <v/>
      </c>
      <c r="E186" s="25"/>
      <c r="F186" s="88" t="str">
        <f aca="false">IF(A186="","",COUNTIFS(MV_Date,A186,MV_Type,"Entrée"))</f>
        <v/>
      </c>
      <c r="G186" s="25"/>
      <c r="H186" s="68"/>
      <c r="I186" s="25"/>
      <c r="J186" s="89"/>
      <c r="K186" s="25"/>
      <c r="L186" s="25"/>
    </row>
    <row r="187" customFormat="false" ht="15" hidden="false" customHeight="false" outlineLevel="0" collapsed="false">
      <c r="A187" s="69"/>
      <c r="B187" s="25"/>
      <c r="C187" s="70"/>
      <c r="D187" s="90" t="str">
        <f aca="false">IF(A187="","",COUNTIFS(PT_Date,A187,PT_Pres,"P")+0.5*COUNTIFS(PT_Date,A187,PT_Pres,"1/2"))</f>
        <v/>
      </c>
      <c r="E187" s="25"/>
      <c r="F187" s="88" t="str">
        <f aca="false">IF(A187="","",COUNTIFS(MV_Date,A187,MV_Type,"Entrée"))</f>
        <v/>
      </c>
      <c r="G187" s="25"/>
      <c r="H187" s="68"/>
      <c r="I187" s="25"/>
      <c r="J187" s="89"/>
      <c r="K187" s="25"/>
      <c r="L187" s="25"/>
    </row>
    <row r="188" customFormat="false" ht="15" hidden="false" customHeight="false" outlineLevel="0" collapsed="false">
      <c r="A188" s="69"/>
      <c r="B188" s="25"/>
      <c r="C188" s="70"/>
      <c r="D188" s="90" t="str">
        <f aca="false">IF(A188="","",COUNTIFS(PT_Date,A188,PT_Pres,"P")+0.5*COUNTIFS(PT_Date,A188,PT_Pres,"1/2"))</f>
        <v/>
      </c>
      <c r="E188" s="25"/>
      <c r="F188" s="88" t="str">
        <f aca="false">IF(A188="","",COUNTIFS(MV_Date,A188,MV_Type,"Entrée"))</f>
        <v/>
      </c>
      <c r="G188" s="25"/>
      <c r="H188" s="68"/>
      <c r="I188" s="25"/>
      <c r="J188" s="89"/>
      <c r="K188" s="25"/>
      <c r="L188" s="25"/>
    </row>
    <row r="189" customFormat="false" ht="15" hidden="false" customHeight="false" outlineLevel="0" collapsed="false">
      <c r="A189" s="69"/>
      <c r="B189" s="25"/>
      <c r="C189" s="70"/>
      <c r="D189" s="90" t="str">
        <f aca="false">IF(A189="","",COUNTIFS(PT_Date,A189,PT_Pres,"P")+0.5*COUNTIFS(PT_Date,A189,PT_Pres,"1/2"))</f>
        <v/>
      </c>
      <c r="E189" s="25"/>
      <c r="F189" s="88" t="str">
        <f aca="false">IF(A189="","",COUNTIFS(MV_Date,A189,MV_Type,"Entrée"))</f>
        <v/>
      </c>
      <c r="G189" s="25"/>
      <c r="H189" s="68"/>
      <c r="I189" s="25"/>
      <c r="J189" s="89"/>
      <c r="K189" s="25"/>
      <c r="L189" s="25"/>
    </row>
    <row r="190" customFormat="false" ht="15" hidden="false" customHeight="false" outlineLevel="0" collapsed="false">
      <c r="A190" s="69"/>
      <c r="B190" s="25"/>
      <c r="C190" s="70"/>
      <c r="D190" s="90" t="str">
        <f aca="false">IF(A190="","",COUNTIFS(PT_Date,A190,PT_Pres,"P")+0.5*COUNTIFS(PT_Date,A190,PT_Pres,"1/2"))</f>
        <v/>
      </c>
      <c r="E190" s="25"/>
      <c r="F190" s="88" t="str">
        <f aca="false">IF(A190="","",COUNTIFS(MV_Date,A190,MV_Type,"Entrée"))</f>
        <v/>
      </c>
      <c r="G190" s="25"/>
      <c r="H190" s="68"/>
      <c r="I190" s="25"/>
      <c r="J190" s="89"/>
      <c r="K190" s="25"/>
      <c r="L190" s="25"/>
    </row>
    <row r="191" customFormat="false" ht="15" hidden="false" customHeight="false" outlineLevel="0" collapsed="false">
      <c r="A191" s="69"/>
      <c r="B191" s="25"/>
      <c r="C191" s="70"/>
      <c r="D191" s="90" t="str">
        <f aca="false">IF(A191="","",COUNTIFS(PT_Date,A191,PT_Pres,"P")+0.5*COUNTIFS(PT_Date,A191,PT_Pres,"1/2"))</f>
        <v/>
      </c>
      <c r="E191" s="25"/>
      <c r="F191" s="88" t="str">
        <f aca="false">IF(A191="","",COUNTIFS(MV_Date,A191,MV_Type,"Entrée"))</f>
        <v/>
      </c>
      <c r="G191" s="25"/>
      <c r="H191" s="68"/>
      <c r="I191" s="25"/>
      <c r="J191" s="89"/>
      <c r="K191" s="25"/>
      <c r="L191" s="25"/>
    </row>
    <row r="192" customFormat="false" ht="15" hidden="false" customHeight="false" outlineLevel="0" collapsed="false">
      <c r="A192" s="69"/>
      <c r="B192" s="25"/>
      <c r="C192" s="70"/>
      <c r="D192" s="90" t="str">
        <f aca="false">IF(A192="","",COUNTIFS(PT_Date,A192,PT_Pres,"P")+0.5*COUNTIFS(PT_Date,A192,PT_Pres,"1/2"))</f>
        <v/>
      </c>
      <c r="E192" s="25"/>
      <c r="F192" s="88" t="str">
        <f aca="false">IF(A192="","",COUNTIFS(MV_Date,A192,MV_Type,"Entrée"))</f>
        <v/>
      </c>
      <c r="G192" s="25"/>
      <c r="H192" s="68"/>
      <c r="I192" s="25"/>
      <c r="J192" s="89"/>
      <c r="K192" s="25"/>
      <c r="L192" s="25"/>
    </row>
    <row r="193" customFormat="false" ht="15" hidden="false" customHeight="false" outlineLevel="0" collapsed="false">
      <c r="A193" s="69"/>
      <c r="B193" s="25"/>
      <c r="C193" s="70"/>
      <c r="D193" s="90" t="str">
        <f aca="false">IF(A193="","",COUNTIFS(PT_Date,A193,PT_Pres,"P")+0.5*COUNTIFS(PT_Date,A193,PT_Pres,"1/2"))</f>
        <v/>
      </c>
      <c r="E193" s="25"/>
      <c r="F193" s="88" t="str">
        <f aca="false">IF(A193="","",COUNTIFS(MV_Date,A193,MV_Type,"Entrée"))</f>
        <v/>
      </c>
      <c r="G193" s="25"/>
      <c r="H193" s="68"/>
      <c r="I193" s="25"/>
      <c r="J193" s="89"/>
      <c r="K193" s="25"/>
      <c r="L193" s="25"/>
    </row>
    <row r="194" customFormat="false" ht="15" hidden="false" customHeight="false" outlineLevel="0" collapsed="false">
      <c r="A194" s="69"/>
      <c r="B194" s="25"/>
      <c r="C194" s="70"/>
      <c r="D194" s="90" t="str">
        <f aca="false">IF(A194="","",COUNTIFS(PT_Date,A194,PT_Pres,"P")+0.5*COUNTIFS(PT_Date,A194,PT_Pres,"1/2"))</f>
        <v/>
      </c>
      <c r="E194" s="25"/>
      <c r="F194" s="88" t="str">
        <f aca="false">IF(A194="","",COUNTIFS(MV_Date,A194,MV_Type,"Entrée"))</f>
        <v/>
      </c>
      <c r="G194" s="25"/>
      <c r="H194" s="68"/>
      <c r="I194" s="25"/>
      <c r="J194" s="89"/>
      <c r="K194" s="25"/>
      <c r="L194" s="25"/>
    </row>
    <row r="195" customFormat="false" ht="15" hidden="false" customHeight="false" outlineLevel="0" collapsed="false">
      <c r="A195" s="69"/>
      <c r="B195" s="25"/>
      <c r="C195" s="70"/>
      <c r="D195" s="90" t="str">
        <f aca="false">IF(A195="","",COUNTIFS(PT_Date,A195,PT_Pres,"P")+0.5*COUNTIFS(PT_Date,A195,PT_Pres,"1/2"))</f>
        <v/>
      </c>
      <c r="E195" s="25"/>
      <c r="F195" s="88" t="str">
        <f aca="false">IF(A195="","",COUNTIFS(MV_Date,A195,MV_Type,"Entrée"))</f>
        <v/>
      </c>
      <c r="G195" s="25"/>
      <c r="H195" s="68"/>
      <c r="I195" s="25"/>
      <c r="J195" s="89"/>
      <c r="K195" s="25"/>
      <c r="L195" s="25"/>
    </row>
    <row r="196" customFormat="false" ht="15" hidden="false" customHeight="false" outlineLevel="0" collapsed="false">
      <c r="A196" s="69"/>
      <c r="B196" s="25"/>
      <c r="C196" s="70"/>
      <c r="D196" s="90" t="str">
        <f aca="false">IF(A196="","",COUNTIFS(PT_Date,A196,PT_Pres,"P")+0.5*COUNTIFS(PT_Date,A196,PT_Pres,"1/2"))</f>
        <v/>
      </c>
      <c r="E196" s="25"/>
      <c r="F196" s="88" t="str">
        <f aca="false">IF(A196="","",COUNTIFS(MV_Date,A196,MV_Type,"Entrée"))</f>
        <v/>
      </c>
      <c r="G196" s="25"/>
      <c r="H196" s="68"/>
      <c r="I196" s="25"/>
      <c r="J196" s="89"/>
      <c r="K196" s="25"/>
      <c r="L196" s="25"/>
    </row>
    <row r="197" customFormat="false" ht="15" hidden="false" customHeight="false" outlineLevel="0" collapsed="false">
      <c r="A197" s="69"/>
      <c r="B197" s="25"/>
      <c r="C197" s="70"/>
      <c r="D197" s="90" t="str">
        <f aca="false">IF(A197="","",COUNTIFS(PT_Date,A197,PT_Pres,"P")+0.5*COUNTIFS(PT_Date,A197,PT_Pres,"1/2"))</f>
        <v/>
      </c>
      <c r="E197" s="25"/>
      <c r="F197" s="88" t="str">
        <f aca="false">IF(A197="","",COUNTIFS(MV_Date,A197,MV_Type,"Entrée"))</f>
        <v/>
      </c>
      <c r="G197" s="25"/>
      <c r="H197" s="68"/>
      <c r="I197" s="25"/>
      <c r="J197" s="89"/>
      <c r="K197" s="25"/>
      <c r="L197" s="25"/>
    </row>
    <row r="198" customFormat="false" ht="15" hidden="false" customHeight="false" outlineLevel="0" collapsed="false">
      <c r="A198" s="69"/>
      <c r="B198" s="25"/>
      <c r="C198" s="70"/>
      <c r="D198" s="90" t="str">
        <f aca="false">IF(A198="","",COUNTIFS(PT_Date,A198,PT_Pres,"P")+0.5*COUNTIFS(PT_Date,A198,PT_Pres,"1/2"))</f>
        <v/>
      </c>
      <c r="E198" s="25"/>
      <c r="F198" s="88" t="str">
        <f aca="false">IF(A198="","",COUNTIFS(MV_Date,A198,MV_Type,"Entrée"))</f>
        <v/>
      </c>
      <c r="G198" s="25"/>
      <c r="H198" s="68"/>
      <c r="I198" s="25"/>
      <c r="J198" s="89"/>
      <c r="K198" s="25"/>
      <c r="L198" s="25"/>
    </row>
    <row r="199" customFormat="false" ht="15" hidden="false" customHeight="false" outlineLevel="0" collapsed="false">
      <c r="A199" s="69"/>
      <c r="B199" s="25"/>
      <c r="C199" s="70"/>
      <c r="D199" s="90" t="str">
        <f aca="false">IF(A199="","",COUNTIFS(PT_Date,A199,PT_Pres,"P")+0.5*COUNTIFS(PT_Date,A199,PT_Pres,"1/2"))</f>
        <v/>
      </c>
      <c r="E199" s="25"/>
      <c r="F199" s="88" t="str">
        <f aca="false">IF(A199="","",COUNTIFS(MV_Date,A199,MV_Type,"Entrée"))</f>
        <v/>
      </c>
      <c r="G199" s="25"/>
      <c r="H199" s="68"/>
      <c r="I199" s="25"/>
      <c r="J199" s="89"/>
      <c r="K199" s="25"/>
      <c r="L199" s="25"/>
    </row>
    <row r="200" customFormat="false" ht="15" hidden="false" customHeight="false" outlineLevel="0" collapsed="false">
      <c r="A200" s="69"/>
      <c r="B200" s="25"/>
      <c r="C200" s="70"/>
      <c r="D200" s="90" t="str">
        <f aca="false">IF(A200="","",COUNTIFS(PT_Date,A200,PT_Pres,"P")+0.5*COUNTIFS(PT_Date,A200,PT_Pres,"1/2"))</f>
        <v/>
      </c>
      <c r="E200" s="25"/>
      <c r="F200" s="88" t="str">
        <f aca="false">IF(A200="","",COUNTIFS(MV_Date,A200,MV_Type,"Entrée"))</f>
        <v/>
      </c>
      <c r="G200" s="25"/>
      <c r="H200" s="68"/>
      <c r="I200" s="25"/>
      <c r="J200" s="89"/>
      <c r="K200" s="25"/>
      <c r="L200" s="25"/>
    </row>
    <row r="201" customFormat="false" ht="15" hidden="false" customHeight="false" outlineLevel="0" collapsed="false">
      <c r="A201" s="69"/>
      <c r="B201" s="25"/>
      <c r="C201" s="70"/>
      <c r="D201" s="90" t="str">
        <f aca="false">IF(A201="","",COUNTIFS(PT_Date,A201,PT_Pres,"P")+0.5*COUNTIFS(PT_Date,A201,PT_Pres,"1/2"))</f>
        <v/>
      </c>
      <c r="E201" s="25"/>
      <c r="F201" s="88" t="str">
        <f aca="false">IF(A201="","",COUNTIFS(MV_Date,A201,MV_Type,"Entrée"))</f>
        <v/>
      </c>
      <c r="G201" s="25"/>
      <c r="H201" s="68"/>
      <c r="I201" s="25"/>
      <c r="J201" s="89"/>
      <c r="K201" s="25"/>
      <c r="L201" s="25"/>
    </row>
    <row r="202" customFormat="false" ht="15" hidden="false" customHeight="false" outlineLevel="0" collapsed="false">
      <c r="A202" s="69"/>
      <c r="B202" s="25"/>
      <c r="C202" s="70"/>
      <c r="D202" s="90" t="str">
        <f aca="false">IF(A202="","",COUNTIFS(PT_Date,A202,PT_Pres,"P")+0.5*COUNTIFS(PT_Date,A202,PT_Pres,"1/2"))</f>
        <v/>
      </c>
      <c r="E202" s="25"/>
      <c r="F202" s="88" t="str">
        <f aca="false">IF(A202="","",COUNTIFS(MV_Date,A202,MV_Type,"Entrée"))</f>
        <v/>
      </c>
      <c r="G202" s="25"/>
      <c r="H202" s="68"/>
      <c r="I202" s="25"/>
      <c r="J202" s="89"/>
      <c r="K202" s="25"/>
      <c r="L202" s="25"/>
    </row>
    <row r="203" customFormat="false" ht="15" hidden="false" customHeight="false" outlineLevel="0" collapsed="false">
      <c r="A203" s="69"/>
      <c r="B203" s="25"/>
      <c r="C203" s="70"/>
      <c r="D203" s="90" t="str">
        <f aca="false">IF(A203="","",COUNTIFS(PT_Date,A203,PT_Pres,"P")+0.5*COUNTIFS(PT_Date,A203,PT_Pres,"1/2"))</f>
        <v/>
      </c>
      <c r="E203" s="25"/>
      <c r="F203" s="88" t="str">
        <f aca="false">IF(A203="","",COUNTIFS(MV_Date,A203,MV_Type,"Entrée"))</f>
        <v/>
      </c>
      <c r="G203" s="25"/>
      <c r="H203" s="68"/>
      <c r="I203" s="25"/>
      <c r="J203" s="89"/>
      <c r="K203" s="25"/>
      <c r="L203" s="25"/>
    </row>
    <row r="204" customFormat="false" ht="15" hidden="false" customHeight="false" outlineLevel="0" collapsed="false">
      <c r="A204" s="69"/>
      <c r="B204" s="25"/>
      <c r="C204" s="70"/>
      <c r="D204" s="90" t="str">
        <f aca="false">IF(A204="","",COUNTIFS(PT_Date,A204,PT_Pres,"P")+0.5*COUNTIFS(PT_Date,A204,PT_Pres,"1/2"))</f>
        <v/>
      </c>
      <c r="E204" s="25"/>
      <c r="F204" s="88" t="str">
        <f aca="false">IF(A204="","",COUNTIFS(MV_Date,A204,MV_Type,"Entrée"))</f>
        <v/>
      </c>
      <c r="G204" s="25"/>
      <c r="H204" s="68"/>
      <c r="I204" s="25"/>
      <c r="J204" s="89"/>
      <c r="K204" s="25"/>
      <c r="L204" s="25"/>
    </row>
    <row r="205" customFormat="false" ht="15" hidden="false" customHeight="false" outlineLevel="0" collapsed="false">
      <c r="A205" s="69"/>
      <c r="B205" s="25"/>
      <c r="C205" s="70"/>
      <c r="D205" s="90" t="str">
        <f aca="false">IF(A205="","",COUNTIFS(PT_Date,A205,PT_Pres,"P")+0.5*COUNTIFS(PT_Date,A205,PT_Pres,"1/2"))</f>
        <v/>
      </c>
      <c r="E205" s="25"/>
      <c r="F205" s="88" t="str">
        <f aca="false">IF(A205="","",COUNTIFS(MV_Date,A205,MV_Type,"Entrée"))</f>
        <v/>
      </c>
      <c r="G205" s="25"/>
      <c r="H205" s="68"/>
      <c r="I205" s="25"/>
      <c r="J205" s="89"/>
      <c r="K205" s="25"/>
      <c r="L205" s="25"/>
    </row>
    <row r="206" customFormat="false" ht="15" hidden="false" customHeight="false" outlineLevel="0" collapsed="false">
      <c r="A206" s="69"/>
      <c r="B206" s="25"/>
      <c r="C206" s="70"/>
      <c r="D206" s="90" t="str">
        <f aca="false">IF(A206="","",COUNTIFS(PT_Date,A206,PT_Pres,"P")+0.5*COUNTIFS(PT_Date,A206,PT_Pres,"1/2"))</f>
        <v/>
      </c>
      <c r="E206" s="25"/>
      <c r="F206" s="88" t="str">
        <f aca="false">IF(A206="","",COUNTIFS(MV_Date,A206,MV_Type,"Entrée"))</f>
        <v/>
      </c>
      <c r="G206" s="25"/>
      <c r="H206" s="68"/>
      <c r="I206" s="25"/>
      <c r="J206" s="89"/>
      <c r="K206" s="25"/>
      <c r="L206" s="25"/>
    </row>
    <row r="207" customFormat="false" ht="15" hidden="false" customHeight="false" outlineLevel="0" collapsed="false">
      <c r="A207" s="69"/>
      <c r="B207" s="25"/>
      <c r="C207" s="70"/>
      <c r="D207" s="90" t="str">
        <f aca="false">IF(A207="","",COUNTIFS(PT_Date,A207,PT_Pres,"P")+0.5*COUNTIFS(PT_Date,A207,PT_Pres,"1/2"))</f>
        <v/>
      </c>
      <c r="E207" s="25"/>
      <c r="F207" s="88" t="str">
        <f aca="false">IF(A207="","",COUNTIFS(MV_Date,A207,MV_Type,"Entrée"))</f>
        <v/>
      </c>
      <c r="G207" s="25"/>
      <c r="H207" s="68"/>
      <c r="I207" s="25"/>
      <c r="J207" s="89"/>
      <c r="K207" s="25"/>
      <c r="L207" s="25"/>
    </row>
    <row r="208" customFormat="false" ht="15" hidden="false" customHeight="false" outlineLevel="0" collapsed="false">
      <c r="A208" s="69"/>
      <c r="B208" s="25"/>
      <c r="C208" s="70"/>
      <c r="D208" s="90" t="str">
        <f aca="false">IF(A208="","",COUNTIFS(PT_Date,A208,PT_Pres,"P")+0.5*COUNTIFS(PT_Date,A208,PT_Pres,"1/2"))</f>
        <v/>
      </c>
      <c r="E208" s="25"/>
      <c r="F208" s="88" t="str">
        <f aca="false">IF(A208="","",COUNTIFS(MV_Date,A208,MV_Type,"Entrée"))</f>
        <v/>
      </c>
      <c r="G208" s="25"/>
      <c r="H208" s="68"/>
      <c r="I208" s="25"/>
      <c r="J208" s="89"/>
      <c r="K208" s="25"/>
      <c r="L208" s="25"/>
    </row>
    <row r="209" customFormat="false" ht="15" hidden="false" customHeight="false" outlineLevel="0" collapsed="false">
      <c r="A209" s="69"/>
      <c r="B209" s="25"/>
      <c r="C209" s="70"/>
      <c r="D209" s="90" t="str">
        <f aca="false">IF(A209="","",COUNTIFS(PT_Date,A209,PT_Pres,"P")+0.5*COUNTIFS(PT_Date,A209,PT_Pres,"1/2"))</f>
        <v/>
      </c>
      <c r="E209" s="25"/>
      <c r="F209" s="88" t="str">
        <f aca="false">IF(A209="","",COUNTIFS(MV_Date,A209,MV_Type,"Entrée"))</f>
        <v/>
      </c>
      <c r="G209" s="25"/>
      <c r="H209" s="68"/>
      <c r="I209" s="25"/>
      <c r="J209" s="89"/>
      <c r="K209" s="25"/>
      <c r="L209" s="25"/>
    </row>
    <row r="210" customFormat="false" ht="15" hidden="false" customHeight="false" outlineLevel="0" collapsed="false">
      <c r="A210" s="69"/>
      <c r="B210" s="25"/>
      <c r="C210" s="70"/>
      <c r="D210" s="90" t="str">
        <f aca="false">IF(A210="","",COUNTIFS(PT_Date,A210,PT_Pres,"P")+0.5*COUNTIFS(PT_Date,A210,PT_Pres,"1/2"))</f>
        <v/>
      </c>
      <c r="E210" s="25"/>
      <c r="F210" s="88" t="str">
        <f aca="false">IF(A210="","",COUNTIFS(MV_Date,A210,MV_Type,"Entrée"))</f>
        <v/>
      </c>
      <c r="G210" s="25"/>
      <c r="H210" s="68"/>
      <c r="I210" s="25"/>
      <c r="J210" s="89"/>
      <c r="K210" s="25"/>
      <c r="L210" s="25"/>
    </row>
    <row r="211" customFormat="false" ht="15" hidden="false" customHeight="false" outlineLevel="0" collapsed="false">
      <c r="A211" s="69"/>
      <c r="B211" s="25"/>
      <c r="C211" s="70"/>
      <c r="D211" s="90" t="str">
        <f aca="false">IF(A211="","",COUNTIFS(PT_Date,A211,PT_Pres,"P")+0.5*COUNTIFS(PT_Date,A211,PT_Pres,"1/2"))</f>
        <v/>
      </c>
      <c r="E211" s="25"/>
      <c r="F211" s="88" t="str">
        <f aca="false">IF(A211="","",COUNTIFS(MV_Date,A211,MV_Type,"Entrée"))</f>
        <v/>
      </c>
      <c r="G211" s="25"/>
      <c r="H211" s="68"/>
      <c r="I211" s="25"/>
      <c r="J211" s="89"/>
      <c r="K211" s="25"/>
      <c r="L211" s="25"/>
    </row>
    <row r="212" customFormat="false" ht="15" hidden="false" customHeight="false" outlineLevel="0" collapsed="false">
      <c r="A212" s="69"/>
      <c r="B212" s="25"/>
      <c r="C212" s="70"/>
      <c r="D212" s="90" t="str">
        <f aca="false">IF(A212="","",COUNTIFS(PT_Date,A212,PT_Pres,"P")+0.5*COUNTIFS(PT_Date,A212,PT_Pres,"1/2"))</f>
        <v/>
      </c>
      <c r="E212" s="25"/>
      <c r="F212" s="88" t="str">
        <f aca="false">IF(A212="","",COUNTIFS(MV_Date,A212,MV_Type,"Entrée"))</f>
        <v/>
      </c>
      <c r="G212" s="25"/>
      <c r="H212" s="68"/>
      <c r="I212" s="25"/>
      <c r="J212" s="89"/>
      <c r="K212" s="25"/>
      <c r="L212" s="25"/>
    </row>
    <row r="213" customFormat="false" ht="15" hidden="false" customHeight="false" outlineLevel="0" collapsed="false">
      <c r="A213" s="69"/>
      <c r="B213" s="25"/>
      <c r="C213" s="70"/>
      <c r="D213" s="90" t="str">
        <f aca="false">IF(A213="","",COUNTIFS(PT_Date,A213,PT_Pres,"P")+0.5*COUNTIFS(PT_Date,A213,PT_Pres,"1/2"))</f>
        <v/>
      </c>
      <c r="E213" s="25"/>
      <c r="F213" s="88" t="str">
        <f aca="false">IF(A213="","",COUNTIFS(MV_Date,A213,MV_Type,"Entrée"))</f>
        <v/>
      </c>
      <c r="G213" s="25"/>
      <c r="H213" s="68"/>
      <c r="I213" s="25"/>
      <c r="J213" s="89"/>
      <c r="K213" s="25"/>
      <c r="L213" s="25"/>
    </row>
    <row r="214" customFormat="false" ht="15" hidden="false" customHeight="false" outlineLevel="0" collapsed="false">
      <c r="A214" s="69"/>
      <c r="B214" s="25"/>
      <c r="C214" s="70"/>
      <c r="D214" s="90" t="str">
        <f aca="false">IF(A214="","",COUNTIFS(PT_Date,A214,PT_Pres,"P")+0.5*COUNTIFS(PT_Date,A214,PT_Pres,"1/2"))</f>
        <v/>
      </c>
      <c r="E214" s="25"/>
      <c r="F214" s="88" t="str">
        <f aca="false">IF(A214="","",COUNTIFS(MV_Date,A214,MV_Type,"Entrée"))</f>
        <v/>
      </c>
      <c r="G214" s="25"/>
      <c r="H214" s="68"/>
      <c r="I214" s="25"/>
      <c r="J214" s="89"/>
      <c r="K214" s="25"/>
      <c r="L214" s="25"/>
    </row>
    <row r="215" customFormat="false" ht="15" hidden="false" customHeight="false" outlineLevel="0" collapsed="false">
      <c r="A215" s="69"/>
      <c r="B215" s="25"/>
      <c r="C215" s="70"/>
      <c r="D215" s="90" t="str">
        <f aca="false">IF(A215="","",COUNTIFS(PT_Date,A215,PT_Pres,"P")+0.5*COUNTIFS(PT_Date,A215,PT_Pres,"1/2"))</f>
        <v/>
      </c>
      <c r="E215" s="25"/>
      <c r="F215" s="88" t="str">
        <f aca="false">IF(A215="","",COUNTIFS(MV_Date,A215,MV_Type,"Entrée"))</f>
        <v/>
      </c>
      <c r="G215" s="25"/>
      <c r="H215" s="68"/>
      <c r="I215" s="25"/>
      <c r="J215" s="89"/>
      <c r="K215" s="25"/>
      <c r="L215" s="25"/>
    </row>
    <row r="216" customFormat="false" ht="15" hidden="false" customHeight="false" outlineLevel="0" collapsed="false">
      <c r="A216" s="69"/>
      <c r="B216" s="25"/>
      <c r="C216" s="70"/>
      <c r="D216" s="90" t="str">
        <f aca="false">IF(A216="","",COUNTIFS(PT_Date,A216,PT_Pres,"P")+0.5*COUNTIFS(PT_Date,A216,PT_Pres,"1/2"))</f>
        <v/>
      </c>
      <c r="E216" s="25"/>
      <c r="F216" s="88" t="str">
        <f aca="false">IF(A216="","",COUNTIFS(MV_Date,A216,MV_Type,"Entrée"))</f>
        <v/>
      </c>
      <c r="G216" s="25"/>
      <c r="H216" s="68"/>
      <c r="I216" s="25"/>
      <c r="J216" s="89"/>
      <c r="K216" s="25"/>
      <c r="L216" s="25"/>
    </row>
    <row r="217" customFormat="false" ht="15" hidden="false" customHeight="false" outlineLevel="0" collapsed="false">
      <c r="A217" s="69"/>
      <c r="B217" s="25"/>
      <c r="C217" s="70"/>
      <c r="D217" s="90" t="str">
        <f aca="false">IF(A217="","",COUNTIFS(PT_Date,A217,PT_Pres,"P")+0.5*COUNTIFS(PT_Date,A217,PT_Pres,"1/2"))</f>
        <v/>
      </c>
      <c r="E217" s="25"/>
      <c r="F217" s="88" t="str">
        <f aca="false">IF(A217="","",COUNTIFS(MV_Date,A217,MV_Type,"Entrée"))</f>
        <v/>
      </c>
      <c r="G217" s="25"/>
      <c r="H217" s="68"/>
      <c r="I217" s="25"/>
      <c r="J217" s="89"/>
      <c r="K217" s="25"/>
      <c r="L217" s="25"/>
    </row>
    <row r="218" customFormat="false" ht="15" hidden="false" customHeight="false" outlineLevel="0" collapsed="false">
      <c r="A218" s="69"/>
      <c r="B218" s="25"/>
      <c r="C218" s="70"/>
      <c r="D218" s="90" t="str">
        <f aca="false">IF(A218="","",COUNTIFS(PT_Date,A218,PT_Pres,"P")+0.5*COUNTIFS(PT_Date,A218,PT_Pres,"1/2"))</f>
        <v/>
      </c>
      <c r="E218" s="25"/>
      <c r="F218" s="88" t="str">
        <f aca="false">IF(A218="","",COUNTIFS(MV_Date,A218,MV_Type,"Entrée"))</f>
        <v/>
      </c>
      <c r="G218" s="25"/>
      <c r="H218" s="68"/>
      <c r="I218" s="25"/>
      <c r="J218" s="89"/>
      <c r="K218" s="25"/>
      <c r="L218" s="25"/>
    </row>
    <row r="219" customFormat="false" ht="15" hidden="false" customHeight="false" outlineLevel="0" collapsed="false">
      <c r="A219" s="69"/>
      <c r="B219" s="25"/>
      <c r="C219" s="70"/>
      <c r="D219" s="90" t="str">
        <f aca="false">IF(A219="","",COUNTIFS(PT_Date,A219,PT_Pres,"P")+0.5*COUNTIFS(PT_Date,A219,PT_Pres,"1/2"))</f>
        <v/>
      </c>
      <c r="E219" s="25"/>
      <c r="F219" s="88" t="str">
        <f aca="false">IF(A219="","",COUNTIFS(MV_Date,A219,MV_Type,"Entrée"))</f>
        <v/>
      </c>
      <c r="G219" s="25"/>
      <c r="H219" s="68"/>
      <c r="I219" s="25"/>
      <c r="J219" s="89"/>
      <c r="K219" s="25"/>
      <c r="L219" s="25"/>
    </row>
    <row r="220" customFormat="false" ht="15" hidden="false" customHeight="false" outlineLevel="0" collapsed="false">
      <c r="A220" s="69"/>
      <c r="B220" s="25"/>
      <c r="C220" s="70"/>
      <c r="D220" s="90" t="str">
        <f aca="false">IF(A220="","",COUNTIFS(PT_Date,A220,PT_Pres,"P")+0.5*COUNTIFS(PT_Date,A220,PT_Pres,"1/2"))</f>
        <v/>
      </c>
      <c r="E220" s="25"/>
      <c r="F220" s="88" t="str">
        <f aca="false">IF(A220="","",COUNTIFS(MV_Date,A220,MV_Type,"Entrée"))</f>
        <v/>
      </c>
      <c r="G220" s="25"/>
      <c r="H220" s="68"/>
      <c r="I220" s="25"/>
      <c r="J220" s="89"/>
      <c r="K220" s="25"/>
      <c r="L220" s="25"/>
    </row>
    <row r="221" customFormat="false" ht="15" hidden="false" customHeight="false" outlineLevel="0" collapsed="false">
      <c r="A221" s="69"/>
      <c r="B221" s="25"/>
      <c r="C221" s="70"/>
      <c r="D221" s="90" t="str">
        <f aca="false">IF(A221="","",COUNTIFS(PT_Date,A221,PT_Pres,"P")+0.5*COUNTIFS(PT_Date,A221,PT_Pres,"1/2"))</f>
        <v/>
      </c>
      <c r="E221" s="25"/>
      <c r="F221" s="88" t="str">
        <f aca="false">IF(A221="","",COUNTIFS(MV_Date,A221,MV_Type,"Entrée"))</f>
        <v/>
      </c>
      <c r="G221" s="25"/>
      <c r="H221" s="68"/>
      <c r="I221" s="25"/>
      <c r="J221" s="89"/>
      <c r="K221" s="25"/>
      <c r="L221" s="25"/>
    </row>
    <row r="222" customFormat="false" ht="15" hidden="false" customHeight="false" outlineLevel="0" collapsed="false">
      <c r="A222" s="69"/>
      <c r="B222" s="25"/>
      <c r="C222" s="70"/>
      <c r="D222" s="90" t="str">
        <f aca="false">IF(A222="","",COUNTIFS(PT_Date,A222,PT_Pres,"P")+0.5*COUNTIFS(PT_Date,A222,PT_Pres,"1/2"))</f>
        <v/>
      </c>
      <c r="E222" s="25"/>
      <c r="F222" s="88" t="str">
        <f aca="false">IF(A222="","",COUNTIFS(MV_Date,A222,MV_Type,"Entrée"))</f>
        <v/>
      </c>
      <c r="G222" s="25"/>
      <c r="H222" s="68"/>
      <c r="I222" s="25"/>
      <c r="J222" s="89"/>
      <c r="K222" s="25"/>
      <c r="L222" s="25"/>
    </row>
    <row r="223" customFormat="false" ht="15" hidden="false" customHeight="false" outlineLevel="0" collapsed="false">
      <c r="A223" s="69"/>
      <c r="B223" s="25"/>
      <c r="C223" s="70"/>
      <c r="D223" s="90" t="str">
        <f aca="false">IF(A223="","",COUNTIFS(PT_Date,A223,PT_Pres,"P")+0.5*COUNTIFS(PT_Date,A223,PT_Pres,"1/2"))</f>
        <v/>
      </c>
      <c r="E223" s="25"/>
      <c r="F223" s="88" t="str">
        <f aca="false">IF(A223="","",COUNTIFS(MV_Date,A223,MV_Type,"Entrée"))</f>
        <v/>
      </c>
      <c r="G223" s="25"/>
      <c r="H223" s="68"/>
      <c r="I223" s="25"/>
      <c r="J223" s="89"/>
      <c r="K223" s="25"/>
      <c r="L223" s="25"/>
    </row>
    <row r="224" customFormat="false" ht="15" hidden="false" customHeight="false" outlineLevel="0" collapsed="false">
      <c r="A224" s="69"/>
      <c r="B224" s="25"/>
      <c r="C224" s="70"/>
      <c r="D224" s="90" t="str">
        <f aca="false">IF(A224="","",COUNTIFS(PT_Date,A224,PT_Pres,"P")+0.5*COUNTIFS(PT_Date,A224,PT_Pres,"1/2"))</f>
        <v/>
      </c>
      <c r="E224" s="25"/>
      <c r="F224" s="88" t="str">
        <f aca="false">IF(A224="","",COUNTIFS(MV_Date,A224,MV_Type,"Entrée"))</f>
        <v/>
      </c>
      <c r="G224" s="25"/>
      <c r="H224" s="68"/>
      <c r="I224" s="25"/>
      <c r="J224" s="89"/>
      <c r="K224" s="25"/>
      <c r="L224" s="25"/>
    </row>
    <row r="225" customFormat="false" ht="15" hidden="false" customHeight="false" outlineLevel="0" collapsed="false">
      <c r="A225" s="69"/>
      <c r="B225" s="25"/>
      <c r="C225" s="70"/>
      <c r="D225" s="90" t="str">
        <f aca="false">IF(A225="","",COUNTIFS(PT_Date,A225,PT_Pres,"P")+0.5*COUNTIFS(PT_Date,A225,PT_Pres,"1/2"))</f>
        <v/>
      </c>
      <c r="E225" s="25"/>
      <c r="F225" s="88" t="str">
        <f aca="false">IF(A225="","",COUNTIFS(MV_Date,A225,MV_Type,"Entrée"))</f>
        <v/>
      </c>
      <c r="G225" s="25"/>
      <c r="H225" s="68"/>
      <c r="I225" s="25"/>
      <c r="J225" s="89"/>
      <c r="K225" s="25"/>
      <c r="L225" s="25"/>
    </row>
    <row r="226" customFormat="false" ht="15" hidden="false" customHeight="false" outlineLevel="0" collapsed="false">
      <c r="A226" s="69"/>
      <c r="B226" s="25"/>
      <c r="C226" s="70"/>
      <c r="D226" s="90" t="str">
        <f aca="false">IF(A226="","",COUNTIFS(PT_Date,A226,PT_Pres,"P")+0.5*COUNTIFS(PT_Date,A226,PT_Pres,"1/2"))</f>
        <v/>
      </c>
      <c r="E226" s="25"/>
      <c r="F226" s="88" t="str">
        <f aca="false">IF(A226="","",COUNTIFS(MV_Date,A226,MV_Type,"Entrée"))</f>
        <v/>
      </c>
      <c r="G226" s="25"/>
      <c r="H226" s="68"/>
      <c r="I226" s="25"/>
      <c r="J226" s="89"/>
      <c r="K226" s="25"/>
      <c r="L226" s="25"/>
    </row>
    <row r="227" customFormat="false" ht="15" hidden="false" customHeight="false" outlineLevel="0" collapsed="false">
      <c r="A227" s="69"/>
      <c r="B227" s="25"/>
      <c r="C227" s="70"/>
      <c r="D227" s="90" t="str">
        <f aca="false">IF(A227="","",COUNTIFS(PT_Date,A227,PT_Pres,"P")+0.5*COUNTIFS(PT_Date,A227,PT_Pres,"1/2"))</f>
        <v/>
      </c>
      <c r="E227" s="25"/>
      <c r="F227" s="88" t="str">
        <f aca="false">IF(A227="","",COUNTIFS(MV_Date,A227,MV_Type,"Entrée"))</f>
        <v/>
      </c>
      <c r="G227" s="25"/>
      <c r="H227" s="68"/>
      <c r="I227" s="25"/>
      <c r="J227" s="89"/>
      <c r="K227" s="25"/>
      <c r="L227" s="25"/>
    </row>
    <row r="228" customFormat="false" ht="15" hidden="false" customHeight="false" outlineLevel="0" collapsed="false">
      <c r="A228" s="69"/>
      <c r="B228" s="25"/>
      <c r="C228" s="70"/>
      <c r="D228" s="90" t="str">
        <f aca="false">IF(A228="","",COUNTIFS(PT_Date,A228,PT_Pres,"P")+0.5*COUNTIFS(PT_Date,A228,PT_Pres,"1/2"))</f>
        <v/>
      </c>
      <c r="E228" s="25"/>
      <c r="F228" s="88" t="str">
        <f aca="false">IF(A228="","",COUNTIFS(MV_Date,A228,MV_Type,"Entrée"))</f>
        <v/>
      </c>
      <c r="G228" s="25"/>
      <c r="H228" s="68"/>
      <c r="I228" s="25"/>
      <c r="J228" s="89"/>
      <c r="K228" s="25"/>
      <c r="L228" s="25"/>
    </row>
    <row r="229" customFormat="false" ht="15" hidden="false" customHeight="false" outlineLevel="0" collapsed="false">
      <c r="A229" s="69"/>
      <c r="B229" s="25"/>
      <c r="C229" s="70"/>
      <c r="D229" s="90" t="str">
        <f aca="false">IF(A229="","",COUNTIFS(PT_Date,A229,PT_Pres,"P")+0.5*COUNTIFS(PT_Date,A229,PT_Pres,"1/2"))</f>
        <v/>
      </c>
      <c r="E229" s="25"/>
      <c r="F229" s="88" t="str">
        <f aca="false">IF(A229="","",COUNTIFS(MV_Date,A229,MV_Type,"Entrée"))</f>
        <v/>
      </c>
      <c r="G229" s="25"/>
      <c r="H229" s="68"/>
      <c r="I229" s="25"/>
      <c r="J229" s="89"/>
      <c r="K229" s="25"/>
      <c r="L229" s="25"/>
    </row>
    <row r="230" customFormat="false" ht="15" hidden="false" customHeight="false" outlineLevel="0" collapsed="false">
      <c r="A230" s="69"/>
      <c r="B230" s="25"/>
      <c r="C230" s="70"/>
      <c r="D230" s="90" t="str">
        <f aca="false">IF(A230="","",COUNTIFS(PT_Date,A230,PT_Pres,"P")+0.5*COUNTIFS(PT_Date,A230,PT_Pres,"1/2"))</f>
        <v/>
      </c>
      <c r="E230" s="25"/>
      <c r="F230" s="88" t="str">
        <f aca="false">IF(A230="","",COUNTIFS(MV_Date,A230,MV_Type,"Entrée"))</f>
        <v/>
      </c>
      <c r="G230" s="25"/>
      <c r="H230" s="68"/>
      <c r="I230" s="25"/>
      <c r="J230" s="89"/>
      <c r="K230" s="25"/>
      <c r="L230" s="25"/>
    </row>
    <row r="231" customFormat="false" ht="15" hidden="false" customHeight="false" outlineLevel="0" collapsed="false">
      <c r="A231" s="69"/>
      <c r="B231" s="25"/>
      <c r="C231" s="70"/>
      <c r="D231" s="90" t="str">
        <f aca="false">IF(A231="","",COUNTIFS(PT_Date,A231,PT_Pres,"P")+0.5*COUNTIFS(PT_Date,A231,PT_Pres,"1/2"))</f>
        <v/>
      </c>
      <c r="E231" s="25"/>
      <c r="F231" s="88" t="str">
        <f aca="false">IF(A231="","",COUNTIFS(MV_Date,A231,MV_Type,"Entrée"))</f>
        <v/>
      </c>
      <c r="G231" s="25"/>
      <c r="H231" s="68"/>
      <c r="I231" s="25"/>
      <c r="J231" s="89"/>
      <c r="K231" s="25"/>
      <c r="L231" s="25"/>
    </row>
    <row r="232" customFormat="false" ht="15" hidden="false" customHeight="false" outlineLevel="0" collapsed="false">
      <c r="A232" s="69"/>
      <c r="B232" s="25"/>
      <c r="C232" s="70"/>
      <c r="D232" s="90" t="str">
        <f aca="false">IF(A232="","",COUNTIFS(PT_Date,A232,PT_Pres,"P")+0.5*COUNTIFS(PT_Date,A232,PT_Pres,"1/2"))</f>
        <v/>
      </c>
      <c r="E232" s="25"/>
      <c r="F232" s="88" t="str">
        <f aca="false">IF(A232="","",COUNTIFS(MV_Date,A232,MV_Type,"Entrée"))</f>
        <v/>
      </c>
      <c r="G232" s="25"/>
      <c r="H232" s="68"/>
      <c r="I232" s="25"/>
      <c r="J232" s="89"/>
      <c r="K232" s="25"/>
      <c r="L232" s="25"/>
    </row>
    <row r="233" customFormat="false" ht="15" hidden="false" customHeight="false" outlineLevel="0" collapsed="false">
      <c r="A233" s="69"/>
      <c r="B233" s="25"/>
      <c r="C233" s="70"/>
      <c r="D233" s="90" t="str">
        <f aca="false">IF(A233="","",COUNTIFS(PT_Date,A233,PT_Pres,"P")+0.5*COUNTIFS(PT_Date,A233,PT_Pres,"1/2"))</f>
        <v/>
      </c>
      <c r="E233" s="25"/>
      <c r="F233" s="88" t="str">
        <f aca="false">IF(A233="","",COUNTIFS(MV_Date,A233,MV_Type,"Entrée"))</f>
        <v/>
      </c>
      <c r="G233" s="25"/>
      <c r="H233" s="68"/>
      <c r="I233" s="25"/>
      <c r="J233" s="89"/>
      <c r="K233" s="25"/>
      <c r="L233" s="25"/>
    </row>
    <row r="234" customFormat="false" ht="15" hidden="false" customHeight="false" outlineLevel="0" collapsed="false">
      <c r="A234" s="69"/>
      <c r="B234" s="25"/>
      <c r="C234" s="70"/>
      <c r="D234" s="90" t="str">
        <f aca="false">IF(A234="","",COUNTIFS(PT_Date,A234,PT_Pres,"P")+0.5*COUNTIFS(PT_Date,A234,PT_Pres,"1/2"))</f>
        <v/>
      </c>
      <c r="E234" s="25"/>
      <c r="F234" s="88" t="str">
        <f aca="false">IF(A234="","",COUNTIFS(MV_Date,A234,MV_Type,"Entrée"))</f>
        <v/>
      </c>
      <c r="G234" s="25"/>
      <c r="H234" s="68"/>
      <c r="I234" s="25"/>
      <c r="J234" s="89"/>
      <c r="K234" s="25"/>
      <c r="L234" s="25"/>
    </row>
    <row r="235" customFormat="false" ht="15" hidden="false" customHeight="false" outlineLevel="0" collapsed="false">
      <c r="A235" s="69"/>
      <c r="B235" s="25"/>
      <c r="C235" s="70"/>
      <c r="D235" s="90" t="str">
        <f aca="false">IF(A235="","",COUNTIFS(PT_Date,A235,PT_Pres,"P")+0.5*COUNTIFS(PT_Date,A235,PT_Pres,"1/2"))</f>
        <v/>
      </c>
      <c r="E235" s="25"/>
      <c r="F235" s="88" t="str">
        <f aca="false">IF(A235="","",COUNTIFS(MV_Date,A235,MV_Type,"Entrée"))</f>
        <v/>
      </c>
      <c r="G235" s="25"/>
      <c r="H235" s="68"/>
      <c r="I235" s="25"/>
      <c r="J235" s="89"/>
      <c r="K235" s="25"/>
      <c r="L235" s="25"/>
    </row>
    <row r="236" customFormat="false" ht="15" hidden="false" customHeight="false" outlineLevel="0" collapsed="false">
      <c r="A236" s="69"/>
      <c r="B236" s="25"/>
      <c r="C236" s="70"/>
      <c r="D236" s="90" t="str">
        <f aca="false">IF(A236="","",COUNTIFS(PT_Date,A236,PT_Pres,"P")+0.5*COUNTIFS(PT_Date,A236,PT_Pres,"1/2"))</f>
        <v/>
      </c>
      <c r="E236" s="25"/>
      <c r="F236" s="88" t="str">
        <f aca="false">IF(A236="","",COUNTIFS(MV_Date,A236,MV_Type,"Entrée"))</f>
        <v/>
      </c>
      <c r="G236" s="25"/>
      <c r="H236" s="68"/>
      <c r="I236" s="25"/>
      <c r="J236" s="89"/>
      <c r="K236" s="25"/>
      <c r="L236" s="25"/>
    </row>
    <row r="237" customFormat="false" ht="15" hidden="false" customHeight="false" outlineLevel="0" collapsed="false">
      <c r="A237" s="69"/>
      <c r="B237" s="25"/>
      <c r="C237" s="70"/>
      <c r="D237" s="90" t="str">
        <f aca="false">IF(A237="","",COUNTIFS(PT_Date,A237,PT_Pres,"P")+0.5*COUNTIFS(PT_Date,A237,PT_Pres,"1/2"))</f>
        <v/>
      </c>
      <c r="E237" s="25"/>
      <c r="F237" s="88" t="str">
        <f aca="false">IF(A237="","",COUNTIFS(MV_Date,A237,MV_Type,"Entrée"))</f>
        <v/>
      </c>
      <c r="G237" s="25"/>
      <c r="H237" s="68"/>
      <c r="I237" s="25"/>
      <c r="J237" s="89"/>
      <c r="K237" s="25"/>
      <c r="L237" s="25"/>
    </row>
    <row r="238" customFormat="false" ht="15" hidden="false" customHeight="false" outlineLevel="0" collapsed="false">
      <c r="A238" s="69"/>
      <c r="B238" s="25"/>
      <c r="C238" s="70"/>
      <c r="D238" s="90" t="str">
        <f aca="false">IF(A238="","",COUNTIFS(PT_Date,A238,PT_Pres,"P")+0.5*COUNTIFS(PT_Date,A238,PT_Pres,"1/2"))</f>
        <v/>
      </c>
      <c r="E238" s="25"/>
      <c r="F238" s="88" t="str">
        <f aca="false">IF(A238="","",COUNTIFS(MV_Date,A238,MV_Type,"Entrée"))</f>
        <v/>
      </c>
      <c r="G238" s="25"/>
      <c r="H238" s="68"/>
      <c r="I238" s="25"/>
      <c r="J238" s="89"/>
      <c r="K238" s="25"/>
      <c r="L238" s="25"/>
    </row>
    <row r="239" customFormat="false" ht="15" hidden="false" customHeight="false" outlineLevel="0" collapsed="false">
      <c r="A239" s="69"/>
      <c r="B239" s="25"/>
      <c r="C239" s="70"/>
      <c r="D239" s="90" t="str">
        <f aca="false">IF(A239="","",COUNTIFS(PT_Date,A239,PT_Pres,"P")+0.5*COUNTIFS(PT_Date,A239,PT_Pres,"1/2"))</f>
        <v/>
      </c>
      <c r="E239" s="25"/>
      <c r="F239" s="88" t="str">
        <f aca="false">IF(A239="","",COUNTIFS(MV_Date,A239,MV_Type,"Entrée"))</f>
        <v/>
      </c>
      <c r="G239" s="25"/>
      <c r="H239" s="68"/>
      <c r="I239" s="25"/>
      <c r="J239" s="89"/>
      <c r="K239" s="25"/>
      <c r="L239" s="25"/>
    </row>
    <row r="240" customFormat="false" ht="15" hidden="false" customHeight="false" outlineLevel="0" collapsed="false">
      <c r="A240" s="69"/>
      <c r="B240" s="25"/>
      <c r="C240" s="70"/>
      <c r="D240" s="90" t="str">
        <f aca="false">IF(A240="","",COUNTIFS(PT_Date,A240,PT_Pres,"P")+0.5*COUNTIFS(PT_Date,A240,PT_Pres,"1/2"))</f>
        <v/>
      </c>
      <c r="E240" s="25"/>
      <c r="F240" s="88" t="str">
        <f aca="false">IF(A240="","",COUNTIFS(MV_Date,A240,MV_Type,"Entrée"))</f>
        <v/>
      </c>
      <c r="G240" s="25"/>
      <c r="H240" s="68"/>
      <c r="I240" s="25"/>
      <c r="J240" s="89"/>
      <c r="K240" s="25"/>
      <c r="L240" s="25"/>
    </row>
    <row r="241" customFormat="false" ht="15" hidden="false" customHeight="false" outlineLevel="0" collapsed="false">
      <c r="A241" s="69"/>
      <c r="B241" s="25"/>
      <c r="C241" s="70"/>
      <c r="D241" s="90" t="str">
        <f aca="false">IF(A241="","",COUNTIFS(PT_Date,A241,PT_Pres,"P")+0.5*COUNTIFS(PT_Date,A241,PT_Pres,"1/2"))</f>
        <v/>
      </c>
      <c r="E241" s="25"/>
      <c r="F241" s="88" t="str">
        <f aca="false">IF(A241="","",COUNTIFS(MV_Date,A241,MV_Type,"Entrée"))</f>
        <v/>
      </c>
      <c r="G241" s="25"/>
      <c r="H241" s="68"/>
      <c r="I241" s="25"/>
      <c r="J241" s="89"/>
      <c r="K241" s="25"/>
      <c r="L241" s="25"/>
    </row>
    <row r="242" customFormat="false" ht="15" hidden="false" customHeight="false" outlineLevel="0" collapsed="false">
      <c r="A242" s="69"/>
      <c r="B242" s="25"/>
      <c r="C242" s="70"/>
      <c r="D242" s="90" t="str">
        <f aca="false">IF(A242="","",COUNTIFS(PT_Date,A242,PT_Pres,"P")+0.5*COUNTIFS(PT_Date,A242,PT_Pres,"1/2"))</f>
        <v/>
      </c>
      <c r="E242" s="25"/>
      <c r="F242" s="88" t="str">
        <f aca="false">IF(A242="","",COUNTIFS(MV_Date,A242,MV_Type,"Entrée"))</f>
        <v/>
      </c>
      <c r="G242" s="25"/>
      <c r="H242" s="68"/>
      <c r="I242" s="25"/>
      <c r="J242" s="89"/>
      <c r="K242" s="25"/>
      <c r="L242" s="25"/>
    </row>
    <row r="243" customFormat="false" ht="15" hidden="false" customHeight="false" outlineLevel="0" collapsed="false">
      <c r="A243" s="69"/>
      <c r="B243" s="25"/>
      <c r="C243" s="70"/>
      <c r="D243" s="90" t="str">
        <f aca="false">IF(A243="","",COUNTIFS(PT_Date,A243,PT_Pres,"P")+0.5*COUNTIFS(PT_Date,A243,PT_Pres,"1/2"))</f>
        <v/>
      </c>
      <c r="E243" s="25"/>
      <c r="F243" s="88" t="str">
        <f aca="false">IF(A243="","",COUNTIFS(MV_Date,A243,MV_Type,"Entrée"))</f>
        <v/>
      </c>
      <c r="G243" s="25"/>
      <c r="H243" s="68"/>
      <c r="I243" s="25"/>
      <c r="J243" s="89"/>
      <c r="K243" s="25"/>
      <c r="L243" s="25"/>
    </row>
    <row r="244" customFormat="false" ht="15" hidden="false" customHeight="false" outlineLevel="0" collapsed="false">
      <c r="A244" s="69"/>
      <c r="B244" s="25"/>
      <c r="C244" s="70"/>
      <c r="D244" s="90" t="str">
        <f aca="false">IF(A244="","",COUNTIFS(PT_Date,A244,PT_Pres,"P")+0.5*COUNTIFS(PT_Date,A244,PT_Pres,"1/2"))</f>
        <v/>
      </c>
      <c r="E244" s="25"/>
      <c r="F244" s="88" t="str">
        <f aca="false">IF(A244="","",COUNTIFS(MV_Date,A244,MV_Type,"Entrée"))</f>
        <v/>
      </c>
      <c r="G244" s="25"/>
      <c r="H244" s="68"/>
      <c r="I244" s="25"/>
      <c r="J244" s="89"/>
      <c r="K244" s="25"/>
      <c r="L244" s="25"/>
    </row>
    <row r="245" customFormat="false" ht="15" hidden="false" customHeight="false" outlineLevel="0" collapsed="false">
      <c r="A245" s="69"/>
      <c r="B245" s="25"/>
      <c r="C245" s="70"/>
      <c r="D245" s="90" t="str">
        <f aca="false">IF(A245="","",COUNTIFS(PT_Date,A245,PT_Pres,"P")+0.5*COUNTIFS(PT_Date,A245,PT_Pres,"1/2"))</f>
        <v/>
      </c>
      <c r="E245" s="25"/>
      <c r="F245" s="88" t="str">
        <f aca="false">IF(A245="","",COUNTIFS(MV_Date,A245,MV_Type,"Entrée"))</f>
        <v/>
      </c>
      <c r="G245" s="25"/>
      <c r="H245" s="68"/>
      <c r="I245" s="25"/>
      <c r="J245" s="89"/>
      <c r="K245" s="25"/>
      <c r="L245" s="25"/>
    </row>
    <row r="246" customFormat="false" ht="15" hidden="false" customHeight="false" outlineLevel="0" collapsed="false">
      <c r="A246" s="69"/>
      <c r="B246" s="25"/>
      <c r="C246" s="70"/>
      <c r="D246" s="90" t="str">
        <f aca="false">IF(A246="","",COUNTIFS(PT_Date,A246,PT_Pres,"P")+0.5*COUNTIFS(PT_Date,A246,PT_Pres,"1/2"))</f>
        <v/>
      </c>
      <c r="E246" s="25"/>
      <c r="F246" s="88" t="str">
        <f aca="false">IF(A246="","",COUNTIFS(MV_Date,A246,MV_Type,"Entrée"))</f>
        <v/>
      </c>
      <c r="G246" s="25"/>
      <c r="H246" s="68"/>
      <c r="I246" s="25"/>
      <c r="J246" s="89"/>
      <c r="K246" s="25"/>
      <c r="L246" s="25"/>
    </row>
    <row r="247" customFormat="false" ht="15" hidden="false" customHeight="false" outlineLevel="0" collapsed="false">
      <c r="A247" s="69"/>
      <c r="B247" s="25"/>
      <c r="C247" s="70"/>
      <c r="D247" s="90" t="str">
        <f aca="false">IF(A247="","",COUNTIFS(PT_Date,A247,PT_Pres,"P")+0.5*COUNTIFS(PT_Date,A247,PT_Pres,"1/2"))</f>
        <v/>
      </c>
      <c r="E247" s="25"/>
      <c r="F247" s="88" t="str">
        <f aca="false">IF(A247="","",COUNTIFS(MV_Date,A247,MV_Type,"Entrée"))</f>
        <v/>
      </c>
      <c r="G247" s="25"/>
      <c r="H247" s="68"/>
      <c r="I247" s="25"/>
      <c r="J247" s="89"/>
      <c r="K247" s="25"/>
      <c r="L247" s="25"/>
    </row>
    <row r="248" customFormat="false" ht="15" hidden="false" customHeight="false" outlineLevel="0" collapsed="false">
      <c r="A248" s="69"/>
      <c r="B248" s="25"/>
      <c r="C248" s="70"/>
      <c r="D248" s="90" t="str">
        <f aca="false">IF(A248="","",COUNTIFS(PT_Date,A248,PT_Pres,"P")+0.5*COUNTIFS(PT_Date,A248,PT_Pres,"1/2"))</f>
        <v/>
      </c>
      <c r="E248" s="25"/>
      <c r="F248" s="88" t="str">
        <f aca="false">IF(A248="","",COUNTIFS(MV_Date,A248,MV_Type,"Entrée"))</f>
        <v/>
      </c>
      <c r="G248" s="25"/>
      <c r="H248" s="68"/>
      <c r="I248" s="25"/>
      <c r="J248" s="89"/>
      <c r="K248" s="25"/>
      <c r="L248" s="25"/>
    </row>
    <row r="249" customFormat="false" ht="15" hidden="false" customHeight="false" outlineLevel="0" collapsed="false">
      <c r="A249" s="69"/>
      <c r="B249" s="25"/>
      <c r="C249" s="70"/>
      <c r="D249" s="90" t="str">
        <f aca="false">IF(A249="","",COUNTIFS(PT_Date,A249,PT_Pres,"P")+0.5*COUNTIFS(PT_Date,A249,PT_Pres,"1/2"))</f>
        <v/>
      </c>
      <c r="E249" s="25"/>
      <c r="F249" s="88" t="str">
        <f aca="false">IF(A249="","",COUNTIFS(MV_Date,A249,MV_Type,"Entrée"))</f>
        <v/>
      </c>
      <c r="G249" s="25"/>
      <c r="H249" s="68"/>
      <c r="I249" s="25"/>
      <c r="J249" s="89"/>
      <c r="K249" s="25"/>
      <c r="L249" s="25"/>
    </row>
    <row r="250" customFormat="false" ht="15" hidden="false" customHeight="false" outlineLevel="0" collapsed="false">
      <c r="A250" s="69"/>
      <c r="B250" s="25"/>
      <c r="C250" s="70"/>
      <c r="D250" s="90" t="str">
        <f aca="false">IF(A250="","",COUNTIFS(PT_Date,A250,PT_Pres,"P")+0.5*COUNTIFS(PT_Date,A250,PT_Pres,"1/2"))</f>
        <v/>
      </c>
      <c r="E250" s="25"/>
      <c r="F250" s="88" t="str">
        <f aca="false">IF(A250="","",COUNTIFS(MV_Date,A250,MV_Type,"Entrée"))</f>
        <v/>
      </c>
      <c r="G250" s="25"/>
      <c r="H250" s="68"/>
      <c r="I250" s="25"/>
      <c r="J250" s="89"/>
      <c r="K250" s="25"/>
      <c r="L250" s="25"/>
    </row>
    <row r="251" customFormat="false" ht="15" hidden="false" customHeight="false" outlineLevel="0" collapsed="false">
      <c r="A251" s="69"/>
      <c r="B251" s="25"/>
      <c r="C251" s="70"/>
      <c r="D251" s="90" t="str">
        <f aca="false">IF(A251="","",COUNTIFS(PT_Date,A251,PT_Pres,"P")+0.5*COUNTIFS(PT_Date,A251,PT_Pres,"1/2"))</f>
        <v/>
      </c>
      <c r="E251" s="25"/>
      <c r="F251" s="88" t="str">
        <f aca="false">IF(A251="","",COUNTIFS(MV_Date,A251,MV_Type,"Entrée"))</f>
        <v/>
      </c>
      <c r="G251" s="25"/>
      <c r="H251" s="68"/>
      <c r="I251" s="25"/>
      <c r="J251" s="89"/>
      <c r="K251" s="25"/>
      <c r="L251" s="25"/>
    </row>
    <row r="252" customFormat="false" ht="15" hidden="false" customHeight="false" outlineLevel="0" collapsed="false">
      <c r="A252" s="69"/>
      <c r="B252" s="25"/>
      <c r="C252" s="70"/>
      <c r="D252" s="90" t="str">
        <f aca="false">IF(A252="","",COUNTIFS(PT_Date,A252,PT_Pres,"P")+0.5*COUNTIFS(PT_Date,A252,PT_Pres,"1/2"))</f>
        <v/>
      </c>
      <c r="E252" s="25"/>
      <c r="F252" s="88" t="str">
        <f aca="false">IF(A252="","",COUNTIFS(MV_Date,A252,MV_Type,"Entrée"))</f>
        <v/>
      </c>
      <c r="G252" s="25"/>
      <c r="H252" s="68"/>
      <c r="I252" s="25"/>
      <c r="J252" s="89"/>
      <c r="K252" s="25"/>
      <c r="L252" s="25"/>
    </row>
    <row r="253" customFormat="false" ht="15" hidden="false" customHeight="false" outlineLevel="0" collapsed="false">
      <c r="A253" s="69"/>
      <c r="B253" s="25"/>
      <c r="C253" s="70"/>
      <c r="D253" s="90" t="str">
        <f aca="false">IF(A253="","",COUNTIFS(PT_Date,A253,PT_Pres,"P")+0.5*COUNTIFS(PT_Date,A253,PT_Pres,"1/2"))</f>
        <v/>
      </c>
      <c r="E253" s="25"/>
      <c r="F253" s="88" t="str">
        <f aca="false">IF(A253="","",COUNTIFS(MV_Date,A253,MV_Type,"Entrée"))</f>
        <v/>
      </c>
      <c r="G253" s="25"/>
      <c r="H253" s="68"/>
      <c r="I253" s="25"/>
      <c r="J253" s="89"/>
      <c r="K253" s="25"/>
      <c r="L253" s="25"/>
    </row>
    <row r="254" customFormat="false" ht="15" hidden="false" customHeight="false" outlineLevel="0" collapsed="false">
      <c r="A254" s="69"/>
      <c r="B254" s="25"/>
      <c r="C254" s="70"/>
      <c r="D254" s="90" t="str">
        <f aca="false">IF(A254="","",COUNTIFS(PT_Date,A254,PT_Pres,"P")+0.5*COUNTIFS(PT_Date,A254,PT_Pres,"1/2"))</f>
        <v/>
      </c>
      <c r="E254" s="25"/>
      <c r="F254" s="88" t="str">
        <f aca="false">IF(A254="","",COUNTIFS(MV_Date,A254,MV_Type,"Entrée"))</f>
        <v/>
      </c>
      <c r="G254" s="25"/>
      <c r="H254" s="68"/>
      <c r="I254" s="25"/>
      <c r="J254" s="89"/>
      <c r="K254" s="25"/>
      <c r="L254" s="25"/>
    </row>
    <row r="255" customFormat="false" ht="15" hidden="false" customHeight="false" outlineLevel="0" collapsed="false">
      <c r="A255" s="69"/>
      <c r="B255" s="25"/>
      <c r="C255" s="70"/>
      <c r="D255" s="90" t="str">
        <f aca="false">IF(A255="","",COUNTIFS(PT_Date,A255,PT_Pres,"P")+0.5*COUNTIFS(PT_Date,A255,PT_Pres,"1/2"))</f>
        <v/>
      </c>
      <c r="E255" s="25"/>
      <c r="F255" s="88" t="str">
        <f aca="false">IF(A255="","",COUNTIFS(MV_Date,A255,MV_Type,"Entrée"))</f>
        <v/>
      </c>
      <c r="G255" s="25"/>
      <c r="H255" s="68"/>
      <c r="I255" s="25"/>
      <c r="J255" s="89"/>
      <c r="K255" s="25"/>
      <c r="L255" s="25"/>
    </row>
    <row r="256" customFormat="false" ht="15" hidden="false" customHeight="false" outlineLevel="0" collapsed="false">
      <c r="A256" s="69"/>
      <c r="B256" s="25"/>
      <c r="C256" s="70"/>
      <c r="D256" s="90" t="str">
        <f aca="false">IF(A256="","",COUNTIFS(PT_Date,A256,PT_Pres,"P")+0.5*COUNTIFS(PT_Date,A256,PT_Pres,"1/2"))</f>
        <v/>
      </c>
      <c r="E256" s="25"/>
      <c r="F256" s="88" t="str">
        <f aca="false">IF(A256="","",COUNTIFS(MV_Date,A256,MV_Type,"Entrée"))</f>
        <v/>
      </c>
      <c r="G256" s="25"/>
      <c r="H256" s="68"/>
      <c r="I256" s="25"/>
      <c r="J256" s="89"/>
      <c r="K256" s="25"/>
      <c r="L256" s="25"/>
    </row>
    <row r="257" customFormat="false" ht="15" hidden="false" customHeight="false" outlineLevel="0" collapsed="false">
      <c r="A257" s="69"/>
      <c r="B257" s="25"/>
      <c r="C257" s="70"/>
      <c r="D257" s="90" t="str">
        <f aca="false">IF(A257="","",COUNTIFS(PT_Date,A257,PT_Pres,"P")+0.5*COUNTIFS(PT_Date,A257,PT_Pres,"1/2"))</f>
        <v/>
      </c>
      <c r="E257" s="25"/>
      <c r="F257" s="88" t="str">
        <f aca="false">IF(A257="","",COUNTIFS(MV_Date,A257,MV_Type,"Entrée"))</f>
        <v/>
      </c>
      <c r="G257" s="25"/>
      <c r="H257" s="68"/>
      <c r="I257" s="25"/>
      <c r="J257" s="89"/>
      <c r="K257" s="25"/>
      <c r="L257" s="25"/>
    </row>
    <row r="258" customFormat="false" ht="15" hidden="false" customHeight="false" outlineLevel="0" collapsed="false">
      <c r="A258" s="69"/>
      <c r="B258" s="25"/>
      <c r="C258" s="70"/>
      <c r="D258" s="90" t="str">
        <f aca="false">IF(A258="","",COUNTIFS(PT_Date,A258,PT_Pres,"P")+0.5*COUNTIFS(PT_Date,A258,PT_Pres,"1/2"))</f>
        <v/>
      </c>
      <c r="E258" s="25"/>
      <c r="F258" s="88" t="str">
        <f aca="false">IF(A258="","",COUNTIFS(MV_Date,A258,MV_Type,"Entrée"))</f>
        <v/>
      </c>
      <c r="G258" s="25"/>
      <c r="H258" s="68"/>
      <c r="I258" s="25"/>
      <c r="J258" s="89"/>
      <c r="K258" s="25"/>
      <c r="L258" s="25"/>
    </row>
    <row r="259" customFormat="false" ht="15" hidden="false" customHeight="false" outlineLevel="0" collapsed="false">
      <c r="A259" s="69"/>
      <c r="B259" s="25"/>
      <c r="C259" s="70"/>
      <c r="D259" s="90" t="str">
        <f aca="false">IF(A259="","",COUNTIFS(PT_Date,A259,PT_Pres,"P")+0.5*COUNTIFS(PT_Date,A259,PT_Pres,"1/2"))</f>
        <v/>
      </c>
      <c r="E259" s="25"/>
      <c r="F259" s="88" t="str">
        <f aca="false">IF(A259="","",COUNTIFS(MV_Date,A259,MV_Type,"Entrée"))</f>
        <v/>
      </c>
      <c r="G259" s="25"/>
      <c r="H259" s="68"/>
      <c r="I259" s="25"/>
      <c r="J259" s="89"/>
      <c r="K259" s="25"/>
      <c r="L259" s="25"/>
    </row>
    <row r="260" customFormat="false" ht="15" hidden="false" customHeight="false" outlineLevel="0" collapsed="false">
      <c r="A260" s="69"/>
      <c r="B260" s="25"/>
      <c r="C260" s="70"/>
      <c r="D260" s="90" t="str">
        <f aca="false">IF(A260="","",COUNTIFS(PT_Date,A260,PT_Pres,"P")+0.5*COUNTIFS(PT_Date,A260,PT_Pres,"1/2"))</f>
        <v/>
      </c>
      <c r="E260" s="25"/>
      <c r="F260" s="88" t="str">
        <f aca="false">IF(A260="","",COUNTIFS(MV_Date,A260,MV_Type,"Entrée"))</f>
        <v/>
      </c>
      <c r="G260" s="25"/>
      <c r="H260" s="68"/>
      <c r="I260" s="25"/>
      <c r="J260" s="89"/>
      <c r="K260" s="25"/>
      <c r="L260" s="25"/>
    </row>
    <row r="261" customFormat="false" ht="15" hidden="false" customHeight="false" outlineLevel="0" collapsed="false">
      <c r="A261" s="69"/>
      <c r="B261" s="25"/>
      <c r="C261" s="70"/>
      <c r="D261" s="90" t="str">
        <f aca="false">IF(A261="","",COUNTIFS(PT_Date,A261,PT_Pres,"P")+0.5*COUNTIFS(PT_Date,A261,PT_Pres,"1/2"))</f>
        <v/>
      </c>
      <c r="E261" s="25"/>
      <c r="F261" s="88" t="str">
        <f aca="false">IF(A261="","",COUNTIFS(MV_Date,A261,MV_Type,"Entrée"))</f>
        <v/>
      </c>
      <c r="G261" s="25"/>
      <c r="H261" s="68"/>
      <c r="I261" s="25"/>
      <c r="J261" s="89"/>
      <c r="K261" s="25"/>
      <c r="L261" s="25"/>
    </row>
    <row r="262" customFormat="false" ht="15" hidden="false" customHeight="false" outlineLevel="0" collapsed="false">
      <c r="A262" s="69"/>
      <c r="B262" s="25"/>
      <c r="C262" s="70"/>
      <c r="D262" s="90" t="str">
        <f aca="false">IF(A262="","",COUNTIFS(PT_Date,A262,PT_Pres,"P")+0.5*COUNTIFS(PT_Date,A262,PT_Pres,"1/2"))</f>
        <v/>
      </c>
      <c r="E262" s="25"/>
      <c r="F262" s="88" t="str">
        <f aca="false">IF(A262="","",COUNTIFS(MV_Date,A262,MV_Type,"Entrée"))</f>
        <v/>
      </c>
      <c r="G262" s="25"/>
      <c r="H262" s="68"/>
      <c r="I262" s="25"/>
      <c r="J262" s="89"/>
      <c r="K262" s="25"/>
      <c r="L262" s="25"/>
    </row>
    <row r="263" customFormat="false" ht="15" hidden="false" customHeight="false" outlineLevel="0" collapsed="false">
      <c r="A263" s="69"/>
      <c r="B263" s="25"/>
      <c r="C263" s="70"/>
      <c r="D263" s="90" t="str">
        <f aca="false">IF(A263="","",COUNTIFS(PT_Date,A263,PT_Pres,"P")+0.5*COUNTIFS(PT_Date,A263,PT_Pres,"1/2"))</f>
        <v/>
      </c>
      <c r="E263" s="25"/>
      <c r="F263" s="88" t="str">
        <f aca="false">IF(A263="","",COUNTIFS(MV_Date,A263,MV_Type,"Entrée"))</f>
        <v/>
      </c>
      <c r="G263" s="25"/>
      <c r="H263" s="68"/>
      <c r="I263" s="25"/>
      <c r="J263" s="89"/>
      <c r="K263" s="25"/>
      <c r="L263" s="25"/>
    </row>
    <row r="264" customFormat="false" ht="15" hidden="false" customHeight="false" outlineLevel="0" collapsed="false">
      <c r="A264" s="69"/>
      <c r="B264" s="25"/>
      <c r="C264" s="70"/>
      <c r="D264" s="90" t="str">
        <f aca="false">IF(A264="","",COUNTIFS(PT_Date,A264,PT_Pres,"P")+0.5*COUNTIFS(PT_Date,A264,PT_Pres,"1/2"))</f>
        <v/>
      </c>
      <c r="E264" s="25"/>
      <c r="F264" s="88" t="str">
        <f aca="false">IF(A264="","",COUNTIFS(MV_Date,A264,MV_Type,"Entrée"))</f>
        <v/>
      </c>
      <c r="G264" s="25"/>
      <c r="H264" s="68"/>
      <c r="I264" s="25"/>
      <c r="J264" s="89"/>
      <c r="K264" s="25"/>
      <c r="L264" s="25"/>
    </row>
    <row r="265" customFormat="false" ht="15" hidden="false" customHeight="false" outlineLevel="0" collapsed="false">
      <c r="A265" s="69"/>
      <c r="B265" s="25"/>
      <c r="C265" s="70"/>
      <c r="D265" s="90" t="str">
        <f aca="false">IF(A265="","",COUNTIFS(PT_Date,A265,PT_Pres,"P")+0.5*COUNTIFS(PT_Date,A265,PT_Pres,"1/2"))</f>
        <v/>
      </c>
      <c r="E265" s="25"/>
      <c r="F265" s="88" t="str">
        <f aca="false">IF(A265="","",COUNTIFS(MV_Date,A265,MV_Type,"Entrée"))</f>
        <v/>
      </c>
      <c r="G265" s="25"/>
      <c r="H265" s="68"/>
      <c r="I265" s="25"/>
      <c r="J265" s="89"/>
      <c r="K265" s="25"/>
      <c r="L265" s="25"/>
    </row>
    <row r="266" customFormat="false" ht="15" hidden="false" customHeight="false" outlineLevel="0" collapsed="false">
      <c r="A266" s="69"/>
      <c r="B266" s="25"/>
      <c r="C266" s="70"/>
      <c r="D266" s="90" t="str">
        <f aca="false">IF(A266="","",COUNTIFS(PT_Date,A266,PT_Pres,"P")+0.5*COUNTIFS(PT_Date,A266,PT_Pres,"1/2"))</f>
        <v/>
      </c>
      <c r="E266" s="25"/>
      <c r="F266" s="88" t="str">
        <f aca="false">IF(A266="","",COUNTIFS(MV_Date,A266,MV_Type,"Entrée"))</f>
        <v/>
      </c>
      <c r="G266" s="25"/>
      <c r="H266" s="68"/>
      <c r="I266" s="25"/>
      <c r="J266" s="89"/>
      <c r="K266" s="25"/>
      <c r="L266" s="25"/>
    </row>
    <row r="267" customFormat="false" ht="15" hidden="false" customHeight="false" outlineLevel="0" collapsed="false">
      <c r="A267" s="69"/>
      <c r="B267" s="25"/>
      <c r="C267" s="70"/>
      <c r="D267" s="90" t="str">
        <f aca="false">IF(A267="","",COUNTIFS(PT_Date,A267,PT_Pres,"P")+0.5*COUNTIFS(PT_Date,A267,PT_Pres,"1/2"))</f>
        <v/>
      </c>
      <c r="E267" s="25"/>
      <c r="F267" s="88" t="str">
        <f aca="false">IF(A267="","",COUNTIFS(MV_Date,A267,MV_Type,"Entrée"))</f>
        <v/>
      </c>
      <c r="G267" s="25"/>
      <c r="H267" s="68"/>
      <c r="I267" s="25"/>
      <c r="J267" s="89"/>
      <c r="K267" s="25"/>
      <c r="L267" s="25"/>
    </row>
    <row r="268" customFormat="false" ht="15" hidden="false" customHeight="false" outlineLevel="0" collapsed="false">
      <c r="A268" s="69"/>
      <c r="B268" s="25"/>
      <c r="C268" s="70"/>
      <c r="D268" s="90" t="str">
        <f aca="false">IF(A268="","",COUNTIFS(PT_Date,A268,PT_Pres,"P")+0.5*COUNTIFS(PT_Date,A268,PT_Pres,"1/2"))</f>
        <v/>
      </c>
      <c r="E268" s="25"/>
      <c r="F268" s="88" t="str">
        <f aca="false">IF(A268="","",COUNTIFS(MV_Date,A268,MV_Type,"Entrée"))</f>
        <v/>
      </c>
      <c r="G268" s="25"/>
      <c r="H268" s="68"/>
      <c r="I268" s="25"/>
      <c r="J268" s="89"/>
      <c r="K268" s="25"/>
      <c r="L268" s="25"/>
    </row>
    <row r="269" customFormat="false" ht="15" hidden="false" customHeight="false" outlineLevel="0" collapsed="false">
      <c r="A269" s="69"/>
      <c r="B269" s="25"/>
      <c r="C269" s="70"/>
      <c r="D269" s="90" t="str">
        <f aca="false">IF(A269="","",COUNTIFS(PT_Date,A269,PT_Pres,"P")+0.5*COUNTIFS(PT_Date,A269,PT_Pres,"1/2"))</f>
        <v/>
      </c>
      <c r="E269" s="25"/>
      <c r="F269" s="88" t="str">
        <f aca="false">IF(A269="","",COUNTIFS(MV_Date,A269,MV_Type,"Entrée"))</f>
        <v/>
      </c>
      <c r="G269" s="25"/>
      <c r="H269" s="68"/>
      <c r="I269" s="25"/>
      <c r="J269" s="89"/>
      <c r="K269" s="25"/>
      <c r="L269" s="25"/>
    </row>
    <row r="270" customFormat="false" ht="15" hidden="false" customHeight="false" outlineLevel="0" collapsed="false">
      <c r="A270" s="69"/>
      <c r="B270" s="25"/>
      <c r="C270" s="70"/>
      <c r="D270" s="90" t="str">
        <f aca="false">IF(A270="","",COUNTIFS(PT_Date,A270,PT_Pres,"P")+0.5*COUNTIFS(PT_Date,A270,PT_Pres,"1/2"))</f>
        <v/>
      </c>
      <c r="E270" s="25"/>
      <c r="F270" s="88" t="str">
        <f aca="false">IF(A270="","",COUNTIFS(MV_Date,A270,MV_Type,"Entrée"))</f>
        <v/>
      </c>
      <c r="G270" s="25"/>
      <c r="H270" s="68"/>
      <c r="I270" s="25"/>
      <c r="J270" s="89"/>
      <c r="K270" s="25"/>
      <c r="L270" s="25"/>
    </row>
    <row r="271" customFormat="false" ht="15" hidden="false" customHeight="false" outlineLevel="0" collapsed="false">
      <c r="A271" s="69"/>
      <c r="B271" s="25"/>
      <c r="C271" s="70"/>
      <c r="D271" s="90" t="str">
        <f aca="false">IF(A271="","",COUNTIFS(PT_Date,A271,PT_Pres,"P")+0.5*COUNTIFS(PT_Date,A271,PT_Pres,"1/2"))</f>
        <v/>
      </c>
      <c r="E271" s="25"/>
      <c r="F271" s="88" t="str">
        <f aca="false">IF(A271="","",COUNTIFS(MV_Date,A271,MV_Type,"Entrée"))</f>
        <v/>
      </c>
      <c r="G271" s="25"/>
      <c r="H271" s="68"/>
      <c r="I271" s="25"/>
      <c r="J271" s="89"/>
      <c r="K271" s="25"/>
      <c r="L271" s="25"/>
    </row>
    <row r="272" customFormat="false" ht="15" hidden="false" customHeight="false" outlineLevel="0" collapsed="false">
      <c r="A272" s="69"/>
      <c r="B272" s="25"/>
      <c r="C272" s="70"/>
      <c r="D272" s="90" t="str">
        <f aca="false">IF(A272="","",COUNTIFS(PT_Date,A272,PT_Pres,"P")+0.5*COUNTIFS(PT_Date,A272,PT_Pres,"1/2"))</f>
        <v/>
      </c>
      <c r="E272" s="25"/>
      <c r="F272" s="88" t="str">
        <f aca="false">IF(A272="","",COUNTIFS(MV_Date,A272,MV_Type,"Entrée"))</f>
        <v/>
      </c>
      <c r="G272" s="25"/>
      <c r="H272" s="68"/>
      <c r="I272" s="25"/>
      <c r="J272" s="89"/>
      <c r="K272" s="25"/>
      <c r="L272" s="25"/>
    </row>
    <row r="273" customFormat="false" ht="15" hidden="false" customHeight="false" outlineLevel="0" collapsed="false">
      <c r="A273" s="69"/>
      <c r="B273" s="25"/>
      <c r="C273" s="70"/>
      <c r="D273" s="90" t="str">
        <f aca="false">IF(A273="","",COUNTIFS(PT_Date,A273,PT_Pres,"P")+0.5*COUNTIFS(PT_Date,A273,PT_Pres,"1/2"))</f>
        <v/>
      </c>
      <c r="E273" s="25"/>
      <c r="F273" s="88" t="str">
        <f aca="false">IF(A273="","",COUNTIFS(MV_Date,A273,MV_Type,"Entrée"))</f>
        <v/>
      </c>
      <c r="G273" s="25"/>
      <c r="H273" s="68"/>
      <c r="I273" s="25"/>
      <c r="J273" s="89"/>
      <c r="K273" s="25"/>
      <c r="L273" s="25"/>
    </row>
    <row r="274" customFormat="false" ht="15" hidden="false" customHeight="false" outlineLevel="0" collapsed="false">
      <c r="A274" s="69"/>
      <c r="B274" s="25"/>
      <c r="C274" s="70"/>
      <c r="D274" s="90" t="str">
        <f aca="false">IF(A274="","",COUNTIFS(PT_Date,A274,PT_Pres,"P")+0.5*COUNTIFS(PT_Date,A274,PT_Pres,"1/2"))</f>
        <v/>
      </c>
      <c r="E274" s="25"/>
      <c r="F274" s="88" t="str">
        <f aca="false">IF(A274="","",COUNTIFS(MV_Date,A274,MV_Type,"Entrée"))</f>
        <v/>
      </c>
      <c r="G274" s="25"/>
      <c r="H274" s="68"/>
      <c r="I274" s="25"/>
      <c r="J274" s="89"/>
      <c r="K274" s="25"/>
      <c r="L274" s="25"/>
    </row>
    <row r="275" customFormat="false" ht="15" hidden="false" customHeight="false" outlineLevel="0" collapsed="false">
      <c r="A275" s="69"/>
      <c r="B275" s="25"/>
      <c r="C275" s="70"/>
      <c r="D275" s="90" t="str">
        <f aca="false">IF(A275="","",COUNTIFS(PT_Date,A275,PT_Pres,"P")+0.5*COUNTIFS(PT_Date,A275,PT_Pres,"1/2"))</f>
        <v/>
      </c>
      <c r="E275" s="25"/>
      <c r="F275" s="88" t="str">
        <f aca="false">IF(A275="","",COUNTIFS(MV_Date,A275,MV_Type,"Entrée"))</f>
        <v/>
      </c>
      <c r="G275" s="25"/>
      <c r="H275" s="68"/>
      <c r="I275" s="25"/>
      <c r="J275" s="89"/>
      <c r="K275" s="25"/>
      <c r="L275" s="25"/>
    </row>
    <row r="276" customFormat="false" ht="15" hidden="false" customHeight="false" outlineLevel="0" collapsed="false">
      <c r="A276" s="69"/>
      <c r="B276" s="25"/>
      <c r="C276" s="70"/>
      <c r="D276" s="90" t="str">
        <f aca="false">IF(A276="","",COUNTIFS(PT_Date,A276,PT_Pres,"P")+0.5*COUNTIFS(PT_Date,A276,PT_Pres,"1/2"))</f>
        <v/>
      </c>
      <c r="E276" s="25"/>
      <c r="F276" s="88" t="str">
        <f aca="false">IF(A276="","",COUNTIFS(MV_Date,A276,MV_Type,"Entrée"))</f>
        <v/>
      </c>
      <c r="G276" s="25"/>
      <c r="H276" s="68"/>
      <c r="I276" s="25"/>
      <c r="J276" s="89"/>
      <c r="K276" s="25"/>
      <c r="L276" s="25"/>
    </row>
    <row r="277" customFormat="false" ht="15" hidden="false" customHeight="false" outlineLevel="0" collapsed="false">
      <c r="A277" s="69"/>
      <c r="B277" s="25"/>
      <c r="C277" s="70"/>
      <c r="D277" s="90" t="str">
        <f aca="false">IF(A277="","",COUNTIFS(PT_Date,A277,PT_Pres,"P")+0.5*COUNTIFS(PT_Date,A277,PT_Pres,"1/2"))</f>
        <v/>
      </c>
      <c r="E277" s="25"/>
      <c r="F277" s="88" t="str">
        <f aca="false">IF(A277="","",COUNTIFS(MV_Date,A277,MV_Type,"Entrée"))</f>
        <v/>
      </c>
      <c r="G277" s="25"/>
      <c r="H277" s="68"/>
      <c r="I277" s="25"/>
      <c r="J277" s="89"/>
      <c r="K277" s="25"/>
      <c r="L277" s="25"/>
    </row>
    <row r="278" customFormat="false" ht="15" hidden="false" customHeight="false" outlineLevel="0" collapsed="false">
      <c r="A278" s="69"/>
      <c r="B278" s="25"/>
      <c r="C278" s="70"/>
      <c r="D278" s="90" t="str">
        <f aca="false">IF(A278="","",COUNTIFS(PT_Date,A278,PT_Pres,"P")+0.5*COUNTIFS(PT_Date,A278,PT_Pres,"1/2"))</f>
        <v/>
      </c>
      <c r="E278" s="25"/>
      <c r="F278" s="88" t="str">
        <f aca="false">IF(A278="","",COUNTIFS(MV_Date,A278,MV_Type,"Entrée"))</f>
        <v/>
      </c>
      <c r="G278" s="25"/>
      <c r="H278" s="68"/>
      <c r="I278" s="25"/>
      <c r="J278" s="89"/>
      <c r="K278" s="25"/>
      <c r="L278" s="25"/>
    </row>
    <row r="279" customFormat="false" ht="15" hidden="false" customHeight="false" outlineLevel="0" collapsed="false">
      <c r="A279" s="69"/>
      <c r="B279" s="25"/>
      <c r="C279" s="70"/>
      <c r="D279" s="90" t="str">
        <f aca="false">IF(A279="","",COUNTIFS(PT_Date,A279,PT_Pres,"P")+0.5*COUNTIFS(PT_Date,A279,PT_Pres,"1/2"))</f>
        <v/>
      </c>
      <c r="E279" s="25"/>
      <c r="F279" s="88" t="str">
        <f aca="false">IF(A279="","",COUNTIFS(MV_Date,A279,MV_Type,"Entrée"))</f>
        <v/>
      </c>
      <c r="G279" s="25"/>
      <c r="H279" s="68"/>
      <c r="I279" s="25"/>
      <c r="J279" s="89"/>
      <c r="K279" s="25"/>
      <c r="L279" s="25"/>
    </row>
    <row r="280" customFormat="false" ht="15" hidden="false" customHeight="false" outlineLevel="0" collapsed="false">
      <c r="A280" s="69"/>
      <c r="B280" s="25"/>
      <c r="C280" s="70"/>
      <c r="D280" s="90" t="str">
        <f aca="false">IF(A280="","",COUNTIFS(PT_Date,A280,PT_Pres,"P")+0.5*COUNTIFS(PT_Date,A280,PT_Pres,"1/2"))</f>
        <v/>
      </c>
      <c r="E280" s="25"/>
      <c r="F280" s="88" t="str">
        <f aca="false">IF(A280="","",COUNTIFS(MV_Date,A280,MV_Type,"Entrée"))</f>
        <v/>
      </c>
      <c r="G280" s="25"/>
      <c r="H280" s="68"/>
      <c r="I280" s="25"/>
      <c r="J280" s="89"/>
      <c r="K280" s="25"/>
      <c r="L280" s="25"/>
    </row>
    <row r="281" customFormat="false" ht="15" hidden="false" customHeight="false" outlineLevel="0" collapsed="false">
      <c r="A281" s="69"/>
      <c r="B281" s="25"/>
      <c r="C281" s="70"/>
      <c r="D281" s="90" t="str">
        <f aca="false">IF(A281="","",COUNTIFS(PT_Date,A281,PT_Pres,"P")+0.5*COUNTIFS(PT_Date,A281,PT_Pres,"1/2"))</f>
        <v/>
      </c>
      <c r="E281" s="25"/>
      <c r="F281" s="88" t="str">
        <f aca="false">IF(A281="","",COUNTIFS(MV_Date,A281,MV_Type,"Entrée"))</f>
        <v/>
      </c>
      <c r="G281" s="25"/>
      <c r="H281" s="68"/>
      <c r="I281" s="25"/>
      <c r="J281" s="89"/>
      <c r="K281" s="25"/>
      <c r="L281" s="25"/>
    </row>
    <row r="282" customFormat="false" ht="15" hidden="false" customHeight="false" outlineLevel="0" collapsed="false">
      <c r="A282" s="69"/>
      <c r="B282" s="25"/>
      <c r="C282" s="70"/>
      <c r="D282" s="90" t="str">
        <f aca="false">IF(A282="","",COUNTIFS(PT_Date,A282,PT_Pres,"P")+0.5*COUNTIFS(PT_Date,A282,PT_Pres,"1/2"))</f>
        <v/>
      </c>
      <c r="E282" s="25"/>
      <c r="F282" s="88" t="str">
        <f aca="false">IF(A282="","",COUNTIFS(MV_Date,A282,MV_Type,"Entrée"))</f>
        <v/>
      </c>
      <c r="G282" s="25"/>
      <c r="H282" s="68"/>
      <c r="I282" s="25"/>
      <c r="J282" s="89"/>
      <c r="K282" s="25"/>
      <c r="L282" s="25"/>
    </row>
    <row r="283" customFormat="false" ht="15" hidden="false" customHeight="false" outlineLevel="0" collapsed="false">
      <c r="A283" s="69"/>
      <c r="B283" s="25"/>
      <c r="C283" s="70"/>
      <c r="D283" s="90" t="str">
        <f aca="false">IF(A283="","",COUNTIFS(PT_Date,A283,PT_Pres,"P")+0.5*COUNTIFS(PT_Date,A283,PT_Pres,"1/2"))</f>
        <v/>
      </c>
      <c r="E283" s="25"/>
      <c r="F283" s="88" t="str">
        <f aca="false">IF(A283="","",COUNTIFS(MV_Date,A283,MV_Type,"Entrée"))</f>
        <v/>
      </c>
      <c r="G283" s="25"/>
      <c r="H283" s="68"/>
      <c r="I283" s="25"/>
      <c r="J283" s="89"/>
      <c r="K283" s="25"/>
      <c r="L283" s="25"/>
    </row>
    <row r="284" customFormat="false" ht="15" hidden="false" customHeight="false" outlineLevel="0" collapsed="false">
      <c r="A284" s="69"/>
      <c r="B284" s="25"/>
      <c r="C284" s="70"/>
      <c r="D284" s="90" t="str">
        <f aca="false">IF(A284="","",COUNTIFS(PT_Date,A284,PT_Pres,"P")+0.5*COUNTIFS(PT_Date,A284,PT_Pres,"1/2"))</f>
        <v/>
      </c>
      <c r="E284" s="25"/>
      <c r="F284" s="88" t="str">
        <f aca="false">IF(A284="","",COUNTIFS(MV_Date,A284,MV_Type,"Entrée"))</f>
        <v/>
      </c>
      <c r="G284" s="25"/>
      <c r="H284" s="68"/>
      <c r="I284" s="25"/>
      <c r="J284" s="89"/>
      <c r="K284" s="25"/>
      <c r="L284" s="25"/>
    </row>
    <row r="285" customFormat="false" ht="15" hidden="false" customHeight="false" outlineLevel="0" collapsed="false">
      <c r="A285" s="69"/>
      <c r="B285" s="25"/>
      <c r="C285" s="70"/>
      <c r="D285" s="90" t="str">
        <f aca="false">IF(A285="","",COUNTIFS(PT_Date,A285,PT_Pres,"P")+0.5*COUNTIFS(PT_Date,A285,PT_Pres,"1/2"))</f>
        <v/>
      </c>
      <c r="E285" s="25"/>
      <c r="F285" s="88" t="str">
        <f aca="false">IF(A285="","",COUNTIFS(MV_Date,A285,MV_Type,"Entrée"))</f>
        <v/>
      </c>
      <c r="G285" s="25"/>
      <c r="H285" s="68"/>
      <c r="I285" s="25"/>
      <c r="J285" s="89"/>
      <c r="K285" s="25"/>
      <c r="L285" s="25"/>
    </row>
    <row r="286" customFormat="false" ht="15" hidden="false" customHeight="false" outlineLevel="0" collapsed="false">
      <c r="A286" s="69"/>
      <c r="B286" s="25"/>
      <c r="C286" s="70"/>
      <c r="D286" s="90" t="str">
        <f aca="false">IF(A286="","",COUNTIFS(PT_Date,A286,PT_Pres,"P")+0.5*COUNTIFS(PT_Date,A286,PT_Pres,"1/2"))</f>
        <v/>
      </c>
      <c r="E286" s="25"/>
      <c r="F286" s="88" t="str">
        <f aca="false">IF(A286="","",COUNTIFS(MV_Date,A286,MV_Type,"Entrée"))</f>
        <v/>
      </c>
      <c r="G286" s="25"/>
      <c r="H286" s="68"/>
      <c r="I286" s="25"/>
      <c r="J286" s="89"/>
      <c r="K286" s="25"/>
      <c r="L286" s="25"/>
    </row>
    <row r="287" customFormat="false" ht="15" hidden="false" customHeight="false" outlineLevel="0" collapsed="false">
      <c r="A287" s="69"/>
      <c r="B287" s="25"/>
      <c r="C287" s="70"/>
      <c r="D287" s="90" t="str">
        <f aca="false">IF(A287="","",COUNTIFS(PT_Date,A287,PT_Pres,"P")+0.5*COUNTIFS(PT_Date,A287,PT_Pres,"1/2"))</f>
        <v/>
      </c>
      <c r="E287" s="25"/>
      <c r="F287" s="88" t="str">
        <f aca="false">IF(A287="","",COUNTIFS(MV_Date,A287,MV_Type,"Entrée"))</f>
        <v/>
      </c>
      <c r="G287" s="25"/>
      <c r="H287" s="68"/>
      <c r="I287" s="25"/>
      <c r="J287" s="89"/>
      <c r="K287" s="25"/>
      <c r="L287" s="25"/>
    </row>
    <row r="288" customFormat="false" ht="15" hidden="false" customHeight="false" outlineLevel="0" collapsed="false">
      <c r="A288" s="69"/>
      <c r="B288" s="25"/>
      <c r="C288" s="70"/>
      <c r="D288" s="90" t="str">
        <f aca="false">IF(A288="","",COUNTIFS(PT_Date,A288,PT_Pres,"P")+0.5*COUNTIFS(PT_Date,A288,PT_Pres,"1/2"))</f>
        <v/>
      </c>
      <c r="E288" s="25"/>
      <c r="F288" s="88" t="str">
        <f aca="false">IF(A288="","",COUNTIFS(MV_Date,A288,MV_Type,"Entrée"))</f>
        <v/>
      </c>
      <c r="G288" s="25"/>
      <c r="H288" s="68"/>
      <c r="I288" s="25"/>
      <c r="J288" s="89"/>
      <c r="K288" s="25"/>
      <c r="L288" s="25"/>
    </row>
    <row r="289" customFormat="false" ht="15" hidden="false" customHeight="false" outlineLevel="0" collapsed="false">
      <c r="A289" s="69"/>
      <c r="B289" s="25"/>
      <c r="C289" s="70"/>
      <c r="D289" s="90" t="str">
        <f aca="false">IF(A289="","",COUNTIFS(PT_Date,A289,PT_Pres,"P")+0.5*COUNTIFS(PT_Date,A289,PT_Pres,"1/2"))</f>
        <v/>
      </c>
      <c r="E289" s="25"/>
      <c r="F289" s="88" t="str">
        <f aca="false">IF(A289="","",COUNTIFS(MV_Date,A289,MV_Type,"Entrée"))</f>
        <v/>
      </c>
      <c r="G289" s="25"/>
      <c r="H289" s="68"/>
      <c r="I289" s="25"/>
      <c r="J289" s="89"/>
      <c r="K289" s="25"/>
      <c r="L289" s="25"/>
    </row>
    <row r="290" customFormat="false" ht="15" hidden="false" customHeight="false" outlineLevel="0" collapsed="false">
      <c r="A290" s="69"/>
      <c r="B290" s="25"/>
      <c r="C290" s="70"/>
      <c r="D290" s="90" t="str">
        <f aca="false">IF(A290="","",COUNTIFS(PT_Date,A290,PT_Pres,"P")+0.5*COUNTIFS(PT_Date,A290,PT_Pres,"1/2"))</f>
        <v/>
      </c>
      <c r="E290" s="25"/>
      <c r="F290" s="88" t="str">
        <f aca="false">IF(A290="","",COUNTIFS(MV_Date,A290,MV_Type,"Entrée"))</f>
        <v/>
      </c>
      <c r="G290" s="25"/>
      <c r="H290" s="68"/>
      <c r="I290" s="25"/>
      <c r="J290" s="89"/>
      <c r="K290" s="25"/>
      <c r="L290" s="25"/>
    </row>
    <row r="291" customFormat="false" ht="15" hidden="false" customHeight="false" outlineLevel="0" collapsed="false">
      <c r="A291" s="69"/>
      <c r="B291" s="25"/>
      <c r="C291" s="70"/>
      <c r="D291" s="90" t="str">
        <f aca="false">IF(A291="","",COUNTIFS(PT_Date,A291,PT_Pres,"P")+0.5*COUNTIFS(PT_Date,A291,PT_Pres,"1/2"))</f>
        <v/>
      </c>
      <c r="E291" s="25"/>
      <c r="F291" s="88" t="str">
        <f aca="false">IF(A291="","",COUNTIFS(MV_Date,A291,MV_Type,"Entrée"))</f>
        <v/>
      </c>
      <c r="G291" s="25"/>
      <c r="H291" s="68"/>
      <c r="I291" s="25"/>
      <c r="J291" s="89"/>
      <c r="K291" s="25"/>
      <c r="L291" s="25"/>
    </row>
    <row r="292" customFormat="false" ht="15" hidden="false" customHeight="false" outlineLevel="0" collapsed="false">
      <c r="A292" s="69"/>
      <c r="B292" s="25"/>
      <c r="C292" s="70"/>
      <c r="D292" s="90" t="str">
        <f aca="false">IF(A292="","",COUNTIFS(PT_Date,A292,PT_Pres,"P")+0.5*COUNTIFS(PT_Date,A292,PT_Pres,"1/2"))</f>
        <v/>
      </c>
      <c r="E292" s="25"/>
      <c r="F292" s="88" t="str">
        <f aca="false">IF(A292="","",COUNTIFS(MV_Date,A292,MV_Type,"Entrée"))</f>
        <v/>
      </c>
      <c r="G292" s="25"/>
      <c r="H292" s="68"/>
      <c r="I292" s="25"/>
      <c r="J292" s="89"/>
      <c r="K292" s="25"/>
      <c r="L292" s="25"/>
    </row>
    <row r="293" customFormat="false" ht="15" hidden="false" customHeight="false" outlineLevel="0" collapsed="false">
      <c r="A293" s="69"/>
      <c r="B293" s="25"/>
      <c r="C293" s="70"/>
      <c r="D293" s="90" t="str">
        <f aca="false">IF(A293="","",COUNTIFS(PT_Date,A293,PT_Pres,"P")+0.5*COUNTIFS(PT_Date,A293,PT_Pres,"1/2"))</f>
        <v/>
      </c>
      <c r="E293" s="25"/>
      <c r="F293" s="88" t="str">
        <f aca="false">IF(A293="","",COUNTIFS(MV_Date,A293,MV_Type,"Entrée"))</f>
        <v/>
      </c>
      <c r="G293" s="25"/>
      <c r="H293" s="68"/>
      <c r="I293" s="25"/>
      <c r="J293" s="89"/>
      <c r="K293" s="25"/>
      <c r="L293" s="25"/>
    </row>
    <row r="294" customFormat="false" ht="15" hidden="false" customHeight="false" outlineLevel="0" collapsed="false">
      <c r="A294" s="69"/>
      <c r="B294" s="25"/>
      <c r="C294" s="70"/>
      <c r="D294" s="90" t="str">
        <f aca="false">IF(A294="","",COUNTIFS(PT_Date,A294,PT_Pres,"P")+0.5*COUNTIFS(PT_Date,A294,PT_Pres,"1/2"))</f>
        <v/>
      </c>
      <c r="E294" s="25"/>
      <c r="F294" s="88" t="str">
        <f aca="false">IF(A294="","",COUNTIFS(MV_Date,A294,MV_Type,"Entrée"))</f>
        <v/>
      </c>
      <c r="G294" s="25"/>
      <c r="H294" s="68"/>
      <c r="I294" s="25"/>
      <c r="J294" s="89"/>
      <c r="K294" s="25"/>
      <c r="L294" s="25"/>
    </row>
    <row r="295" customFormat="false" ht="15" hidden="false" customHeight="false" outlineLevel="0" collapsed="false">
      <c r="A295" s="69"/>
      <c r="B295" s="25"/>
      <c r="C295" s="70"/>
      <c r="D295" s="90" t="str">
        <f aca="false">IF(A295="","",COUNTIFS(PT_Date,A295,PT_Pres,"P")+0.5*COUNTIFS(PT_Date,A295,PT_Pres,"1/2"))</f>
        <v/>
      </c>
      <c r="E295" s="25"/>
      <c r="F295" s="88" t="str">
        <f aca="false">IF(A295="","",COUNTIFS(MV_Date,A295,MV_Type,"Entrée"))</f>
        <v/>
      </c>
      <c r="G295" s="25"/>
      <c r="H295" s="68"/>
      <c r="I295" s="25"/>
      <c r="J295" s="89"/>
      <c r="K295" s="25"/>
      <c r="L295" s="25"/>
    </row>
    <row r="296" customFormat="false" ht="15" hidden="false" customHeight="false" outlineLevel="0" collapsed="false">
      <c r="A296" s="69"/>
      <c r="B296" s="25"/>
      <c r="C296" s="70"/>
      <c r="D296" s="90" t="str">
        <f aca="false">IF(A296="","",COUNTIFS(PT_Date,A296,PT_Pres,"P")+0.5*COUNTIFS(PT_Date,A296,PT_Pres,"1/2"))</f>
        <v/>
      </c>
      <c r="E296" s="25"/>
      <c r="F296" s="88" t="str">
        <f aca="false">IF(A296="","",COUNTIFS(MV_Date,A296,MV_Type,"Entrée"))</f>
        <v/>
      </c>
      <c r="G296" s="25"/>
      <c r="H296" s="68"/>
      <c r="I296" s="25"/>
      <c r="J296" s="89"/>
      <c r="K296" s="25"/>
      <c r="L296" s="25"/>
    </row>
    <row r="297" customFormat="false" ht="15" hidden="false" customHeight="false" outlineLevel="0" collapsed="false">
      <c r="A297" s="69"/>
      <c r="B297" s="25"/>
      <c r="C297" s="70"/>
      <c r="D297" s="90" t="str">
        <f aca="false">IF(A297="","",COUNTIFS(PT_Date,A297,PT_Pres,"P")+0.5*COUNTIFS(PT_Date,A297,PT_Pres,"1/2"))</f>
        <v/>
      </c>
      <c r="E297" s="25"/>
      <c r="F297" s="88" t="str">
        <f aca="false">IF(A297="","",COUNTIFS(MV_Date,A297,MV_Type,"Entrée"))</f>
        <v/>
      </c>
      <c r="G297" s="25"/>
      <c r="H297" s="68"/>
      <c r="I297" s="25"/>
      <c r="J297" s="89"/>
      <c r="K297" s="25"/>
      <c r="L297" s="25"/>
    </row>
    <row r="298" customFormat="false" ht="15" hidden="false" customHeight="false" outlineLevel="0" collapsed="false">
      <c r="A298" s="69"/>
      <c r="B298" s="25"/>
      <c r="C298" s="70"/>
      <c r="D298" s="90" t="str">
        <f aca="false">IF(A298="","",COUNTIFS(PT_Date,A298,PT_Pres,"P")+0.5*COUNTIFS(PT_Date,A298,PT_Pres,"1/2"))</f>
        <v/>
      </c>
      <c r="E298" s="25"/>
      <c r="F298" s="88" t="str">
        <f aca="false">IF(A298="","",COUNTIFS(MV_Date,A298,MV_Type,"Entrée"))</f>
        <v/>
      </c>
      <c r="G298" s="25"/>
      <c r="H298" s="68"/>
      <c r="I298" s="25"/>
      <c r="J298" s="89"/>
      <c r="K298" s="25"/>
      <c r="L298" s="25"/>
    </row>
    <row r="299" customFormat="false" ht="15" hidden="false" customHeight="false" outlineLevel="0" collapsed="false">
      <c r="A299" s="69"/>
      <c r="B299" s="25"/>
      <c r="C299" s="70"/>
      <c r="D299" s="90" t="str">
        <f aca="false">IF(A299="","",COUNTIFS(PT_Date,A299,PT_Pres,"P")+0.5*COUNTIFS(PT_Date,A299,PT_Pres,"1/2"))</f>
        <v/>
      </c>
      <c r="E299" s="25"/>
      <c r="F299" s="88" t="str">
        <f aca="false">IF(A299="","",COUNTIFS(MV_Date,A299,MV_Type,"Entrée"))</f>
        <v/>
      </c>
      <c r="G299" s="25"/>
      <c r="H299" s="68"/>
      <c r="I299" s="25"/>
      <c r="J299" s="89"/>
      <c r="K299" s="25"/>
      <c r="L299" s="25"/>
    </row>
    <row r="300" customFormat="false" ht="15" hidden="false" customHeight="false" outlineLevel="0" collapsed="false">
      <c r="A300" s="69"/>
      <c r="B300" s="25"/>
      <c r="C300" s="70"/>
      <c r="D300" s="90" t="str">
        <f aca="false">IF(A300="","",COUNTIFS(PT_Date,A300,PT_Pres,"P")+0.5*COUNTIFS(PT_Date,A300,PT_Pres,"1/2"))</f>
        <v/>
      </c>
      <c r="E300" s="25"/>
      <c r="F300" s="88" t="str">
        <f aca="false">IF(A300="","",COUNTIFS(MV_Date,A300,MV_Type,"Entrée"))</f>
        <v/>
      </c>
      <c r="G300" s="25"/>
      <c r="H300" s="68"/>
      <c r="I300" s="25"/>
      <c r="J300" s="89"/>
      <c r="K300" s="25"/>
      <c r="L300" s="25"/>
    </row>
    <row r="301" customFormat="false" ht="15" hidden="false" customHeight="false" outlineLevel="0" collapsed="false">
      <c r="A301" s="69"/>
      <c r="B301" s="25"/>
      <c r="C301" s="70"/>
      <c r="D301" s="90" t="str">
        <f aca="false">IF(A301="","",COUNTIFS(PT_Date,A301,PT_Pres,"P")+0.5*COUNTIFS(PT_Date,A301,PT_Pres,"1/2"))</f>
        <v/>
      </c>
      <c r="E301" s="25"/>
      <c r="F301" s="88" t="str">
        <f aca="false">IF(A301="","",COUNTIFS(MV_Date,A301,MV_Type,"Entrée"))</f>
        <v/>
      </c>
      <c r="G301" s="25"/>
      <c r="H301" s="68"/>
      <c r="I301" s="25"/>
      <c r="J301" s="89"/>
      <c r="K301" s="25"/>
      <c r="L301" s="25"/>
    </row>
    <row r="302" customFormat="false" ht="15" hidden="false" customHeight="false" outlineLevel="0" collapsed="false">
      <c r="A302" s="69"/>
      <c r="B302" s="25"/>
      <c r="C302" s="70"/>
      <c r="D302" s="90" t="str">
        <f aca="false">IF(A302="","",COUNTIFS(PT_Date,A302,PT_Pres,"P")+0.5*COUNTIFS(PT_Date,A302,PT_Pres,"1/2"))</f>
        <v/>
      </c>
      <c r="E302" s="25"/>
      <c r="F302" s="88" t="str">
        <f aca="false">IF(A302="","",COUNTIFS(MV_Date,A302,MV_Type,"Entrée"))</f>
        <v/>
      </c>
      <c r="G302" s="25"/>
      <c r="H302" s="68"/>
      <c r="I302" s="25"/>
      <c r="J302" s="89"/>
      <c r="K302" s="25"/>
      <c r="L302" s="25"/>
    </row>
    <row r="303" customFormat="false" ht="15" hidden="false" customHeight="false" outlineLevel="0" collapsed="false">
      <c r="A303" s="69"/>
      <c r="B303" s="25"/>
      <c r="C303" s="70"/>
      <c r="D303" s="90" t="str">
        <f aca="false">IF(A303="","",COUNTIFS(PT_Date,A303,PT_Pres,"P")+0.5*COUNTIFS(PT_Date,A303,PT_Pres,"1/2"))</f>
        <v/>
      </c>
      <c r="E303" s="25"/>
      <c r="F303" s="88" t="str">
        <f aca="false">IF(A303="","",COUNTIFS(MV_Date,A303,MV_Type,"Entrée"))</f>
        <v/>
      </c>
      <c r="G303" s="25"/>
      <c r="H303" s="68"/>
      <c r="I303" s="25"/>
      <c r="J303" s="89"/>
      <c r="K303" s="25"/>
      <c r="L303" s="25"/>
    </row>
    <row r="304" customFormat="false" ht="15" hidden="false" customHeight="false" outlineLevel="0" collapsed="false">
      <c r="A304" s="69"/>
      <c r="B304" s="25"/>
      <c r="C304" s="70"/>
      <c r="D304" s="90" t="str">
        <f aca="false">IF(A304="","",COUNTIFS(PT_Date,A304,PT_Pres,"P")+0.5*COUNTIFS(PT_Date,A304,PT_Pres,"1/2"))</f>
        <v/>
      </c>
      <c r="E304" s="25"/>
      <c r="F304" s="88" t="str">
        <f aca="false">IF(A304="","",COUNTIFS(MV_Date,A304,MV_Type,"Entrée"))</f>
        <v/>
      </c>
      <c r="G304" s="25"/>
      <c r="H304" s="68"/>
      <c r="I304" s="25"/>
      <c r="J304" s="89"/>
      <c r="K304" s="25"/>
      <c r="L304" s="25"/>
    </row>
    <row r="305" customFormat="false" ht="15" hidden="false" customHeight="false" outlineLevel="0" collapsed="false">
      <c r="A305" s="69"/>
      <c r="B305" s="25"/>
      <c r="C305" s="70"/>
      <c r="D305" s="90" t="str">
        <f aca="false">IF(A305="","",COUNTIFS(PT_Date,A305,PT_Pres,"P")+0.5*COUNTIFS(PT_Date,A305,PT_Pres,"1/2"))</f>
        <v/>
      </c>
      <c r="E305" s="25"/>
      <c r="F305" s="88" t="str">
        <f aca="false">IF(A305="","",COUNTIFS(MV_Date,A305,MV_Type,"Entrée"))</f>
        <v/>
      </c>
      <c r="G305" s="25"/>
      <c r="H305" s="68"/>
      <c r="I305" s="25"/>
      <c r="J305" s="89"/>
      <c r="K305" s="25"/>
      <c r="L305" s="25"/>
    </row>
    <row r="306" customFormat="false" ht="15" hidden="false" customHeight="false" outlineLevel="0" collapsed="false">
      <c r="A306" s="69"/>
      <c r="B306" s="25"/>
      <c r="C306" s="70"/>
      <c r="D306" s="90" t="str">
        <f aca="false">IF(A306="","",COUNTIFS(PT_Date,A306,PT_Pres,"P")+0.5*COUNTIFS(PT_Date,A306,PT_Pres,"1/2"))</f>
        <v/>
      </c>
      <c r="E306" s="25"/>
      <c r="F306" s="88" t="str">
        <f aca="false">IF(A306="","",COUNTIFS(MV_Date,A306,MV_Type,"Entrée"))</f>
        <v/>
      </c>
      <c r="G306" s="25"/>
      <c r="H306" s="68"/>
      <c r="I306" s="25"/>
      <c r="J306" s="89"/>
      <c r="K306" s="25"/>
      <c r="L306" s="25"/>
    </row>
  </sheetData>
  <autoFilter ref="A6:L306"/>
  <mergeCells count="4">
    <mergeCell ref="A1:L1"/>
    <mergeCell ref="A2:L2"/>
    <mergeCell ref="A3:L3"/>
    <mergeCell ref="A4:L4"/>
  </mergeCells>
  <conditionalFormatting sqref="H7:H306">
    <cfRule type="cellIs" priority="2" operator="equal" aboveAverage="0" equalAverage="0" bottom="0" percent="0" rank="0" text="" dxfId="3">
      <formula>"Oui"</formula>
    </cfRule>
  </conditionalFormatting>
  <dataValidations count="2">
    <dataValidation allowBlank="true" errorStyle="stop" operator="between" showDropDown="false" showErrorMessage="true" showInputMessage="false" sqref="B7:B306" type="list">
      <formula1>L_Meteo</formula1>
      <formula2>0</formula2>
    </dataValidation>
    <dataValidation allowBlank="true" errorStyle="stop" operator="between" showDropDown="false" showErrorMessage="true" showInputMessage="false" sqref="H7:H306" type="list">
      <formula1>L_OuiNon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O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8" min="7" style="0" width="22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4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customFormat="false" ht="19.5" hidden="false" customHeight="true" outlineLevel="0" collapsed="false">
      <c r="A2" s="20" t="s">
        <v>715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0" hidden="false" customHeight="true" outlineLevel="0" collapsed="false">
      <c r="A4" s="21" t="s">
        <v>716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6" customFormat="false" ht="31.5" hidden="false" customHeight="true" outlineLevel="0" collapsed="false">
      <c r="A6" s="23" t="s">
        <v>280</v>
      </c>
      <c r="B6" s="23" t="s">
        <v>571</v>
      </c>
      <c r="C6" s="23" t="s">
        <v>666</v>
      </c>
      <c r="D6" s="23" t="s">
        <v>123</v>
      </c>
      <c r="E6" s="23" t="s">
        <v>319</v>
      </c>
      <c r="F6" s="23" t="s">
        <v>717</v>
      </c>
      <c r="G6" s="23" t="s">
        <v>718</v>
      </c>
      <c r="H6" s="23" t="s">
        <v>719</v>
      </c>
      <c r="I6" s="23" t="s">
        <v>720</v>
      </c>
      <c r="J6" s="23" t="s">
        <v>721</v>
      </c>
      <c r="K6" s="23" t="s">
        <v>339</v>
      </c>
      <c r="L6" s="23" t="s">
        <v>306</v>
      </c>
      <c r="M6" s="23" t="s">
        <v>722</v>
      </c>
      <c r="N6" s="23" t="s">
        <v>723</v>
      </c>
      <c r="O6" s="23" t="s">
        <v>325</v>
      </c>
    </row>
    <row r="7" customFormat="false" ht="23.85" hidden="false" customHeight="false" outlineLevel="0" collapsed="false">
      <c r="A7" s="68" t="s">
        <v>724</v>
      </c>
      <c r="B7" s="69" t="n">
        <v>46308</v>
      </c>
      <c r="C7" s="25" t="s">
        <v>201</v>
      </c>
      <c r="D7" s="68" t="s">
        <v>166</v>
      </c>
      <c r="E7" s="25" t="s">
        <v>151</v>
      </c>
      <c r="F7" s="25" t="s">
        <v>725</v>
      </c>
      <c r="G7" s="25" t="s">
        <v>726</v>
      </c>
      <c r="H7" s="25" t="s">
        <v>727</v>
      </c>
      <c r="I7" s="25" t="s">
        <v>728</v>
      </c>
      <c r="J7" s="25" t="s">
        <v>615</v>
      </c>
      <c r="K7" s="69" t="n">
        <v>46315</v>
      </c>
      <c r="L7" s="68" t="s">
        <v>167</v>
      </c>
      <c r="M7" s="28" t="n">
        <v>1200000</v>
      </c>
      <c r="N7" s="88" t="n">
        <f aca="false">IF(OR(A7="",B7="",L7="Clos"),"",P_DateRef-B7)</f>
        <v>3</v>
      </c>
      <c r="O7" s="74" t="str">
        <f aca="false">IF(OR(A7="",L7="Clos"),"",IF(AND(K7&lt;&gt;"",P_DateRef&gt;K7),"Échéance dépassée","Suivi en cours"))</f>
        <v>Suivi en cours</v>
      </c>
    </row>
    <row r="8" customFormat="false" ht="23.85" hidden="false" customHeight="false" outlineLevel="0" collapsed="false">
      <c r="A8" s="68" t="s">
        <v>729</v>
      </c>
      <c r="B8" s="69" t="n">
        <v>46309</v>
      </c>
      <c r="C8" s="25" t="s">
        <v>165</v>
      </c>
      <c r="D8" s="68" t="s">
        <v>187</v>
      </c>
      <c r="E8" s="25" t="s">
        <v>151</v>
      </c>
      <c r="F8" s="25" t="s">
        <v>730</v>
      </c>
      <c r="G8" s="25" t="s">
        <v>731</v>
      </c>
      <c r="H8" s="25" t="s">
        <v>732</v>
      </c>
      <c r="I8" s="25" t="s">
        <v>733</v>
      </c>
      <c r="J8" s="25" t="s">
        <v>214</v>
      </c>
      <c r="K8" s="69" t="n">
        <v>46313</v>
      </c>
      <c r="L8" s="68" t="s">
        <v>146</v>
      </c>
      <c r="M8" s="28" t="n">
        <v>850000</v>
      </c>
      <c r="N8" s="88" t="n">
        <f aca="false">IF(OR(A8="",B8="",L8="Clos"),"",P_DateRef-B8)</f>
        <v>2</v>
      </c>
      <c r="O8" s="74" t="str">
        <f aca="false">IF(OR(A8="",L8="Clos"),"",IF(AND(K8&lt;&gt;"",P_DateRef&gt;K8),"Échéance dépassée","Suivi en cours"))</f>
        <v>Suivi en cours</v>
      </c>
    </row>
    <row r="9" customFormat="false" ht="23.85" hidden="false" customHeight="false" outlineLevel="0" collapsed="false">
      <c r="A9" s="68" t="s">
        <v>734</v>
      </c>
      <c r="B9" s="69" t="n">
        <v>46310</v>
      </c>
      <c r="C9" s="25" t="s">
        <v>223</v>
      </c>
      <c r="D9" s="68" t="s">
        <v>187</v>
      </c>
      <c r="E9" s="25" t="s">
        <v>191</v>
      </c>
      <c r="F9" s="25" t="s">
        <v>735</v>
      </c>
      <c r="G9" s="25" t="s">
        <v>736</v>
      </c>
      <c r="H9" s="25" t="s">
        <v>737</v>
      </c>
      <c r="I9" s="25" t="s">
        <v>738</v>
      </c>
      <c r="J9" s="25" t="s">
        <v>214</v>
      </c>
      <c r="K9" s="69" t="n">
        <v>46315</v>
      </c>
      <c r="L9" s="68" t="s">
        <v>146</v>
      </c>
      <c r="M9" s="28" t="n">
        <v>0</v>
      </c>
      <c r="N9" s="88" t="n">
        <f aca="false">IF(OR(A9="",B9="",L9="Clos"),"",P_DateRef-B9)</f>
        <v>1</v>
      </c>
      <c r="O9" s="74" t="str">
        <f aca="false">IF(OR(A9="",L9="Clos"),"",IF(AND(K9&lt;&gt;"",P_DateRef&gt;K9),"Échéance dépassée","Suivi en cours"))</f>
        <v>Suivi en cours</v>
      </c>
    </row>
    <row r="10" customFormat="false" ht="23.85" hidden="false" customHeight="false" outlineLevel="0" collapsed="false">
      <c r="A10" s="68" t="s">
        <v>739</v>
      </c>
      <c r="B10" s="69" t="n">
        <v>46311</v>
      </c>
      <c r="C10" s="25" t="s">
        <v>212</v>
      </c>
      <c r="D10" s="68" t="s">
        <v>166</v>
      </c>
      <c r="E10" s="25" t="s">
        <v>151</v>
      </c>
      <c r="F10" s="25" t="s">
        <v>740</v>
      </c>
      <c r="G10" s="25" t="s">
        <v>741</v>
      </c>
      <c r="H10" s="25" t="s">
        <v>742</v>
      </c>
      <c r="I10" s="25" t="s">
        <v>743</v>
      </c>
      <c r="J10" s="25" t="s">
        <v>607</v>
      </c>
      <c r="K10" s="69" t="n">
        <v>46313</v>
      </c>
      <c r="L10" s="68" t="s">
        <v>167</v>
      </c>
      <c r="M10" s="28" t="n">
        <v>450000</v>
      </c>
      <c r="N10" s="88" t="n">
        <f aca="false">IF(OR(A10="",B10="",L10="Clos"),"",P_DateRef-B10)</f>
        <v>0</v>
      </c>
      <c r="O10" s="74" t="str">
        <f aca="false">IF(OR(A10="",L10="Clos"),"",IF(AND(K10&lt;&gt;"",P_DateRef&gt;K10),"Échéance dépassée","Suivi en cours"))</f>
        <v>Suivi en cours</v>
      </c>
    </row>
    <row r="11" customFormat="false" ht="15" hidden="false" customHeight="false" outlineLevel="0" collapsed="false">
      <c r="A11" s="68"/>
      <c r="B11" s="69"/>
      <c r="C11" s="25"/>
      <c r="D11" s="68"/>
      <c r="E11" s="25"/>
      <c r="F11" s="25"/>
      <c r="G11" s="25"/>
      <c r="H11" s="25"/>
      <c r="I11" s="25"/>
      <c r="J11" s="25"/>
      <c r="K11" s="69"/>
      <c r="L11" s="68"/>
      <c r="M11" s="28"/>
      <c r="N11" s="88" t="str">
        <f aca="false">IF(OR(A11="",B11="",L11="Clos"),"",P_DateRef-B11)</f>
        <v/>
      </c>
      <c r="O11" s="74" t="str">
        <f aca="false">IF(OR(A11="",L11="Clos"),"",IF(AND(K11&lt;&gt;"",P_DateRef&gt;K11),"Échéance dépassée","Suivi en cours"))</f>
        <v/>
      </c>
    </row>
    <row r="12" customFormat="false" ht="15" hidden="false" customHeight="false" outlineLevel="0" collapsed="false">
      <c r="A12" s="68"/>
      <c r="B12" s="69"/>
      <c r="C12" s="25"/>
      <c r="D12" s="68"/>
      <c r="E12" s="25"/>
      <c r="F12" s="25"/>
      <c r="G12" s="25"/>
      <c r="H12" s="25"/>
      <c r="I12" s="25"/>
      <c r="J12" s="25"/>
      <c r="K12" s="69"/>
      <c r="L12" s="68"/>
      <c r="M12" s="28"/>
      <c r="N12" s="88" t="str">
        <f aca="false">IF(OR(A12="",B12="",L12="Clos"),"",P_DateRef-B12)</f>
        <v/>
      </c>
      <c r="O12" s="74" t="str">
        <f aca="false">IF(OR(A12="",L12="Clos"),"",IF(AND(K12&lt;&gt;"",P_DateRef&gt;K12),"Échéance dépassée","Suivi en cours"))</f>
        <v/>
      </c>
    </row>
    <row r="13" customFormat="false" ht="15" hidden="false" customHeight="false" outlineLevel="0" collapsed="false">
      <c r="A13" s="68"/>
      <c r="B13" s="69"/>
      <c r="C13" s="25"/>
      <c r="D13" s="68"/>
      <c r="E13" s="25"/>
      <c r="F13" s="25"/>
      <c r="G13" s="25"/>
      <c r="H13" s="25"/>
      <c r="I13" s="25"/>
      <c r="J13" s="25"/>
      <c r="K13" s="69"/>
      <c r="L13" s="68"/>
      <c r="M13" s="28"/>
      <c r="N13" s="88" t="str">
        <f aca="false">IF(OR(A13="",B13="",L13="Clos"),"",P_DateRef-B13)</f>
        <v/>
      </c>
      <c r="O13" s="74" t="str">
        <f aca="false">IF(OR(A13="",L13="Clos"),"",IF(AND(K13&lt;&gt;"",P_DateRef&gt;K13),"Échéance dépassée","Suivi en cours"))</f>
        <v/>
      </c>
    </row>
    <row r="14" customFormat="false" ht="15" hidden="false" customHeight="false" outlineLevel="0" collapsed="false">
      <c r="A14" s="68"/>
      <c r="B14" s="69"/>
      <c r="C14" s="25"/>
      <c r="D14" s="68"/>
      <c r="E14" s="25"/>
      <c r="F14" s="25"/>
      <c r="G14" s="25"/>
      <c r="H14" s="25"/>
      <c r="I14" s="25"/>
      <c r="J14" s="25"/>
      <c r="K14" s="69"/>
      <c r="L14" s="68"/>
      <c r="M14" s="28"/>
      <c r="N14" s="88" t="str">
        <f aca="false">IF(OR(A14="",B14="",L14="Clos"),"",P_DateRef-B14)</f>
        <v/>
      </c>
      <c r="O14" s="74" t="str">
        <f aca="false">IF(OR(A14="",L14="Clos"),"",IF(AND(K14&lt;&gt;"",P_DateRef&gt;K14),"Échéance dépassée","Suivi en cours"))</f>
        <v/>
      </c>
    </row>
    <row r="15" customFormat="false" ht="15" hidden="false" customHeight="false" outlineLevel="0" collapsed="false">
      <c r="A15" s="68"/>
      <c r="B15" s="69"/>
      <c r="C15" s="25"/>
      <c r="D15" s="68"/>
      <c r="E15" s="25"/>
      <c r="F15" s="25"/>
      <c r="G15" s="25"/>
      <c r="H15" s="25"/>
      <c r="I15" s="25"/>
      <c r="J15" s="25"/>
      <c r="K15" s="69"/>
      <c r="L15" s="68"/>
      <c r="M15" s="28"/>
      <c r="N15" s="88" t="str">
        <f aca="false">IF(OR(A15="",B15="",L15="Clos"),"",P_DateRef-B15)</f>
        <v/>
      </c>
      <c r="O15" s="74" t="str">
        <f aca="false">IF(OR(A15="",L15="Clos"),"",IF(AND(K15&lt;&gt;"",P_DateRef&gt;K15),"Échéance dépassée","Suivi en cours"))</f>
        <v/>
      </c>
    </row>
    <row r="16" customFormat="false" ht="15" hidden="false" customHeight="false" outlineLevel="0" collapsed="false">
      <c r="A16" s="68"/>
      <c r="B16" s="69"/>
      <c r="C16" s="25"/>
      <c r="D16" s="68"/>
      <c r="E16" s="25"/>
      <c r="F16" s="25"/>
      <c r="G16" s="25"/>
      <c r="H16" s="25"/>
      <c r="I16" s="25"/>
      <c r="J16" s="25"/>
      <c r="K16" s="69"/>
      <c r="L16" s="68"/>
      <c r="M16" s="28"/>
      <c r="N16" s="88" t="str">
        <f aca="false">IF(OR(A16="",B16="",L16="Clos"),"",P_DateRef-B16)</f>
        <v/>
      </c>
      <c r="O16" s="74" t="str">
        <f aca="false">IF(OR(A16="",L16="Clos"),"",IF(AND(K16&lt;&gt;"",P_DateRef&gt;K16),"Échéance dépassée","Suivi en cours"))</f>
        <v/>
      </c>
    </row>
    <row r="17" customFormat="false" ht="15" hidden="false" customHeight="false" outlineLevel="0" collapsed="false">
      <c r="A17" s="68"/>
      <c r="B17" s="69"/>
      <c r="C17" s="25"/>
      <c r="D17" s="68"/>
      <c r="E17" s="25"/>
      <c r="F17" s="25"/>
      <c r="G17" s="25"/>
      <c r="H17" s="25"/>
      <c r="I17" s="25"/>
      <c r="J17" s="25"/>
      <c r="K17" s="69"/>
      <c r="L17" s="68"/>
      <c r="M17" s="28"/>
      <c r="N17" s="88" t="str">
        <f aca="false">IF(OR(A17="",B17="",L17="Clos"),"",P_DateRef-B17)</f>
        <v/>
      </c>
      <c r="O17" s="74" t="str">
        <f aca="false">IF(OR(A17="",L17="Clos"),"",IF(AND(K17&lt;&gt;"",P_DateRef&gt;K17),"Échéance dépassée","Suivi en cours"))</f>
        <v/>
      </c>
    </row>
    <row r="18" customFormat="false" ht="15" hidden="false" customHeight="false" outlineLevel="0" collapsed="false">
      <c r="A18" s="68"/>
      <c r="B18" s="69"/>
      <c r="C18" s="25"/>
      <c r="D18" s="68"/>
      <c r="E18" s="25"/>
      <c r="F18" s="25"/>
      <c r="G18" s="25"/>
      <c r="H18" s="25"/>
      <c r="I18" s="25"/>
      <c r="J18" s="25"/>
      <c r="K18" s="69"/>
      <c r="L18" s="68"/>
      <c r="M18" s="28"/>
      <c r="N18" s="88" t="str">
        <f aca="false">IF(OR(A18="",B18="",L18="Clos"),"",P_DateRef-B18)</f>
        <v/>
      </c>
      <c r="O18" s="74" t="str">
        <f aca="false">IF(OR(A18="",L18="Clos"),"",IF(AND(K18&lt;&gt;"",P_DateRef&gt;K18),"Échéance dépassée","Suivi en cours"))</f>
        <v/>
      </c>
    </row>
    <row r="19" customFormat="false" ht="15" hidden="false" customHeight="false" outlineLevel="0" collapsed="false">
      <c r="A19" s="68"/>
      <c r="B19" s="69"/>
      <c r="C19" s="25"/>
      <c r="D19" s="68"/>
      <c r="E19" s="25"/>
      <c r="F19" s="25"/>
      <c r="G19" s="25"/>
      <c r="H19" s="25"/>
      <c r="I19" s="25"/>
      <c r="J19" s="25"/>
      <c r="K19" s="69"/>
      <c r="L19" s="68"/>
      <c r="M19" s="28"/>
      <c r="N19" s="88" t="str">
        <f aca="false">IF(OR(A19="",B19="",L19="Clos"),"",P_DateRef-B19)</f>
        <v/>
      </c>
      <c r="O19" s="74" t="str">
        <f aca="false">IF(OR(A19="",L19="Clos"),"",IF(AND(K19&lt;&gt;"",P_DateRef&gt;K19),"Échéance dépassée","Suivi en cours"))</f>
        <v/>
      </c>
    </row>
    <row r="20" customFormat="false" ht="15" hidden="false" customHeight="false" outlineLevel="0" collapsed="false">
      <c r="A20" s="68"/>
      <c r="B20" s="69"/>
      <c r="C20" s="25"/>
      <c r="D20" s="68"/>
      <c r="E20" s="25"/>
      <c r="F20" s="25"/>
      <c r="G20" s="25"/>
      <c r="H20" s="25"/>
      <c r="I20" s="25"/>
      <c r="J20" s="25"/>
      <c r="K20" s="69"/>
      <c r="L20" s="68"/>
      <c r="M20" s="28"/>
      <c r="N20" s="88" t="str">
        <f aca="false">IF(OR(A20="",B20="",L20="Clos"),"",P_DateRef-B20)</f>
        <v/>
      </c>
      <c r="O20" s="74" t="str">
        <f aca="false">IF(OR(A20="",L20="Clos"),"",IF(AND(K20&lt;&gt;"",P_DateRef&gt;K20),"Échéance dépassée","Suivi en cours"))</f>
        <v/>
      </c>
    </row>
    <row r="21" customFormat="false" ht="15" hidden="false" customHeight="false" outlineLevel="0" collapsed="false">
      <c r="A21" s="68"/>
      <c r="B21" s="69"/>
      <c r="C21" s="25"/>
      <c r="D21" s="68"/>
      <c r="E21" s="25"/>
      <c r="F21" s="25"/>
      <c r="G21" s="25"/>
      <c r="H21" s="25"/>
      <c r="I21" s="25"/>
      <c r="J21" s="25"/>
      <c r="K21" s="69"/>
      <c r="L21" s="68"/>
      <c r="M21" s="28"/>
      <c r="N21" s="88" t="str">
        <f aca="false">IF(OR(A21="",B21="",L21="Clos"),"",P_DateRef-B21)</f>
        <v/>
      </c>
      <c r="O21" s="74" t="str">
        <f aca="false">IF(OR(A21="",L21="Clos"),"",IF(AND(K21&lt;&gt;"",P_DateRef&gt;K21),"Échéance dépassée","Suivi en cours"))</f>
        <v/>
      </c>
    </row>
    <row r="22" customFormat="false" ht="15" hidden="false" customHeight="false" outlineLevel="0" collapsed="false">
      <c r="A22" s="68"/>
      <c r="B22" s="69"/>
      <c r="C22" s="25"/>
      <c r="D22" s="68"/>
      <c r="E22" s="25"/>
      <c r="F22" s="25"/>
      <c r="G22" s="25"/>
      <c r="H22" s="25"/>
      <c r="I22" s="25"/>
      <c r="J22" s="25"/>
      <c r="K22" s="69"/>
      <c r="L22" s="68"/>
      <c r="M22" s="28"/>
      <c r="N22" s="88" t="str">
        <f aca="false">IF(OR(A22="",B22="",L22="Clos"),"",P_DateRef-B22)</f>
        <v/>
      </c>
      <c r="O22" s="74" t="str">
        <f aca="false">IF(OR(A22="",L22="Clos"),"",IF(AND(K22&lt;&gt;"",P_DateRef&gt;K22),"Échéance dépassée","Suivi en cours"))</f>
        <v/>
      </c>
    </row>
    <row r="23" customFormat="false" ht="15" hidden="false" customHeight="false" outlineLevel="0" collapsed="false">
      <c r="A23" s="68"/>
      <c r="B23" s="69"/>
      <c r="C23" s="25"/>
      <c r="D23" s="68"/>
      <c r="E23" s="25"/>
      <c r="F23" s="25"/>
      <c r="G23" s="25"/>
      <c r="H23" s="25"/>
      <c r="I23" s="25"/>
      <c r="J23" s="25"/>
      <c r="K23" s="69"/>
      <c r="L23" s="68"/>
      <c r="M23" s="28"/>
      <c r="N23" s="88" t="str">
        <f aca="false">IF(OR(A23="",B23="",L23="Clos"),"",P_DateRef-B23)</f>
        <v/>
      </c>
      <c r="O23" s="74" t="str">
        <f aca="false">IF(OR(A23="",L23="Clos"),"",IF(AND(K23&lt;&gt;"",P_DateRef&gt;K23),"Échéance dépassée","Suivi en cours"))</f>
        <v/>
      </c>
    </row>
    <row r="24" customFormat="false" ht="15" hidden="false" customHeight="false" outlineLevel="0" collapsed="false">
      <c r="A24" s="68"/>
      <c r="B24" s="69"/>
      <c r="C24" s="25"/>
      <c r="D24" s="68"/>
      <c r="E24" s="25"/>
      <c r="F24" s="25"/>
      <c r="G24" s="25"/>
      <c r="H24" s="25"/>
      <c r="I24" s="25"/>
      <c r="J24" s="25"/>
      <c r="K24" s="69"/>
      <c r="L24" s="68"/>
      <c r="M24" s="28"/>
      <c r="N24" s="88" t="str">
        <f aca="false">IF(OR(A24="",B24="",L24="Clos"),"",P_DateRef-B24)</f>
        <v/>
      </c>
      <c r="O24" s="74" t="str">
        <f aca="false">IF(OR(A24="",L24="Clos"),"",IF(AND(K24&lt;&gt;"",P_DateRef&gt;K24),"Échéance dépassée","Suivi en cours"))</f>
        <v/>
      </c>
    </row>
    <row r="25" customFormat="false" ht="15" hidden="false" customHeight="false" outlineLevel="0" collapsed="false">
      <c r="A25" s="68"/>
      <c r="B25" s="69"/>
      <c r="C25" s="25"/>
      <c r="D25" s="68"/>
      <c r="E25" s="25"/>
      <c r="F25" s="25"/>
      <c r="G25" s="25"/>
      <c r="H25" s="25"/>
      <c r="I25" s="25"/>
      <c r="J25" s="25"/>
      <c r="K25" s="69"/>
      <c r="L25" s="68"/>
      <c r="M25" s="28"/>
      <c r="N25" s="88" t="str">
        <f aca="false">IF(OR(A25="",B25="",L25="Clos"),"",P_DateRef-B25)</f>
        <v/>
      </c>
      <c r="O25" s="74" t="str">
        <f aca="false">IF(OR(A25="",L25="Clos"),"",IF(AND(K25&lt;&gt;"",P_DateRef&gt;K25),"Échéance dépassée","Suivi en cours"))</f>
        <v/>
      </c>
    </row>
    <row r="26" customFormat="false" ht="15" hidden="false" customHeight="false" outlineLevel="0" collapsed="false">
      <c r="A26" s="68"/>
      <c r="B26" s="69"/>
      <c r="C26" s="25"/>
      <c r="D26" s="68"/>
      <c r="E26" s="25"/>
      <c r="F26" s="25"/>
      <c r="G26" s="25"/>
      <c r="H26" s="25"/>
      <c r="I26" s="25"/>
      <c r="J26" s="25"/>
      <c r="K26" s="69"/>
      <c r="L26" s="68"/>
      <c r="M26" s="28"/>
      <c r="N26" s="88" t="str">
        <f aca="false">IF(OR(A26="",B26="",L26="Clos"),"",P_DateRef-B26)</f>
        <v/>
      </c>
      <c r="O26" s="74" t="str">
        <f aca="false">IF(OR(A26="",L26="Clos"),"",IF(AND(K26&lt;&gt;"",P_DateRef&gt;K26),"Échéance dépassée","Suivi en cours"))</f>
        <v/>
      </c>
    </row>
    <row r="27" customFormat="false" ht="15" hidden="false" customHeight="false" outlineLevel="0" collapsed="false">
      <c r="A27" s="68"/>
      <c r="B27" s="69"/>
      <c r="C27" s="25"/>
      <c r="D27" s="68"/>
      <c r="E27" s="25"/>
      <c r="F27" s="25"/>
      <c r="G27" s="25"/>
      <c r="H27" s="25"/>
      <c r="I27" s="25"/>
      <c r="J27" s="25"/>
      <c r="K27" s="69"/>
      <c r="L27" s="68"/>
      <c r="M27" s="28"/>
      <c r="N27" s="88" t="str">
        <f aca="false">IF(OR(A27="",B27="",L27="Clos"),"",P_DateRef-B27)</f>
        <v/>
      </c>
      <c r="O27" s="74" t="str">
        <f aca="false">IF(OR(A27="",L27="Clos"),"",IF(AND(K27&lt;&gt;"",P_DateRef&gt;K27),"Échéance dépassée","Suivi en cours"))</f>
        <v/>
      </c>
    </row>
    <row r="28" customFormat="false" ht="15" hidden="false" customHeight="false" outlineLevel="0" collapsed="false">
      <c r="A28" s="68"/>
      <c r="B28" s="69"/>
      <c r="C28" s="25"/>
      <c r="D28" s="68"/>
      <c r="E28" s="25"/>
      <c r="F28" s="25"/>
      <c r="G28" s="25"/>
      <c r="H28" s="25"/>
      <c r="I28" s="25"/>
      <c r="J28" s="25"/>
      <c r="K28" s="69"/>
      <c r="L28" s="68"/>
      <c r="M28" s="28"/>
      <c r="N28" s="88" t="str">
        <f aca="false">IF(OR(A28="",B28="",L28="Clos"),"",P_DateRef-B28)</f>
        <v/>
      </c>
      <c r="O28" s="74" t="str">
        <f aca="false">IF(OR(A28="",L28="Clos"),"",IF(AND(K28&lt;&gt;"",P_DateRef&gt;K28),"Échéance dépassée","Suivi en cours"))</f>
        <v/>
      </c>
    </row>
    <row r="29" customFormat="false" ht="15" hidden="false" customHeight="false" outlineLevel="0" collapsed="false">
      <c r="A29" s="68"/>
      <c r="B29" s="69"/>
      <c r="C29" s="25"/>
      <c r="D29" s="68"/>
      <c r="E29" s="25"/>
      <c r="F29" s="25"/>
      <c r="G29" s="25"/>
      <c r="H29" s="25"/>
      <c r="I29" s="25"/>
      <c r="J29" s="25"/>
      <c r="K29" s="69"/>
      <c r="L29" s="68"/>
      <c r="M29" s="28"/>
      <c r="N29" s="88" t="str">
        <f aca="false">IF(OR(A29="",B29="",L29="Clos"),"",P_DateRef-B29)</f>
        <v/>
      </c>
      <c r="O29" s="74" t="str">
        <f aca="false">IF(OR(A29="",L29="Clos"),"",IF(AND(K29&lt;&gt;"",P_DateRef&gt;K29),"Échéance dépassée","Suivi en cours"))</f>
        <v/>
      </c>
    </row>
    <row r="30" customFormat="false" ht="15" hidden="false" customHeight="false" outlineLevel="0" collapsed="false">
      <c r="A30" s="68"/>
      <c r="B30" s="69"/>
      <c r="C30" s="25"/>
      <c r="D30" s="68"/>
      <c r="E30" s="25"/>
      <c r="F30" s="25"/>
      <c r="G30" s="25"/>
      <c r="H30" s="25"/>
      <c r="I30" s="25"/>
      <c r="J30" s="25"/>
      <c r="K30" s="69"/>
      <c r="L30" s="68"/>
      <c r="M30" s="28"/>
      <c r="N30" s="88" t="str">
        <f aca="false">IF(OR(A30="",B30="",L30="Clos"),"",P_DateRef-B30)</f>
        <v/>
      </c>
      <c r="O30" s="74" t="str">
        <f aca="false">IF(OR(A30="",L30="Clos"),"",IF(AND(K30&lt;&gt;"",P_DateRef&gt;K30),"Échéance dépassée","Suivi en cours"))</f>
        <v/>
      </c>
    </row>
    <row r="31" customFormat="false" ht="15" hidden="false" customHeight="false" outlineLevel="0" collapsed="false">
      <c r="A31" s="68"/>
      <c r="B31" s="69"/>
      <c r="C31" s="25"/>
      <c r="D31" s="68"/>
      <c r="E31" s="25"/>
      <c r="F31" s="25"/>
      <c r="G31" s="25"/>
      <c r="H31" s="25"/>
      <c r="I31" s="25"/>
      <c r="J31" s="25"/>
      <c r="K31" s="69"/>
      <c r="L31" s="68"/>
      <c r="M31" s="28"/>
      <c r="N31" s="88" t="str">
        <f aca="false">IF(OR(A31="",B31="",L31="Clos"),"",P_DateRef-B31)</f>
        <v/>
      </c>
      <c r="O31" s="74" t="str">
        <f aca="false">IF(OR(A31="",L31="Clos"),"",IF(AND(K31&lt;&gt;"",P_DateRef&gt;K31),"Échéance dépassée","Suivi en cours"))</f>
        <v/>
      </c>
    </row>
    <row r="32" customFormat="false" ht="15" hidden="false" customHeight="false" outlineLevel="0" collapsed="false">
      <c r="A32" s="68"/>
      <c r="B32" s="69"/>
      <c r="C32" s="25"/>
      <c r="D32" s="68"/>
      <c r="E32" s="25"/>
      <c r="F32" s="25"/>
      <c r="G32" s="25"/>
      <c r="H32" s="25"/>
      <c r="I32" s="25"/>
      <c r="J32" s="25"/>
      <c r="K32" s="69"/>
      <c r="L32" s="68"/>
      <c r="M32" s="28"/>
      <c r="N32" s="88" t="str">
        <f aca="false">IF(OR(A32="",B32="",L32="Clos"),"",P_DateRef-B32)</f>
        <v/>
      </c>
      <c r="O32" s="74" t="str">
        <f aca="false">IF(OR(A32="",L32="Clos"),"",IF(AND(K32&lt;&gt;"",P_DateRef&gt;K32),"Échéance dépassée","Suivi en cours"))</f>
        <v/>
      </c>
    </row>
    <row r="33" customFormat="false" ht="15" hidden="false" customHeight="false" outlineLevel="0" collapsed="false">
      <c r="A33" s="68"/>
      <c r="B33" s="69"/>
      <c r="C33" s="25"/>
      <c r="D33" s="68"/>
      <c r="E33" s="25"/>
      <c r="F33" s="25"/>
      <c r="G33" s="25"/>
      <c r="H33" s="25"/>
      <c r="I33" s="25"/>
      <c r="J33" s="25"/>
      <c r="K33" s="69"/>
      <c r="L33" s="68"/>
      <c r="M33" s="28"/>
      <c r="N33" s="88" t="str">
        <f aca="false">IF(OR(A33="",B33="",L33="Clos"),"",P_DateRef-B33)</f>
        <v/>
      </c>
      <c r="O33" s="74" t="str">
        <f aca="false">IF(OR(A33="",L33="Clos"),"",IF(AND(K33&lt;&gt;"",P_DateRef&gt;K33),"Échéance dépassée","Suivi en cours"))</f>
        <v/>
      </c>
    </row>
    <row r="34" customFormat="false" ht="15" hidden="false" customHeight="false" outlineLevel="0" collapsed="false">
      <c r="A34" s="68"/>
      <c r="B34" s="69"/>
      <c r="C34" s="25"/>
      <c r="D34" s="68"/>
      <c r="E34" s="25"/>
      <c r="F34" s="25"/>
      <c r="G34" s="25"/>
      <c r="H34" s="25"/>
      <c r="I34" s="25"/>
      <c r="J34" s="25"/>
      <c r="K34" s="69"/>
      <c r="L34" s="68"/>
      <c r="M34" s="28"/>
      <c r="N34" s="88" t="str">
        <f aca="false">IF(OR(A34="",B34="",L34="Clos"),"",P_DateRef-B34)</f>
        <v/>
      </c>
      <c r="O34" s="74" t="str">
        <f aca="false">IF(OR(A34="",L34="Clos"),"",IF(AND(K34&lt;&gt;"",P_DateRef&gt;K34),"Échéance dépassée","Suivi en cours"))</f>
        <v/>
      </c>
    </row>
    <row r="35" customFormat="false" ht="15" hidden="false" customHeight="false" outlineLevel="0" collapsed="false">
      <c r="A35" s="68"/>
      <c r="B35" s="69"/>
      <c r="C35" s="25"/>
      <c r="D35" s="68"/>
      <c r="E35" s="25"/>
      <c r="F35" s="25"/>
      <c r="G35" s="25"/>
      <c r="H35" s="25"/>
      <c r="I35" s="25"/>
      <c r="J35" s="25"/>
      <c r="K35" s="69"/>
      <c r="L35" s="68"/>
      <c r="M35" s="28"/>
      <c r="N35" s="88" t="str">
        <f aca="false">IF(OR(A35="",B35="",L35="Clos"),"",P_DateRef-B35)</f>
        <v/>
      </c>
      <c r="O35" s="74" t="str">
        <f aca="false">IF(OR(A35="",L35="Clos"),"",IF(AND(K35&lt;&gt;"",P_DateRef&gt;K35),"Échéance dépassée","Suivi en cours"))</f>
        <v/>
      </c>
    </row>
    <row r="36" customFormat="false" ht="15" hidden="false" customHeight="false" outlineLevel="0" collapsed="false">
      <c r="A36" s="68"/>
      <c r="B36" s="69"/>
      <c r="C36" s="25"/>
      <c r="D36" s="68"/>
      <c r="E36" s="25"/>
      <c r="F36" s="25"/>
      <c r="G36" s="25"/>
      <c r="H36" s="25"/>
      <c r="I36" s="25"/>
      <c r="J36" s="25"/>
      <c r="K36" s="69"/>
      <c r="L36" s="68"/>
      <c r="M36" s="28"/>
      <c r="N36" s="88" t="str">
        <f aca="false">IF(OR(A36="",B36="",L36="Clos"),"",P_DateRef-B36)</f>
        <v/>
      </c>
      <c r="O36" s="74" t="str">
        <f aca="false">IF(OR(A36="",L36="Clos"),"",IF(AND(K36&lt;&gt;"",P_DateRef&gt;K36),"Échéance dépassée","Suivi en cours"))</f>
        <v/>
      </c>
    </row>
    <row r="37" customFormat="false" ht="15" hidden="false" customHeight="false" outlineLevel="0" collapsed="false">
      <c r="A37" s="68"/>
      <c r="B37" s="69"/>
      <c r="C37" s="25"/>
      <c r="D37" s="68"/>
      <c r="E37" s="25"/>
      <c r="F37" s="25"/>
      <c r="G37" s="25"/>
      <c r="H37" s="25"/>
      <c r="I37" s="25"/>
      <c r="J37" s="25"/>
      <c r="K37" s="69"/>
      <c r="L37" s="68"/>
      <c r="M37" s="28"/>
      <c r="N37" s="88" t="str">
        <f aca="false">IF(OR(A37="",B37="",L37="Clos"),"",P_DateRef-B37)</f>
        <v/>
      </c>
      <c r="O37" s="74" t="str">
        <f aca="false">IF(OR(A37="",L37="Clos"),"",IF(AND(K37&lt;&gt;"",P_DateRef&gt;K37),"Échéance dépassée","Suivi en cours"))</f>
        <v/>
      </c>
    </row>
    <row r="38" customFormat="false" ht="15" hidden="false" customHeight="false" outlineLevel="0" collapsed="false">
      <c r="A38" s="68"/>
      <c r="B38" s="69"/>
      <c r="C38" s="25"/>
      <c r="D38" s="68"/>
      <c r="E38" s="25"/>
      <c r="F38" s="25"/>
      <c r="G38" s="25"/>
      <c r="H38" s="25"/>
      <c r="I38" s="25"/>
      <c r="J38" s="25"/>
      <c r="K38" s="69"/>
      <c r="L38" s="68"/>
      <c r="M38" s="28"/>
      <c r="N38" s="88" t="str">
        <f aca="false">IF(OR(A38="",B38="",L38="Clos"),"",P_DateRef-B38)</f>
        <v/>
      </c>
      <c r="O38" s="74" t="str">
        <f aca="false">IF(OR(A38="",L38="Clos"),"",IF(AND(K38&lt;&gt;"",P_DateRef&gt;K38),"Échéance dépassée","Suivi en cours"))</f>
        <v/>
      </c>
    </row>
    <row r="39" customFormat="false" ht="15" hidden="false" customHeight="false" outlineLevel="0" collapsed="false">
      <c r="A39" s="68"/>
      <c r="B39" s="69"/>
      <c r="C39" s="25"/>
      <c r="D39" s="68"/>
      <c r="E39" s="25"/>
      <c r="F39" s="25"/>
      <c r="G39" s="25"/>
      <c r="H39" s="25"/>
      <c r="I39" s="25"/>
      <c r="J39" s="25"/>
      <c r="K39" s="69"/>
      <c r="L39" s="68"/>
      <c r="M39" s="28"/>
      <c r="N39" s="88" t="str">
        <f aca="false">IF(OR(A39="",B39="",L39="Clos"),"",P_DateRef-B39)</f>
        <v/>
      </c>
      <c r="O39" s="74" t="str">
        <f aca="false">IF(OR(A39="",L39="Clos"),"",IF(AND(K39&lt;&gt;"",P_DateRef&gt;K39),"Échéance dépassée","Suivi en cours"))</f>
        <v/>
      </c>
    </row>
    <row r="40" customFormat="false" ht="15" hidden="false" customHeight="false" outlineLevel="0" collapsed="false">
      <c r="A40" s="68"/>
      <c r="B40" s="69"/>
      <c r="C40" s="25"/>
      <c r="D40" s="68"/>
      <c r="E40" s="25"/>
      <c r="F40" s="25"/>
      <c r="G40" s="25"/>
      <c r="H40" s="25"/>
      <c r="I40" s="25"/>
      <c r="J40" s="25"/>
      <c r="K40" s="69"/>
      <c r="L40" s="68"/>
      <c r="M40" s="28"/>
      <c r="N40" s="88" t="str">
        <f aca="false">IF(OR(A40="",B40="",L40="Clos"),"",P_DateRef-B40)</f>
        <v/>
      </c>
      <c r="O40" s="74" t="str">
        <f aca="false">IF(OR(A40="",L40="Clos"),"",IF(AND(K40&lt;&gt;"",P_DateRef&gt;K40),"Échéance dépassée","Suivi en cours"))</f>
        <v/>
      </c>
    </row>
    <row r="41" customFormat="false" ht="15" hidden="false" customHeight="false" outlineLevel="0" collapsed="false">
      <c r="A41" s="68"/>
      <c r="B41" s="69"/>
      <c r="C41" s="25"/>
      <c r="D41" s="68"/>
      <c r="E41" s="25"/>
      <c r="F41" s="25"/>
      <c r="G41" s="25"/>
      <c r="H41" s="25"/>
      <c r="I41" s="25"/>
      <c r="J41" s="25"/>
      <c r="K41" s="69"/>
      <c r="L41" s="68"/>
      <c r="M41" s="28"/>
      <c r="N41" s="88" t="str">
        <f aca="false">IF(OR(A41="",B41="",L41="Clos"),"",P_DateRef-B41)</f>
        <v/>
      </c>
      <c r="O41" s="74" t="str">
        <f aca="false">IF(OR(A41="",L41="Clos"),"",IF(AND(K41&lt;&gt;"",P_DateRef&gt;K41),"Échéance dépassée","Suivi en cours"))</f>
        <v/>
      </c>
    </row>
    <row r="42" customFormat="false" ht="15" hidden="false" customHeight="false" outlineLevel="0" collapsed="false">
      <c r="A42" s="68"/>
      <c r="B42" s="69"/>
      <c r="C42" s="25"/>
      <c r="D42" s="68"/>
      <c r="E42" s="25"/>
      <c r="F42" s="25"/>
      <c r="G42" s="25"/>
      <c r="H42" s="25"/>
      <c r="I42" s="25"/>
      <c r="J42" s="25"/>
      <c r="K42" s="69"/>
      <c r="L42" s="68"/>
      <c r="M42" s="28"/>
      <c r="N42" s="88" t="str">
        <f aca="false">IF(OR(A42="",B42="",L42="Clos"),"",P_DateRef-B42)</f>
        <v/>
      </c>
      <c r="O42" s="74" t="str">
        <f aca="false">IF(OR(A42="",L42="Clos"),"",IF(AND(K42&lt;&gt;"",P_DateRef&gt;K42),"Échéance dépassée","Suivi en cours"))</f>
        <v/>
      </c>
    </row>
    <row r="43" customFormat="false" ht="15" hidden="false" customHeight="false" outlineLevel="0" collapsed="false">
      <c r="A43" s="68"/>
      <c r="B43" s="69"/>
      <c r="C43" s="25"/>
      <c r="D43" s="68"/>
      <c r="E43" s="25"/>
      <c r="F43" s="25"/>
      <c r="G43" s="25"/>
      <c r="H43" s="25"/>
      <c r="I43" s="25"/>
      <c r="J43" s="25"/>
      <c r="K43" s="69"/>
      <c r="L43" s="68"/>
      <c r="M43" s="28"/>
      <c r="N43" s="88" t="str">
        <f aca="false">IF(OR(A43="",B43="",L43="Clos"),"",P_DateRef-B43)</f>
        <v/>
      </c>
      <c r="O43" s="74" t="str">
        <f aca="false">IF(OR(A43="",L43="Clos"),"",IF(AND(K43&lt;&gt;"",P_DateRef&gt;K43),"Échéance dépassée","Suivi en cours"))</f>
        <v/>
      </c>
    </row>
    <row r="44" customFormat="false" ht="15" hidden="false" customHeight="false" outlineLevel="0" collapsed="false">
      <c r="A44" s="68"/>
      <c r="B44" s="69"/>
      <c r="C44" s="25"/>
      <c r="D44" s="68"/>
      <c r="E44" s="25"/>
      <c r="F44" s="25"/>
      <c r="G44" s="25"/>
      <c r="H44" s="25"/>
      <c r="I44" s="25"/>
      <c r="J44" s="25"/>
      <c r="K44" s="69"/>
      <c r="L44" s="68"/>
      <c r="M44" s="28"/>
      <c r="N44" s="88" t="str">
        <f aca="false">IF(OR(A44="",B44="",L44="Clos"),"",P_DateRef-B44)</f>
        <v/>
      </c>
      <c r="O44" s="74" t="str">
        <f aca="false">IF(OR(A44="",L44="Clos"),"",IF(AND(K44&lt;&gt;"",P_DateRef&gt;K44),"Échéance dépassée","Suivi en cours"))</f>
        <v/>
      </c>
    </row>
    <row r="45" customFormat="false" ht="15" hidden="false" customHeight="false" outlineLevel="0" collapsed="false">
      <c r="A45" s="68"/>
      <c r="B45" s="69"/>
      <c r="C45" s="25"/>
      <c r="D45" s="68"/>
      <c r="E45" s="25"/>
      <c r="F45" s="25"/>
      <c r="G45" s="25"/>
      <c r="H45" s="25"/>
      <c r="I45" s="25"/>
      <c r="J45" s="25"/>
      <c r="K45" s="69"/>
      <c r="L45" s="68"/>
      <c r="M45" s="28"/>
      <c r="N45" s="88" t="str">
        <f aca="false">IF(OR(A45="",B45="",L45="Clos"),"",P_DateRef-B45)</f>
        <v/>
      </c>
      <c r="O45" s="74" t="str">
        <f aca="false">IF(OR(A45="",L45="Clos"),"",IF(AND(K45&lt;&gt;"",P_DateRef&gt;K45),"Échéance dépassée","Suivi en cours"))</f>
        <v/>
      </c>
    </row>
    <row r="46" customFormat="false" ht="15" hidden="false" customHeight="false" outlineLevel="0" collapsed="false">
      <c r="A46" s="68"/>
      <c r="B46" s="69"/>
      <c r="C46" s="25"/>
      <c r="D46" s="68"/>
      <c r="E46" s="25"/>
      <c r="F46" s="25"/>
      <c r="G46" s="25"/>
      <c r="H46" s="25"/>
      <c r="I46" s="25"/>
      <c r="J46" s="25"/>
      <c r="K46" s="69"/>
      <c r="L46" s="68"/>
      <c r="M46" s="28"/>
      <c r="N46" s="88" t="str">
        <f aca="false">IF(OR(A46="",B46="",L46="Clos"),"",P_DateRef-B46)</f>
        <v/>
      </c>
      <c r="O46" s="74" t="str">
        <f aca="false">IF(OR(A46="",L46="Clos"),"",IF(AND(K46&lt;&gt;"",P_DateRef&gt;K46),"Échéance dépassée","Suivi en cours"))</f>
        <v/>
      </c>
    </row>
    <row r="47" customFormat="false" ht="15" hidden="false" customHeight="false" outlineLevel="0" collapsed="false">
      <c r="A47" s="68"/>
      <c r="B47" s="69"/>
      <c r="C47" s="25"/>
      <c r="D47" s="68"/>
      <c r="E47" s="25"/>
      <c r="F47" s="25"/>
      <c r="G47" s="25"/>
      <c r="H47" s="25"/>
      <c r="I47" s="25"/>
      <c r="J47" s="25"/>
      <c r="K47" s="69"/>
      <c r="L47" s="68"/>
      <c r="M47" s="28"/>
      <c r="N47" s="88" t="str">
        <f aca="false">IF(OR(A47="",B47="",L47="Clos"),"",P_DateRef-B47)</f>
        <v/>
      </c>
      <c r="O47" s="74" t="str">
        <f aca="false">IF(OR(A47="",L47="Clos"),"",IF(AND(K47&lt;&gt;"",P_DateRef&gt;K47),"Échéance dépassée","Suivi en cours"))</f>
        <v/>
      </c>
    </row>
    <row r="48" customFormat="false" ht="15" hidden="false" customHeight="false" outlineLevel="0" collapsed="false">
      <c r="A48" s="68"/>
      <c r="B48" s="69"/>
      <c r="C48" s="25"/>
      <c r="D48" s="68"/>
      <c r="E48" s="25"/>
      <c r="F48" s="25"/>
      <c r="G48" s="25"/>
      <c r="H48" s="25"/>
      <c r="I48" s="25"/>
      <c r="J48" s="25"/>
      <c r="K48" s="69"/>
      <c r="L48" s="68"/>
      <c r="M48" s="28"/>
      <c r="N48" s="88" t="str">
        <f aca="false">IF(OR(A48="",B48="",L48="Clos"),"",P_DateRef-B48)</f>
        <v/>
      </c>
      <c r="O48" s="74" t="str">
        <f aca="false">IF(OR(A48="",L48="Clos"),"",IF(AND(K48&lt;&gt;"",P_DateRef&gt;K48),"Échéance dépassée","Suivi en cours"))</f>
        <v/>
      </c>
    </row>
    <row r="49" customFormat="false" ht="15" hidden="false" customHeight="false" outlineLevel="0" collapsed="false">
      <c r="A49" s="68"/>
      <c r="B49" s="69"/>
      <c r="C49" s="25"/>
      <c r="D49" s="68"/>
      <c r="E49" s="25"/>
      <c r="F49" s="25"/>
      <c r="G49" s="25"/>
      <c r="H49" s="25"/>
      <c r="I49" s="25"/>
      <c r="J49" s="25"/>
      <c r="K49" s="69"/>
      <c r="L49" s="68"/>
      <c r="M49" s="28"/>
      <c r="N49" s="88" t="str">
        <f aca="false">IF(OR(A49="",B49="",L49="Clos"),"",P_DateRef-B49)</f>
        <v/>
      </c>
      <c r="O49" s="74" t="str">
        <f aca="false">IF(OR(A49="",L49="Clos"),"",IF(AND(K49&lt;&gt;"",P_DateRef&gt;K49),"Échéance dépassée","Suivi en cours"))</f>
        <v/>
      </c>
    </row>
    <row r="50" customFormat="false" ht="15" hidden="false" customHeight="false" outlineLevel="0" collapsed="false">
      <c r="A50" s="68"/>
      <c r="B50" s="69"/>
      <c r="C50" s="25"/>
      <c r="D50" s="68"/>
      <c r="E50" s="25"/>
      <c r="F50" s="25"/>
      <c r="G50" s="25"/>
      <c r="H50" s="25"/>
      <c r="I50" s="25"/>
      <c r="J50" s="25"/>
      <c r="K50" s="69"/>
      <c r="L50" s="68"/>
      <c r="M50" s="28"/>
      <c r="N50" s="88" t="str">
        <f aca="false">IF(OR(A50="",B50="",L50="Clos"),"",P_DateRef-B50)</f>
        <v/>
      </c>
      <c r="O50" s="74" t="str">
        <f aca="false">IF(OR(A50="",L50="Clos"),"",IF(AND(K50&lt;&gt;"",P_DateRef&gt;K50),"Échéance dépassée","Suivi en cours"))</f>
        <v/>
      </c>
    </row>
    <row r="51" customFormat="false" ht="15" hidden="false" customHeight="false" outlineLevel="0" collapsed="false">
      <c r="A51" s="68"/>
      <c r="B51" s="69"/>
      <c r="C51" s="25"/>
      <c r="D51" s="68"/>
      <c r="E51" s="25"/>
      <c r="F51" s="25"/>
      <c r="G51" s="25"/>
      <c r="H51" s="25"/>
      <c r="I51" s="25"/>
      <c r="J51" s="25"/>
      <c r="K51" s="69"/>
      <c r="L51" s="68"/>
      <c r="M51" s="28"/>
      <c r="N51" s="88" t="str">
        <f aca="false">IF(OR(A51="",B51="",L51="Clos"),"",P_DateRef-B51)</f>
        <v/>
      </c>
      <c r="O51" s="74" t="str">
        <f aca="false">IF(OR(A51="",L51="Clos"),"",IF(AND(K51&lt;&gt;"",P_DateRef&gt;K51),"Échéance dépassée","Suivi en cours"))</f>
        <v/>
      </c>
    </row>
    <row r="52" customFormat="false" ht="15" hidden="false" customHeight="false" outlineLevel="0" collapsed="false">
      <c r="A52" s="68"/>
      <c r="B52" s="69"/>
      <c r="C52" s="25"/>
      <c r="D52" s="68"/>
      <c r="E52" s="25"/>
      <c r="F52" s="25"/>
      <c r="G52" s="25"/>
      <c r="H52" s="25"/>
      <c r="I52" s="25"/>
      <c r="J52" s="25"/>
      <c r="K52" s="69"/>
      <c r="L52" s="68"/>
      <c r="M52" s="28"/>
      <c r="N52" s="88" t="str">
        <f aca="false">IF(OR(A52="",B52="",L52="Clos"),"",P_DateRef-B52)</f>
        <v/>
      </c>
      <c r="O52" s="74" t="str">
        <f aca="false">IF(OR(A52="",L52="Clos"),"",IF(AND(K52&lt;&gt;"",P_DateRef&gt;K52),"Échéance dépassée","Suivi en cours"))</f>
        <v/>
      </c>
    </row>
    <row r="53" customFormat="false" ht="15" hidden="false" customHeight="false" outlineLevel="0" collapsed="false">
      <c r="A53" s="68"/>
      <c r="B53" s="69"/>
      <c r="C53" s="25"/>
      <c r="D53" s="68"/>
      <c r="E53" s="25"/>
      <c r="F53" s="25"/>
      <c r="G53" s="25"/>
      <c r="H53" s="25"/>
      <c r="I53" s="25"/>
      <c r="J53" s="25"/>
      <c r="K53" s="69"/>
      <c r="L53" s="68"/>
      <c r="M53" s="28"/>
      <c r="N53" s="88" t="str">
        <f aca="false">IF(OR(A53="",B53="",L53="Clos"),"",P_DateRef-B53)</f>
        <v/>
      </c>
      <c r="O53" s="74" t="str">
        <f aca="false">IF(OR(A53="",L53="Clos"),"",IF(AND(K53&lt;&gt;"",P_DateRef&gt;K53),"Échéance dépassée","Suivi en cours"))</f>
        <v/>
      </c>
    </row>
    <row r="54" customFormat="false" ht="15" hidden="false" customHeight="false" outlineLevel="0" collapsed="false">
      <c r="A54" s="68"/>
      <c r="B54" s="69"/>
      <c r="C54" s="25"/>
      <c r="D54" s="68"/>
      <c r="E54" s="25"/>
      <c r="F54" s="25"/>
      <c r="G54" s="25"/>
      <c r="H54" s="25"/>
      <c r="I54" s="25"/>
      <c r="J54" s="25"/>
      <c r="K54" s="69"/>
      <c r="L54" s="68"/>
      <c r="M54" s="28"/>
      <c r="N54" s="88" t="str">
        <f aca="false">IF(OR(A54="",B54="",L54="Clos"),"",P_DateRef-B54)</f>
        <v/>
      </c>
      <c r="O54" s="74" t="str">
        <f aca="false">IF(OR(A54="",L54="Clos"),"",IF(AND(K54&lt;&gt;"",P_DateRef&gt;K54),"Échéance dépassée","Suivi en cours"))</f>
        <v/>
      </c>
    </row>
    <row r="55" customFormat="false" ht="15" hidden="false" customHeight="false" outlineLevel="0" collapsed="false">
      <c r="A55" s="68"/>
      <c r="B55" s="69"/>
      <c r="C55" s="25"/>
      <c r="D55" s="68"/>
      <c r="E55" s="25"/>
      <c r="F55" s="25"/>
      <c r="G55" s="25"/>
      <c r="H55" s="25"/>
      <c r="I55" s="25"/>
      <c r="J55" s="25"/>
      <c r="K55" s="69"/>
      <c r="L55" s="68"/>
      <c r="M55" s="28"/>
      <c r="N55" s="88" t="str">
        <f aca="false">IF(OR(A55="",B55="",L55="Clos"),"",P_DateRef-B55)</f>
        <v/>
      </c>
      <c r="O55" s="74" t="str">
        <f aca="false">IF(OR(A55="",L55="Clos"),"",IF(AND(K55&lt;&gt;"",P_DateRef&gt;K55),"Échéance dépassée","Suivi en cours"))</f>
        <v/>
      </c>
    </row>
    <row r="56" customFormat="false" ht="15" hidden="false" customHeight="false" outlineLevel="0" collapsed="false">
      <c r="A56" s="68"/>
      <c r="B56" s="69"/>
      <c r="C56" s="25"/>
      <c r="D56" s="68"/>
      <c r="E56" s="25"/>
      <c r="F56" s="25"/>
      <c r="G56" s="25"/>
      <c r="H56" s="25"/>
      <c r="I56" s="25"/>
      <c r="J56" s="25"/>
      <c r="K56" s="69"/>
      <c r="L56" s="68"/>
      <c r="M56" s="28"/>
      <c r="N56" s="88" t="str">
        <f aca="false">IF(OR(A56="",B56="",L56="Clos"),"",P_DateRef-B56)</f>
        <v/>
      </c>
      <c r="O56" s="74" t="str">
        <f aca="false">IF(OR(A56="",L56="Clos"),"",IF(AND(K56&lt;&gt;"",P_DateRef&gt;K56),"Échéance dépassée","Suivi en cours"))</f>
        <v/>
      </c>
    </row>
    <row r="57" customFormat="false" ht="15" hidden="false" customHeight="false" outlineLevel="0" collapsed="false">
      <c r="A57" s="68"/>
      <c r="B57" s="69"/>
      <c r="C57" s="25"/>
      <c r="D57" s="68"/>
      <c r="E57" s="25"/>
      <c r="F57" s="25"/>
      <c r="G57" s="25"/>
      <c r="H57" s="25"/>
      <c r="I57" s="25"/>
      <c r="J57" s="25"/>
      <c r="K57" s="69"/>
      <c r="L57" s="68"/>
      <c r="M57" s="28"/>
      <c r="N57" s="88" t="str">
        <f aca="false">IF(OR(A57="",B57="",L57="Clos"),"",P_DateRef-B57)</f>
        <v/>
      </c>
      <c r="O57" s="74" t="str">
        <f aca="false">IF(OR(A57="",L57="Clos"),"",IF(AND(K57&lt;&gt;"",P_DateRef&gt;K57),"Échéance dépassée","Suivi en cours"))</f>
        <v/>
      </c>
    </row>
    <row r="58" customFormat="false" ht="15" hidden="false" customHeight="false" outlineLevel="0" collapsed="false">
      <c r="A58" s="68"/>
      <c r="B58" s="69"/>
      <c r="C58" s="25"/>
      <c r="D58" s="68"/>
      <c r="E58" s="25"/>
      <c r="F58" s="25"/>
      <c r="G58" s="25"/>
      <c r="H58" s="25"/>
      <c r="I58" s="25"/>
      <c r="J58" s="25"/>
      <c r="K58" s="69"/>
      <c r="L58" s="68"/>
      <c r="M58" s="28"/>
      <c r="N58" s="88" t="str">
        <f aca="false">IF(OR(A58="",B58="",L58="Clos"),"",P_DateRef-B58)</f>
        <v/>
      </c>
      <c r="O58" s="74" t="str">
        <f aca="false">IF(OR(A58="",L58="Clos"),"",IF(AND(K58&lt;&gt;"",P_DateRef&gt;K58),"Échéance dépassée","Suivi en cours"))</f>
        <v/>
      </c>
    </row>
    <row r="59" customFormat="false" ht="15" hidden="false" customHeight="false" outlineLevel="0" collapsed="false">
      <c r="A59" s="68"/>
      <c r="B59" s="69"/>
      <c r="C59" s="25"/>
      <c r="D59" s="68"/>
      <c r="E59" s="25"/>
      <c r="F59" s="25"/>
      <c r="G59" s="25"/>
      <c r="H59" s="25"/>
      <c r="I59" s="25"/>
      <c r="J59" s="25"/>
      <c r="K59" s="69"/>
      <c r="L59" s="68"/>
      <c r="M59" s="28"/>
      <c r="N59" s="88" t="str">
        <f aca="false">IF(OR(A59="",B59="",L59="Clos"),"",P_DateRef-B59)</f>
        <v/>
      </c>
      <c r="O59" s="74" t="str">
        <f aca="false">IF(OR(A59="",L59="Clos"),"",IF(AND(K59&lt;&gt;"",P_DateRef&gt;K59),"Échéance dépassée","Suivi en cours"))</f>
        <v/>
      </c>
    </row>
    <row r="60" customFormat="false" ht="15" hidden="false" customHeight="false" outlineLevel="0" collapsed="false">
      <c r="A60" s="68"/>
      <c r="B60" s="69"/>
      <c r="C60" s="25"/>
      <c r="D60" s="68"/>
      <c r="E60" s="25"/>
      <c r="F60" s="25"/>
      <c r="G60" s="25"/>
      <c r="H60" s="25"/>
      <c r="I60" s="25"/>
      <c r="J60" s="25"/>
      <c r="K60" s="69"/>
      <c r="L60" s="68"/>
      <c r="M60" s="28"/>
      <c r="N60" s="88" t="str">
        <f aca="false">IF(OR(A60="",B60="",L60="Clos"),"",P_DateRef-B60)</f>
        <v/>
      </c>
      <c r="O60" s="74" t="str">
        <f aca="false">IF(OR(A60="",L60="Clos"),"",IF(AND(K60&lt;&gt;"",P_DateRef&gt;K60),"Échéance dépassée","Suivi en cours"))</f>
        <v/>
      </c>
    </row>
    <row r="61" customFormat="false" ht="15" hidden="false" customHeight="false" outlineLevel="0" collapsed="false">
      <c r="A61" s="68"/>
      <c r="B61" s="69"/>
      <c r="C61" s="25"/>
      <c r="D61" s="68"/>
      <c r="E61" s="25"/>
      <c r="F61" s="25"/>
      <c r="G61" s="25"/>
      <c r="H61" s="25"/>
      <c r="I61" s="25"/>
      <c r="J61" s="25"/>
      <c r="K61" s="69"/>
      <c r="L61" s="68"/>
      <c r="M61" s="28"/>
      <c r="N61" s="88" t="str">
        <f aca="false">IF(OR(A61="",B61="",L61="Clos"),"",P_DateRef-B61)</f>
        <v/>
      </c>
      <c r="O61" s="74" t="str">
        <f aca="false">IF(OR(A61="",L61="Clos"),"",IF(AND(K61&lt;&gt;"",P_DateRef&gt;K61),"Échéance dépassée","Suivi en cours"))</f>
        <v/>
      </c>
    </row>
    <row r="62" customFormat="false" ht="15" hidden="false" customHeight="false" outlineLevel="0" collapsed="false">
      <c r="A62" s="68"/>
      <c r="B62" s="69"/>
      <c r="C62" s="25"/>
      <c r="D62" s="68"/>
      <c r="E62" s="25"/>
      <c r="F62" s="25"/>
      <c r="G62" s="25"/>
      <c r="H62" s="25"/>
      <c r="I62" s="25"/>
      <c r="J62" s="25"/>
      <c r="K62" s="69"/>
      <c r="L62" s="68"/>
      <c r="M62" s="28"/>
      <c r="N62" s="88" t="str">
        <f aca="false">IF(OR(A62="",B62="",L62="Clos"),"",P_DateRef-B62)</f>
        <v/>
      </c>
      <c r="O62" s="74" t="str">
        <f aca="false">IF(OR(A62="",L62="Clos"),"",IF(AND(K62&lt;&gt;"",P_DateRef&gt;K62),"Échéance dépassée","Suivi en cours"))</f>
        <v/>
      </c>
    </row>
    <row r="63" customFormat="false" ht="15" hidden="false" customHeight="false" outlineLevel="0" collapsed="false">
      <c r="A63" s="68"/>
      <c r="B63" s="69"/>
      <c r="C63" s="25"/>
      <c r="D63" s="68"/>
      <c r="E63" s="25"/>
      <c r="F63" s="25"/>
      <c r="G63" s="25"/>
      <c r="H63" s="25"/>
      <c r="I63" s="25"/>
      <c r="J63" s="25"/>
      <c r="K63" s="69"/>
      <c r="L63" s="68"/>
      <c r="M63" s="28"/>
      <c r="N63" s="88" t="str">
        <f aca="false">IF(OR(A63="",B63="",L63="Clos"),"",P_DateRef-B63)</f>
        <v/>
      </c>
      <c r="O63" s="74" t="str">
        <f aca="false">IF(OR(A63="",L63="Clos"),"",IF(AND(K63&lt;&gt;"",P_DateRef&gt;K63),"Échéance dépassée","Suivi en cours"))</f>
        <v/>
      </c>
    </row>
    <row r="64" customFormat="false" ht="15" hidden="false" customHeight="false" outlineLevel="0" collapsed="false">
      <c r="A64" s="68"/>
      <c r="B64" s="69"/>
      <c r="C64" s="25"/>
      <c r="D64" s="68"/>
      <c r="E64" s="25"/>
      <c r="F64" s="25"/>
      <c r="G64" s="25"/>
      <c r="H64" s="25"/>
      <c r="I64" s="25"/>
      <c r="J64" s="25"/>
      <c r="K64" s="69"/>
      <c r="L64" s="68"/>
      <c r="M64" s="28"/>
      <c r="N64" s="88" t="str">
        <f aca="false">IF(OR(A64="",B64="",L64="Clos"),"",P_DateRef-B64)</f>
        <v/>
      </c>
      <c r="O64" s="74" t="str">
        <f aca="false">IF(OR(A64="",L64="Clos"),"",IF(AND(K64&lt;&gt;"",P_DateRef&gt;K64),"Échéance dépassée","Suivi en cours"))</f>
        <v/>
      </c>
    </row>
    <row r="65" customFormat="false" ht="15" hidden="false" customHeight="false" outlineLevel="0" collapsed="false">
      <c r="A65" s="68"/>
      <c r="B65" s="69"/>
      <c r="C65" s="25"/>
      <c r="D65" s="68"/>
      <c r="E65" s="25"/>
      <c r="F65" s="25"/>
      <c r="G65" s="25"/>
      <c r="H65" s="25"/>
      <c r="I65" s="25"/>
      <c r="J65" s="25"/>
      <c r="K65" s="69"/>
      <c r="L65" s="68"/>
      <c r="M65" s="28"/>
      <c r="N65" s="88" t="str">
        <f aca="false">IF(OR(A65="",B65="",L65="Clos"),"",P_DateRef-B65)</f>
        <v/>
      </c>
      <c r="O65" s="74" t="str">
        <f aca="false">IF(OR(A65="",L65="Clos"),"",IF(AND(K65&lt;&gt;"",P_DateRef&gt;K65),"Échéance dépassée","Suivi en cours"))</f>
        <v/>
      </c>
    </row>
    <row r="66" customFormat="false" ht="15" hidden="false" customHeight="false" outlineLevel="0" collapsed="false">
      <c r="A66" s="68"/>
      <c r="B66" s="69"/>
      <c r="C66" s="25"/>
      <c r="D66" s="68"/>
      <c r="E66" s="25"/>
      <c r="F66" s="25"/>
      <c r="G66" s="25"/>
      <c r="H66" s="25"/>
      <c r="I66" s="25"/>
      <c r="J66" s="25"/>
      <c r="K66" s="69"/>
      <c r="L66" s="68"/>
      <c r="M66" s="28"/>
      <c r="N66" s="88" t="str">
        <f aca="false">IF(OR(A66="",B66="",L66="Clos"),"",P_DateRef-B66)</f>
        <v/>
      </c>
      <c r="O66" s="74" t="str">
        <f aca="false">IF(OR(A66="",L66="Clos"),"",IF(AND(K66&lt;&gt;"",P_DateRef&gt;K66),"Échéance dépassée","Suivi en cours"))</f>
        <v/>
      </c>
    </row>
    <row r="67" customFormat="false" ht="15" hidden="false" customHeight="false" outlineLevel="0" collapsed="false">
      <c r="A67" s="68"/>
      <c r="B67" s="69"/>
      <c r="C67" s="25"/>
      <c r="D67" s="68"/>
      <c r="E67" s="25"/>
      <c r="F67" s="25"/>
      <c r="G67" s="25"/>
      <c r="H67" s="25"/>
      <c r="I67" s="25"/>
      <c r="J67" s="25"/>
      <c r="K67" s="69"/>
      <c r="L67" s="68"/>
      <c r="M67" s="28"/>
      <c r="N67" s="88" t="str">
        <f aca="false">IF(OR(A67="",B67="",L67="Clos"),"",P_DateRef-B67)</f>
        <v/>
      </c>
      <c r="O67" s="74" t="str">
        <f aca="false">IF(OR(A67="",L67="Clos"),"",IF(AND(K67&lt;&gt;"",P_DateRef&gt;K67),"Échéance dépassée","Suivi en cours"))</f>
        <v/>
      </c>
    </row>
    <row r="68" customFormat="false" ht="15" hidden="false" customHeight="false" outlineLevel="0" collapsed="false">
      <c r="A68" s="68"/>
      <c r="B68" s="69"/>
      <c r="C68" s="25"/>
      <c r="D68" s="68"/>
      <c r="E68" s="25"/>
      <c r="F68" s="25"/>
      <c r="G68" s="25"/>
      <c r="H68" s="25"/>
      <c r="I68" s="25"/>
      <c r="J68" s="25"/>
      <c r="K68" s="69"/>
      <c r="L68" s="68"/>
      <c r="M68" s="28"/>
      <c r="N68" s="88" t="str">
        <f aca="false">IF(OR(A68="",B68="",L68="Clos"),"",P_DateRef-B68)</f>
        <v/>
      </c>
      <c r="O68" s="74" t="str">
        <f aca="false">IF(OR(A68="",L68="Clos"),"",IF(AND(K68&lt;&gt;"",P_DateRef&gt;K68),"Échéance dépassée","Suivi en cours"))</f>
        <v/>
      </c>
    </row>
    <row r="69" customFormat="false" ht="15" hidden="false" customHeight="false" outlineLevel="0" collapsed="false">
      <c r="A69" s="68"/>
      <c r="B69" s="69"/>
      <c r="C69" s="25"/>
      <c r="D69" s="68"/>
      <c r="E69" s="25"/>
      <c r="F69" s="25"/>
      <c r="G69" s="25"/>
      <c r="H69" s="25"/>
      <c r="I69" s="25"/>
      <c r="J69" s="25"/>
      <c r="K69" s="69"/>
      <c r="L69" s="68"/>
      <c r="M69" s="28"/>
      <c r="N69" s="88" t="str">
        <f aca="false">IF(OR(A69="",B69="",L69="Clos"),"",P_DateRef-B69)</f>
        <v/>
      </c>
      <c r="O69" s="74" t="str">
        <f aca="false">IF(OR(A69="",L69="Clos"),"",IF(AND(K69&lt;&gt;"",P_DateRef&gt;K69),"Échéance dépassée","Suivi en cours"))</f>
        <v/>
      </c>
    </row>
    <row r="70" customFormat="false" ht="15" hidden="false" customHeight="false" outlineLevel="0" collapsed="false">
      <c r="A70" s="68"/>
      <c r="B70" s="69"/>
      <c r="C70" s="25"/>
      <c r="D70" s="68"/>
      <c r="E70" s="25"/>
      <c r="F70" s="25"/>
      <c r="G70" s="25"/>
      <c r="H70" s="25"/>
      <c r="I70" s="25"/>
      <c r="J70" s="25"/>
      <c r="K70" s="69"/>
      <c r="L70" s="68"/>
      <c r="M70" s="28"/>
      <c r="N70" s="88" t="str">
        <f aca="false">IF(OR(A70="",B70="",L70="Clos"),"",P_DateRef-B70)</f>
        <v/>
      </c>
      <c r="O70" s="74" t="str">
        <f aca="false">IF(OR(A70="",L70="Clos"),"",IF(AND(K70&lt;&gt;"",P_DateRef&gt;K70),"Échéance dépassée","Suivi en cours"))</f>
        <v/>
      </c>
    </row>
    <row r="71" customFormat="false" ht="15" hidden="false" customHeight="false" outlineLevel="0" collapsed="false">
      <c r="A71" s="68"/>
      <c r="B71" s="69"/>
      <c r="C71" s="25"/>
      <c r="D71" s="68"/>
      <c r="E71" s="25"/>
      <c r="F71" s="25"/>
      <c r="G71" s="25"/>
      <c r="H71" s="25"/>
      <c r="I71" s="25"/>
      <c r="J71" s="25"/>
      <c r="K71" s="69"/>
      <c r="L71" s="68"/>
      <c r="M71" s="28"/>
      <c r="N71" s="88" t="str">
        <f aca="false">IF(OR(A71="",B71="",L71="Clos"),"",P_DateRef-B71)</f>
        <v/>
      </c>
      <c r="O71" s="74" t="str">
        <f aca="false">IF(OR(A71="",L71="Clos"),"",IF(AND(K71&lt;&gt;"",P_DateRef&gt;K71),"Échéance dépassée","Suivi en cours"))</f>
        <v/>
      </c>
    </row>
    <row r="72" customFormat="false" ht="15" hidden="false" customHeight="false" outlineLevel="0" collapsed="false">
      <c r="A72" s="68"/>
      <c r="B72" s="69"/>
      <c r="C72" s="25"/>
      <c r="D72" s="68"/>
      <c r="E72" s="25"/>
      <c r="F72" s="25"/>
      <c r="G72" s="25"/>
      <c r="H72" s="25"/>
      <c r="I72" s="25"/>
      <c r="J72" s="25"/>
      <c r="K72" s="69"/>
      <c r="L72" s="68"/>
      <c r="M72" s="28"/>
      <c r="N72" s="88" t="str">
        <f aca="false">IF(OR(A72="",B72="",L72="Clos"),"",P_DateRef-B72)</f>
        <v/>
      </c>
      <c r="O72" s="74" t="str">
        <f aca="false">IF(OR(A72="",L72="Clos"),"",IF(AND(K72&lt;&gt;"",P_DateRef&gt;K72),"Échéance dépassée","Suivi en cours"))</f>
        <v/>
      </c>
    </row>
    <row r="73" customFormat="false" ht="15" hidden="false" customHeight="false" outlineLevel="0" collapsed="false">
      <c r="A73" s="68"/>
      <c r="B73" s="69"/>
      <c r="C73" s="25"/>
      <c r="D73" s="68"/>
      <c r="E73" s="25"/>
      <c r="F73" s="25"/>
      <c r="G73" s="25"/>
      <c r="H73" s="25"/>
      <c r="I73" s="25"/>
      <c r="J73" s="25"/>
      <c r="K73" s="69"/>
      <c r="L73" s="68"/>
      <c r="M73" s="28"/>
      <c r="N73" s="88" t="str">
        <f aca="false">IF(OR(A73="",B73="",L73="Clos"),"",P_DateRef-B73)</f>
        <v/>
      </c>
      <c r="O73" s="74" t="str">
        <f aca="false">IF(OR(A73="",L73="Clos"),"",IF(AND(K73&lt;&gt;"",P_DateRef&gt;K73),"Échéance dépassée","Suivi en cours"))</f>
        <v/>
      </c>
    </row>
    <row r="74" customFormat="false" ht="15" hidden="false" customHeight="false" outlineLevel="0" collapsed="false">
      <c r="A74" s="68"/>
      <c r="B74" s="69"/>
      <c r="C74" s="25"/>
      <c r="D74" s="68"/>
      <c r="E74" s="25"/>
      <c r="F74" s="25"/>
      <c r="G74" s="25"/>
      <c r="H74" s="25"/>
      <c r="I74" s="25"/>
      <c r="J74" s="25"/>
      <c r="K74" s="69"/>
      <c r="L74" s="68"/>
      <c r="M74" s="28"/>
      <c r="N74" s="88" t="str">
        <f aca="false">IF(OR(A74="",B74="",L74="Clos"),"",P_DateRef-B74)</f>
        <v/>
      </c>
      <c r="O74" s="74" t="str">
        <f aca="false">IF(OR(A74="",L74="Clos"),"",IF(AND(K74&lt;&gt;"",P_DateRef&gt;K74),"Échéance dépassée","Suivi en cours"))</f>
        <v/>
      </c>
    </row>
    <row r="75" customFormat="false" ht="15" hidden="false" customHeight="false" outlineLevel="0" collapsed="false">
      <c r="A75" s="68"/>
      <c r="B75" s="69"/>
      <c r="C75" s="25"/>
      <c r="D75" s="68"/>
      <c r="E75" s="25"/>
      <c r="F75" s="25"/>
      <c r="G75" s="25"/>
      <c r="H75" s="25"/>
      <c r="I75" s="25"/>
      <c r="J75" s="25"/>
      <c r="K75" s="69"/>
      <c r="L75" s="68"/>
      <c r="M75" s="28"/>
      <c r="N75" s="88" t="str">
        <f aca="false">IF(OR(A75="",B75="",L75="Clos"),"",P_DateRef-B75)</f>
        <v/>
      </c>
      <c r="O75" s="74" t="str">
        <f aca="false">IF(OR(A75="",L75="Clos"),"",IF(AND(K75&lt;&gt;"",P_DateRef&gt;K75),"Échéance dépassée","Suivi en cours"))</f>
        <v/>
      </c>
    </row>
    <row r="76" customFormat="false" ht="15" hidden="false" customHeight="false" outlineLevel="0" collapsed="false">
      <c r="A76" s="68"/>
      <c r="B76" s="69"/>
      <c r="C76" s="25"/>
      <c r="D76" s="68"/>
      <c r="E76" s="25"/>
      <c r="F76" s="25"/>
      <c r="G76" s="25"/>
      <c r="H76" s="25"/>
      <c r="I76" s="25"/>
      <c r="J76" s="25"/>
      <c r="K76" s="69"/>
      <c r="L76" s="68"/>
      <c r="M76" s="28"/>
      <c r="N76" s="88" t="str">
        <f aca="false">IF(OR(A76="",B76="",L76="Clos"),"",P_DateRef-B76)</f>
        <v/>
      </c>
      <c r="O76" s="74" t="str">
        <f aca="false">IF(OR(A76="",L76="Clos"),"",IF(AND(K76&lt;&gt;"",P_DateRef&gt;K76),"Échéance dépassée","Suivi en cours"))</f>
        <v/>
      </c>
    </row>
    <row r="77" customFormat="false" ht="15" hidden="false" customHeight="false" outlineLevel="0" collapsed="false">
      <c r="A77" s="68"/>
      <c r="B77" s="69"/>
      <c r="C77" s="25"/>
      <c r="D77" s="68"/>
      <c r="E77" s="25"/>
      <c r="F77" s="25"/>
      <c r="G77" s="25"/>
      <c r="H77" s="25"/>
      <c r="I77" s="25"/>
      <c r="J77" s="25"/>
      <c r="K77" s="69"/>
      <c r="L77" s="68"/>
      <c r="M77" s="28"/>
      <c r="N77" s="88" t="str">
        <f aca="false">IF(OR(A77="",B77="",L77="Clos"),"",P_DateRef-B77)</f>
        <v/>
      </c>
      <c r="O77" s="74" t="str">
        <f aca="false">IF(OR(A77="",L77="Clos"),"",IF(AND(K77&lt;&gt;"",P_DateRef&gt;K77),"Échéance dépassée","Suivi en cours"))</f>
        <v/>
      </c>
    </row>
    <row r="78" customFormat="false" ht="15" hidden="false" customHeight="false" outlineLevel="0" collapsed="false">
      <c r="A78" s="68"/>
      <c r="B78" s="69"/>
      <c r="C78" s="25"/>
      <c r="D78" s="68"/>
      <c r="E78" s="25"/>
      <c r="F78" s="25"/>
      <c r="G78" s="25"/>
      <c r="H78" s="25"/>
      <c r="I78" s="25"/>
      <c r="J78" s="25"/>
      <c r="K78" s="69"/>
      <c r="L78" s="68"/>
      <c r="M78" s="28"/>
      <c r="N78" s="88" t="str">
        <f aca="false">IF(OR(A78="",B78="",L78="Clos"),"",P_DateRef-B78)</f>
        <v/>
      </c>
      <c r="O78" s="74" t="str">
        <f aca="false">IF(OR(A78="",L78="Clos"),"",IF(AND(K78&lt;&gt;"",P_DateRef&gt;K78),"Échéance dépassée","Suivi en cours"))</f>
        <v/>
      </c>
    </row>
    <row r="79" customFormat="false" ht="15" hidden="false" customHeight="false" outlineLevel="0" collapsed="false">
      <c r="A79" s="68"/>
      <c r="B79" s="69"/>
      <c r="C79" s="25"/>
      <c r="D79" s="68"/>
      <c r="E79" s="25"/>
      <c r="F79" s="25"/>
      <c r="G79" s="25"/>
      <c r="H79" s="25"/>
      <c r="I79" s="25"/>
      <c r="J79" s="25"/>
      <c r="K79" s="69"/>
      <c r="L79" s="68"/>
      <c r="M79" s="28"/>
      <c r="N79" s="88" t="str">
        <f aca="false">IF(OR(A79="",B79="",L79="Clos"),"",P_DateRef-B79)</f>
        <v/>
      </c>
      <c r="O79" s="74" t="str">
        <f aca="false">IF(OR(A79="",L79="Clos"),"",IF(AND(K79&lt;&gt;"",P_DateRef&gt;K79),"Échéance dépassée","Suivi en cours"))</f>
        <v/>
      </c>
    </row>
    <row r="80" customFormat="false" ht="15" hidden="false" customHeight="false" outlineLevel="0" collapsed="false">
      <c r="A80" s="68"/>
      <c r="B80" s="69"/>
      <c r="C80" s="25"/>
      <c r="D80" s="68"/>
      <c r="E80" s="25"/>
      <c r="F80" s="25"/>
      <c r="G80" s="25"/>
      <c r="H80" s="25"/>
      <c r="I80" s="25"/>
      <c r="J80" s="25"/>
      <c r="K80" s="69"/>
      <c r="L80" s="68"/>
      <c r="M80" s="28"/>
      <c r="N80" s="88" t="str">
        <f aca="false">IF(OR(A80="",B80="",L80="Clos"),"",P_DateRef-B80)</f>
        <v/>
      </c>
      <c r="O80" s="74" t="str">
        <f aca="false">IF(OR(A80="",L80="Clos"),"",IF(AND(K80&lt;&gt;"",P_DateRef&gt;K80),"Échéance dépassée","Suivi en cours"))</f>
        <v/>
      </c>
    </row>
    <row r="81" customFormat="false" ht="15" hidden="false" customHeight="false" outlineLevel="0" collapsed="false">
      <c r="A81" s="68"/>
      <c r="B81" s="69"/>
      <c r="C81" s="25"/>
      <c r="D81" s="68"/>
      <c r="E81" s="25"/>
      <c r="F81" s="25"/>
      <c r="G81" s="25"/>
      <c r="H81" s="25"/>
      <c r="I81" s="25"/>
      <c r="J81" s="25"/>
      <c r="K81" s="69"/>
      <c r="L81" s="68"/>
      <c r="M81" s="28"/>
      <c r="N81" s="88" t="str">
        <f aca="false">IF(OR(A81="",B81="",L81="Clos"),"",P_DateRef-B81)</f>
        <v/>
      </c>
      <c r="O81" s="74" t="str">
        <f aca="false">IF(OR(A81="",L81="Clos"),"",IF(AND(K81&lt;&gt;"",P_DateRef&gt;K81),"Échéance dépassée","Suivi en cours"))</f>
        <v/>
      </c>
    </row>
    <row r="82" customFormat="false" ht="15" hidden="false" customHeight="false" outlineLevel="0" collapsed="false">
      <c r="A82" s="68"/>
      <c r="B82" s="69"/>
      <c r="C82" s="25"/>
      <c r="D82" s="68"/>
      <c r="E82" s="25"/>
      <c r="F82" s="25"/>
      <c r="G82" s="25"/>
      <c r="H82" s="25"/>
      <c r="I82" s="25"/>
      <c r="J82" s="25"/>
      <c r="K82" s="69"/>
      <c r="L82" s="68"/>
      <c r="M82" s="28"/>
      <c r="N82" s="88" t="str">
        <f aca="false">IF(OR(A82="",B82="",L82="Clos"),"",P_DateRef-B82)</f>
        <v/>
      </c>
      <c r="O82" s="74" t="str">
        <f aca="false">IF(OR(A82="",L82="Clos"),"",IF(AND(K82&lt;&gt;"",P_DateRef&gt;K82),"Échéance dépassée","Suivi en cours"))</f>
        <v/>
      </c>
    </row>
    <row r="83" customFormat="false" ht="15" hidden="false" customHeight="false" outlineLevel="0" collapsed="false">
      <c r="A83" s="68"/>
      <c r="B83" s="69"/>
      <c r="C83" s="25"/>
      <c r="D83" s="68"/>
      <c r="E83" s="25"/>
      <c r="F83" s="25"/>
      <c r="G83" s="25"/>
      <c r="H83" s="25"/>
      <c r="I83" s="25"/>
      <c r="J83" s="25"/>
      <c r="K83" s="69"/>
      <c r="L83" s="68"/>
      <c r="M83" s="28"/>
      <c r="N83" s="88" t="str">
        <f aca="false">IF(OR(A83="",B83="",L83="Clos"),"",P_DateRef-B83)</f>
        <v/>
      </c>
      <c r="O83" s="74" t="str">
        <f aca="false">IF(OR(A83="",L83="Clos"),"",IF(AND(K83&lt;&gt;"",P_DateRef&gt;K83),"Échéance dépassée","Suivi en cours"))</f>
        <v/>
      </c>
    </row>
    <row r="84" customFormat="false" ht="15" hidden="false" customHeight="false" outlineLevel="0" collapsed="false">
      <c r="A84" s="68"/>
      <c r="B84" s="69"/>
      <c r="C84" s="25"/>
      <c r="D84" s="68"/>
      <c r="E84" s="25"/>
      <c r="F84" s="25"/>
      <c r="G84" s="25"/>
      <c r="H84" s="25"/>
      <c r="I84" s="25"/>
      <c r="J84" s="25"/>
      <c r="K84" s="69"/>
      <c r="L84" s="68"/>
      <c r="M84" s="28"/>
      <c r="N84" s="88" t="str">
        <f aca="false">IF(OR(A84="",B84="",L84="Clos"),"",P_DateRef-B84)</f>
        <v/>
      </c>
      <c r="O84" s="74" t="str">
        <f aca="false">IF(OR(A84="",L84="Clos"),"",IF(AND(K84&lt;&gt;"",P_DateRef&gt;K84),"Échéance dépassée","Suivi en cours"))</f>
        <v/>
      </c>
    </row>
    <row r="85" customFormat="false" ht="15" hidden="false" customHeight="false" outlineLevel="0" collapsed="false">
      <c r="A85" s="68"/>
      <c r="B85" s="69"/>
      <c r="C85" s="25"/>
      <c r="D85" s="68"/>
      <c r="E85" s="25"/>
      <c r="F85" s="25"/>
      <c r="G85" s="25"/>
      <c r="H85" s="25"/>
      <c r="I85" s="25"/>
      <c r="J85" s="25"/>
      <c r="K85" s="69"/>
      <c r="L85" s="68"/>
      <c r="M85" s="28"/>
      <c r="N85" s="88" t="str">
        <f aca="false">IF(OR(A85="",B85="",L85="Clos"),"",P_DateRef-B85)</f>
        <v/>
      </c>
      <c r="O85" s="74" t="str">
        <f aca="false">IF(OR(A85="",L85="Clos"),"",IF(AND(K85&lt;&gt;"",P_DateRef&gt;K85),"Échéance dépassée","Suivi en cours"))</f>
        <v/>
      </c>
    </row>
    <row r="86" customFormat="false" ht="15" hidden="false" customHeight="false" outlineLevel="0" collapsed="false">
      <c r="A86" s="68"/>
      <c r="B86" s="69"/>
      <c r="C86" s="25"/>
      <c r="D86" s="68"/>
      <c r="E86" s="25"/>
      <c r="F86" s="25"/>
      <c r="G86" s="25"/>
      <c r="H86" s="25"/>
      <c r="I86" s="25"/>
      <c r="J86" s="25"/>
      <c r="K86" s="69"/>
      <c r="L86" s="68"/>
      <c r="M86" s="28"/>
      <c r="N86" s="88" t="str">
        <f aca="false">IF(OR(A86="",B86="",L86="Clos"),"",P_DateRef-B86)</f>
        <v/>
      </c>
      <c r="O86" s="74" t="str">
        <f aca="false">IF(OR(A86="",L86="Clos"),"",IF(AND(K86&lt;&gt;"",P_DateRef&gt;K86),"Échéance dépassée","Suivi en cours"))</f>
        <v/>
      </c>
    </row>
    <row r="87" customFormat="false" ht="15" hidden="false" customHeight="false" outlineLevel="0" collapsed="false">
      <c r="A87" s="68"/>
      <c r="B87" s="69"/>
      <c r="C87" s="25"/>
      <c r="D87" s="68"/>
      <c r="E87" s="25"/>
      <c r="F87" s="25"/>
      <c r="G87" s="25"/>
      <c r="H87" s="25"/>
      <c r="I87" s="25"/>
      <c r="J87" s="25"/>
      <c r="K87" s="69"/>
      <c r="L87" s="68"/>
      <c r="M87" s="28"/>
      <c r="N87" s="88" t="str">
        <f aca="false">IF(OR(A87="",B87="",L87="Clos"),"",P_DateRef-B87)</f>
        <v/>
      </c>
      <c r="O87" s="74" t="str">
        <f aca="false">IF(OR(A87="",L87="Clos"),"",IF(AND(K87&lt;&gt;"",P_DateRef&gt;K87),"Échéance dépassée","Suivi en cours"))</f>
        <v/>
      </c>
    </row>
    <row r="88" customFormat="false" ht="15" hidden="false" customHeight="false" outlineLevel="0" collapsed="false">
      <c r="A88" s="68"/>
      <c r="B88" s="69"/>
      <c r="C88" s="25"/>
      <c r="D88" s="68"/>
      <c r="E88" s="25"/>
      <c r="F88" s="25"/>
      <c r="G88" s="25"/>
      <c r="H88" s="25"/>
      <c r="I88" s="25"/>
      <c r="J88" s="25"/>
      <c r="K88" s="69"/>
      <c r="L88" s="68"/>
      <c r="M88" s="28"/>
      <c r="N88" s="88" t="str">
        <f aca="false">IF(OR(A88="",B88="",L88="Clos"),"",P_DateRef-B88)</f>
        <v/>
      </c>
      <c r="O88" s="74" t="str">
        <f aca="false">IF(OR(A88="",L88="Clos"),"",IF(AND(K88&lt;&gt;"",P_DateRef&gt;K88),"Échéance dépassée","Suivi en cours"))</f>
        <v/>
      </c>
    </row>
    <row r="89" customFormat="false" ht="15" hidden="false" customHeight="false" outlineLevel="0" collapsed="false">
      <c r="A89" s="68"/>
      <c r="B89" s="69"/>
      <c r="C89" s="25"/>
      <c r="D89" s="68"/>
      <c r="E89" s="25"/>
      <c r="F89" s="25"/>
      <c r="G89" s="25"/>
      <c r="H89" s="25"/>
      <c r="I89" s="25"/>
      <c r="J89" s="25"/>
      <c r="K89" s="69"/>
      <c r="L89" s="68"/>
      <c r="M89" s="28"/>
      <c r="N89" s="88" t="str">
        <f aca="false">IF(OR(A89="",B89="",L89="Clos"),"",P_DateRef-B89)</f>
        <v/>
      </c>
      <c r="O89" s="74" t="str">
        <f aca="false">IF(OR(A89="",L89="Clos"),"",IF(AND(K89&lt;&gt;"",P_DateRef&gt;K89),"Échéance dépassée","Suivi en cours"))</f>
        <v/>
      </c>
    </row>
    <row r="90" customFormat="false" ht="15" hidden="false" customHeight="false" outlineLevel="0" collapsed="false">
      <c r="A90" s="68"/>
      <c r="B90" s="69"/>
      <c r="C90" s="25"/>
      <c r="D90" s="68"/>
      <c r="E90" s="25"/>
      <c r="F90" s="25"/>
      <c r="G90" s="25"/>
      <c r="H90" s="25"/>
      <c r="I90" s="25"/>
      <c r="J90" s="25"/>
      <c r="K90" s="69"/>
      <c r="L90" s="68"/>
      <c r="M90" s="28"/>
      <c r="N90" s="88" t="str">
        <f aca="false">IF(OR(A90="",B90="",L90="Clos"),"",P_DateRef-B90)</f>
        <v/>
      </c>
      <c r="O90" s="74" t="str">
        <f aca="false">IF(OR(A90="",L90="Clos"),"",IF(AND(K90&lt;&gt;"",P_DateRef&gt;K90),"Échéance dépassée","Suivi en cours"))</f>
        <v/>
      </c>
    </row>
    <row r="91" customFormat="false" ht="15" hidden="false" customHeight="false" outlineLevel="0" collapsed="false">
      <c r="A91" s="68"/>
      <c r="B91" s="69"/>
      <c r="C91" s="25"/>
      <c r="D91" s="68"/>
      <c r="E91" s="25"/>
      <c r="F91" s="25"/>
      <c r="G91" s="25"/>
      <c r="H91" s="25"/>
      <c r="I91" s="25"/>
      <c r="J91" s="25"/>
      <c r="K91" s="69"/>
      <c r="L91" s="68"/>
      <c r="M91" s="28"/>
      <c r="N91" s="88" t="str">
        <f aca="false">IF(OR(A91="",B91="",L91="Clos"),"",P_DateRef-B91)</f>
        <v/>
      </c>
      <c r="O91" s="74" t="str">
        <f aca="false">IF(OR(A91="",L91="Clos"),"",IF(AND(K91&lt;&gt;"",P_DateRef&gt;K91),"Échéance dépassée","Suivi en cours"))</f>
        <v/>
      </c>
    </row>
    <row r="92" customFormat="false" ht="15" hidden="false" customHeight="false" outlineLevel="0" collapsed="false">
      <c r="A92" s="68"/>
      <c r="B92" s="69"/>
      <c r="C92" s="25"/>
      <c r="D92" s="68"/>
      <c r="E92" s="25"/>
      <c r="F92" s="25"/>
      <c r="G92" s="25"/>
      <c r="H92" s="25"/>
      <c r="I92" s="25"/>
      <c r="J92" s="25"/>
      <c r="K92" s="69"/>
      <c r="L92" s="68"/>
      <c r="M92" s="28"/>
      <c r="N92" s="88" t="str">
        <f aca="false">IF(OR(A92="",B92="",L92="Clos"),"",P_DateRef-B92)</f>
        <v/>
      </c>
      <c r="O92" s="74" t="str">
        <f aca="false">IF(OR(A92="",L92="Clos"),"",IF(AND(K92&lt;&gt;"",P_DateRef&gt;K92),"Échéance dépassée","Suivi en cours"))</f>
        <v/>
      </c>
    </row>
    <row r="93" customFormat="false" ht="15" hidden="false" customHeight="false" outlineLevel="0" collapsed="false">
      <c r="A93" s="68"/>
      <c r="B93" s="69"/>
      <c r="C93" s="25"/>
      <c r="D93" s="68"/>
      <c r="E93" s="25"/>
      <c r="F93" s="25"/>
      <c r="G93" s="25"/>
      <c r="H93" s="25"/>
      <c r="I93" s="25"/>
      <c r="J93" s="25"/>
      <c r="K93" s="69"/>
      <c r="L93" s="68"/>
      <c r="M93" s="28"/>
      <c r="N93" s="88" t="str">
        <f aca="false">IF(OR(A93="",B93="",L93="Clos"),"",P_DateRef-B93)</f>
        <v/>
      </c>
      <c r="O93" s="74" t="str">
        <f aca="false">IF(OR(A93="",L93="Clos"),"",IF(AND(K93&lt;&gt;"",P_DateRef&gt;K93),"Échéance dépassée","Suivi en cours"))</f>
        <v/>
      </c>
    </row>
    <row r="94" customFormat="false" ht="15" hidden="false" customHeight="false" outlineLevel="0" collapsed="false">
      <c r="A94" s="68"/>
      <c r="B94" s="69"/>
      <c r="C94" s="25"/>
      <c r="D94" s="68"/>
      <c r="E94" s="25"/>
      <c r="F94" s="25"/>
      <c r="G94" s="25"/>
      <c r="H94" s="25"/>
      <c r="I94" s="25"/>
      <c r="J94" s="25"/>
      <c r="K94" s="69"/>
      <c r="L94" s="68"/>
      <c r="M94" s="28"/>
      <c r="N94" s="88" t="str">
        <f aca="false">IF(OR(A94="",B94="",L94="Clos"),"",P_DateRef-B94)</f>
        <v/>
      </c>
      <c r="O94" s="74" t="str">
        <f aca="false">IF(OR(A94="",L94="Clos"),"",IF(AND(K94&lt;&gt;"",P_DateRef&gt;K94),"Échéance dépassée","Suivi en cours"))</f>
        <v/>
      </c>
    </row>
    <row r="95" customFormat="false" ht="15" hidden="false" customHeight="false" outlineLevel="0" collapsed="false">
      <c r="A95" s="68"/>
      <c r="B95" s="69"/>
      <c r="C95" s="25"/>
      <c r="D95" s="68"/>
      <c r="E95" s="25"/>
      <c r="F95" s="25"/>
      <c r="G95" s="25"/>
      <c r="H95" s="25"/>
      <c r="I95" s="25"/>
      <c r="J95" s="25"/>
      <c r="K95" s="69"/>
      <c r="L95" s="68"/>
      <c r="M95" s="28"/>
      <c r="N95" s="88" t="str">
        <f aca="false">IF(OR(A95="",B95="",L95="Clos"),"",P_DateRef-B95)</f>
        <v/>
      </c>
      <c r="O95" s="74" t="str">
        <f aca="false">IF(OR(A95="",L95="Clos"),"",IF(AND(K95&lt;&gt;"",P_DateRef&gt;K95),"Échéance dépassée","Suivi en cours"))</f>
        <v/>
      </c>
    </row>
    <row r="96" customFormat="false" ht="15" hidden="false" customHeight="false" outlineLevel="0" collapsed="false">
      <c r="A96" s="68"/>
      <c r="B96" s="69"/>
      <c r="C96" s="25"/>
      <c r="D96" s="68"/>
      <c r="E96" s="25"/>
      <c r="F96" s="25"/>
      <c r="G96" s="25"/>
      <c r="H96" s="25"/>
      <c r="I96" s="25"/>
      <c r="J96" s="25"/>
      <c r="K96" s="69"/>
      <c r="L96" s="68"/>
      <c r="M96" s="28"/>
      <c r="N96" s="88" t="str">
        <f aca="false">IF(OR(A96="",B96="",L96="Clos"),"",P_DateRef-B96)</f>
        <v/>
      </c>
      <c r="O96" s="74" t="str">
        <f aca="false">IF(OR(A96="",L96="Clos"),"",IF(AND(K96&lt;&gt;"",P_DateRef&gt;K96),"Échéance dépassée","Suivi en cours"))</f>
        <v/>
      </c>
    </row>
    <row r="97" customFormat="false" ht="15" hidden="false" customHeight="false" outlineLevel="0" collapsed="false">
      <c r="A97" s="68"/>
      <c r="B97" s="69"/>
      <c r="C97" s="25"/>
      <c r="D97" s="68"/>
      <c r="E97" s="25"/>
      <c r="F97" s="25"/>
      <c r="G97" s="25"/>
      <c r="H97" s="25"/>
      <c r="I97" s="25"/>
      <c r="J97" s="25"/>
      <c r="K97" s="69"/>
      <c r="L97" s="68"/>
      <c r="M97" s="28"/>
      <c r="N97" s="88" t="str">
        <f aca="false">IF(OR(A97="",B97="",L97="Clos"),"",P_DateRef-B97)</f>
        <v/>
      </c>
      <c r="O97" s="74" t="str">
        <f aca="false">IF(OR(A97="",L97="Clos"),"",IF(AND(K97&lt;&gt;"",P_DateRef&gt;K97),"Échéance dépassée","Suivi en cours"))</f>
        <v/>
      </c>
    </row>
    <row r="98" customFormat="false" ht="15" hidden="false" customHeight="false" outlineLevel="0" collapsed="false">
      <c r="A98" s="68"/>
      <c r="B98" s="69"/>
      <c r="C98" s="25"/>
      <c r="D98" s="68"/>
      <c r="E98" s="25"/>
      <c r="F98" s="25"/>
      <c r="G98" s="25"/>
      <c r="H98" s="25"/>
      <c r="I98" s="25"/>
      <c r="J98" s="25"/>
      <c r="K98" s="69"/>
      <c r="L98" s="68"/>
      <c r="M98" s="28"/>
      <c r="N98" s="88" t="str">
        <f aca="false">IF(OR(A98="",B98="",L98="Clos"),"",P_DateRef-B98)</f>
        <v/>
      </c>
      <c r="O98" s="74" t="str">
        <f aca="false">IF(OR(A98="",L98="Clos"),"",IF(AND(K98&lt;&gt;"",P_DateRef&gt;K98),"Échéance dépassée","Suivi en cours"))</f>
        <v/>
      </c>
    </row>
    <row r="99" customFormat="false" ht="15" hidden="false" customHeight="false" outlineLevel="0" collapsed="false">
      <c r="A99" s="68"/>
      <c r="B99" s="69"/>
      <c r="C99" s="25"/>
      <c r="D99" s="68"/>
      <c r="E99" s="25"/>
      <c r="F99" s="25"/>
      <c r="G99" s="25"/>
      <c r="H99" s="25"/>
      <c r="I99" s="25"/>
      <c r="J99" s="25"/>
      <c r="K99" s="69"/>
      <c r="L99" s="68"/>
      <c r="M99" s="28"/>
      <c r="N99" s="88" t="str">
        <f aca="false">IF(OR(A99="",B99="",L99="Clos"),"",P_DateRef-B99)</f>
        <v/>
      </c>
      <c r="O99" s="74" t="str">
        <f aca="false">IF(OR(A99="",L99="Clos"),"",IF(AND(K99&lt;&gt;"",P_DateRef&gt;K99),"Échéance dépassée","Suivi en cours"))</f>
        <v/>
      </c>
    </row>
    <row r="100" customFormat="false" ht="15" hidden="false" customHeight="false" outlineLevel="0" collapsed="false">
      <c r="A100" s="68"/>
      <c r="B100" s="69"/>
      <c r="C100" s="25"/>
      <c r="D100" s="68"/>
      <c r="E100" s="25"/>
      <c r="F100" s="25"/>
      <c r="G100" s="25"/>
      <c r="H100" s="25"/>
      <c r="I100" s="25"/>
      <c r="J100" s="25"/>
      <c r="K100" s="69"/>
      <c r="L100" s="68"/>
      <c r="M100" s="28"/>
      <c r="N100" s="88" t="str">
        <f aca="false">IF(OR(A100="",B100="",L100="Clos"),"",P_DateRef-B100)</f>
        <v/>
      </c>
      <c r="O100" s="74" t="str">
        <f aca="false">IF(OR(A100="",L100="Clos"),"",IF(AND(K100&lt;&gt;"",P_DateRef&gt;K100),"Échéance dépassée","Suivi en cours"))</f>
        <v/>
      </c>
    </row>
    <row r="101" customFormat="false" ht="15" hidden="false" customHeight="false" outlineLevel="0" collapsed="false">
      <c r="A101" s="68"/>
      <c r="B101" s="69"/>
      <c r="C101" s="25"/>
      <c r="D101" s="68"/>
      <c r="E101" s="25"/>
      <c r="F101" s="25"/>
      <c r="G101" s="25"/>
      <c r="H101" s="25"/>
      <c r="I101" s="25"/>
      <c r="J101" s="25"/>
      <c r="K101" s="69"/>
      <c r="L101" s="68"/>
      <c r="M101" s="28"/>
      <c r="N101" s="88" t="str">
        <f aca="false">IF(OR(A101="",B101="",L101="Clos"),"",P_DateRef-B101)</f>
        <v/>
      </c>
      <c r="O101" s="74" t="str">
        <f aca="false">IF(OR(A101="",L101="Clos"),"",IF(AND(K101&lt;&gt;"",P_DateRef&gt;K101),"Échéance dépassée","Suivi en cours"))</f>
        <v/>
      </c>
    </row>
    <row r="102" customFormat="false" ht="15" hidden="false" customHeight="false" outlineLevel="0" collapsed="false">
      <c r="A102" s="68"/>
      <c r="B102" s="69"/>
      <c r="C102" s="25"/>
      <c r="D102" s="68"/>
      <c r="E102" s="25"/>
      <c r="F102" s="25"/>
      <c r="G102" s="25"/>
      <c r="H102" s="25"/>
      <c r="I102" s="25"/>
      <c r="J102" s="25"/>
      <c r="K102" s="69"/>
      <c r="L102" s="68"/>
      <c r="M102" s="28"/>
      <c r="N102" s="88" t="str">
        <f aca="false">IF(OR(A102="",B102="",L102="Clos"),"",P_DateRef-B102)</f>
        <v/>
      </c>
      <c r="O102" s="74" t="str">
        <f aca="false">IF(OR(A102="",L102="Clos"),"",IF(AND(K102&lt;&gt;"",P_DateRef&gt;K102),"Échéance dépassée","Suivi en cours"))</f>
        <v/>
      </c>
    </row>
    <row r="103" customFormat="false" ht="15" hidden="false" customHeight="false" outlineLevel="0" collapsed="false">
      <c r="A103" s="68"/>
      <c r="B103" s="69"/>
      <c r="C103" s="25"/>
      <c r="D103" s="68"/>
      <c r="E103" s="25"/>
      <c r="F103" s="25"/>
      <c r="G103" s="25"/>
      <c r="H103" s="25"/>
      <c r="I103" s="25"/>
      <c r="J103" s="25"/>
      <c r="K103" s="69"/>
      <c r="L103" s="68"/>
      <c r="M103" s="28"/>
      <c r="N103" s="88" t="str">
        <f aca="false">IF(OR(A103="",B103="",L103="Clos"),"",P_DateRef-B103)</f>
        <v/>
      </c>
      <c r="O103" s="74" t="str">
        <f aca="false">IF(OR(A103="",L103="Clos"),"",IF(AND(K103&lt;&gt;"",P_DateRef&gt;K103),"Échéance dépassée","Suivi en cours"))</f>
        <v/>
      </c>
    </row>
    <row r="104" customFormat="false" ht="15" hidden="false" customHeight="false" outlineLevel="0" collapsed="false">
      <c r="A104" s="68"/>
      <c r="B104" s="69"/>
      <c r="C104" s="25"/>
      <c r="D104" s="68"/>
      <c r="E104" s="25"/>
      <c r="F104" s="25"/>
      <c r="G104" s="25"/>
      <c r="H104" s="25"/>
      <c r="I104" s="25"/>
      <c r="J104" s="25"/>
      <c r="K104" s="69"/>
      <c r="L104" s="68"/>
      <c r="M104" s="28"/>
      <c r="N104" s="88" t="str">
        <f aca="false">IF(OR(A104="",B104="",L104="Clos"),"",P_DateRef-B104)</f>
        <v/>
      </c>
      <c r="O104" s="74" t="str">
        <f aca="false">IF(OR(A104="",L104="Clos"),"",IF(AND(K104&lt;&gt;"",P_DateRef&gt;K104),"Échéance dépassée","Suivi en cours"))</f>
        <v/>
      </c>
    </row>
    <row r="105" customFormat="false" ht="15" hidden="false" customHeight="false" outlineLevel="0" collapsed="false">
      <c r="A105" s="68"/>
      <c r="B105" s="69"/>
      <c r="C105" s="25"/>
      <c r="D105" s="68"/>
      <c r="E105" s="25"/>
      <c r="F105" s="25"/>
      <c r="G105" s="25"/>
      <c r="H105" s="25"/>
      <c r="I105" s="25"/>
      <c r="J105" s="25"/>
      <c r="K105" s="69"/>
      <c r="L105" s="68"/>
      <c r="M105" s="28"/>
      <c r="N105" s="88" t="str">
        <f aca="false">IF(OR(A105="",B105="",L105="Clos"),"",P_DateRef-B105)</f>
        <v/>
      </c>
      <c r="O105" s="74" t="str">
        <f aca="false">IF(OR(A105="",L105="Clos"),"",IF(AND(K105&lt;&gt;"",P_DateRef&gt;K105),"Échéance dépassée","Suivi en cours"))</f>
        <v/>
      </c>
    </row>
    <row r="106" customFormat="false" ht="15" hidden="false" customHeight="false" outlineLevel="0" collapsed="false">
      <c r="A106" s="68"/>
      <c r="B106" s="69"/>
      <c r="C106" s="25"/>
      <c r="D106" s="68"/>
      <c r="E106" s="25"/>
      <c r="F106" s="25"/>
      <c r="G106" s="25"/>
      <c r="H106" s="25"/>
      <c r="I106" s="25"/>
      <c r="J106" s="25"/>
      <c r="K106" s="69"/>
      <c r="L106" s="68"/>
      <c r="M106" s="28"/>
      <c r="N106" s="88" t="str">
        <f aca="false">IF(OR(A106="",B106="",L106="Clos"),"",P_DateRef-B106)</f>
        <v/>
      </c>
      <c r="O106" s="74" t="str">
        <f aca="false">IF(OR(A106="",L106="Clos"),"",IF(AND(K106&lt;&gt;"",P_DateRef&gt;K106),"Échéance dépassée","Suivi en cours"))</f>
        <v/>
      </c>
    </row>
  </sheetData>
  <autoFilter ref="A6:O106"/>
  <mergeCells count="4">
    <mergeCell ref="A1:O1"/>
    <mergeCell ref="A2:O2"/>
    <mergeCell ref="A3:O3"/>
    <mergeCell ref="A4:O4"/>
  </mergeCells>
  <conditionalFormatting sqref="L7:L106">
    <cfRule type="cellIs" priority="2" operator="equal" aboveAverage="0" equalAverage="0" bottom="0" percent="0" rank="0" text="" dxfId="3">
      <formula>"Ouvert"</formula>
    </cfRule>
    <cfRule type="cellIs" priority="3" operator="equal" aboveAverage="0" equalAverage="0" bottom="0" percent="0" rank="0" text="" dxfId="2">
      <formula>"En cours"</formula>
    </cfRule>
    <cfRule type="cellIs" priority="4" operator="equal" aboveAverage="0" equalAverage="0" bottom="0" percent="0" rank="0" text="" dxfId="1">
      <formula>"Clos"</formula>
    </cfRule>
  </conditionalFormatting>
  <conditionalFormatting sqref="D7:D106">
    <cfRule type="cellIs" priority="5" operator="equal" aboveAverage="0" equalAverage="0" bottom="0" percent="0" rank="0" text="" dxfId="3">
      <formula>"Majeure"</formula>
    </cfRule>
    <cfRule type="cellIs" priority="6" operator="equal" aboveAverage="0" equalAverage="0" bottom="0" percent="0" rank="0" text="" dxfId="2">
      <formula>"Moyenne"</formula>
    </cfRule>
    <cfRule type="cellIs" priority="7" operator="equal" aboveAverage="0" equalAverage="0" bottom="0" percent="0" rank="0" text="" dxfId="5">
      <formula>"Mineure"</formula>
    </cfRule>
  </conditionalFormatting>
  <conditionalFormatting sqref="O7:O106">
    <cfRule type="cellIs" priority="8" operator="equal" aboveAverage="0" equalAverage="0" bottom="0" percent="0" rank="0" text="" dxfId="3">
      <formula>"Échéance dépassée"</formula>
    </cfRule>
  </conditionalFormatting>
  <dataValidations count="4">
    <dataValidation allowBlank="true" errorStyle="stop" operator="between" showDropDown="false" showErrorMessage="true" showInputMessage="false" sqref="C7:C106" type="list">
      <formula1>L_TypeInc</formula1>
      <formula2>0</formula2>
    </dataValidation>
    <dataValidation allowBlank="true" errorStyle="stop" operator="between" showDropDown="false" showErrorMessage="true" showInputMessage="false" sqref="D7:D106" type="list">
      <formula1>L_Gravite</formula1>
      <formula2>0</formula2>
    </dataValidation>
    <dataValidation allowBlank="true" errorStyle="stop" operator="between" showDropDown="false" showErrorMessage="true" showInputMessage="false" sqref="E7:E106" type="list">
      <formula1>L_Lots</formula1>
      <formula2>0</formula2>
    </dataValidation>
    <dataValidation allowBlank="true" errorStyle="stop" operator="between" showDropDown="false" showErrorMessage="true" showInputMessage="false" sqref="L7:L106" type="list">
      <formula1>L_StatInc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true"/>
  </sheetPr>
  <dimension ref="A1:S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10" min="9" style="0" width="7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8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9" min="18" style="0" width="14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customFormat="false" ht="19.5" hidden="false" customHeight="true" outlineLevel="0" collapsed="false">
      <c r="A2" s="20" t="s">
        <v>744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30" hidden="false" customHeight="true" outlineLevel="0" collapsed="false">
      <c r="A4" s="21" t="s">
        <v>745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6" customFormat="false" ht="31.5" hidden="false" customHeight="true" outlineLevel="0" collapsed="false">
      <c r="A6" s="23" t="s">
        <v>280</v>
      </c>
      <c r="B6" s="23" t="s">
        <v>571</v>
      </c>
      <c r="C6" s="23" t="s">
        <v>301</v>
      </c>
      <c r="D6" s="23" t="s">
        <v>746</v>
      </c>
      <c r="E6" s="23" t="s">
        <v>747</v>
      </c>
      <c r="F6" s="23" t="s">
        <v>113</v>
      </c>
      <c r="G6" s="23" t="s">
        <v>114</v>
      </c>
      <c r="H6" s="23" t="s">
        <v>748</v>
      </c>
      <c r="I6" s="23" t="s">
        <v>749</v>
      </c>
      <c r="J6" s="23" t="s">
        <v>750</v>
      </c>
      <c r="K6" s="23" t="s">
        <v>751</v>
      </c>
      <c r="L6" s="23" t="s">
        <v>302</v>
      </c>
      <c r="M6" s="23" t="s">
        <v>752</v>
      </c>
      <c r="N6" s="23" t="s">
        <v>753</v>
      </c>
      <c r="O6" s="23" t="s">
        <v>754</v>
      </c>
      <c r="P6" s="23" t="s">
        <v>721</v>
      </c>
      <c r="Q6" s="23" t="s">
        <v>755</v>
      </c>
      <c r="R6" s="23" t="s">
        <v>756</v>
      </c>
      <c r="S6" s="23" t="s">
        <v>757</v>
      </c>
    </row>
    <row r="7" customFormat="false" ht="23.85" hidden="false" customHeight="false" outlineLevel="0" collapsed="false">
      <c r="A7" s="68" t="s">
        <v>758</v>
      </c>
      <c r="B7" s="69" t="n">
        <v>46248</v>
      </c>
      <c r="C7" s="25" t="s">
        <v>154</v>
      </c>
      <c r="D7" s="25" t="s">
        <v>759</v>
      </c>
      <c r="E7" s="25" t="s">
        <v>760</v>
      </c>
      <c r="F7" s="25" t="s">
        <v>195</v>
      </c>
      <c r="G7" s="25" t="s">
        <v>178</v>
      </c>
      <c r="H7" s="25" t="s">
        <v>761</v>
      </c>
      <c r="I7" s="91" t="n">
        <v>30</v>
      </c>
      <c r="J7" s="91"/>
      <c r="K7" s="91" t="n">
        <v>42</v>
      </c>
      <c r="L7" s="68" t="s">
        <v>762</v>
      </c>
      <c r="M7" s="68"/>
      <c r="N7" s="74" t="str">
        <f aca="false">IF(A7="","",IF(ISNUMBER(K7),IF(AND(OR(I7="",K7&gt;=I7),OR(J7="",K7&lt;=J7)),"Conforme","Non conforme"),IF(M7="","En attente",M7)))</f>
        <v>Conforme</v>
      </c>
      <c r="O7" s="25" t="s">
        <v>763</v>
      </c>
      <c r="P7" s="25"/>
      <c r="Q7" s="69"/>
      <c r="R7" s="74" t="str">
        <f aca="false">IF(A7="","",IF(N7="Non conforme",IF(Q7="","NC ouverte","NC levée"),IF(N7="Réserve",IF(Q7="","Réserve ouverte","Réserve levée"),IF(N7="En attente","À contrôler","Clos"))))</f>
        <v>Clos</v>
      </c>
      <c r="S7" s="25" t="s">
        <v>764</v>
      </c>
    </row>
    <row r="8" customFormat="false" ht="23.85" hidden="false" customHeight="false" outlineLevel="0" collapsed="false">
      <c r="A8" s="68" t="s">
        <v>765</v>
      </c>
      <c r="B8" s="69" t="n">
        <v>46267</v>
      </c>
      <c r="C8" s="25" t="s">
        <v>206</v>
      </c>
      <c r="D8" s="25" t="s">
        <v>766</v>
      </c>
      <c r="E8" s="25" t="s">
        <v>767</v>
      </c>
      <c r="F8" s="25" t="s">
        <v>135</v>
      </c>
      <c r="G8" s="25" t="s">
        <v>157</v>
      </c>
      <c r="H8" s="25" t="s">
        <v>768</v>
      </c>
      <c r="I8" s="91"/>
      <c r="J8" s="91"/>
      <c r="K8" s="91"/>
      <c r="L8" s="68"/>
      <c r="M8" s="68" t="s">
        <v>137</v>
      </c>
      <c r="N8" s="74" t="str">
        <f aca="false">IF(A8="","",IF(ISNUMBER(K8),IF(AND(OR(I8="",K8&gt;=I8),OR(J8="",K8&lt;=J8)),"Conforme","Non conforme"),IF(M8="","En attente",M8)))</f>
        <v>Conforme</v>
      </c>
      <c r="O8" s="25" t="s">
        <v>769</v>
      </c>
      <c r="P8" s="25"/>
      <c r="Q8" s="69"/>
      <c r="R8" s="74" t="str">
        <f aca="false">IF(A8="","",IF(N8="Non conforme",IF(Q8="","NC ouverte","NC levée"),IF(N8="Réserve",IF(Q8="","Réserve ouverte","Réserve levée"),IF(N8="En attente","À contrôler","Clos"))))</f>
        <v>Clos</v>
      </c>
      <c r="S8" s="25" t="s">
        <v>770</v>
      </c>
    </row>
    <row r="9" customFormat="false" ht="23.85" hidden="false" customHeight="false" outlineLevel="0" collapsed="false">
      <c r="A9" s="68" t="s">
        <v>771</v>
      </c>
      <c r="B9" s="69" t="n">
        <v>46268</v>
      </c>
      <c r="C9" s="25" t="s">
        <v>206</v>
      </c>
      <c r="D9" s="25" t="s">
        <v>772</v>
      </c>
      <c r="E9" s="25" t="s">
        <v>773</v>
      </c>
      <c r="F9" s="25" t="s">
        <v>177</v>
      </c>
      <c r="G9" s="25" t="s">
        <v>136</v>
      </c>
      <c r="H9" s="25" t="s">
        <v>774</v>
      </c>
      <c r="I9" s="91" t="n">
        <v>6</v>
      </c>
      <c r="J9" s="91" t="n">
        <v>10</v>
      </c>
      <c r="K9" s="91" t="n">
        <v>8</v>
      </c>
      <c r="L9" s="68" t="s">
        <v>775</v>
      </c>
      <c r="M9" s="68"/>
      <c r="N9" s="74" t="str">
        <f aca="false">IF(A9="","",IF(ISNUMBER(K9),IF(AND(OR(I9="",K9&gt;=I9),OR(J9="",K9&lt;=J9)),"Conforme","Non conforme"),IF(M9="","En attente",M9)))</f>
        <v>Conforme</v>
      </c>
      <c r="O9" s="25"/>
      <c r="P9" s="25"/>
      <c r="Q9" s="69"/>
      <c r="R9" s="74" t="str">
        <f aca="false">IF(A9="","",IF(N9="Non conforme",IF(Q9="","NC ouverte","NC levée"),IF(N9="Réserve",IF(Q9="","Réserve ouverte","Réserve levée"),IF(N9="En attente","À contrôler","Clos"))))</f>
        <v>Clos</v>
      </c>
      <c r="S9" s="25"/>
    </row>
    <row r="10" customFormat="false" ht="23.85" hidden="false" customHeight="false" outlineLevel="0" collapsed="false">
      <c r="A10" s="68" t="s">
        <v>776</v>
      </c>
      <c r="B10" s="69" t="n">
        <v>46296</v>
      </c>
      <c r="C10" s="25" t="s">
        <v>206</v>
      </c>
      <c r="D10" s="25" t="s">
        <v>772</v>
      </c>
      <c r="E10" s="25" t="s">
        <v>777</v>
      </c>
      <c r="F10" s="25" t="s">
        <v>195</v>
      </c>
      <c r="G10" s="25" t="s">
        <v>178</v>
      </c>
      <c r="H10" s="25" t="s">
        <v>778</v>
      </c>
      <c r="I10" s="91" t="n">
        <v>25</v>
      </c>
      <c r="J10" s="91"/>
      <c r="K10" s="91" t="n">
        <v>27.8</v>
      </c>
      <c r="L10" s="68" t="s">
        <v>779</v>
      </c>
      <c r="M10" s="68"/>
      <c r="N10" s="74" t="str">
        <f aca="false">IF(A10="","",IF(ISNUMBER(K10),IF(AND(OR(I10="",K10&gt;=I10),OR(J10="",K10&lt;=J10)),"Conforme","Non conforme"),IF(M10="","En attente",M10)))</f>
        <v>Conforme</v>
      </c>
      <c r="O10" s="25"/>
      <c r="P10" s="25"/>
      <c r="Q10" s="69"/>
      <c r="R10" s="74" t="str">
        <f aca="false">IF(A10="","",IF(N10="Non conforme",IF(Q10="","NC ouverte","NC levée"),IF(N10="Réserve",IF(Q10="","Réserve ouverte","Réserve levée"),IF(N10="En attente","À contrôler","Clos"))))</f>
        <v>Clos</v>
      </c>
      <c r="S10" s="25" t="s">
        <v>780</v>
      </c>
    </row>
    <row r="11" customFormat="false" ht="23.85" hidden="false" customHeight="false" outlineLevel="0" collapsed="false">
      <c r="A11" s="68" t="s">
        <v>781</v>
      </c>
      <c r="B11" s="69" t="n">
        <v>46293</v>
      </c>
      <c r="C11" s="25" t="s">
        <v>154</v>
      </c>
      <c r="D11" s="25" t="s">
        <v>782</v>
      </c>
      <c r="E11" s="25" t="s">
        <v>783</v>
      </c>
      <c r="F11" s="25" t="s">
        <v>195</v>
      </c>
      <c r="G11" s="25" t="s">
        <v>178</v>
      </c>
      <c r="H11" s="25" t="s">
        <v>784</v>
      </c>
      <c r="I11" s="91" t="n">
        <v>95</v>
      </c>
      <c r="J11" s="91"/>
      <c r="K11" s="91" t="n">
        <v>97.1</v>
      </c>
      <c r="L11" s="68" t="s">
        <v>785</v>
      </c>
      <c r="M11" s="68"/>
      <c r="N11" s="74" t="str">
        <f aca="false">IF(A11="","",IF(ISNUMBER(K11),IF(AND(OR(I11="",K11&gt;=I11),OR(J11="",K11&lt;=J11)),"Conforme","Non conforme"),IF(M11="","En attente",M11)))</f>
        <v>Conforme</v>
      </c>
      <c r="O11" s="25"/>
      <c r="P11" s="25"/>
      <c r="Q11" s="69"/>
      <c r="R11" s="74" t="str">
        <f aca="false">IF(A11="","",IF(N11="Non conforme",IF(Q11="","NC ouverte","NC levée"),IF(N11="Réserve",IF(Q11="","Réserve ouverte","Réserve levée"),IF(N11="En attente","À contrôler","Clos"))))</f>
        <v>Clos</v>
      </c>
      <c r="S11" s="25" t="s">
        <v>786</v>
      </c>
    </row>
    <row r="12" customFormat="false" ht="23.85" hidden="false" customHeight="false" outlineLevel="0" collapsed="false">
      <c r="A12" s="68" t="s">
        <v>787</v>
      </c>
      <c r="B12" s="69" t="n">
        <v>46303</v>
      </c>
      <c r="C12" s="25" t="s">
        <v>154</v>
      </c>
      <c r="D12" s="25" t="s">
        <v>788</v>
      </c>
      <c r="E12" s="25" t="s">
        <v>789</v>
      </c>
      <c r="F12" s="25" t="s">
        <v>177</v>
      </c>
      <c r="G12" s="25" t="s">
        <v>136</v>
      </c>
      <c r="H12" s="25" t="s">
        <v>790</v>
      </c>
      <c r="I12" s="91" t="n">
        <v>0.18</v>
      </c>
      <c r="J12" s="91"/>
      <c r="K12" s="91" t="n">
        <v>0.19</v>
      </c>
      <c r="L12" s="68" t="s">
        <v>199</v>
      </c>
      <c r="M12" s="68"/>
      <c r="N12" s="74" t="str">
        <f aca="false">IF(A12="","",IF(ISNUMBER(K12),IF(AND(OR(I12="",K12&gt;=I12),OR(J12="",K12&lt;=J12)),"Conforme","Non conforme"),IF(M12="","En attente",M12)))</f>
        <v>Conforme</v>
      </c>
      <c r="O12" s="25"/>
      <c r="P12" s="25"/>
      <c r="Q12" s="69"/>
      <c r="R12" s="74" t="str">
        <f aca="false">IF(A12="","",IF(N12="Non conforme",IF(Q12="","NC ouverte","NC levée"),IF(N12="Réserve",IF(Q12="","Réserve ouverte","Réserve levée"),IF(N12="En attente","À contrôler","Clos"))))</f>
        <v>Clos</v>
      </c>
      <c r="S12" s="25"/>
    </row>
    <row r="13" customFormat="false" ht="23.85" hidden="false" customHeight="false" outlineLevel="0" collapsed="false">
      <c r="A13" s="68" t="s">
        <v>791</v>
      </c>
      <c r="B13" s="69" t="n">
        <v>46309</v>
      </c>
      <c r="C13" s="25" t="s">
        <v>154</v>
      </c>
      <c r="D13" s="25" t="s">
        <v>792</v>
      </c>
      <c r="E13" s="25" t="s">
        <v>783</v>
      </c>
      <c r="F13" s="25" t="s">
        <v>135</v>
      </c>
      <c r="G13" s="25" t="s">
        <v>157</v>
      </c>
      <c r="H13" s="25" t="s">
        <v>784</v>
      </c>
      <c r="I13" s="91" t="n">
        <v>95</v>
      </c>
      <c r="J13" s="91"/>
      <c r="K13" s="91" t="n">
        <v>93.5</v>
      </c>
      <c r="L13" s="68" t="s">
        <v>785</v>
      </c>
      <c r="M13" s="68"/>
      <c r="N13" s="74" t="str">
        <f aca="false">IF(A13="","",IF(ISNUMBER(K13),IF(AND(OR(I13="",K13&gt;=I13),OR(J13="",K13&lt;=J13)),"Conforme","Non conforme"),IF(M13="","En attente",M13)))</f>
        <v>Non conforme</v>
      </c>
      <c r="O13" s="25" t="s">
        <v>793</v>
      </c>
      <c r="P13" s="25" t="s">
        <v>214</v>
      </c>
      <c r="Q13" s="69"/>
      <c r="R13" s="74" t="str">
        <f aca="false">IF(A13="","",IF(N13="Non conforme",IF(Q13="","NC ouverte","NC levée"),IF(N13="Réserve",IF(Q13="","Réserve ouverte","Réserve levée"),IF(N13="En attente","À contrôler","Clos"))))</f>
        <v>NC ouverte</v>
      </c>
      <c r="S13" s="25" t="s">
        <v>794</v>
      </c>
    </row>
    <row r="14" customFormat="false" ht="23.85" hidden="false" customHeight="false" outlineLevel="0" collapsed="false">
      <c r="A14" s="68" t="s">
        <v>795</v>
      </c>
      <c r="B14" s="69" t="n">
        <v>46300</v>
      </c>
      <c r="C14" s="25" t="s">
        <v>194</v>
      </c>
      <c r="D14" s="25" t="s">
        <v>796</v>
      </c>
      <c r="E14" s="25" t="s">
        <v>797</v>
      </c>
      <c r="F14" s="25" t="s">
        <v>156</v>
      </c>
      <c r="G14" s="25" t="s">
        <v>157</v>
      </c>
      <c r="H14" s="25" t="s">
        <v>798</v>
      </c>
      <c r="I14" s="91" t="n">
        <v>1</v>
      </c>
      <c r="J14" s="91" t="n">
        <v>3</v>
      </c>
      <c r="K14" s="91" t="n">
        <v>1.8</v>
      </c>
      <c r="L14" s="68" t="s">
        <v>799</v>
      </c>
      <c r="M14" s="68"/>
      <c r="N14" s="74" t="str">
        <f aca="false">IF(A14="","",IF(ISNUMBER(K14),IF(AND(OR(I14="",K14&gt;=I14),OR(J14="",K14&lt;=J14)),"Conforme","Non conforme"),IF(M14="","En attente",M14)))</f>
        <v>Conforme</v>
      </c>
      <c r="O14" s="25"/>
      <c r="P14" s="25"/>
      <c r="Q14" s="69"/>
      <c r="R14" s="74" t="str">
        <f aca="false">IF(A14="","",IF(N14="Non conforme",IF(Q14="","NC ouverte","NC levée"),IF(N14="Réserve",IF(Q14="","Réserve ouverte","Réserve levée"),IF(N14="En attente","À contrôler","Clos"))))</f>
        <v>Clos</v>
      </c>
      <c r="S14" s="25"/>
    </row>
    <row r="15" customFormat="false" ht="23.85" hidden="false" customHeight="false" outlineLevel="0" collapsed="false">
      <c r="A15" s="68" t="s">
        <v>800</v>
      </c>
      <c r="B15" s="69" t="n">
        <v>46307</v>
      </c>
      <c r="C15" s="25" t="s">
        <v>194</v>
      </c>
      <c r="D15" s="25" t="s">
        <v>801</v>
      </c>
      <c r="E15" s="25" t="s">
        <v>802</v>
      </c>
      <c r="F15" s="25" t="s">
        <v>135</v>
      </c>
      <c r="G15" s="25" t="s">
        <v>157</v>
      </c>
      <c r="H15" s="25" t="s">
        <v>803</v>
      </c>
      <c r="I15" s="91" t="n">
        <v>0.6</v>
      </c>
      <c r="J15" s="91"/>
      <c r="K15" s="91" t="n">
        <v>0.55</v>
      </c>
      <c r="L15" s="68" t="s">
        <v>199</v>
      </c>
      <c r="M15" s="68"/>
      <c r="N15" s="74" t="str">
        <f aca="false">IF(A15="","",IF(ISNUMBER(K15),IF(AND(OR(I15="",K15&gt;=I15),OR(J15="",K15&lt;=J15)),"Conforme","Non conforme"),IF(M15="","En attente",M15)))</f>
        <v>Non conforme</v>
      </c>
      <c r="O15" s="25" t="s">
        <v>804</v>
      </c>
      <c r="P15" s="25" t="s">
        <v>214</v>
      </c>
      <c r="Q15" s="69" t="n">
        <v>46310</v>
      </c>
      <c r="R15" s="74" t="str">
        <f aca="false">IF(A15="","",IF(N15="Non conforme",IF(Q15="","NC ouverte","NC levée"),IF(N15="Réserve",IF(Q15="","Réserve ouverte","Réserve levée"),IF(N15="En attente","À contrôler","Clos"))))</f>
        <v>NC levée</v>
      </c>
      <c r="S15" s="25" t="s">
        <v>805</v>
      </c>
    </row>
    <row r="16" customFormat="false" ht="23.85" hidden="false" customHeight="false" outlineLevel="0" collapsed="false">
      <c r="A16" s="68" t="s">
        <v>806</v>
      </c>
      <c r="B16" s="69" t="n">
        <v>46304</v>
      </c>
      <c r="C16" s="25" t="s">
        <v>218</v>
      </c>
      <c r="D16" s="25" t="s">
        <v>807</v>
      </c>
      <c r="E16" s="25" t="s">
        <v>808</v>
      </c>
      <c r="F16" s="25" t="s">
        <v>135</v>
      </c>
      <c r="G16" s="25" t="s">
        <v>157</v>
      </c>
      <c r="H16" s="25" t="s">
        <v>809</v>
      </c>
      <c r="I16" s="91"/>
      <c r="J16" s="91"/>
      <c r="K16" s="91"/>
      <c r="L16" s="68"/>
      <c r="M16" s="68" t="s">
        <v>137</v>
      </c>
      <c r="N16" s="74" t="str">
        <f aca="false">IF(A16="","",IF(ISNUMBER(K16),IF(AND(OR(I16="",K16&gt;=I16),OR(J16="",K16&lt;=J16)),"Conforme","Non conforme"),IF(M16="","En attente",M16)))</f>
        <v>Conforme</v>
      </c>
      <c r="O16" s="25" t="s">
        <v>810</v>
      </c>
      <c r="P16" s="25"/>
      <c r="Q16" s="69"/>
      <c r="R16" s="74" t="str">
        <f aca="false">IF(A16="","",IF(N16="Non conforme",IF(Q16="","NC ouverte","NC levée"),IF(N16="Réserve",IF(Q16="","Réserve ouverte","Réserve levée"),IF(N16="En attente","À contrôler","Clos"))))</f>
        <v>Clos</v>
      </c>
      <c r="S16" s="25" t="s">
        <v>811</v>
      </c>
    </row>
    <row r="17" customFormat="false" ht="23.85" hidden="false" customHeight="false" outlineLevel="0" collapsed="false">
      <c r="A17" s="68" t="s">
        <v>812</v>
      </c>
      <c r="B17" s="69" t="n">
        <v>46308</v>
      </c>
      <c r="C17" s="25" t="s">
        <v>234</v>
      </c>
      <c r="D17" s="25" t="s">
        <v>813</v>
      </c>
      <c r="E17" s="25" t="s">
        <v>223</v>
      </c>
      <c r="F17" s="25" t="s">
        <v>135</v>
      </c>
      <c r="G17" s="25" t="s">
        <v>157</v>
      </c>
      <c r="H17" s="25" t="s">
        <v>814</v>
      </c>
      <c r="I17" s="91"/>
      <c r="J17" s="91"/>
      <c r="K17" s="91"/>
      <c r="L17" s="68"/>
      <c r="M17" s="68" t="s">
        <v>179</v>
      </c>
      <c r="N17" s="74" t="str">
        <f aca="false">IF(A17="","",IF(ISNUMBER(K17),IF(AND(OR(I17="",K17&gt;=I17),OR(J17="",K17&lt;=J17)),"Conforme","Non conforme"),IF(M17="","En attente",M17)))</f>
        <v>Réserve</v>
      </c>
      <c r="O17" s="25" t="s">
        <v>815</v>
      </c>
      <c r="P17" s="25" t="s">
        <v>613</v>
      </c>
      <c r="Q17" s="69"/>
      <c r="R17" s="74" t="str">
        <f aca="false">IF(A17="","",IF(N17="Non conforme",IF(Q17="","NC ouverte","NC levée"),IF(N17="Réserve",IF(Q17="","Réserve ouverte","Réserve levée"),IF(N17="En attente","À contrôler","Clos"))))</f>
        <v>Réserve ouverte</v>
      </c>
      <c r="S17" s="25"/>
    </row>
    <row r="18" customFormat="false" ht="23.85" hidden="false" customHeight="false" outlineLevel="0" collapsed="false">
      <c r="A18" s="68" t="s">
        <v>816</v>
      </c>
      <c r="B18" s="69" t="n">
        <v>46310</v>
      </c>
      <c r="C18" s="25" t="s">
        <v>228</v>
      </c>
      <c r="D18" s="25" t="s">
        <v>817</v>
      </c>
      <c r="E18" s="25" t="s">
        <v>818</v>
      </c>
      <c r="F18" s="25" t="s">
        <v>177</v>
      </c>
      <c r="G18" s="25" t="s">
        <v>136</v>
      </c>
      <c r="H18" s="25" t="s">
        <v>819</v>
      </c>
      <c r="I18" s="91"/>
      <c r="J18" s="91" t="n">
        <v>1</v>
      </c>
      <c r="K18" s="91" t="n">
        <v>0.5</v>
      </c>
      <c r="L18" s="68" t="s">
        <v>775</v>
      </c>
      <c r="M18" s="68"/>
      <c r="N18" s="74" t="str">
        <f aca="false">IF(A18="","",IF(ISNUMBER(K18),IF(AND(OR(I18="",K18&gt;=I18),OR(J18="",K18&lt;=J18)),"Conforme","Non conforme"),IF(M18="","En attente",M18)))</f>
        <v>Conforme</v>
      </c>
      <c r="O18" s="25"/>
      <c r="P18" s="25"/>
      <c r="Q18" s="69"/>
      <c r="R18" s="74" t="str">
        <f aca="false">IF(A18="","",IF(N18="Non conforme",IF(Q18="","NC ouverte","NC levée"),IF(N18="Réserve",IF(Q18="","Réserve ouverte","Réserve levée"),IF(N18="En attente","À contrôler","Clos"))))</f>
        <v>Clos</v>
      </c>
      <c r="S18" s="25"/>
    </row>
    <row r="19" customFormat="false" ht="23.85" hidden="false" customHeight="false" outlineLevel="0" collapsed="false">
      <c r="A19" s="68" t="s">
        <v>820</v>
      </c>
      <c r="B19" s="69" t="n">
        <v>46311</v>
      </c>
      <c r="C19" s="25" t="s">
        <v>206</v>
      </c>
      <c r="D19" s="25" t="s">
        <v>821</v>
      </c>
      <c r="E19" s="25" t="s">
        <v>767</v>
      </c>
      <c r="F19" s="25" t="s">
        <v>135</v>
      </c>
      <c r="G19" s="25" t="s">
        <v>157</v>
      </c>
      <c r="H19" s="25" t="s">
        <v>768</v>
      </c>
      <c r="I19" s="91"/>
      <c r="J19" s="91"/>
      <c r="K19" s="91"/>
      <c r="L19" s="68"/>
      <c r="M19" s="68"/>
      <c r="N19" s="74" t="str">
        <f aca="false">IF(A19="","",IF(ISNUMBER(K19),IF(AND(OR(I19="",K19&gt;=I19),OR(J19="",K19&lt;=J19)),"Conforme","Non conforme"),IF(M19="","En attente",M19)))</f>
        <v>En attente</v>
      </c>
      <c r="O19" s="25" t="s">
        <v>822</v>
      </c>
      <c r="P19" s="25"/>
      <c r="Q19" s="69"/>
      <c r="R19" s="74" t="str">
        <f aca="false">IF(A19="","",IF(N19="Non conforme",IF(Q19="","NC ouverte","NC levée"),IF(N19="Réserve",IF(Q19="","Réserve ouverte","Réserve levée"),IF(N19="En attente","À contrôler","Clos"))))</f>
        <v>À contrôler</v>
      </c>
      <c r="S19" s="25"/>
    </row>
    <row r="20" customFormat="false" ht="15" hidden="false" customHeight="false" outlineLevel="0" collapsed="false">
      <c r="A20" s="68"/>
      <c r="B20" s="69"/>
      <c r="C20" s="25"/>
      <c r="D20" s="25"/>
      <c r="E20" s="25"/>
      <c r="F20" s="25"/>
      <c r="G20" s="25"/>
      <c r="H20" s="25"/>
      <c r="I20" s="91"/>
      <c r="J20" s="91"/>
      <c r="K20" s="91"/>
      <c r="L20" s="68"/>
      <c r="M20" s="68"/>
      <c r="N20" s="74" t="str">
        <f aca="false">IF(A20="","",IF(ISNUMBER(K20),IF(AND(OR(I20="",K20&gt;=I20),OR(J20="",K20&lt;=J20)),"Conforme","Non conforme"),IF(M20="","En attente",M20)))</f>
        <v/>
      </c>
      <c r="O20" s="25"/>
      <c r="P20" s="25"/>
      <c r="Q20" s="69"/>
      <c r="R20" s="74" t="str">
        <f aca="false">IF(A20="","",IF(N20="Non conforme",IF(Q20="","NC ouverte","NC levée"),IF(N20="Réserve",IF(Q20="","Réserve ouverte","Réserve levée"),IF(N20="En attente","À contrôler","Clos"))))</f>
        <v/>
      </c>
      <c r="S20" s="25"/>
    </row>
    <row r="21" customFormat="false" ht="15" hidden="false" customHeight="false" outlineLevel="0" collapsed="false">
      <c r="A21" s="68"/>
      <c r="B21" s="69"/>
      <c r="C21" s="25"/>
      <c r="D21" s="25"/>
      <c r="E21" s="25"/>
      <c r="F21" s="25"/>
      <c r="G21" s="25"/>
      <c r="H21" s="25"/>
      <c r="I21" s="91"/>
      <c r="J21" s="91"/>
      <c r="K21" s="91"/>
      <c r="L21" s="68"/>
      <c r="M21" s="68"/>
      <c r="N21" s="74" t="str">
        <f aca="false">IF(A21="","",IF(ISNUMBER(K21),IF(AND(OR(I21="",K21&gt;=I21),OR(J21="",K21&lt;=J21)),"Conforme","Non conforme"),IF(M21="","En attente",M21)))</f>
        <v/>
      </c>
      <c r="O21" s="25"/>
      <c r="P21" s="25"/>
      <c r="Q21" s="69"/>
      <c r="R21" s="74" t="str">
        <f aca="false">IF(A21="","",IF(N21="Non conforme",IF(Q21="","NC ouverte","NC levée"),IF(N21="Réserve",IF(Q21="","Réserve ouverte","Réserve levée"),IF(N21="En attente","À contrôler","Clos"))))</f>
        <v/>
      </c>
      <c r="S21" s="25"/>
    </row>
    <row r="22" customFormat="false" ht="15" hidden="false" customHeight="false" outlineLevel="0" collapsed="false">
      <c r="A22" s="68"/>
      <c r="B22" s="69"/>
      <c r="C22" s="25"/>
      <c r="D22" s="25"/>
      <c r="E22" s="25"/>
      <c r="F22" s="25"/>
      <c r="G22" s="25"/>
      <c r="H22" s="25"/>
      <c r="I22" s="91"/>
      <c r="J22" s="91"/>
      <c r="K22" s="91"/>
      <c r="L22" s="68"/>
      <c r="M22" s="68"/>
      <c r="N22" s="74" t="str">
        <f aca="false">IF(A22="","",IF(ISNUMBER(K22),IF(AND(OR(I22="",K22&gt;=I22),OR(J22="",K22&lt;=J22)),"Conforme","Non conforme"),IF(M22="","En attente",M22)))</f>
        <v/>
      </c>
      <c r="O22" s="25"/>
      <c r="P22" s="25"/>
      <c r="Q22" s="69"/>
      <c r="R22" s="74" t="str">
        <f aca="false">IF(A22="","",IF(N22="Non conforme",IF(Q22="","NC ouverte","NC levée"),IF(N22="Réserve",IF(Q22="","Réserve ouverte","Réserve levée"),IF(N22="En attente","À contrôler","Clos"))))</f>
        <v/>
      </c>
      <c r="S22" s="25"/>
    </row>
    <row r="23" customFormat="false" ht="15" hidden="false" customHeight="false" outlineLevel="0" collapsed="false">
      <c r="A23" s="68"/>
      <c r="B23" s="69"/>
      <c r="C23" s="25"/>
      <c r="D23" s="25"/>
      <c r="E23" s="25"/>
      <c r="F23" s="25"/>
      <c r="G23" s="25"/>
      <c r="H23" s="25"/>
      <c r="I23" s="91"/>
      <c r="J23" s="91"/>
      <c r="K23" s="91"/>
      <c r="L23" s="68"/>
      <c r="M23" s="68"/>
      <c r="N23" s="74" t="str">
        <f aca="false">IF(A23="","",IF(ISNUMBER(K23),IF(AND(OR(I23="",K23&gt;=I23),OR(J23="",K23&lt;=J23)),"Conforme","Non conforme"),IF(M23="","En attente",M23)))</f>
        <v/>
      </c>
      <c r="O23" s="25"/>
      <c r="P23" s="25"/>
      <c r="Q23" s="69"/>
      <c r="R23" s="74" t="str">
        <f aca="false">IF(A23="","",IF(N23="Non conforme",IF(Q23="","NC ouverte","NC levée"),IF(N23="Réserve",IF(Q23="","Réserve ouverte","Réserve levée"),IF(N23="En attente","À contrôler","Clos"))))</f>
        <v/>
      </c>
      <c r="S23" s="25"/>
    </row>
    <row r="24" customFormat="false" ht="15" hidden="false" customHeight="false" outlineLevel="0" collapsed="false">
      <c r="A24" s="68"/>
      <c r="B24" s="69"/>
      <c r="C24" s="25"/>
      <c r="D24" s="25"/>
      <c r="E24" s="25"/>
      <c r="F24" s="25"/>
      <c r="G24" s="25"/>
      <c r="H24" s="25"/>
      <c r="I24" s="91"/>
      <c r="J24" s="91"/>
      <c r="K24" s="91"/>
      <c r="L24" s="68"/>
      <c r="M24" s="68"/>
      <c r="N24" s="74" t="str">
        <f aca="false">IF(A24="","",IF(ISNUMBER(K24),IF(AND(OR(I24="",K24&gt;=I24),OR(J24="",K24&lt;=J24)),"Conforme","Non conforme"),IF(M24="","En attente",M24)))</f>
        <v/>
      </c>
      <c r="O24" s="25"/>
      <c r="P24" s="25"/>
      <c r="Q24" s="69"/>
      <c r="R24" s="74" t="str">
        <f aca="false">IF(A24="","",IF(N24="Non conforme",IF(Q24="","NC ouverte","NC levée"),IF(N24="Réserve",IF(Q24="","Réserve ouverte","Réserve levée"),IF(N24="En attente","À contrôler","Clos"))))</f>
        <v/>
      </c>
      <c r="S24" s="25"/>
    </row>
    <row r="25" customFormat="false" ht="15" hidden="false" customHeight="false" outlineLevel="0" collapsed="false">
      <c r="A25" s="68"/>
      <c r="B25" s="69"/>
      <c r="C25" s="25"/>
      <c r="D25" s="25"/>
      <c r="E25" s="25"/>
      <c r="F25" s="25"/>
      <c r="G25" s="25"/>
      <c r="H25" s="25"/>
      <c r="I25" s="91"/>
      <c r="J25" s="91"/>
      <c r="K25" s="91"/>
      <c r="L25" s="68"/>
      <c r="M25" s="68"/>
      <c r="N25" s="74" t="str">
        <f aca="false">IF(A25="","",IF(ISNUMBER(K25),IF(AND(OR(I25="",K25&gt;=I25),OR(J25="",K25&lt;=J25)),"Conforme","Non conforme"),IF(M25="","En attente",M25)))</f>
        <v/>
      </c>
      <c r="O25" s="25"/>
      <c r="P25" s="25"/>
      <c r="Q25" s="69"/>
      <c r="R25" s="74" t="str">
        <f aca="false">IF(A25="","",IF(N25="Non conforme",IF(Q25="","NC ouverte","NC levée"),IF(N25="Réserve",IF(Q25="","Réserve ouverte","Réserve levée"),IF(N25="En attente","À contrôler","Clos"))))</f>
        <v/>
      </c>
      <c r="S25" s="25"/>
    </row>
    <row r="26" customFormat="false" ht="15" hidden="false" customHeight="false" outlineLevel="0" collapsed="false">
      <c r="A26" s="68"/>
      <c r="B26" s="69"/>
      <c r="C26" s="25"/>
      <c r="D26" s="25"/>
      <c r="E26" s="25"/>
      <c r="F26" s="25"/>
      <c r="G26" s="25"/>
      <c r="H26" s="25"/>
      <c r="I26" s="91"/>
      <c r="J26" s="91"/>
      <c r="K26" s="91"/>
      <c r="L26" s="68"/>
      <c r="M26" s="68"/>
      <c r="N26" s="74" t="str">
        <f aca="false">IF(A26="","",IF(ISNUMBER(K26),IF(AND(OR(I26="",K26&gt;=I26),OR(J26="",K26&lt;=J26)),"Conforme","Non conforme"),IF(M26="","En attente",M26)))</f>
        <v/>
      </c>
      <c r="O26" s="25"/>
      <c r="P26" s="25"/>
      <c r="Q26" s="69"/>
      <c r="R26" s="74" t="str">
        <f aca="false">IF(A26="","",IF(N26="Non conforme",IF(Q26="","NC ouverte","NC levée"),IF(N26="Réserve",IF(Q26="","Réserve ouverte","Réserve levée"),IF(N26="En attente","À contrôler","Clos"))))</f>
        <v/>
      </c>
      <c r="S26" s="25"/>
    </row>
    <row r="27" customFormat="false" ht="15" hidden="false" customHeight="false" outlineLevel="0" collapsed="false">
      <c r="A27" s="68"/>
      <c r="B27" s="69"/>
      <c r="C27" s="25"/>
      <c r="D27" s="25"/>
      <c r="E27" s="25"/>
      <c r="F27" s="25"/>
      <c r="G27" s="25"/>
      <c r="H27" s="25"/>
      <c r="I27" s="91"/>
      <c r="J27" s="91"/>
      <c r="K27" s="91"/>
      <c r="L27" s="68"/>
      <c r="M27" s="68"/>
      <c r="N27" s="74" t="str">
        <f aca="false">IF(A27="","",IF(ISNUMBER(K27),IF(AND(OR(I27="",K27&gt;=I27),OR(J27="",K27&lt;=J27)),"Conforme","Non conforme"),IF(M27="","En attente",M27)))</f>
        <v/>
      </c>
      <c r="O27" s="25"/>
      <c r="P27" s="25"/>
      <c r="Q27" s="69"/>
      <c r="R27" s="74" t="str">
        <f aca="false">IF(A27="","",IF(N27="Non conforme",IF(Q27="","NC ouverte","NC levée"),IF(N27="Réserve",IF(Q27="","Réserve ouverte","Réserve levée"),IF(N27="En attente","À contrôler","Clos"))))</f>
        <v/>
      </c>
      <c r="S27" s="25"/>
    </row>
    <row r="28" customFormat="false" ht="15" hidden="false" customHeight="false" outlineLevel="0" collapsed="false">
      <c r="A28" s="68"/>
      <c r="B28" s="69"/>
      <c r="C28" s="25"/>
      <c r="D28" s="25"/>
      <c r="E28" s="25"/>
      <c r="F28" s="25"/>
      <c r="G28" s="25"/>
      <c r="H28" s="25"/>
      <c r="I28" s="91"/>
      <c r="J28" s="91"/>
      <c r="K28" s="91"/>
      <c r="L28" s="68"/>
      <c r="M28" s="68"/>
      <c r="N28" s="74" t="str">
        <f aca="false">IF(A28="","",IF(ISNUMBER(K28),IF(AND(OR(I28="",K28&gt;=I28),OR(J28="",K28&lt;=J28)),"Conforme","Non conforme"),IF(M28="","En attente",M28)))</f>
        <v/>
      </c>
      <c r="O28" s="25"/>
      <c r="P28" s="25"/>
      <c r="Q28" s="69"/>
      <c r="R28" s="74" t="str">
        <f aca="false">IF(A28="","",IF(N28="Non conforme",IF(Q28="","NC ouverte","NC levée"),IF(N28="Réserve",IF(Q28="","Réserve ouverte","Réserve levée"),IF(N28="En attente","À contrôler","Clos"))))</f>
        <v/>
      </c>
      <c r="S28" s="25"/>
    </row>
    <row r="29" customFormat="false" ht="15" hidden="false" customHeight="false" outlineLevel="0" collapsed="false">
      <c r="A29" s="68"/>
      <c r="B29" s="69"/>
      <c r="C29" s="25"/>
      <c r="D29" s="25"/>
      <c r="E29" s="25"/>
      <c r="F29" s="25"/>
      <c r="G29" s="25"/>
      <c r="H29" s="25"/>
      <c r="I29" s="91"/>
      <c r="J29" s="91"/>
      <c r="K29" s="91"/>
      <c r="L29" s="68"/>
      <c r="M29" s="68"/>
      <c r="N29" s="74" t="str">
        <f aca="false">IF(A29="","",IF(ISNUMBER(K29),IF(AND(OR(I29="",K29&gt;=I29),OR(J29="",K29&lt;=J29)),"Conforme","Non conforme"),IF(M29="","En attente",M29)))</f>
        <v/>
      </c>
      <c r="O29" s="25"/>
      <c r="P29" s="25"/>
      <c r="Q29" s="69"/>
      <c r="R29" s="74" t="str">
        <f aca="false">IF(A29="","",IF(N29="Non conforme",IF(Q29="","NC ouverte","NC levée"),IF(N29="Réserve",IF(Q29="","Réserve ouverte","Réserve levée"),IF(N29="En attente","À contrôler","Clos"))))</f>
        <v/>
      </c>
      <c r="S29" s="25"/>
    </row>
    <row r="30" customFormat="false" ht="15" hidden="false" customHeight="false" outlineLevel="0" collapsed="false">
      <c r="A30" s="68"/>
      <c r="B30" s="69"/>
      <c r="C30" s="25"/>
      <c r="D30" s="25"/>
      <c r="E30" s="25"/>
      <c r="F30" s="25"/>
      <c r="G30" s="25"/>
      <c r="H30" s="25"/>
      <c r="I30" s="91"/>
      <c r="J30" s="91"/>
      <c r="K30" s="91"/>
      <c r="L30" s="68"/>
      <c r="M30" s="68"/>
      <c r="N30" s="74" t="str">
        <f aca="false">IF(A30="","",IF(ISNUMBER(K30),IF(AND(OR(I30="",K30&gt;=I30),OR(J30="",K30&lt;=J30)),"Conforme","Non conforme"),IF(M30="","En attente",M30)))</f>
        <v/>
      </c>
      <c r="O30" s="25"/>
      <c r="P30" s="25"/>
      <c r="Q30" s="69"/>
      <c r="R30" s="74" t="str">
        <f aca="false">IF(A30="","",IF(N30="Non conforme",IF(Q30="","NC ouverte","NC levée"),IF(N30="Réserve",IF(Q30="","Réserve ouverte","Réserve levée"),IF(N30="En attente","À contrôler","Clos"))))</f>
        <v/>
      </c>
      <c r="S30" s="25"/>
    </row>
    <row r="31" customFormat="false" ht="15" hidden="false" customHeight="false" outlineLevel="0" collapsed="false">
      <c r="A31" s="68"/>
      <c r="B31" s="69"/>
      <c r="C31" s="25"/>
      <c r="D31" s="25"/>
      <c r="E31" s="25"/>
      <c r="F31" s="25"/>
      <c r="G31" s="25"/>
      <c r="H31" s="25"/>
      <c r="I31" s="91"/>
      <c r="J31" s="91"/>
      <c r="K31" s="91"/>
      <c r="L31" s="68"/>
      <c r="M31" s="68"/>
      <c r="N31" s="74" t="str">
        <f aca="false">IF(A31="","",IF(ISNUMBER(K31),IF(AND(OR(I31="",K31&gt;=I31),OR(J31="",K31&lt;=J31)),"Conforme","Non conforme"),IF(M31="","En attente",M31)))</f>
        <v/>
      </c>
      <c r="O31" s="25"/>
      <c r="P31" s="25"/>
      <c r="Q31" s="69"/>
      <c r="R31" s="74" t="str">
        <f aca="false">IF(A31="","",IF(N31="Non conforme",IF(Q31="","NC ouverte","NC levée"),IF(N31="Réserve",IF(Q31="","Réserve ouverte","Réserve levée"),IF(N31="En attente","À contrôler","Clos"))))</f>
        <v/>
      </c>
      <c r="S31" s="25"/>
    </row>
    <row r="32" customFormat="false" ht="15" hidden="false" customHeight="false" outlineLevel="0" collapsed="false">
      <c r="A32" s="68"/>
      <c r="B32" s="69"/>
      <c r="C32" s="25"/>
      <c r="D32" s="25"/>
      <c r="E32" s="25"/>
      <c r="F32" s="25"/>
      <c r="G32" s="25"/>
      <c r="H32" s="25"/>
      <c r="I32" s="91"/>
      <c r="J32" s="91"/>
      <c r="K32" s="91"/>
      <c r="L32" s="68"/>
      <c r="M32" s="68"/>
      <c r="N32" s="74" t="str">
        <f aca="false">IF(A32="","",IF(ISNUMBER(K32),IF(AND(OR(I32="",K32&gt;=I32),OR(J32="",K32&lt;=J32)),"Conforme","Non conforme"),IF(M32="","En attente",M32)))</f>
        <v/>
      </c>
      <c r="O32" s="25"/>
      <c r="P32" s="25"/>
      <c r="Q32" s="69"/>
      <c r="R32" s="74" t="str">
        <f aca="false">IF(A32="","",IF(N32="Non conforme",IF(Q32="","NC ouverte","NC levée"),IF(N32="Réserve",IF(Q32="","Réserve ouverte","Réserve levée"),IF(N32="En attente","À contrôler","Clos"))))</f>
        <v/>
      </c>
      <c r="S32" s="25"/>
    </row>
    <row r="33" customFormat="false" ht="15" hidden="false" customHeight="false" outlineLevel="0" collapsed="false">
      <c r="A33" s="68"/>
      <c r="B33" s="69"/>
      <c r="C33" s="25"/>
      <c r="D33" s="25"/>
      <c r="E33" s="25"/>
      <c r="F33" s="25"/>
      <c r="G33" s="25"/>
      <c r="H33" s="25"/>
      <c r="I33" s="91"/>
      <c r="J33" s="91"/>
      <c r="K33" s="91"/>
      <c r="L33" s="68"/>
      <c r="M33" s="68"/>
      <c r="N33" s="74" t="str">
        <f aca="false">IF(A33="","",IF(ISNUMBER(K33),IF(AND(OR(I33="",K33&gt;=I33),OR(J33="",K33&lt;=J33)),"Conforme","Non conforme"),IF(M33="","En attente",M33)))</f>
        <v/>
      </c>
      <c r="O33" s="25"/>
      <c r="P33" s="25"/>
      <c r="Q33" s="69"/>
      <c r="R33" s="74" t="str">
        <f aca="false">IF(A33="","",IF(N33="Non conforme",IF(Q33="","NC ouverte","NC levée"),IF(N33="Réserve",IF(Q33="","Réserve ouverte","Réserve levée"),IF(N33="En attente","À contrôler","Clos"))))</f>
        <v/>
      </c>
      <c r="S33" s="25"/>
    </row>
    <row r="34" customFormat="false" ht="15" hidden="false" customHeight="false" outlineLevel="0" collapsed="false">
      <c r="A34" s="68"/>
      <c r="B34" s="69"/>
      <c r="C34" s="25"/>
      <c r="D34" s="25"/>
      <c r="E34" s="25"/>
      <c r="F34" s="25"/>
      <c r="G34" s="25"/>
      <c r="H34" s="25"/>
      <c r="I34" s="91"/>
      <c r="J34" s="91"/>
      <c r="K34" s="91"/>
      <c r="L34" s="68"/>
      <c r="M34" s="68"/>
      <c r="N34" s="74" t="str">
        <f aca="false">IF(A34="","",IF(ISNUMBER(K34),IF(AND(OR(I34="",K34&gt;=I34),OR(J34="",K34&lt;=J34)),"Conforme","Non conforme"),IF(M34="","En attente",M34)))</f>
        <v/>
      </c>
      <c r="O34" s="25"/>
      <c r="P34" s="25"/>
      <c r="Q34" s="69"/>
      <c r="R34" s="74" t="str">
        <f aca="false">IF(A34="","",IF(N34="Non conforme",IF(Q34="","NC ouverte","NC levée"),IF(N34="Réserve",IF(Q34="","Réserve ouverte","Réserve levée"),IF(N34="En attente","À contrôler","Clos"))))</f>
        <v/>
      </c>
      <c r="S34" s="25"/>
    </row>
    <row r="35" customFormat="false" ht="15" hidden="false" customHeight="false" outlineLevel="0" collapsed="false">
      <c r="A35" s="68"/>
      <c r="B35" s="69"/>
      <c r="C35" s="25"/>
      <c r="D35" s="25"/>
      <c r="E35" s="25"/>
      <c r="F35" s="25"/>
      <c r="G35" s="25"/>
      <c r="H35" s="25"/>
      <c r="I35" s="91"/>
      <c r="J35" s="91"/>
      <c r="K35" s="91"/>
      <c r="L35" s="68"/>
      <c r="M35" s="68"/>
      <c r="N35" s="74" t="str">
        <f aca="false">IF(A35="","",IF(ISNUMBER(K35),IF(AND(OR(I35="",K35&gt;=I35),OR(J35="",K35&lt;=J35)),"Conforme","Non conforme"),IF(M35="","En attente",M35)))</f>
        <v/>
      </c>
      <c r="O35" s="25"/>
      <c r="P35" s="25"/>
      <c r="Q35" s="69"/>
      <c r="R35" s="74" t="str">
        <f aca="false">IF(A35="","",IF(N35="Non conforme",IF(Q35="","NC ouverte","NC levée"),IF(N35="Réserve",IF(Q35="","Réserve ouverte","Réserve levée"),IF(N35="En attente","À contrôler","Clos"))))</f>
        <v/>
      </c>
      <c r="S35" s="25"/>
    </row>
    <row r="36" customFormat="false" ht="15" hidden="false" customHeight="false" outlineLevel="0" collapsed="false">
      <c r="A36" s="68"/>
      <c r="B36" s="69"/>
      <c r="C36" s="25"/>
      <c r="D36" s="25"/>
      <c r="E36" s="25"/>
      <c r="F36" s="25"/>
      <c r="G36" s="25"/>
      <c r="H36" s="25"/>
      <c r="I36" s="91"/>
      <c r="J36" s="91"/>
      <c r="K36" s="91"/>
      <c r="L36" s="68"/>
      <c r="M36" s="68"/>
      <c r="N36" s="74" t="str">
        <f aca="false">IF(A36="","",IF(ISNUMBER(K36),IF(AND(OR(I36="",K36&gt;=I36),OR(J36="",K36&lt;=J36)),"Conforme","Non conforme"),IF(M36="","En attente",M36)))</f>
        <v/>
      </c>
      <c r="O36" s="25"/>
      <c r="P36" s="25"/>
      <c r="Q36" s="69"/>
      <c r="R36" s="74" t="str">
        <f aca="false">IF(A36="","",IF(N36="Non conforme",IF(Q36="","NC ouverte","NC levée"),IF(N36="Réserve",IF(Q36="","Réserve ouverte","Réserve levée"),IF(N36="En attente","À contrôler","Clos"))))</f>
        <v/>
      </c>
      <c r="S36" s="25"/>
    </row>
    <row r="37" customFormat="false" ht="15" hidden="false" customHeight="false" outlineLevel="0" collapsed="false">
      <c r="A37" s="68"/>
      <c r="B37" s="69"/>
      <c r="C37" s="25"/>
      <c r="D37" s="25"/>
      <c r="E37" s="25"/>
      <c r="F37" s="25"/>
      <c r="G37" s="25"/>
      <c r="H37" s="25"/>
      <c r="I37" s="91"/>
      <c r="J37" s="91"/>
      <c r="K37" s="91"/>
      <c r="L37" s="68"/>
      <c r="M37" s="68"/>
      <c r="N37" s="74" t="str">
        <f aca="false">IF(A37="","",IF(ISNUMBER(K37),IF(AND(OR(I37="",K37&gt;=I37),OR(J37="",K37&lt;=J37)),"Conforme","Non conforme"),IF(M37="","En attente",M37)))</f>
        <v/>
      </c>
      <c r="O37" s="25"/>
      <c r="P37" s="25"/>
      <c r="Q37" s="69"/>
      <c r="R37" s="74" t="str">
        <f aca="false">IF(A37="","",IF(N37="Non conforme",IF(Q37="","NC ouverte","NC levée"),IF(N37="Réserve",IF(Q37="","Réserve ouverte","Réserve levée"),IF(N37="En attente","À contrôler","Clos"))))</f>
        <v/>
      </c>
      <c r="S37" s="25"/>
    </row>
    <row r="38" customFormat="false" ht="15" hidden="false" customHeight="false" outlineLevel="0" collapsed="false">
      <c r="A38" s="68"/>
      <c r="B38" s="69"/>
      <c r="C38" s="25"/>
      <c r="D38" s="25"/>
      <c r="E38" s="25"/>
      <c r="F38" s="25"/>
      <c r="G38" s="25"/>
      <c r="H38" s="25"/>
      <c r="I38" s="91"/>
      <c r="J38" s="91"/>
      <c r="K38" s="91"/>
      <c r="L38" s="68"/>
      <c r="M38" s="68"/>
      <c r="N38" s="74" t="str">
        <f aca="false">IF(A38="","",IF(ISNUMBER(K38),IF(AND(OR(I38="",K38&gt;=I38),OR(J38="",K38&lt;=J38)),"Conforme","Non conforme"),IF(M38="","En attente",M38)))</f>
        <v/>
      </c>
      <c r="O38" s="25"/>
      <c r="P38" s="25"/>
      <c r="Q38" s="69"/>
      <c r="R38" s="74" t="str">
        <f aca="false">IF(A38="","",IF(N38="Non conforme",IF(Q38="","NC ouverte","NC levée"),IF(N38="Réserve",IF(Q38="","Réserve ouverte","Réserve levée"),IF(N38="En attente","À contrôler","Clos"))))</f>
        <v/>
      </c>
      <c r="S38" s="25"/>
    </row>
    <row r="39" customFormat="false" ht="15" hidden="false" customHeight="false" outlineLevel="0" collapsed="false">
      <c r="A39" s="68"/>
      <c r="B39" s="69"/>
      <c r="C39" s="25"/>
      <c r="D39" s="25"/>
      <c r="E39" s="25"/>
      <c r="F39" s="25"/>
      <c r="G39" s="25"/>
      <c r="H39" s="25"/>
      <c r="I39" s="91"/>
      <c r="J39" s="91"/>
      <c r="K39" s="91"/>
      <c r="L39" s="68"/>
      <c r="M39" s="68"/>
      <c r="N39" s="74" t="str">
        <f aca="false">IF(A39="","",IF(ISNUMBER(K39),IF(AND(OR(I39="",K39&gt;=I39),OR(J39="",K39&lt;=J39)),"Conforme","Non conforme"),IF(M39="","En attente",M39)))</f>
        <v/>
      </c>
      <c r="O39" s="25"/>
      <c r="P39" s="25"/>
      <c r="Q39" s="69"/>
      <c r="R39" s="74" t="str">
        <f aca="false">IF(A39="","",IF(N39="Non conforme",IF(Q39="","NC ouverte","NC levée"),IF(N39="Réserve",IF(Q39="","Réserve ouverte","Réserve levée"),IF(N39="En attente","À contrôler","Clos"))))</f>
        <v/>
      </c>
      <c r="S39" s="25"/>
    </row>
    <row r="40" customFormat="false" ht="15" hidden="false" customHeight="false" outlineLevel="0" collapsed="false">
      <c r="A40" s="68"/>
      <c r="B40" s="69"/>
      <c r="C40" s="25"/>
      <c r="D40" s="25"/>
      <c r="E40" s="25"/>
      <c r="F40" s="25"/>
      <c r="G40" s="25"/>
      <c r="H40" s="25"/>
      <c r="I40" s="91"/>
      <c r="J40" s="91"/>
      <c r="K40" s="91"/>
      <c r="L40" s="68"/>
      <c r="M40" s="68"/>
      <c r="N40" s="74" t="str">
        <f aca="false">IF(A40="","",IF(ISNUMBER(K40),IF(AND(OR(I40="",K40&gt;=I40),OR(J40="",K40&lt;=J40)),"Conforme","Non conforme"),IF(M40="","En attente",M40)))</f>
        <v/>
      </c>
      <c r="O40" s="25"/>
      <c r="P40" s="25"/>
      <c r="Q40" s="69"/>
      <c r="R40" s="74" t="str">
        <f aca="false">IF(A40="","",IF(N40="Non conforme",IF(Q40="","NC ouverte","NC levée"),IF(N40="Réserve",IF(Q40="","Réserve ouverte","Réserve levée"),IF(N40="En attente","À contrôler","Clos"))))</f>
        <v/>
      </c>
      <c r="S40" s="25"/>
    </row>
    <row r="41" customFormat="false" ht="15" hidden="false" customHeight="false" outlineLevel="0" collapsed="false">
      <c r="A41" s="68"/>
      <c r="B41" s="69"/>
      <c r="C41" s="25"/>
      <c r="D41" s="25"/>
      <c r="E41" s="25"/>
      <c r="F41" s="25"/>
      <c r="G41" s="25"/>
      <c r="H41" s="25"/>
      <c r="I41" s="91"/>
      <c r="J41" s="91"/>
      <c r="K41" s="91"/>
      <c r="L41" s="68"/>
      <c r="M41" s="68"/>
      <c r="N41" s="74" t="str">
        <f aca="false">IF(A41="","",IF(ISNUMBER(K41),IF(AND(OR(I41="",K41&gt;=I41),OR(J41="",K41&lt;=J41)),"Conforme","Non conforme"),IF(M41="","En attente",M41)))</f>
        <v/>
      </c>
      <c r="O41" s="25"/>
      <c r="P41" s="25"/>
      <c r="Q41" s="69"/>
      <c r="R41" s="74" t="str">
        <f aca="false">IF(A41="","",IF(N41="Non conforme",IF(Q41="","NC ouverte","NC levée"),IF(N41="Réserve",IF(Q41="","Réserve ouverte","Réserve levée"),IF(N41="En attente","À contrôler","Clos"))))</f>
        <v/>
      </c>
      <c r="S41" s="25"/>
    </row>
    <row r="42" customFormat="false" ht="15" hidden="false" customHeight="false" outlineLevel="0" collapsed="false">
      <c r="A42" s="68"/>
      <c r="B42" s="69"/>
      <c r="C42" s="25"/>
      <c r="D42" s="25"/>
      <c r="E42" s="25"/>
      <c r="F42" s="25"/>
      <c r="G42" s="25"/>
      <c r="H42" s="25"/>
      <c r="I42" s="91"/>
      <c r="J42" s="91"/>
      <c r="K42" s="91"/>
      <c r="L42" s="68"/>
      <c r="M42" s="68"/>
      <c r="N42" s="74" t="str">
        <f aca="false">IF(A42="","",IF(ISNUMBER(K42),IF(AND(OR(I42="",K42&gt;=I42),OR(J42="",K42&lt;=J42)),"Conforme","Non conforme"),IF(M42="","En attente",M42)))</f>
        <v/>
      </c>
      <c r="O42" s="25"/>
      <c r="P42" s="25"/>
      <c r="Q42" s="69"/>
      <c r="R42" s="74" t="str">
        <f aca="false">IF(A42="","",IF(N42="Non conforme",IF(Q42="","NC ouverte","NC levée"),IF(N42="Réserve",IF(Q42="","Réserve ouverte","Réserve levée"),IF(N42="En attente","À contrôler","Clos"))))</f>
        <v/>
      </c>
      <c r="S42" s="25"/>
    </row>
    <row r="43" customFormat="false" ht="15" hidden="false" customHeight="false" outlineLevel="0" collapsed="false">
      <c r="A43" s="68"/>
      <c r="B43" s="69"/>
      <c r="C43" s="25"/>
      <c r="D43" s="25"/>
      <c r="E43" s="25"/>
      <c r="F43" s="25"/>
      <c r="G43" s="25"/>
      <c r="H43" s="25"/>
      <c r="I43" s="91"/>
      <c r="J43" s="91"/>
      <c r="K43" s="91"/>
      <c r="L43" s="68"/>
      <c r="M43" s="68"/>
      <c r="N43" s="74" t="str">
        <f aca="false">IF(A43="","",IF(ISNUMBER(K43),IF(AND(OR(I43="",K43&gt;=I43),OR(J43="",K43&lt;=J43)),"Conforme","Non conforme"),IF(M43="","En attente",M43)))</f>
        <v/>
      </c>
      <c r="O43" s="25"/>
      <c r="P43" s="25"/>
      <c r="Q43" s="69"/>
      <c r="R43" s="74" t="str">
        <f aca="false">IF(A43="","",IF(N43="Non conforme",IF(Q43="","NC ouverte","NC levée"),IF(N43="Réserve",IF(Q43="","Réserve ouverte","Réserve levée"),IF(N43="En attente","À contrôler","Clos"))))</f>
        <v/>
      </c>
      <c r="S43" s="25"/>
    </row>
    <row r="44" customFormat="false" ht="15" hidden="false" customHeight="false" outlineLevel="0" collapsed="false">
      <c r="A44" s="68"/>
      <c r="B44" s="69"/>
      <c r="C44" s="25"/>
      <c r="D44" s="25"/>
      <c r="E44" s="25"/>
      <c r="F44" s="25"/>
      <c r="G44" s="25"/>
      <c r="H44" s="25"/>
      <c r="I44" s="91"/>
      <c r="J44" s="91"/>
      <c r="K44" s="91"/>
      <c r="L44" s="68"/>
      <c r="M44" s="68"/>
      <c r="N44" s="74" t="str">
        <f aca="false">IF(A44="","",IF(ISNUMBER(K44),IF(AND(OR(I44="",K44&gt;=I44),OR(J44="",K44&lt;=J44)),"Conforme","Non conforme"),IF(M44="","En attente",M44)))</f>
        <v/>
      </c>
      <c r="O44" s="25"/>
      <c r="P44" s="25"/>
      <c r="Q44" s="69"/>
      <c r="R44" s="74" t="str">
        <f aca="false">IF(A44="","",IF(N44="Non conforme",IF(Q44="","NC ouverte","NC levée"),IF(N44="Réserve",IF(Q44="","Réserve ouverte","Réserve levée"),IF(N44="En attente","À contrôler","Clos"))))</f>
        <v/>
      </c>
      <c r="S44" s="25"/>
    </row>
    <row r="45" customFormat="false" ht="15" hidden="false" customHeight="false" outlineLevel="0" collapsed="false">
      <c r="A45" s="68"/>
      <c r="B45" s="69"/>
      <c r="C45" s="25"/>
      <c r="D45" s="25"/>
      <c r="E45" s="25"/>
      <c r="F45" s="25"/>
      <c r="G45" s="25"/>
      <c r="H45" s="25"/>
      <c r="I45" s="91"/>
      <c r="J45" s="91"/>
      <c r="K45" s="91"/>
      <c r="L45" s="68"/>
      <c r="M45" s="68"/>
      <c r="N45" s="74" t="str">
        <f aca="false">IF(A45="","",IF(ISNUMBER(K45),IF(AND(OR(I45="",K45&gt;=I45),OR(J45="",K45&lt;=J45)),"Conforme","Non conforme"),IF(M45="","En attente",M45)))</f>
        <v/>
      </c>
      <c r="O45" s="25"/>
      <c r="P45" s="25"/>
      <c r="Q45" s="69"/>
      <c r="R45" s="74" t="str">
        <f aca="false">IF(A45="","",IF(N45="Non conforme",IF(Q45="","NC ouverte","NC levée"),IF(N45="Réserve",IF(Q45="","Réserve ouverte","Réserve levée"),IF(N45="En attente","À contrôler","Clos"))))</f>
        <v/>
      </c>
      <c r="S45" s="25"/>
    </row>
    <row r="46" customFormat="false" ht="15" hidden="false" customHeight="false" outlineLevel="0" collapsed="false">
      <c r="A46" s="68"/>
      <c r="B46" s="69"/>
      <c r="C46" s="25"/>
      <c r="D46" s="25"/>
      <c r="E46" s="25"/>
      <c r="F46" s="25"/>
      <c r="G46" s="25"/>
      <c r="H46" s="25"/>
      <c r="I46" s="91"/>
      <c r="J46" s="91"/>
      <c r="K46" s="91"/>
      <c r="L46" s="68"/>
      <c r="M46" s="68"/>
      <c r="N46" s="74" t="str">
        <f aca="false">IF(A46="","",IF(ISNUMBER(K46),IF(AND(OR(I46="",K46&gt;=I46),OR(J46="",K46&lt;=J46)),"Conforme","Non conforme"),IF(M46="","En attente",M46)))</f>
        <v/>
      </c>
      <c r="O46" s="25"/>
      <c r="P46" s="25"/>
      <c r="Q46" s="69"/>
      <c r="R46" s="74" t="str">
        <f aca="false">IF(A46="","",IF(N46="Non conforme",IF(Q46="","NC ouverte","NC levée"),IF(N46="Réserve",IF(Q46="","Réserve ouverte","Réserve levée"),IF(N46="En attente","À contrôler","Clos"))))</f>
        <v/>
      </c>
      <c r="S46" s="25"/>
    </row>
    <row r="47" customFormat="false" ht="15" hidden="false" customHeight="false" outlineLevel="0" collapsed="false">
      <c r="A47" s="68"/>
      <c r="B47" s="69"/>
      <c r="C47" s="25"/>
      <c r="D47" s="25"/>
      <c r="E47" s="25"/>
      <c r="F47" s="25"/>
      <c r="G47" s="25"/>
      <c r="H47" s="25"/>
      <c r="I47" s="91"/>
      <c r="J47" s="91"/>
      <c r="K47" s="91"/>
      <c r="L47" s="68"/>
      <c r="M47" s="68"/>
      <c r="N47" s="74" t="str">
        <f aca="false">IF(A47="","",IF(ISNUMBER(K47),IF(AND(OR(I47="",K47&gt;=I47),OR(J47="",K47&lt;=J47)),"Conforme","Non conforme"),IF(M47="","En attente",M47)))</f>
        <v/>
      </c>
      <c r="O47" s="25"/>
      <c r="P47" s="25"/>
      <c r="Q47" s="69"/>
      <c r="R47" s="74" t="str">
        <f aca="false">IF(A47="","",IF(N47="Non conforme",IF(Q47="","NC ouverte","NC levée"),IF(N47="Réserve",IF(Q47="","Réserve ouverte","Réserve levée"),IF(N47="En attente","À contrôler","Clos"))))</f>
        <v/>
      </c>
      <c r="S47" s="25"/>
    </row>
    <row r="48" customFormat="false" ht="15" hidden="false" customHeight="false" outlineLevel="0" collapsed="false">
      <c r="A48" s="68"/>
      <c r="B48" s="69"/>
      <c r="C48" s="25"/>
      <c r="D48" s="25"/>
      <c r="E48" s="25"/>
      <c r="F48" s="25"/>
      <c r="G48" s="25"/>
      <c r="H48" s="25"/>
      <c r="I48" s="91"/>
      <c r="J48" s="91"/>
      <c r="K48" s="91"/>
      <c r="L48" s="68"/>
      <c r="M48" s="68"/>
      <c r="N48" s="74" t="str">
        <f aca="false">IF(A48="","",IF(ISNUMBER(K48),IF(AND(OR(I48="",K48&gt;=I48),OR(J48="",K48&lt;=J48)),"Conforme","Non conforme"),IF(M48="","En attente",M48)))</f>
        <v/>
      </c>
      <c r="O48" s="25"/>
      <c r="P48" s="25"/>
      <c r="Q48" s="69"/>
      <c r="R48" s="74" t="str">
        <f aca="false">IF(A48="","",IF(N48="Non conforme",IF(Q48="","NC ouverte","NC levée"),IF(N48="Réserve",IF(Q48="","Réserve ouverte","Réserve levée"),IF(N48="En attente","À contrôler","Clos"))))</f>
        <v/>
      </c>
      <c r="S48" s="25"/>
    </row>
    <row r="49" customFormat="false" ht="15" hidden="false" customHeight="false" outlineLevel="0" collapsed="false">
      <c r="A49" s="68"/>
      <c r="B49" s="69"/>
      <c r="C49" s="25"/>
      <c r="D49" s="25"/>
      <c r="E49" s="25"/>
      <c r="F49" s="25"/>
      <c r="G49" s="25"/>
      <c r="H49" s="25"/>
      <c r="I49" s="91"/>
      <c r="J49" s="91"/>
      <c r="K49" s="91"/>
      <c r="L49" s="68"/>
      <c r="M49" s="68"/>
      <c r="N49" s="74" t="str">
        <f aca="false">IF(A49="","",IF(ISNUMBER(K49),IF(AND(OR(I49="",K49&gt;=I49),OR(J49="",K49&lt;=J49)),"Conforme","Non conforme"),IF(M49="","En attente",M49)))</f>
        <v/>
      </c>
      <c r="O49" s="25"/>
      <c r="P49" s="25"/>
      <c r="Q49" s="69"/>
      <c r="R49" s="74" t="str">
        <f aca="false">IF(A49="","",IF(N49="Non conforme",IF(Q49="","NC ouverte","NC levée"),IF(N49="Réserve",IF(Q49="","Réserve ouverte","Réserve levée"),IF(N49="En attente","À contrôler","Clos"))))</f>
        <v/>
      </c>
      <c r="S49" s="25"/>
    </row>
    <row r="50" customFormat="false" ht="15" hidden="false" customHeight="false" outlineLevel="0" collapsed="false">
      <c r="A50" s="68"/>
      <c r="B50" s="69"/>
      <c r="C50" s="25"/>
      <c r="D50" s="25"/>
      <c r="E50" s="25"/>
      <c r="F50" s="25"/>
      <c r="G50" s="25"/>
      <c r="H50" s="25"/>
      <c r="I50" s="91"/>
      <c r="J50" s="91"/>
      <c r="K50" s="91"/>
      <c r="L50" s="68"/>
      <c r="M50" s="68"/>
      <c r="N50" s="74" t="str">
        <f aca="false">IF(A50="","",IF(ISNUMBER(K50),IF(AND(OR(I50="",K50&gt;=I50),OR(J50="",K50&lt;=J50)),"Conforme","Non conforme"),IF(M50="","En attente",M50)))</f>
        <v/>
      </c>
      <c r="O50" s="25"/>
      <c r="P50" s="25"/>
      <c r="Q50" s="69"/>
      <c r="R50" s="74" t="str">
        <f aca="false">IF(A50="","",IF(N50="Non conforme",IF(Q50="","NC ouverte","NC levée"),IF(N50="Réserve",IF(Q50="","Réserve ouverte","Réserve levée"),IF(N50="En attente","À contrôler","Clos"))))</f>
        <v/>
      </c>
      <c r="S50" s="25"/>
    </row>
    <row r="51" customFormat="false" ht="15" hidden="false" customHeight="false" outlineLevel="0" collapsed="false">
      <c r="A51" s="68"/>
      <c r="B51" s="69"/>
      <c r="C51" s="25"/>
      <c r="D51" s="25"/>
      <c r="E51" s="25"/>
      <c r="F51" s="25"/>
      <c r="G51" s="25"/>
      <c r="H51" s="25"/>
      <c r="I51" s="91"/>
      <c r="J51" s="91"/>
      <c r="K51" s="91"/>
      <c r="L51" s="68"/>
      <c r="M51" s="68"/>
      <c r="N51" s="74" t="str">
        <f aca="false">IF(A51="","",IF(ISNUMBER(K51),IF(AND(OR(I51="",K51&gt;=I51),OR(J51="",K51&lt;=J51)),"Conforme","Non conforme"),IF(M51="","En attente",M51)))</f>
        <v/>
      </c>
      <c r="O51" s="25"/>
      <c r="P51" s="25"/>
      <c r="Q51" s="69"/>
      <c r="R51" s="74" t="str">
        <f aca="false">IF(A51="","",IF(N51="Non conforme",IF(Q51="","NC ouverte","NC levée"),IF(N51="Réserve",IF(Q51="","Réserve ouverte","Réserve levée"),IF(N51="En attente","À contrôler","Clos"))))</f>
        <v/>
      </c>
      <c r="S51" s="25"/>
    </row>
    <row r="52" customFormat="false" ht="15" hidden="false" customHeight="false" outlineLevel="0" collapsed="false">
      <c r="A52" s="68"/>
      <c r="B52" s="69"/>
      <c r="C52" s="25"/>
      <c r="D52" s="25"/>
      <c r="E52" s="25"/>
      <c r="F52" s="25"/>
      <c r="G52" s="25"/>
      <c r="H52" s="25"/>
      <c r="I52" s="91"/>
      <c r="J52" s="91"/>
      <c r="K52" s="91"/>
      <c r="L52" s="68"/>
      <c r="M52" s="68"/>
      <c r="N52" s="74" t="str">
        <f aca="false">IF(A52="","",IF(ISNUMBER(K52),IF(AND(OR(I52="",K52&gt;=I52),OR(J52="",K52&lt;=J52)),"Conforme","Non conforme"),IF(M52="","En attente",M52)))</f>
        <v/>
      </c>
      <c r="O52" s="25"/>
      <c r="P52" s="25"/>
      <c r="Q52" s="69"/>
      <c r="R52" s="74" t="str">
        <f aca="false">IF(A52="","",IF(N52="Non conforme",IF(Q52="","NC ouverte","NC levée"),IF(N52="Réserve",IF(Q52="","Réserve ouverte","Réserve levée"),IF(N52="En attente","À contrôler","Clos"))))</f>
        <v/>
      </c>
      <c r="S52" s="25"/>
    </row>
    <row r="53" customFormat="false" ht="15" hidden="false" customHeight="false" outlineLevel="0" collapsed="false">
      <c r="A53" s="68"/>
      <c r="B53" s="69"/>
      <c r="C53" s="25"/>
      <c r="D53" s="25"/>
      <c r="E53" s="25"/>
      <c r="F53" s="25"/>
      <c r="G53" s="25"/>
      <c r="H53" s="25"/>
      <c r="I53" s="91"/>
      <c r="J53" s="91"/>
      <c r="K53" s="91"/>
      <c r="L53" s="68"/>
      <c r="M53" s="68"/>
      <c r="N53" s="74" t="str">
        <f aca="false">IF(A53="","",IF(ISNUMBER(K53),IF(AND(OR(I53="",K53&gt;=I53),OR(J53="",K53&lt;=J53)),"Conforme","Non conforme"),IF(M53="","En attente",M53)))</f>
        <v/>
      </c>
      <c r="O53" s="25"/>
      <c r="P53" s="25"/>
      <c r="Q53" s="69"/>
      <c r="R53" s="74" t="str">
        <f aca="false">IF(A53="","",IF(N53="Non conforme",IF(Q53="","NC ouverte","NC levée"),IF(N53="Réserve",IF(Q53="","Réserve ouverte","Réserve levée"),IF(N53="En attente","À contrôler","Clos"))))</f>
        <v/>
      </c>
      <c r="S53" s="25"/>
    </row>
    <row r="54" customFormat="false" ht="15" hidden="false" customHeight="false" outlineLevel="0" collapsed="false">
      <c r="A54" s="68"/>
      <c r="B54" s="69"/>
      <c r="C54" s="25"/>
      <c r="D54" s="25"/>
      <c r="E54" s="25"/>
      <c r="F54" s="25"/>
      <c r="G54" s="25"/>
      <c r="H54" s="25"/>
      <c r="I54" s="91"/>
      <c r="J54" s="91"/>
      <c r="K54" s="91"/>
      <c r="L54" s="68"/>
      <c r="M54" s="68"/>
      <c r="N54" s="74" t="str">
        <f aca="false">IF(A54="","",IF(ISNUMBER(K54),IF(AND(OR(I54="",K54&gt;=I54),OR(J54="",K54&lt;=J54)),"Conforme","Non conforme"),IF(M54="","En attente",M54)))</f>
        <v/>
      </c>
      <c r="O54" s="25"/>
      <c r="P54" s="25"/>
      <c r="Q54" s="69"/>
      <c r="R54" s="74" t="str">
        <f aca="false">IF(A54="","",IF(N54="Non conforme",IF(Q54="","NC ouverte","NC levée"),IF(N54="Réserve",IF(Q54="","Réserve ouverte","Réserve levée"),IF(N54="En attente","À contrôler","Clos"))))</f>
        <v/>
      </c>
      <c r="S54" s="25"/>
    </row>
    <row r="55" customFormat="false" ht="15" hidden="false" customHeight="false" outlineLevel="0" collapsed="false">
      <c r="A55" s="68"/>
      <c r="B55" s="69"/>
      <c r="C55" s="25"/>
      <c r="D55" s="25"/>
      <c r="E55" s="25"/>
      <c r="F55" s="25"/>
      <c r="G55" s="25"/>
      <c r="H55" s="25"/>
      <c r="I55" s="91"/>
      <c r="J55" s="91"/>
      <c r="K55" s="91"/>
      <c r="L55" s="68"/>
      <c r="M55" s="68"/>
      <c r="N55" s="74" t="str">
        <f aca="false">IF(A55="","",IF(ISNUMBER(K55),IF(AND(OR(I55="",K55&gt;=I55),OR(J55="",K55&lt;=J55)),"Conforme","Non conforme"),IF(M55="","En attente",M55)))</f>
        <v/>
      </c>
      <c r="O55" s="25"/>
      <c r="P55" s="25"/>
      <c r="Q55" s="69"/>
      <c r="R55" s="74" t="str">
        <f aca="false">IF(A55="","",IF(N55="Non conforme",IF(Q55="","NC ouverte","NC levée"),IF(N55="Réserve",IF(Q55="","Réserve ouverte","Réserve levée"),IF(N55="En attente","À contrôler","Clos"))))</f>
        <v/>
      </c>
      <c r="S55" s="25"/>
    </row>
    <row r="56" customFormat="false" ht="15" hidden="false" customHeight="false" outlineLevel="0" collapsed="false">
      <c r="A56" s="68"/>
      <c r="B56" s="69"/>
      <c r="C56" s="25"/>
      <c r="D56" s="25"/>
      <c r="E56" s="25"/>
      <c r="F56" s="25"/>
      <c r="G56" s="25"/>
      <c r="H56" s="25"/>
      <c r="I56" s="91"/>
      <c r="J56" s="91"/>
      <c r="K56" s="91"/>
      <c r="L56" s="68"/>
      <c r="M56" s="68"/>
      <c r="N56" s="74" t="str">
        <f aca="false">IF(A56="","",IF(ISNUMBER(K56),IF(AND(OR(I56="",K56&gt;=I56),OR(J56="",K56&lt;=J56)),"Conforme","Non conforme"),IF(M56="","En attente",M56)))</f>
        <v/>
      </c>
      <c r="O56" s="25"/>
      <c r="P56" s="25"/>
      <c r="Q56" s="69"/>
      <c r="R56" s="74" t="str">
        <f aca="false">IF(A56="","",IF(N56="Non conforme",IF(Q56="","NC ouverte","NC levée"),IF(N56="Réserve",IF(Q56="","Réserve ouverte","Réserve levée"),IF(N56="En attente","À contrôler","Clos"))))</f>
        <v/>
      </c>
      <c r="S56" s="25"/>
    </row>
    <row r="57" customFormat="false" ht="15" hidden="false" customHeight="false" outlineLevel="0" collapsed="false">
      <c r="A57" s="68"/>
      <c r="B57" s="69"/>
      <c r="C57" s="25"/>
      <c r="D57" s="25"/>
      <c r="E57" s="25"/>
      <c r="F57" s="25"/>
      <c r="G57" s="25"/>
      <c r="H57" s="25"/>
      <c r="I57" s="91"/>
      <c r="J57" s="91"/>
      <c r="K57" s="91"/>
      <c r="L57" s="68"/>
      <c r="M57" s="68"/>
      <c r="N57" s="74" t="str">
        <f aca="false">IF(A57="","",IF(ISNUMBER(K57),IF(AND(OR(I57="",K57&gt;=I57),OR(J57="",K57&lt;=J57)),"Conforme","Non conforme"),IF(M57="","En attente",M57)))</f>
        <v/>
      </c>
      <c r="O57" s="25"/>
      <c r="P57" s="25"/>
      <c r="Q57" s="69"/>
      <c r="R57" s="74" t="str">
        <f aca="false">IF(A57="","",IF(N57="Non conforme",IF(Q57="","NC ouverte","NC levée"),IF(N57="Réserve",IF(Q57="","Réserve ouverte","Réserve levée"),IF(N57="En attente","À contrôler","Clos"))))</f>
        <v/>
      </c>
      <c r="S57" s="25"/>
    </row>
    <row r="58" customFormat="false" ht="15" hidden="false" customHeight="false" outlineLevel="0" collapsed="false">
      <c r="A58" s="68"/>
      <c r="B58" s="69"/>
      <c r="C58" s="25"/>
      <c r="D58" s="25"/>
      <c r="E58" s="25"/>
      <c r="F58" s="25"/>
      <c r="G58" s="25"/>
      <c r="H58" s="25"/>
      <c r="I58" s="91"/>
      <c r="J58" s="91"/>
      <c r="K58" s="91"/>
      <c r="L58" s="68"/>
      <c r="M58" s="68"/>
      <c r="N58" s="74" t="str">
        <f aca="false">IF(A58="","",IF(ISNUMBER(K58),IF(AND(OR(I58="",K58&gt;=I58),OR(J58="",K58&lt;=J58)),"Conforme","Non conforme"),IF(M58="","En attente",M58)))</f>
        <v/>
      </c>
      <c r="O58" s="25"/>
      <c r="P58" s="25"/>
      <c r="Q58" s="69"/>
      <c r="R58" s="74" t="str">
        <f aca="false">IF(A58="","",IF(N58="Non conforme",IF(Q58="","NC ouverte","NC levée"),IF(N58="Réserve",IF(Q58="","Réserve ouverte","Réserve levée"),IF(N58="En attente","À contrôler","Clos"))))</f>
        <v/>
      </c>
      <c r="S58" s="25"/>
    </row>
    <row r="59" customFormat="false" ht="15" hidden="false" customHeight="false" outlineLevel="0" collapsed="false">
      <c r="A59" s="68"/>
      <c r="B59" s="69"/>
      <c r="C59" s="25"/>
      <c r="D59" s="25"/>
      <c r="E59" s="25"/>
      <c r="F59" s="25"/>
      <c r="G59" s="25"/>
      <c r="H59" s="25"/>
      <c r="I59" s="91"/>
      <c r="J59" s="91"/>
      <c r="K59" s="91"/>
      <c r="L59" s="68"/>
      <c r="M59" s="68"/>
      <c r="N59" s="74" t="str">
        <f aca="false">IF(A59="","",IF(ISNUMBER(K59),IF(AND(OR(I59="",K59&gt;=I59),OR(J59="",K59&lt;=J59)),"Conforme","Non conforme"),IF(M59="","En attente",M59)))</f>
        <v/>
      </c>
      <c r="O59" s="25"/>
      <c r="P59" s="25"/>
      <c r="Q59" s="69"/>
      <c r="R59" s="74" t="str">
        <f aca="false">IF(A59="","",IF(N59="Non conforme",IF(Q59="","NC ouverte","NC levée"),IF(N59="Réserve",IF(Q59="","Réserve ouverte","Réserve levée"),IF(N59="En attente","À contrôler","Clos"))))</f>
        <v/>
      </c>
      <c r="S59" s="25"/>
    </row>
    <row r="60" customFormat="false" ht="15" hidden="false" customHeight="false" outlineLevel="0" collapsed="false">
      <c r="A60" s="68"/>
      <c r="B60" s="69"/>
      <c r="C60" s="25"/>
      <c r="D60" s="25"/>
      <c r="E60" s="25"/>
      <c r="F60" s="25"/>
      <c r="G60" s="25"/>
      <c r="H60" s="25"/>
      <c r="I60" s="91"/>
      <c r="J60" s="91"/>
      <c r="K60" s="91"/>
      <c r="L60" s="68"/>
      <c r="M60" s="68"/>
      <c r="N60" s="74" t="str">
        <f aca="false">IF(A60="","",IF(ISNUMBER(K60),IF(AND(OR(I60="",K60&gt;=I60),OR(J60="",K60&lt;=J60)),"Conforme","Non conforme"),IF(M60="","En attente",M60)))</f>
        <v/>
      </c>
      <c r="O60" s="25"/>
      <c r="P60" s="25"/>
      <c r="Q60" s="69"/>
      <c r="R60" s="74" t="str">
        <f aca="false">IF(A60="","",IF(N60="Non conforme",IF(Q60="","NC ouverte","NC levée"),IF(N60="Réserve",IF(Q60="","Réserve ouverte","Réserve levée"),IF(N60="En attente","À contrôler","Clos"))))</f>
        <v/>
      </c>
      <c r="S60" s="25"/>
    </row>
    <row r="61" customFormat="false" ht="15" hidden="false" customHeight="false" outlineLevel="0" collapsed="false">
      <c r="A61" s="68"/>
      <c r="B61" s="69"/>
      <c r="C61" s="25"/>
      <c r="D61" s="25"/>
      <c r="E61" s="25"/>
      <c r="F61" s="25"/>
      <c r="G61" s="25"/>
      <c r="H61" s="25"/>
      <c r="I61" s="91"/>
      <c r="J61" s="91"/>
      <c r="K61" s="91"/>
      <c r="L61" s="68"/>
      <c r="M61" s="68"/>
      <c r="N61" s="74" t="str">
        <f aca="false">IF(A61="","",IF(ISNUMBER(K61),IF(AND(OR(I61="",K61&gt;=I61),OR(J61="",K61&lt;=J61)),"Conforme","Non conforme"),IF(M61="","En attente",M61)))</f>
        <v/>
      </c>
      <c r="O61" s="25"/>
      <c r="P61" s="25"/>
      <c r="Q61" s="69"/>
      <c r="R61" s="74" t="str">
        <f aca="false">IF(A61="","",IF(N61="Non conforme",IF(Q61="","NC ouverte","NC levée"),IF(N61="Réserve",IF(Q61="","Réserve ouverte","Réserve levée"),IF(N61="En attente","À contrôler","Clos"))))</f>
        <v/>
      </c>
      <c r="S61" s="25"/>
    </row>
    <row r="62" customFormat="false" ht="15" hidden="false" customHeight="false" outlineLevel="0" collapsed="false">
      <c r="A62" s="68"/>
      <c r="B62" s="69"/>
      <c r="C62" s="25"/>
      <c r="D62" s="25"/>
      <c r="E62" s="25"/>
      <c r="F62" s="25"/>
      <c r="G62" s="25"/>
      <c r="H62" s="25"/>
      <c r="I62" s="91"/>
      <c r="J62" s="91"/>
      <c r="K62" s="91"/>
      <c r="L62" s="68"/>
      <c r="M62" s="68"/>
      <c r="N62" s="74" t="str">
        <f aca="false">IF(A62="","",IF(ISNUMBER(K62),IF(AND(OR(I62="",K62&gt;=I62),OR(J62="",K62&lt;=J62)),"Conforme","Non conforme"),IF(M62="","En attente",M62)))</f>
        <v/>
      </c>
      <c r="O62" s="25"/>
      <c r="P62" s="25"/>
      <c r="Q62" s="69"/>
      <c r="R62" s="74" t="str">
        <f aca="false">IF(A62="","",IF(N62="Non conforme",IF(Q62="","NC ouverte","NC levée"),IF(N62="Réserve",IF(Q62="","Réserve ouverte","Réserve levée"),IF(N62="En attente","À contrôler","Clos"))))</f>
        <v/>
      </c>
      <c r="S62" s="25"/>
    </row>
    <row r="63" customFormat="false" ht="15" hidden="false" customHeight="false" outlineLevel="0" collapsed="false">
      <c r="A63" s="68"/>
      <c r="B63" s="69"/>
      <c r="C63" s="25"/>
      <c r="D63" s="25"/>
      <c r="E63" s="25"/>
      <c r="F63" s="25"/>
      <c r="G63" s="25"/>
      <c r="H63" s="25"/>
      <c r="I63" s="91"/>
      <c r="J63" s="91"/>
      <c r="K63" s="91"/>
      <c r="L63" s="68"/>
      <c r="M63" s="68"/>
      <c r="N63" s="74" t="str">
        <f aca="false">IF(A63="","",IF(ISNUMBER(K63),IF(AND(OR(I63="",K63&gt;=I63),OR(J63="",K63&lt;=J63)),"Conforme","Non conforme"),IF(M63="","En attente",M63)))</f>
        <v/>
      </c>
      <c r="O63" s="25"/>
      <c r="P63" s="25"/>
      <c r="Q63" s="69"/>
      <c r="R63" s="74" t="str">
        <f aca="false">IF(A63="","",IF(N63="Non conforme",IF(Q63="","NC ouverte","NC levée"),IF(N63="Réserve",IF(Q63="","Réserve ouverte","Réserve levée"),IF(N63="En attente","À contrôler","Clos"))))</f>
        <v/>
      </c>
      <c r="S63" s="25"/>
    </row>
    <row r="64" customFormat="false" ht="15" hidden="false" customHeight="false" outlineLevel="0" collapsed="false">
      <c r="A64" s="68"/>
      <c r="B64" s="69"/>
      <c r="C64" s="25"/>
      <c r="D64" s="25"/>
      <c r="E64" s="25"/>
      <c r="F64" s="25"/>
      <c r="G64" s="25"/>
      <c r="H64" s="25"/>
      <c r="I64" s="91"/>
      <c r="J64" s="91"/>
      <c r="K64" s="91"/>
      <c r="L64" s="68"/>
      <c r="M64" s="68"/>
      <c r="N64" s="74" t="str">
        <f aca="false">IF(A64="","",IF(ISNUMBER(K64),IF(AND(OR(I64="",K64&gt;=I64),OR(J64="",K64&lt;=J64)),"Conforme","Non conforme"),IF(M64="","En attente",M64)))</f>
        <v/>
      </c>
      <c r="O64" s="25"/>
      <c r="P64" s="25"/>
      <c r="Q64" s="69"/>
      <c r="R64" s="74" t="str">
        <f aca="false">IF(A64="","",IF(N64="Non conforme",IF(Q64="","NC ouverte","NC levée"),IF(N64="Réserve",IF(Q64="","Réserve ouverte","Réserve levée"),IF(N64="En attente","À contrôler","Clos"))))</f>
        <v/>
      </c>
      <c r="S64" s="25"/>
    </row>
    <row r="65" customFormat="false" ht="15" hidden="false" customHeight="false" outlineLevel="0" collapsed="false">
      <c r="A65" s="68"/>
      <c r="B65" s="69"/>
      <c r="C65" s="25"/>
      <c r="D65" s="25"/>
      <c r="E65" s="25"/>
      <c r="F65" s="25"/>
      <c r="G65" s="25"/>
      <c r="H65" s="25"/>
      <c r="I65" s="91"/>
      <c r="J65" s="91"/>
      <c r="K65" s="91"/>
      <c r="L65" s="68"/>
      <c r="M65" s="68"/>
      <c r="N65" s="74" t="str">
        <f aca="false">IF(A65="","",IF(ISNUMBER(K65),IF(AND(OR(I65="",K65&gt;=I65),OR(J65="",K65&lt;=J65)),"Conforme","Non conforme"),IF(M65="","En attente",M65)))</f>
        <v/>
      </c>
      <c r="O65" s="25"/>
      <c r="P65" s="25"/>
      <c r="Q65" s="69"/>
      <c r="R65" s="74" t="str">
        <f aca="false">IF(A65="","",IF(N65="Non conforme",IF(Q65="","NC ouverte","NC levée"),IF(N65="Réserve",IF(Q65="","Réserve ouverte","Réserve levée"),IF(N65="En attente","À contrôler","Clos"))))</f>
        <v/>
      </c>
      <c r="S65" s="25"/>
    </row>
    <row r="66" customFormat="false" ht="15" hidden="false" customHeight="false" outlineLevel="0" collapsed="false">
      <c r="A66" s="68"/>
      <c r="B66" s="69"/>
      <c r="C66" s="25"/>
      <c r="D66" s="25"/>
      <c r="E66" s="25"/>
      <c r="F66" s="25"/>
      <c r="G66" s="25"/>
      <c r="H66" s="25"/>
      <c r="I66" s="91"/>
      <c r="J66" s="91"/>
      <c r="K66" s="91"/>
      <c r="L66" s="68"/>
      <c r="M66" s="68"/>
      <c r="N66" s="74" t="str">
        <f aca="false">IF(A66="","",IF(ISNUMBER(K66),IF(AND(OR(I66="",K66&gt;=I66),OR(J66="",K66&lt;=J66)),"Conforme","Non conforme"),IF(M66="","En attente",M66)))</f>
        <v/>
      </c>
      <c r="O66" s="25"/>
      <c r="P66" s="25"/>
      <c r="Q66" s="69"/>
      <c r="R66" s="74" t="str">
        <f aca="false">IF(A66="","",IF(N66="Non conforme",IF(Q66="","NC ouverte","NC levée"),IF(N66="Réserve",IF(Q66="","Réserve ouverte","Réserve levée"),IF(N66="En attente","À contrôler","Clos"))))</f>
        <v/>
      </c>
      <c r="S66" s="25"/>
    </row>
    <row r="67" customFormat="false" ht="15" hidden="false" customHeight="false" outlineLevel="0" collapsed="false">
      <c r="A67" s="68"/>
      <c r="B67" s="69"/>
      <c r="C67" s="25"/>
      <c r="D67" s="25"/>
      <c r="E67" s="25"/>
      <c r="F67" s="25"/>
      <c r="G67" s="25"/>
      <c r="H67" s="25"/>
      <c r="I67" s="91"/>
      <c r="J67" s="91"/>
      <c r="K67" s="91"/>
      <c r="L67" s="68"/>
      <c r="M67" s="68"/>
      <c r="N67" s="74" t="str">
        <f aca="false">IF(A67="","",IF(ISNUMBER(K67),IF(AND(OR(I67="",K67&gt;=I67),OR(J67="",K67&lt;=J67)),"Conforme","Non conforme"),IF(M67="","En attente",M67)))</f>
        <v/>
      </c>
      <c r="O67" s="25"/>
      <c r="P67" s="25"/>
      <c r="Q67" s="69"/>
      <c r="R67" s="74" t="str">
        <f aca="false">IF(A67="","",IF(N67="Non conforme",IF(Q67="","NC ouverte","NC levée"),IF(N67="Réserve",IF(Q67="","Réserve ouverte","Réserve levée"),IF(N67="En attente","À contrôler","Clos"))))</f>
        <v/>
      </c>
      <c r="S67" s="25"/>
    </row>
    <row r="68" customFormat="false" ht="15" hidden="false" customHeight="false" outlineLevel="0" collapsed="false">
      <c r="A68" s="68"/>
      <c r="B68" s="69"/>
      <c r="C68" s="25"/>
      <c r="D68" s="25"/>
      <c r="E68" s="25"/>
      <c r="F68" s="25"/>
      <c r="G68" s="25"/>
      <c r="H68" s="25"/>
      <c r="I68" s="91"/>
      <c r="J68" s="91"/>
      <c r="K68" s="91"/>
      <c r="L68" s="68"/>
      <c r="M68" s="68"/>
      <c r="N68" s="74" t="str">
        <f aca="false">IF(A68="","",IF(ISNUMBER(K68),IF(AND(OR(I68="",K68&gt;=I68),OR(J68="",K68&lt;=J68)),"Conforme","Non conforme"),IF(M68="","En attente",M68)))</f>
        <v/>
      </c>
      <c r="O68" s="25"/>
      <c r="P68" s="25"/>
      <c r="Q68" s="69"/>
      <c r="R68" s="74" t="str">
        <f aca="false">IF(A68="","",IF(N68="Non conforme",IF(Q68="","NC ouverte","NC levée"),IF(N68="Réserve",IF(Q68="","Réserve ouverte","Réserve levée"),IF(N68="En attente","À contrôler","Clos"))))</f>
        <v/>
      </c>
      <c r="S68" s="25"/>
    </row>
    <row r="69" customFormat="false" ht="15" hidden="false" customHeight="false" outlineLevel="0" collapsed="false">
      <c r="A69" s="68"/>
      <c r="B69" s="69"/>
      <c r="C69" s="25"/>
      <c r="D69" s="25"/>
      <c r="E69" s="25"/>
      <c r="F69" s="25"/>
      <c r="G69" s="25"/>
      <c r="H69" s="25"/>
      <c r="I69" s="91"/>
      <c r="J69" s="91"/>
      <c r="K69" s="91"/>
      <c r="L69" s="68"/>
      <c r="M69" s="68"/>
      <c r="N69" s="74" t="str">
        <f aca="false">IF(A69="","",IF(ISNUMBER(K69),IF(AND(OR(I69="",K69&gt;=I69),OR(J69="",K69&lt;=J69)),"Conforme","Non conforme"),IF(M69="","En attente",M69)))</f>
        <v/>
      </c>
      <c r="O69" s="25"/>
      <c r="P69" s="25"/>
      <c r="Q69" s="69"/>
      <c r="R69" s="74" t="str">
        <f aca="false">IF(A69="","",IF(N69="Non conforme",IF(Q69="","NC ouverte","NC levée"),IF(N69="Réserve",IF(Q69="","Réserve ouverte","Réserve levée"),IF(N69="En attente","À contrôler","Clos"))))</f>
        <v/>
      </c>
      <c r="S69" s="25"/>
    </row>
    <row r="70" customFormat="false" ht="15" hidden="false" customHeight="false" outlineLevel="0" collapsed="false">
      <c r="A70" s="68"/>
      <c r="B70" s="69"/>
      <c r="C70" s="25"/>
      <c r="D70" s="25"/>
      <c r="E70" s="25"/>
      <c r="F70" s="25"/>
      <c r="G70" s="25"/>
      <c r="H70" s="25"/>
      <c r="I70" s="91"/>
      <c r="J70" s="91"/>
      <c r="K70" s="91"/>
      <c r="L70" s="68"/>
      <c r="M70" s="68"/>
      <c r="N70" s="74" t="str">
        <f aca="false">IF(A70="","",IF(ISNUMBER(K70),IF(AND(OR(I70="",K70&gt;=I70),OR(J70="",K70&lt;=J70)),"Conforme","Non conforme"),IF(M70="","En attente",M70)))</f>
        <v/>
      </c>
      <c r="O70" s="25"/>
      <c r="P70" s="25"/>
      <c r="Q70" s="69"/>
      <c r="R70" s="74" t="str">
        <f aca="false">IF(A70="","",IF(N70="Non conforme",IF(Q70="","NC ouverte","NC levée"),IF(N70="Réserve",IF(Q70="","Réserve ouverte","Réserve levée"),IF(N70="En attente","À contrôler","Clos"))))</f>
        <v/>
      </c>
      <c r="S70" s="25"/>
    </row>
    <row r="71" customFormat="false" ht="15" hidden="false" customHeight="false" outlineLevel="0" collapsed="false">
      <c r="A71" s="68"/>
      <c r="B71" s="69"/>
      <c r="C71" s="25"/>
      <c r="D71" s="25"/>
      <c r="E71" s="25"/>
      <c r="F71" s="25"/>
      <c r="G71" s="25"/>
      <c r="H71" s="25"/>
      <c r="I71" s="91"/>
      <c r="J71" s="91"/>
      <c r="K71" s="91"/>
      <c r="L71" s="68"/>
      <c r="M71" s="68"/>
      <c r="N71" s="74" t="str">
        <f aca="false">IF(A71="","",IF(ISNUMBER(K71),IF(AND(OR(I71="",K71&gt;=I71),OR(J71="",K71&lt;=J71)),"Conforme","Non conforme"),IF(M71="","En attente",M71)))</f>
        <v/>
      </c>
      <c r="O71" s="25"/>
      <c r="P71" s="25"/>
      <c r="Q71" s="69"/>
      <c r="R71" s="74" t="str">
        <f aca="false">IF(A71="","",IF(N71="Non conforme",IF(Q71="","NC ouverte","NC levée"),IF(N71="Réserve",IF(Q71="","Réserve ouverte","Réserve levée"),IF(N71="En attente","À contrôler","Clos"))))</f>
        <v/>
      </c>
      <c r="S71" s="25"/>
    </row>
    <row r="72" customFormat="false" ht="15" hidden="false" customHeight="false" outlineLevel="0" collapsed="false">
      <c r="A72" s="68"/>
      <c r="B72" s="69"/>
      <c r="C72" s="25"/>
      <c r="D72" s="25"/>
      <c r="E72" s="25"/>
      <c r="F72" s="25"/>
      <c r="G72" s="25"/>
      <c r="H72" s="25"/>
      <c r="I72" s="91"/>
      <c r="J72" s="91"/>
      <c r="K72" s="91"/>
      <c r="L72" s="68"/>
      <c r="M72" s="68"/>
      <c r="N72" s="74" t="str">
        <f aca="false">IF(A72="","",IF(ISNUMBER(K72),IF(AND(OR(I72="",K72&gt;=I72),OR(J72="",K72&lt;=J72)),"Conforme","Non conforme"),IF(M72="","En attente",M72)))</f>
        <v/>
      </c>
      <c r="O72" s="25"/>
      <c r="P72" s="25"/>
      <c r="Q72" s="69"/>
      <c r="R72" s="74" t="str">
        <f aca="false">IF(A72="","",IF(N72="Non conforme",IF(Q72="","NC ouverte","NC levée"),IF(N72="Réserve",IF(Q72="","Réserve ouverte","Réserve levée"),IF(N72="En attente","À contrôler","Clos"))))</f>
        <v/>
      </c>
      <c r="S72" s="25"/>
    </row>
    <row r="73" customFormat="false" ht="15" hidden="false" customHeight="false" outlineLevel="0" collapsed="false">
      <c r="A73" s="68"/>
      <c r="B73" s="69"/>
      <c r="C73" s="25"/>
      <c r="D73" s="25"/>
      <c r="E73" s="25"/>
      <c r="F73" s="25"/>
      <c r="G73" s="25"/>
      <c r="H73" s="25"/>
      <c r="I73" s="91"/>
      <c r="J73" s="91"/>
      <c r="K73" s="91"/>
      <c r="L73" s="68"/>
      <c r="M73" s="68"/>
      <c r="N73" s="74" t="str">
        <f aca="false">IF(A73="","",IF(ISNUMBER(K73),IF(AND(OR(I73="",K73&gt;=I73),OR(J73="",K73&lt;=J73)),"Conforme","Non conforme"),IF(M73="","En attente",M73)))</f>
        <v/>
      </c>
      <c r="O73" s="25"/>
      <c r="P73" s="25"/>
      <c r="Q73" s="69"/>
      <c r="R73" s="74" t="str">
        <f aca="false">IF(A73="","",IF(N73="Non conforme",IF(Q73="","NC ouverte","NC levée"),IF(N73="Réserve",IF(Q73="","Réserve ouverte","Réserve levée"),IF(N73="En attente","À contrôler","Clos"))))</f>
        <v/>
      </c>
      <c r="S73" s="25"/>
    </row>
    <row r="74" customFormat="false" ht="15" hidden="false" customHeight="false" outlineLevel="0" collapsed="false">
      <c r="A74" s="68"/>
      <c r="B74" s="69"/>
      <c r="C74" s="25"/>
      <c r="D74" s="25"/>
      <c r="E74" s="25"/>
      <c r="F74" s="25"/>
      <c r="G74" s="25"/>
      <c r="H74" s="25"/>
      <c r="I74" s="91"/>
      <c r="J74" s="91"/>
      <c r="K74" s="91"/>
      <c r="L74" s="68"/>
      <c r="M74" s="68"/>
      <c r="N74" s="74" t="str">
        <f aca="false">IF(A74="","",IF(ISNUMBER(K74),IF(AND(OR(I74="",K74&gt;=I74),OR(J74="",K74&lt;=J74)),"Conforme","Non conforme"),IF(M74="","En attente",M74)))</f>
        <v/>
      </c>
      <c r="O74" s="25"/>
      <c r="P74" s="25"/>
      <c r="Q74" s="69"/>
      <c r="R74" s="74" t="str">
        <f aca="false">IF(A74="","",IF(N74="Non conforme",IF(Q74="","NC ouverte","NC levée"),IF(N74="Réserve",IF(Q74="","Réserve ouverte","Réserve levée"),IF(N74="En attente","À contrôler","Clos"))))</f>
        <v/>
      </c>
      <c r="S74" s="25"/>
    </row>
    <row r="75" customFormat="false" ht="15" hidden="false" customHeight="false" outlineLevel="0" collapsed="false">
      <c r="A75" s="68"/>
      <c r="B75" s="69"/>
      <c r="C75" s="25"/>
      <c r="D75" s="25"/>
      <c r="E75" s="25"/>
      <c r="F75" s="25"/>
      <c r="G75" s="25"/>
      <c r="H75" s="25"/>
      <c r="I75" s="91"/>
      <c r="J75" s="91"/>
      <c r="K75" s="91"/>
      <c r="L75" s="68"/>
      <c r="M75" s="68"/>
      <c r="N75" s="74" t="str">
        <f aca="false">IF(A75="","",IF(ISNUMBER(K75),IF(AND(OR(I75="",K75&gt;=I75),OR(J75="",K75&lt;=J75)),"Conforme","Non conforme"),IF(M75="","En attente",M75)))</f>
        <v/>
      </c>
      <c r="O75" s="25"/>
      <c r="P75" s="25"/>
      <c r="Q75" s="69"/>
      <c r="R75" s="74" t="str">
        <f aca="false">IF(A75="","",IF(N75="Non conforme",IF(Q75="","NC ouverte","NC levée"),IF(N75="Réserve",IF(Q75="","Réserve ouverte","Réserve levée"),IF(N75="En attente","À contrôler","Clos"))))</f>
        <v/>
      </c>
      <c r="S75" s="25"/>
    </row>
    <row r="76" customFormat="false" ht="15" hidden="false" customHeight="false" outlineLevel="0" collapsed="false">
      <c r="A76" s="68"/>
      <c r="B76" s="69"/>
      <c r="C76" s="25"/>
      <c r="D76" s="25"/>
      <c r="E76" s="25"/>
      <c r="F76" s="25"/>
      <c r="G76" s="25"/>
      <c r="H76" s="25"/>
      <c r="I76" s="91"/>
      <c r="J76" s="91"/>
      <c r="K76" s="91"/>
      <c r="L76" s="68"/>
      <c r="M76" s="68"/>
      <c r="N76" s="74" t="str">
        <f aca="false">IF(A76="","",IF(ISNUMBER(K76),IF(AND(OR(I76="",K76&gt;=I76),OR(J76="",K76&lt;=J76)),"Conforme","Non conforme"),IF(M76="","En attente",M76)))</f>
        <v/>
      </c>
      <c r="O76" s="25"/>
      <c r="P76" s="25"/>
      <c r="Q76" s="69"/>
      <c r="R76" s="74" t="str">
        <f aca="false">IF(A76="","",IF(N76="Non conforme",IF(Q76="","NC ouverte","NC levée"),IF(N76="Réserve",IF(Q76="","Réserve ouverte","Réserve levée"),IF(N76="En attente","À contrôler","Clos"))))</f>
        <v/>
      </c>
      <c r="S76" s="25"/>
    </row>
    <row r="77" customFormat="false" ht="15" hidden="false" customHeight="false" outlineLevel="0" collapsed="false">
      <c r="A77" s="68"/>
      <c r="B77" s="69"/>
      <c r="C77" s="25"/>
      <c r="D77" s="25"/>
      <c r="E77" s="25"/>
      <c r="F77" s="25"/>
      <c r="G77" s="25"/>
      <c r="H77" s="25"/>
      <c r="I77" s="91"/>
      <c r="J77" s="91"/>
      <c r="K77" s="91"/>
      <c r="L77" s="68"/>
      <c r="M77" s="68"/>
      <c r="N77" s="74" t="str">
        <f aca="false">IF(A77="","",IF(ISNUMBER(K77),IF(AND(OR(I77="",K77&gt;=I77),OR(J77="",K77&lt;=J77)),"Conforme","Non conforme"),IF(M77="","En attente",M77)))</f>
        <v/>
      </c>
      <c r="O77" s="25"/>
      <c r="P77" s="25"/>
      <c r="Q77" s="69"/>
      <c r="R77" s="74" t="str">
        <f aca="false">IF(A77="","",IF(N77="Non conforme",IF(Q77="","NC ouverte","NC levée"),IF(N77="Réserve",IF(Q77="","Réserve ouverte","Réserve levée"),IF(N77="En attente","À contrôler","Clos"))))</f>
        <v/>
      </c>
      <c r="S77" s="25"/>
    </row>
    <row r="78" customFormat="false" ht="15" hidden="false" customHeight="false" outlineLevel="0" collapsed="false">
      <c r="A78" s="68"/>
      <c r="B78" s="69"/>
      <c r="C78" s="25"/>
      <c r="D78" s="25"/>
      <c r="E78" s="25"/>
      <c r="F78" s="25"/>
      <c r="G78" s="25"/>
      <c r="H78" s="25"/>
      <c r="I78" s="91"/>
      <c r="J78" s="91"/>
      <c r="K78" s="91"/>
      <c r="L78" s="68"/>
      <c r="M78" s="68"/>
      <c r="N78" s="74" t="str">
        <f aca="false">IF(A78="","",IF(ISNUMBER(K78),IF(AND(OR(I78="",K78&gt;=I78),OR(J78="",K78&lt;=J78)),"Conforme","Non conforme"),IF(M78="","En attente",M78)))</f>
        <v/>
      </c>
      <c r="O78" s="25"/>
      <c r="P78" s="25"/>
      <c r="Q78" s="69"/>
      <c r="R78" s="74" t="str">
        <f aca="false">IF(A78="","",IF(N78="Non conforme",IF(Q78="","NC ouverte","NC levée"),IF(N78="Réserve",IF(Q78="","Réserve ouverte","Réserve levée"),IF(N78="En attente","À contrôler","Clos"))))</f>
        <v/>
      </c>
      <c r="S78" s="25"/>
    </row>
    <row r="79" customFormat="false" ht="15" hidden="false" customHeight="false" outlineLevel="0" collapsed="false">
      <c r="A79" s="68"/>
      <c r="B79" s="69"/>
      <c r="C79" s="25"/>
      <c r="D79" s="25"/>
      <c r="E79" s="25"/>
      <c r="F79" s="25"/>
      <c r="G79" s="25"/>
      <c r="H79" s="25"/>
      <c r="I79" s="91"/>
      <c r="J79" s="91"/>
      <c r="K79" s="91"/>
      <c r="L79" s="68"/>
      <c r="M79" s="68"/>
      <c r="N79" s="74" t="str">
        <f aca="false">IF(A79="","",IF(ISNUMBER(K79),IF(AND(OR(I79="",K79&gt;=I79),OR(J79="",K79&lt;=J79)),"Conforme","Non conforme"),IF(M79="","En attente",M79)))</f>
        <v/>
      </c>
      <c r="O79" s="25"/>
      <c r="P79" s="25"/>
      <c r="Q79" s="69"/>
      <c r="R79" s="74" t="str">
        <f aca="false">IF(A79="","",IF(N79="Non conforme",IF(Q79="","NC ouverte","NC levée"),IF(N79="Réserve",IF(Q79="","Réserve ouverte","Réserve levée"),IF(N79="En attente","À contrôler","Clos"))))</f>
        <v/>
      </c>
      <c r="S79" s="25"/>
    </row>
    <row r="80" customFormat="false" ht="15" hidden="false" customHeight="false" outlineLevel="0" collapsed="false">
      <c r="A80" s="68"/>
      <c r="B80" s="69"/>
      <c r="C80" s="25"/>
      <c r="D80" s="25"/>
      <c r="E80" s="25"/>
      <c r="F80" s="25"/>
      <c r="G80" s="25"/>
      <c r="H80" s="25"/>
      <c r="I80" s="91"/>
      <c r="J80" s="91"/>
      <c r="K80" s="91"/>
      <c r="L80" s="68"/>
      <c r="M80" s="68"/>
      <c r="N80" s="74" t="str">
        <f aca="false">IF(A80="","",IF(ISNUMBER(K80),IF(AND(OR(I80="",K80&gt;=I80),OR(J80="",K80&lt;=J80)),"Conforme","Non conforme"),IF(M80="","En attente",M80)))</f>
        <v/>
      </c>
      <c r="O80" s="25"/>
      <c r="P80" s="25"/>
      <c r="Q80" s="69"/>
      <c r="R80" s="74" t="str">
        <f aca="false">IF(A80="","",IF(N80="Non conforme",IF(Q80="","NC ouverte","NC levée"),IF(N80="Réserve",IF(Q80="","Réserve ouverte","Réserve levée"),IF(N80="En attente","À contrôler","Clos"))))</f>
        <v/>
      </c>
      <c r="S80" s="25"/>
    </row>
    <row r="81" customFormat="false" ht="15" hidden="false" customHeight="false" outlineLevel="0" collapsed="false">
      <c r="A81" s="68"/>
      <c r="B81" s="69"/>
      <c r="C81" s="25"/>
      <c r="D81" s="25"/>
      <c r="E81" s="25"/>
      <c r="F81" s="25"/>
      <c r="G81" s="25"/>
      <c r="H81" s="25"/>
      <c r="I81" s="91"/>
      <c r="J81" s="91"/>
      <c r="K81" s="91"/>
      <c r="L81" s="68"/>
      <c r="M81" s="68"/>
      <c r="N81" s="74" t="str">
        <f aca="false">IF(A81="","",IF(ISNUMBER(K81),IF(AND(OR(I81="",K81&gt;=I81),OR(J81="",K81&lt;=J81)),"Conforme","Non conforme"),IF(M81="","En attente",M81)))</f>
        <v/>
      </c>
      <c r="O81" s="25"/>
      <c r="P81" s="25"/>
      <c r="Q81" s="69"/>
      <c r="R81" s="74" t="str">
        <f aca="false">IF(A81="","",IF(N81="Non conforme",IF(Q81="","NC ouverte","NC levée"),IF(N81="Réserve",IF(Q81="","Réserve ouverte","Réserve levée"),IF(N81="En attente","À contrôler","Clos"))))</f>
        <v/>
      </c>
      <c r="S81" s="25"/>
    </row>
    <row r="82" customFormat="false" ht="15" hidden="false" customHeight="false" outlineLevel="0" collapsed="false">
      <c r="A82" s="68"/>
      <c r="B82" s="69"/>
      <c r="C82" s="25"/>
      <c r="D82" s="25"/>
      <c r="E82" s="25"/>
      <c r="F82" s="25"/>
      <c r="G82" s="25"/>
      <c r="H82" s="25"/>
      <c r="I82" s="91"/>
      <c r="J82" s="91"/>
      <c r="K82" s="91"/>
      <c r="L82" s="68"/>
      <c r="M82" s="68"/>
      <c r="N82" s="74" t="str">
        <f aca="false">IF(A82="","",IF(ISNUMBER(K82),IF(AND(OR(I82="",K82&gt;=I82),OR(J82="",K82&lt;=J82)),"Conforme","Non conforme"),IF(M82="","En attente",M82)))</f>
        <v/>
      </c>
      <c r="O82" s="25"/>
      <c r="P82" s="25"/>
      <c r="Q82" s="69"/>
      <c r="R82" s="74" t="str">
        <f aca="false">IF(A82="","",IF(N82="Non conforme",IF(Q82="","NC ouverte","NC levée"),IF(N82="Réserve",IF(Q82="","Réserve ouverte","Réserve levée"),IF(N82="En attente","À contrôler","Clos"))))</f>
        <v/>
      </c>
      <c r="S82" s="25"/>
    </row>
    <row r="83" customFormat="false" ht="15" hidden="false" customHeight="false" outlineLevel="0" collapsed="false">
      <c r="A83" s="68"/>
      <c r="B83" s="69"/>
      <c r="C83" s="25"/>
      <c r="D83" s="25"/>
      <c r="E83" s="25"/>
      <c r="F83" s="25"/>
      <c r="G83" s="25"/>
      <c r="H83" s="25"/>
      <c r="I83" s="91"/>
      <c r="J83" s="91"/>
      <c r="K83" s="91"/>
      <c r="L83" s="68"/>
      <c r="M83" s="68"/>
      <c r="N83" s="74" t="str">
        <f aca="false">IF(A83="","",IF(ISNUMBER(K83),IF(AND(OR(I83="",K83&gt;=I83),OR(J83="",K83&lt;=J83)),"Conforme","Non conforme"),IF(M83="","En attente",M83)))</f>
        <v/>
      </c>
      <c r="O83" s="25"/>
      <c r="P83" s="25"/>
      <c r="Q83" s="69"/>
      <c r="R83" s="74" t="str">
        <f aca="false">IF(A83="","",IF(N83="Non conforme",IF(Q83="","NC ouverte","NC levée"),IF(N83="Réserve",IF(Q83="","Réserve ouverte","Réserve levée"),IF(N83="En attente","À contrôler","Clos"))))</f>
        <v/>
      </c>
      <c r="S83" s="25"/>
    </row>
    <row r="84" customFormat="false" ht="15" hidden="false" customHeight="false" outlineLevel="0" collapsed="false">
      <c r="A84" s="68"/>
      <c r="B84" s="69"/>
      <c r="C84" s="25"/>
      <c r="D84" s="25"/>
      <c r="E84" s="25"/>
      <c r="F84" s="25"/>
      <c r="G84" s="25"/>
      <c r="H84" s="25"/>
      <c r="I84" s="91"/>
      <c r="J84" s="91"/>
      <c r="K84" s="91"/>
      <c r="L84" s="68"/>
      <c r="M84" s="68"/>
      <c r="N84" s="74" t="str">
        <f aca="false">IF(A84="","",IF(ISNUMBER(K84),IF(AND(OR(I84="",K84&gt;=I84),OR(J84="",K84&lt;=J84)),"Conforme","Non conforme"),IF(M84="","En attente",M84)))</f>
        <v/>
      </c>
      <c r="O84" s="25"/>
      <c r="P84" s="25"/>
      <c r="Q84" s="69"/>
      <c r="R84" s="74" t="str">
        <f aca="false">IF(A84="","",IF(N84="Non conforme",IF(Q84="","NC ouverte","NC levée"),IF(N84="Réserve",IF(Q84="","Réserve ouverte","Réserve levée"),IF(N84="En attente","À contrôler","Clos"))))</f>
        <v/>
      </c>
      <c r="S84" s="25"/>
    </row>
    <row r="85" customFormat="false" ht="15" hidden="false" customHeight="false" outlineLevel="0" collapsed="false">
      <c r="A85" s="68"/>
      <c r="B85" s="69"/>
      <c r="C85" s="25"/>
      <c r="D85" s="25"/>
      <c r="E85" s="25"/>
      <c r="F85" s="25"/>
      <c r="G85" s="25"/>
      <c r="H85" s="25"/>
      <c r="I85" s="91"/>
      <c r="J85" s="91"/>
      <c r="K85" s="91"/>
      <c r="L85" s="68"/>
      <c r="M85" s="68"/>
      <c r="N85" s="74" t="str">
        <f aca="false">IF(A85="","",IF(ISNUMBER(K85),IF(AND(OR(I85="",K85&gt;=I85),OR(J85="",K85&lt;=J85)),"Conforme","Non conforme"),IF(M85="","En attente",M85)))</f>
        <v/>
      </c>
      <c r="O85" s="25"/>
      <c r="P85" s="25"/>
      <c r="Q85" s="69"/>
      <c r="R85" s="74" t="str">
        <f aca="false">IF(A85="","",IF(N85="Non conforme",IF(Q85="","NC ouverte","NC levée"),IF(N85="Réserve",IF(Q85="","Réserve ouverte","Réserve levée"),IF(N85="En attente","À contrôler","Clos"))))</f>
        <v/>
      </c>
      <c r="S85" s="25"/>
    </row>
    <row r="86" customFormat="false" ht="15" hidden="false" customHeight="false" outlineLevel="0" collapsed="false">
      <c r="A86" s="68"/>
      <c r="B86" s="69"/>
      <c r="C86" s="25"/>
      <c r="D86" s="25"/>
      <c r="E86" s="25"/>
      <c r="F86" s="25"/>
      <c r="G86" s="25"/>
      <c r="H86" s="25"/>
      <c r="I86" s="91"/>
      <c r="J86" s="91"/>
      <c r="K86" s="91"/>
      <c r="L86" s="68"/>
      <c r="M86" s="68"/>
      <c r="N86" s="74" t="str">
        <f aca="false">IF(A86="","",IF(ISNUMBER(K86),IF(AND(OR(I86="",K86&gt;=I86),OR(J86="",K86&lt;=J86)),"Conforme","Non conforme"),IF(M86="","En attente",M86)))</f>
        <v/>
      </c>
      <c r="O86" s="25"/>
      <c r="P86" s="25"/>
      <c r="Q86" s="69"/>
      <c r="R86" s="74" t="str">
        <f aca="false">IF(A86="","",IF(N86="Non conforme",IF(Q86="","NC ouverte","NC levée"),IF(N86="Réserve",IF(Q86="","Réserve ouverte","Réserve levée"),IF(N86="En attente","À contrôler","Clos"))))</f>
        <v/>
      </c>
      <c r="S86" s="25"/>
    </row>
    <row r="87" customFormat="false" ht="15" hidden="false" customHeight="false" outlineLevel="0" collapsed="false">
      <c r="A87" s="68"/>
      <c r="B87" s="69"/>
      <c r="C87" s="25"/>
      <c r="D87" s="25"/>
      <c r="E87" s="25"/>
      <c r="F87" s="25"/>
      <c r="G87" s="25"/>
      <c r="H87" s="25"/>
      <c r="I87" s="91"/>
      <c r="J87" s="91"/>
      <c r="K87" s="91"/>
      <c r="L87" s="68"/>
      <c r="M87" s="68"/>
      <c r="N87" s="74" t="str">
        <f aca="false">IF(A87="","",IF(ISNUMBER(K87),IF(AND(OR(I87="",K87&gt;=I87),OR(J87="",K87&lt;=J87)),"Conforme","Non conforme"),IF(M87="","En attente",M87)))</f>
        <v/>
      </c>
      <c r="O87" s="25"/>
      <c r="P87" s="25"/>
      <c r="Q87" s="69"/>
      <c r="R87" s="74" t="str">
        <f aca="false">IF(A87="","",IF(N87="Non conforme",IF(Q87="","NC ouverte","NC levée"),IF(N87="Réserve",IF(Q87="","Réserve ouverte","Réserve levée"),IF(N87="En attente","À contrôler","Clos"))))</f>
        <v/>
      </c>
      <c r="S87" s="25"/>
    </row>
    <row r="88" customFormat="false" ht="15" hidden="false" customHeight="false" outlineLevel="0" collapsed="false">
      <c r="A88" s="68"/>
      <c r="B88" s="69"/>
      <c r="C88" s="25"/>
      <c r="D88" s="25"/>
      <c r="E88" s="25"/>
      <c r="F88" s="25"/>
      <c r="G88" s="25"/>
      <c r="H88" s="25"/>
      <c r="I88" s="91"/>
      <c r="J88" s="91"/>
      <c r="K88" s="91"/>
      <c r="L88" s="68"/>
      <c r="M88" s="68"/>
      <c r="N88" s="74" t="str">
        <f aca="false">IF(A88="","",IF(ISNUMBER(K88),IF(AND(OR(I88="",K88&gt;=I88),OR(J88="",K88&lt;=J88)),"Conforme","Non conforme"),IF(M88="","En attente",M88)))</f>
        <v/>
      </c>
      <c r="O88" s="25"/>
      <c r="P88" s="25"/>
      <c r="Q88" s="69"/>
      <c r="R88" s="74" t="str">
        <f aca="false">IF(A88="","",IF(N88="Non conforme",IF(Q88="","NC ouverte","NC levée"),IF(N88="Réserve",IF(Q88="","Réserve ouverte","Réserve levée"),IF(N88="En attente","À contrôler","Clos"))))</f>
        <v/>
      </c>
      <c r="S88" s="25"/>
    </row>
    <row r="89" customFormat="false" ht="15" hidden="false" customHeight="false" outlineLevel="0" collapsed="false">
      <c r="A89" s="68"/>
      <c r="B89" s="69"/>
      <c r="C89" s="25"/>
      <c r="D89" s="25"/>
      <c r="E89" s="25"/>
      <c r="F89" s="25"/>
      <c r="G89" s="25"/>
      <c r="H89" s="25"/>
      <c r="I89" s="91"/>
      <c r="J89" s="91"/>
      <c r="K89" s="91"/>
      <c r="L89" s="68"/>
      <c r="M89" s="68"/>
      <c r="N89" s="74" t="str">
        <f aca="false">IF(A89="","",IF(ISNUMBER(K89),IF(AND(OR(I89="",K89&gt;=I89),OR(J89="",K89&lt;=J89)),"Conforme","Non conforme"),IF(M89="","En attente",M89)))</f>
        <v/>
      </c>
      <c r="O89" s="25"/>
      <c r="P89" s="25"/>
      <c r="Q89" s="69"/>
      <c r="R89" s="74" t="str">
        <f aca="false">IF(A89="","",IF(N89="Non conforme",IF(Q89="","NC ouverte","NC levée"),IF(N89="Réserve",IF(Q89="","Réserve ouverte","Réserve levée"),IF(N89="En attente","À contrôler","Clos"))))</f>
        <v/>
      </c>
      <c r="S89" s="25"/>
    </row>
    <row r="90" customFormat="false" ht="15" hidden="false" customHeight="false" outlineLevel="0" collapsed="false">
      <c r="A90" s="68"/>
      <c r="B90" s="69"/>
      <c r="C90" s="25"/>
      <c r="D90" s="25"/>
      <c r="E90" s="25"/>
      <c r="F90" s="25"/>
      <c r="G90" s="25"/>
      <c r="H90" s="25"/>
      <c r="I90" s="91"/>
      <c r="J90" s="91"/>
      <c r="K90" s="91"/>
      <c r="L90" s="68"/>
      <c r="M90" s="68"/>
      <c r="N90" s="74" t="str">
        <f aca="false">IF(A90="","",IF(ISNUMBER(K90),IF(AND(OR(I90="",K90&gt;=I90),OR(J90="",K90&lt;=J90)),"Conforme","Non conforme"),IF(M90="","En attente",M90)))</f>
        <v/>
      </c>
      <c r="O90" s="25"/>
      <c r="P90" s="25"/>
      <c r="Q90" s="69"/>
      <c r="R90" s="74" t="str">
        <f aca="false">IF(A90="","",IF(N90="Non conforme",IF(Q90="","NC ouverte","NC levée"),IF(N90="Réserve",IF(Q90="","Réserve ouverte","Réserve levée"),IF(N90="En attente","À contrôler","Clos"))))</f>
        <v/>
      </c>
      <c r="S90" s="25"/>
    </row>
    <row r="91" customFormat="false" ht="15" hidden="false" customHeight="false" outlineLevel="0" collapsed="false">
      <c r="A91" s="68"/>
      <c r="B91" s="69"/>
      <c r="C91" s="25"/>
      <c r="D91" s="25"/>
      <c r="E91" s="25"/>
      <c r="F91" s="25"/>
      <c r="G91" s="25"/>
      <c r="H91" s="25"/>
      <c r="I91" s="91"/>
      <c r="J91" s="91"/>
      <c r="K91" s="91"/>
      <c r="L91" s="68"/>
      <c r="M91" s="68"/>
      <c r="N91" s="74" t="str">
        <f aca="false">IF(A91="","",IF(ISNUMBER(K91),IF(AND(OR(I91="",K91&gt;=I91),OR(J91="",K91&lt;=J91)),"Conforme","Non conforme"),IF(M91="","En attente",M91)))</f>
        <v/>
      </c>
      <c r="O91" s="25"/>
      <c r="P91" s="25"/>
      <c r="Q91" s="69"/>
      <c r="R91" s="74" t="str">
        <f aca="false">IF(A91="","",IF(N91="Non conforme",IF(Q91="","NC ouverte","NC levée"),IF(N91="Réserve",IF(Q91="","Réserve ouverte","Réserve levée"),IF(N91="En attente","À contrôler","Clos"))))</f>
        <v/>
      </c>
      <c r="S91" s="25"/>
    </row>
    <row r="92" customFormat="false" ht="15" hidden="false" customHeight="false" outlineLevel="0" collapsed="false">
      <c r="A92" s="68"/>
      <c r="B92" s="69"/>
      <c r="C92" s="25"/>
      <c r="D92" s="25"/>
      <c r="E92" s="25"/>
      <c r="F92" s="25"/>
      <c r="G92" s="25"/>
      <c r="H92" s="25"/>
      <c r="I92" s="91"/>
      <c r="J92" s="91"/>
      <c r="K92" s="91"/>
      <c r="L92" s="68"/>
      <c r="M92" s="68"/>
      <c r="N92" s="74" t="str">
        <f aca="false">IF(A92="","",IF(ISNUMBER(K92),IF(AND(OR(I92="",K92&gt;=I92),OR(J92="",K92&lt;=J92)),"Conforme","Non conforme"),IF(M92="","En attente",M92)))</f>
        <v/>
      </c>
      <c r="O92" s="25"/>
      <c r="P92" s="25"/>
      <c r="Q92" s="69"/>
      <c r="R92" s="74" t="str">
        <f aca="false">IF(A92="","",IF(N92="Non conforme",IF(Q92="","NC ouverte","NC levée"),IF(N92="Réserve",IF(Q92="","Réserve ouverte","Réserve levée"),IF(N92="En attente","À contrôler","Clos"))))</f>
        <v/>
      </c>
      <c r="S92" s="25"/>
    </row>
    <row r="93" customFormat="false" ht="15" hidden="false" customHeight="false" outlineLevel="0" collapsed="false">
      <c r="A93" s="68"/>
      <c r="B93" s="69"/>
      <c r="C93" s="25"/>
      <c r="D93" s="25"/>
      <c r="E93" s="25"/>
      <c r="F93" s="25"/>
      <c r="G93" s="25"/>
      <c r="H93" s="25"/>
      <c r="I93" s="91"/>
      <c r="J93" s="91"/>
      <c r="K93" s="91"/>
      <c r="L93" s="68"/>
      <c r="M93" s="68"/>
      <c r="N93" s="74" t="str">
        <f aca="false">IF(A93="","",IF(ISNUMBER(K93),IF(AND(OR(I93="",K93&gt;=I93),OR(J93="",K93&lt;=J93)),"Conforme","Non conforme"),IF(M93="","En attente",M93)))</f>
        <v/>
      </c>
      <c r="O93" s="25"/>
      <c r="P93" s="25"/>
      <c r="Q93" s="69"/>
      <c r="R93" s="74" t="str">
        <f aca="false">IF(A93="","",IF(N93="Non conforme",IF(Q93="","NC ouverte","NC levée"),IF(N93="Réserve",IF(Q93="","Réserve ouverte","Réserve levée"),IF(N93="En attente","À contrôler","Clos"))))</f>
        <v/>
      </c>
      <c r="S93" s="25"/>
    </row>
    <row r="94" customFormat="false" ht="15" hidden="false" customHeight="false" outlineLevel="0" collapsed="false">
      <c r="A94" s="68"/>
      <c r="B94" s="69"/>
      <c r="C94" s="25"/>
      <c r="D94" s="25"/>
      <c r="E94" s="25"/>
      <c r="F94" s="25"/>
      <c r="G94" s="25"/>
      <c r="H94" s="25"/>
      <c r="I94" s="91"/>
      <c r="J94" s="91"/>
      <c r="K94" s="91"/>
      <c r="L94" s="68"/>
      <c r="M94" s="68"/>
      <c r="N94" s="74" t="str">
        <f aca="false">IF(A94="","",IF(ISNUMBER(K94),IF(AND(OR(I94="",K94&gt;=I94),OR(J94="",K94&lt;=J94)),"Conforme","Non conforme"),IF(M94="","En attente",M94)))</f>
        <v/>
      </c>
      <c r="O94" s="25"/>
      <c r="P94" s="25"/>
      <c r="Q94" s="69"/>
      <c r="R94" s="74" t="str">
        <f aca="false">IF(A94="","",IF(N94="Non conforme",IF(Q94="","NC ouverte","NC levée"),IF(N94="Réserve",IF(Q94="","Réserve ouverte","Réserve levée"),IF(N94="En attente","À contrôler","Clos"))))</f>
        <v/>
      </c>
      <c r="S94" s="25"/>
    </row>
    <row r="95" customFormat="false" ht="15" hidden="false" customHeight="false" outlineLevel="0" collapsed="false">
      <c r="A95" s="68"/>
      <c r="B95" s="69"/>
      <c r="C95" s="25"/>
      <c r="D95" s="25"/>
      <c r="E95" s="25"/>
      <c r="F95" s="25"/>
      <c r="G95" s="25"/>
      <c r="H95" s="25"/>
      <c r="I95" s="91"/>
      <c r="J95" s="91"/>
      <c r="K95" s="91"/>
      <c r="L95" s="68"/>
      <c r="M95" s="68"/>
      <c r="N95" s="74" t="str">
        <f aca="false">IF(A95="","",IF(ISNUMBER(K95),IF(AND(OR(I95="",K95&gt;=I95),OR(J95="",K95&lt;=J95)),"Conforme","Non conforme"),IF(M95="","En attente",M95)))</f>
        <v/>
      </c>
      <c r="O95" s="25"/>
      <c r="P95" s="25"/>
      <c r="Q95" s="69"/>
      <c r="R95" s="74" t="str">
        <f aca="false">IF(A95="","",IF(N95="Non conforme",IF(Q95="","NC ouverte","NC levée"),IF(N95="Réserve",IF(Q95="","Réserve ouverte","Réserve levée"),IF(N95="En attente","À contrôler","Clos"))))</f>
        <v/>
      </c>
      <c r="S95" s="25"/>
    </row>
    <row r="96" customFormat="false" ht="15" hidden="false" customHeight="false" outlineLevel="0" collapsed="false">
      <c r="A96" s="68"/>
      <c r="B96" s="69"/>
      <c r="C96" s="25"/>
      <c r="D96" s="25"/>
      <c r="E96" s="25"/>
      <c r="F96" s="25"/>
      <c r="G96" s="25"/>
      <c r="H96" s="25"/>
      <c r="I96" s="91"/>
      <c r="J96" s="91"/>
      <c r="K96" s="91"/>
      <c r="L96" s="68"/>
      <c r="M96" s="68"/>
      <c r="N96" s="74" t="str">
        <f aca="false">IF(A96="","",IF(ISNUMBER(K96),IF(AND(OR(I96="",K96&gt;=I96),OR(J96="",K96&lt;=J96)),"Conforme","Non conforme"),IF(M96="","En attente",M96)))</f>
        <v/>
      </c>
      <c r="O96" s="25"/>
      <c r="P96" s="25"/>
      <c r="Q96" s="69"/>
      <c r="R96" s="74" t="str">
        <f aca="false">IF(A96="","",IF(N96="Non conforme",IF(Q96="","NC ouverte","NC levée"),IF(N96="Réserve",IF(Q96="","Réserve ouverte","Réserve levée"),IF(N96="En attente","À contrôler","Clos"))))</f>
        <v/>
      </c>
      <c r="S96" s="25"/>
    </row>
    <row r="97" customFormat="false" ht="15" hidden="false" customHeight="false" outlineLevel="0" collapsed="false">
      <c r="A97" s="68"/>
      <c r="B97" s="69"/>
      <c r="C97" s="25"/>
      <c r="D97" s="25"/>
      <c r="E97" s="25"/>
      <c r="F97" s="25"/>
      <c r="G97" s="25"/>
      <c r="H97" s="25"/>
      <c r="I97" s="91"/>
      <c r="J97" s="91"/>
      <c r="K97" s="91"/>
      <c r="L97" s="68"/>
      <c r="M97" s="68"/>
      <c r="N97" s="74" t="str">
        <f aca="false">IF(A97="","",IF(ISNUMBER(K97),IF(AND(OR(I97="",K97&gt;=I97),OR(J97="",K97&lt;=J97)),"Conforme","Non conforme"),IF(M97="","En attente",M97)))</f>
        <v/>
      </c>
      <c r="O97" s="25"/>
      <c r="P97" s="25"/>
      <c r="Q97" s="69"/>
      <c r="R97" s="74" t="str">
        <f aca="false">IF(A97="","",IF(N97="Non conforme",IF(Q97="","NC ouverte","NC levée"),IF(N97="Réserve",IF(Q97="","Réserve ouverte","Réserve levée"),IF(N97="En attente","À contrôler","Clos"))))</f>
        <v/>
      </c>
      <c r="S97" s="25"/>
    </row>
    <row r="98" customFormat="false" ht="15" hidden="false" customHeight="false" outlineLevel="0" collapsed="false">
      <c r="A98" s="68"/>
      <c r="B98" s="69"/>
      <c r="C98" s="25"/>
      <c r="D98" s="25"/>
      <c r="E98" s="25"/>
      <c r="F98" s="25"/>
      <c r="G98" s="25"/>
      <c r="H98" s="25"/>
      <c r="I98" s="91"/>
      <c r="J98" s="91"/>
      <c r="K98" s="91"/>
      <c r="L98" s="68"/>
      <c r="M98" s="68"/>
      <c r="N98" s="74" t="str">
        <f aca="false">IF(A98="","",IF(ISNUMBER(K98),IF(AND(OR(I98="",K98&gt;=I98),OR(J98="",K98&lt;=J98)),"Conforme","Non conforme"),IF(M98="","En attente",M98)))</f>
        <v/>
      </c>
      <c r="O98" s="25"/>
      <c r="P98" s="25"/>
      <c r="Q98" s="69"/>
      <c r="R98" s="74" t="str">
        <f aca="false">IF(A98="","",IF(N98="Non conforme",IF(Q98="","NC ouverte","NC levée"),IF(N98="Réserve",IF(Q98="","Réserve ouverte","Réserve levée"),IF(N98="En attente","À contrôler","Clos"))))</f>
        <v/>
      </c>
      <c r="S98" s="25"/>
    </row>
    <row r="99" customFormat="false" ht="15" hidden="false" customHeight="false" outlineLevel="0" collapsed="false">
      <c r="A99" s="68"/>
      <c r="B99" s="69"/>
      <c r="C99" s="25"/>
      <c r="D99" s="25"/>
      <c r="E99" s="25"/>
      <c r="F99" s="25"/>
      <c r="G99" s="25"/>
      <c r="H99" s="25"/>
      <c r="I99" s="91"/>
      <c r="J99" s="91"/>
      <c r="K99" s="91"/>
      <c r="L99" s="68"/>
      <c r="M99" s="68"/>
      <c r="N99" s="74" t="str">
        <f aca="false">IF(A99="","",IF(ISNUMBER(K99),IF(AND(OR(I99="",K99&gt;=I99),OR(J99="",K99&lt;=J99)),"Conforme","Non conforme"),IF(M99="","En attente",M99)))</f>
        <v/>
      </c>
      <c r="O99" s="25"/>
      <c r="P99" s="25"/>
      <c r="Q99" s="69"/>
      <c r="R99" s="74" t="str">
        <f aca="false">IF(A99="","",IF(N99="Non conforme",IF(Q99="","NC ouverte","NC levée"),IF(N99="Réserve",IF(Q99="","Réserve ouverte","Réserve levée"),IF(N99="En attente","À contrôler","Clos"))))</f>
        <v/>
      </c>
      <c r="S99" s="25"/>
    </row>
    <row r="100" customFormat="false" ht="15" hidden="false" customHeight="false" outlineLevel="0" collapsed="false">
      <c r="A100" s="68"/>
      <c r="B100" s="69"/>
      <c r="C100" s="25"/>
      <c r="D100" s="25"/>
      <c r="E100" s="25"/>
      <c r="F100" s="25"/>
      <c r="G100" s="25"/>
      <c r="H100" s="25"/>
      <c r="I100" s="91"/>
      <c r="J100" s="91"/>
      <c r="K100" s="91"/>
      <c r="L100" s="68"/>
      <c r="M100" s="68"/>
      <c r="N100" s="74" t="str">
        <f aca="false">IF(A100="","",IF(ISNUMBER(K100),IF(AND(OR(I100="",K100&gt;=I100),OR(J100="",K100&lt;=J100)),"Conforme","Non conforme"),IF(M100="","En attente",M100)))</f>
        <v/>
      </c>
      <c r="O100" s="25"/>
      <c r="P100" s="25"/>
      <c r="Q100" s="69"/>
      <c r="R100" s="74" t="str">
        <f aca="false">IF(A100="","",IF(N100="Non conforme",IF(Q100="","NC ouverte","NC levée"),IF(N100="Réserve",IF(Q100="","Réserve ouverte","Réserve levée"),IF(N100="En attente","À contrôler","Clos"))))</f>
        <v/>
      </c>
      <c r="S100" s="25"/>
    </row>
    <row r="101" customFormat="false" ht="15" hidden="false" customHeight="false" outlineLevel="0" collapsed="false">
      <c r="A101" s="68"/>
      <c r="B101" s="69"/>
      <c r="C101" s="25"/>
      <c r="D101" s="25"/>
      <c r="E101" s="25"/>
      <c r="F101" s="25"/>
      <c r="G101" s="25"/>
      <c r="H101" s="25"/>
      <c r="I101" s="91"/>
      <c r="J101" s="91"/>
      <c r="K101" s="91"/>
      <c r="L101" s="68"/>
      <c r="M101" s="68"/>
      <c r="N101" s="74" t="str">
        <f aca="false">IF(A101="","",IF(ISNUMBER(K101),IF(AND(OR(I101="",K101&gt;=I101),OR(J101="",K101&lt;=J101)),"Conforme","Non conforme"),IF(M101="","En attente",M101)))</f>
        <v/>
      </c>
      <c r="O101" s="25"/>
      <c r="P101" s="25"/>
      <c r="Q101" s="69"/>
      <c r="R101" s="74" t="str">
        <f aca="false">IF(A101="","",IF(N101="Non conforme",IF(Q101="","NC ouverte","NC levée"),IF(N101="Réserve",IF(Q101="","Réserve ouverte","Réserve levée"),IF(N101="En attente","À contrôler","Clos"))))</f>
        <v/>
      </c>
      <c r="S101" s="25"/>
    </row>
    <row r="102" customFormat="false" ht="15" hidden="false" customHeight="false" outlineLevel="0" collapsed="false">
      <c r="A102" s="68"/>
      <c r="B102" s="69"/>
      <c r="C102" s="25"/>
      <c r="D102" s="25"/>
      <c r="E102" s="25"/>
      <c r="F102" s="25"/>
      <c r="G102" s="25"/>
      <c r="H102" s="25"/>
      <c r="I102" s="91"/>
      <c r="J102" s="91"/>
      <c r="K102" s="91"/>
      <c r="L102" s="68"/>
      <c r="M102" s="68"/>
      <c r="N102" s="74" t="str">
        <f aca="false">IF(A102="","",IF(ISNUMBER(K102),IF(AND(OR(I102="",K102&gt;=I102),OR(J102="",K102&lt;=J102)),"Conforme","Non conforme"),IF(M102="","En attente",M102)))</f>
        <v/>
      </c>
      <c r="O102" s="25"/>
      <c r="P102" s="25"/>
      <c r="Q102" s="69"/>
      <c r="R102" s="74" t="str">
        <f aca="false">IF(A102="","",IF(N102="Non conforme",IF(Q102="","NC ouverte","NC levée"),IF(N102="Réserve",IF(Q102="","Réserve ouverte","Réserve levée"),IF(N102="En attente","À contrôler","Clos"))))</f>
        <v/>
      </c>
      <c r="S102" s="25"/>
    </row>
    <row r="103" customFormat="false" ht="15" hidden="false" customHeight="false" outlineLevel="0" collapsed="false">
      <c r="A103" s="68"/>
      <c r="B103" s="69"/>
      <c r="C103" s="25"/>
      <c r="D103" s="25"/>
      <c r="E103" s="25"/>
      <c r="F103" s="25"/>
      <c r="G103" s="25"/>
      <c r="H103" s="25"/>
      <c r="I103" s="91"/>
      <c r="J103" s="91"/>
      <c r="K103" s="91"/>
      <c r="L103" s="68"/>
      <c r="M103" s="68"/>
      <c r="N103" s="74" t="str">
        <f aca="false">IF(A103="","",IF(ISNUMBER(K103),IF(AND(OR(I103="",K103&gt;=I103),OR(J103="",K103&lt;=J103)),"Conforme","Non conforme"),IF(M103="","En attente",M103)))</f>
        <v/>
      </c>
      <c r="O103" s="25"/>
      <c r="P103" s="25"/>
      <c r="Q103" s="69"/>
      <c r="R103" s="74" t="str">
        <f aca="false">IF(A103="","",IF(N103="Non conforme",IF(Q103="","NC ouverte","NC levée"),IF(N103="Réserve",IF(Q103="","Réserve ouverte","Réserve levée"),IF(N103="En attente","À contrôler","Clos"))))</f>
        <v/>
      </c>
      <c r="S103" s="25"/>
    </row>
    <row r="104" customFormat="false" ht="15" hidden="false" customHeight="false" outlineLevel="0" collapsed="false">
      <c r="A104" s="68"/>
      <c r="B104" s="69"/>
      <c r="C104" s="25"/>
      <c r="D104" s="25"/>
      <c r="E104" s="25"/>
      <c r="F104" s="25"/>
      <c r="G104" s="25"/>
      <c r="H104" s="25"/>
      <c r="I104" s="91"/>
      <c r="J104" s="91"/>
      <c r="K104" s="91"/>
      <c r="L104" s="68"/>
      <c r="M104" s="68"/>
      <c r="N104" s="74" t="str">
        <f aca="false">IF(A104="","",IF(ISNUMBER(K104),IF(AND(OR(I104="",K104&gt;=I104),OR(J104="",K104&lt;=J104)),"Conforme","Non conforme"),IF(M104="","En attente",M104)))</f>
        <v/>
      </c>
      <c r="O104" s="25"/>
      <c r="P104" s="25"/>
      <c r="Q104" s="69"/>
      <c r="R104" s="74" t="str">
        <f aca="false">IF(A104="","",IF(N104="Non conforme",IF(Q104="","NC ouverte","NC levée"),IF(N104="Réserve",IF(Q104="","Réserve ouverte","Réserve levée"),IF(N104="En attente","À contrôler","Clos"))))</f>
        <v/>
      </c>
      <c r="S104" s="25"/>
    </row>
    <row r="105" customFormat="false" ht="15" hidden="false" customHeight="false" outlineLevel="0" collapsed="false">
      <c r="A105" s="68"/>
      <c r="B105" s="69"/>
      <c r="C105" s="25"/>
      <c r="D105" s="25"/>
      <c r="E105" s="25"/>
      <c r="F105" s="25"/>
      <c r="G105" s="25"/>
      <c r="H105" s="25"/>
      <c r="I105" s="91"/>
      <c r="J105" s="91"/>
      <c r="K105" s="91"/>
      <c r="L105" s="68"/>
      <c r="M105" s="68"/>
      <c r="N105" s="74" t="str">
        <f aca="false">IF(A105="","",IF(ISNUMBER(K105),IF(AND(OR(I105="",K105&gt;=I105),OR(J105="",K105&lt;=J105)),"Conforme","Non conforme"),IF(M105="","En attente",M105)))</f>
        <v/>
      </c>
      <c r="O105" s="25"/>
      <c r="P105" s="25"/>
      <c r="Q105" s="69"/>
      <c r="R105" s="74" t="str">
        <f aca="false">IF(A105="","",IF(N105="Non conforme",IF(Q105="","NC ouverte","NC levée"),IF(N105="Réserve",IF(Q105="","Réserve ouverte","Réserve levée"),IF(N105="En attente","À contrôler","Clos"))))</f>
        <v/>
      </c>
      <c r="S105" s="25"/>
    </row>
    <row r="106" customFormat="false" ht="15" hidden="false" customHeight="false" outlineLevel="0" collapsed="false">
      <c r="A106" s="68"/>
      <c r="B106" s="69"/>
      <c r="C106" s="25"/>
      <c r="D106" s="25"/>
      <c r="E106" s="25"/>
      <c r="F106" s="25"/>
      <c r="G106" s="25"/>
      <c r="H106" s="25"/>
      <c r="I106" s="91"/>
      <c r="J106" s="91"/>
      <c r="K106" s="91"/>
      <c r="L106" s="68"/>
      <c r="M106" s="68"/>
      <c r="N106" s="74" t="str">
        <f aca="false">IF(A106="","",IF(ISNUMBER(K106),IF(AND(OR(I106="",K106&gt;=I106),OR(J106="",K106&lt;=J106)),"Conforme","Non conforme"),IF(M106="","En attente",M106)))</f>
        <v/>
      </c>
      <c r="O106" s="25"/>
      <c r="P106" s="25"/>
      <c r="Q106" s="69"/>
      <c r="R106" s="74" t="str">
        <f aca="false">IF(A106="","",IF(N106="Non conforme",IF(Q106="","NC ouverte","NC levée"),IF(N106="Réserve",IF(Q106="","Réserve ouverte","Réserve levée"),IF(N106="En attente","À contrôler","Clos"))))</f>
        <v/>
      </c>
      <c r="S106" s="25"/>
    </row>
    <row r="107" customFormat="false" ht="15" hidden="false" customHeight="false" outlineLevel="0" collapsed="false">
      <c r="A107" s="68"/>
      <c r="B107" s="69"/>
      <c r="C107" s="25"/>
      <c r="D107" s="25"/>
      <c r="E107" s="25"/>
      <c r="F107" s="25"/>
      <c r="G107" s="25"/>
      <c r="H107" s="25"/>
      <c r="I107" s="91"/>
      <c r="J107" s="91"/>
      <c r="K107" s="91"/>
      <c r="L107" s="68"/>
      <c r="M107" s="68"/>
      <c r="N107" s="74" t="str">
        <f aca="false">IF(A107="","",IF(ISNUMBER(K107),IF(AND(OR(I107="",K107&gt;=I107),OR(J107="",K107&lt;=J107)),"Conforme","Non conforme"),IF(M107="","En attente",M107)))</f>
        <v/>
      </c>
      <c r="O107" s="25"/>
      <c r="P107" s="25"/>
      <c r="Q107" s="69"/>
      <c r="R107" s="74" t="str">
        <f aca="false">IF(A107="","",IF(N107="Non conforme",IF(Q107="","NC ouverte","NC levée"),IF(N107="Réserve",IF(Q107="","Réserve ouverte","Réserve levée"),IF(N107="En attente","À contrôler","Clos"))))</f>
        <v/>
      </c>
      <c r="S107" s="25"/>
    </row>
    <row r="108" customFormat="false" ht="15" hidden="false" customHeight="false" outlineLevel="0" collapsed="false">
      <c r="A108" s="68"/>
      <c r="B108" s="69"/>
      <c r="C108" s="25"/>
      <c r="D108" s="25"/>
      <c r="E108" s="25"/>
      <c r="F108" s="25"/>
      <c r="G108" s="25"/>
      <c r="H108" s="25"/>
      <c r="I108" s="91"/>
      <c r="J108" s="91"/>
      <c r="K108" s="91"/>
      <c r="L108" s="68"/>
      <c r="M108" s="68"/>
      <c r="N108" s="74" t="str">
        <f aca="false">IF(A108="","",IF(ISNUMBER(K108),IF(AND(OR(I108="",K108&gt;=I108),OR(J108="",K108&lt;=J108)),"Conforme","Non conforme"),IF(M108="","En attente",M108)))</f>
        <v/>
      </c>
      <c r="O108" s="25"/>
      <c r="P108" s="25"/>
      <c r="Q108" s="69"/>
      <c r="R108" s="74" t="str">
        <f aca="false">IF(A108="","",IF(N108="Non conforme",IF(Q108="","NC ouverte","NC levée"),IF(N108="Réserve",IF(Q108="","Réserve ouverte","Réserve levée"),IF(N108="En attente","À contrôler","Clos"))))</f>
        <v/>
      </c>
      <c r="S108" s="25"/>
    </row>
    <row r="109" customFormat="false" ht="15" hidden="false" customHeight="false" outlineLevel="0" collapsed="false">
      <c r="A109" s="68"/>
      <c r="B109" s="69"/>
      <c r="C109" s="25"/>
      <c r="D109" s="25"/>
      <c r="E109" s="25"/>
      <c r="F109" s="25"/>
      <c r="G109" s="25"/>
      <c r="H109" s="25"/>
      <c r="I109" s="91"/>
      <c r="J109" s="91"/>
      <c r="K109" s="91"/>
      <c r="L109" s="68"/>
      <c r="M109" s="68"/>
      <c r="N109" s="74" t="str">
        <f aca="false">IF(A109="","",IF(ISNUMBER(K109),IF(AND(OR(I109="",K109&gt;=I109),OR(J109="",K109&lt;=J109)),"Conforme","Non conforme"),IF(M109="","En attente",M109)))</f>
        <v/>
      </c>
      <c r="O109" s="25"/>
      <c r="P109" s="25"/>
      <c r="Q109" s="69"/>
      <c r="R109" s="74" t="str">
        <f aca="false">IF(A109="","",IF(N109="Non conforme",IF(Q109="","NC ouverte","NC levée"),IF(N109="Réserve",IF(Q109="","Réserve ouverte","Réserve levée"),IF(N109="En attente","À contrôler","Clos"))))</f>
        <v/>
      </c>
      <c r="S109" s="25"/>
    </row>
    <row r="110" customFormat="false" ht="15" hidden="false" customHeight="false" outlineLevel="0" collapsed="false">
      <c r="A110" s="68"/>
      <c r="B110" s="69"/>
      <c r="C110" s="25"/>
      <c r="D110" s="25"/>
      <c r="E110" s="25"/>
      <c r="F110" s="25"/>
      <c r="G110" s="25"/>
      <c r="H110" s="25"/>
      <c r="I110" s="91"/>
      <c r="J110" s="91"/>
      <c r="K110" s="91"/>
      <c r="L110" s="68"/>
      <c r="M110" s="68"/>
      <c r="N110" s="74" t="str">
        <f aca="false">IF(A110="","",IF(ISNUMBER(K110),IF(AND(OR(I110="",K110&gt;=I110),OR(J110="",K110&lt;=J110)),"Conforme","Non conforme"),IF(M110="","En attente",M110)))</f>
        <v/>
      </c>
      <c r="O110" s="25"/>
      <c r="P110" s="25"/>
      <c r="Q110" s="69"/>
      <c r="R110" s="74" t="str">
        <f aca="false">IF(A110="","",IF(N110="Non conforme",IF(Q110="","NC ouverte","NC levée"),IF(N110="Réserve",IF(Q110="","Réserve ouverte","Réserve levée"),IF(N110="En attente","À contrôler","Clos"))))</f>
        <v/>
      </c>
      <c r="S110" s="25"/>
    </row>
    <row r="111" customFormat="false" ht="15" hidden="false" customHeight="false" outlineLevel="0" collapsed="false">
      <c r="A111" s="68"/>
      <c r="B111" s="69"/>
      <c r="C111" s="25"/>
      <c r="D111" s="25"/>
      <c r="E111" s="25"/>
      <c r="F111" s="25"/>
      <c r="G111" s="25"/>
      <c r="H111" s="25"/>
      <c r="I111" s="91"/>
      <c r="J111" s="91"/>
      <c r="K111" s="91"/>
      <c r="L111" s="68"/>
      <c r="M111" s="68"/>
      <c r="N111" s="74" t="str">
        <f aca="false">IF(A111="","",IF(ISNUMBER(K111),IF(AND(OR(I111="",K111&gt;=I111),OR(J111="",K111&lt;=J111)),"Conforme","Non conforme"),IF(M111="","En attente",M111)))</f>
        <v/>
      </c>
      <c r="O111" s="25"/>
      <c r="P111" s="25"/>
      <c r="Q111" s="69"/>
      <c r="R111" s="74" t="str">
        <f aca="false">IF(A111="","",IF(N111="Non conforme",IF(Q111="","NC ouverte","NC levée"),IF(N111="Réserve",IF(Q111="","Réserve ouverte","Réserve levée"),IF(N111="En attente","À contrôler","Clos"))))</f>
        <v/>
      </c>
      <c r="S111" s="25"/>
    </row>
    <row r="112" customFormat="false" ht="15" hidden="false" customHeight="false" outlineLevel="0" collapsed="false">
      <c r="A112" s="68"/>
      <c r="B112" s="69"/>
      <c r="C112" s="25"/>
      <c r="D112" s="25"/>
      <c r="E112" s="25"/>
      <c r="F112" s="25"/>
      <c r="G112" s="25"/>
      <c r="H112" s="25"/>
      <c r="I112" s="91"/>
      <c r="J112" s="91"/>
      <c r="K112" s="91"/>
      <c r="L112" s="68"/>
      <c r="M112" s="68"/>
      <c r="N112" s="74" t="str">
        <f aca="false">IF(A112="","",IF(ISNUMBER(K112),IF(AND(OR(I112="",K112&gt;=I112),OR(J112="",K112&lt;=J112)),"Conforme","Non conforme"),IF(M112="","En attente",M112)))</f>
        <v/>
      </c>
      <c r="O112" s="25"/>
      <c r="P112" s="25"/>
      <c r="Q112" s="69"/>
      <c r="R112" s="74" t="str">
        <f aca="false">IF(A112="","",IF(N112="Non conforme",IF(Q112="","NC ouverte","NC levée"),IF(N112="Réserve",IF(Q112="","Réserve ouverte","Réserve levée"),IF(N112="En attente","À contrôler","Clos"))))</f>
        <v/>
      </c>
      <c r="S112" s="25"/>
    </row>
    <row r="113" customFormat="false" ht="15" hidden="false" customHeight="false" outlineLevel="0" collapsed="false">
      <c r="A113" s="68"/>
      <c r="B113" s="69"/>
      <c r="C113" s="25"/>
      <c r="D113" s="25"/>
      <c r="E113" s="25"/>
      <c r="F113" s="25"/>
      <c r="G113" s="25"/>
      <c r="H113" s="25"/>
      <c r="I113" s="91"/>
      <c r="J113" s="91"/>
      <c r="K113" s="91"/>
      <c r="L113" s="68"/>
      <c r="M113" s="68"/>
      <c r="N113" s="74" t="str">
        <f aca="false">IF(A113="","",IF(ISNUMBER(K113),IF(AND(OR(I113="",K113&gt;=I113),OR(J113="",K113&lt;=J113)),"Conforme","Non conforme"),IF(M113="","En attente",M113)))</f>
        <v/>
      </c>
      <c r="O113" s="25"/>
      <c r="P113" s="25"/>
      <c r="Q113" s="69"/>
      <c r="R113" s="74" t="str">
        <f aca="false">IF(A113="","",IF(N113="Non conforme",IF(Q113="","NC ouverte","NC levée"),IF(N113="Réserve",IF(Q113="","Réserve ouverte","Réserve levée"),IF(N113="En attente","À contrôler","Clos"))))</f>
        <v/>
      </c>
      <c r="S113" s="25"/>
    </row>
    <row r="114" customFormat="false" ht="15" hidden="false" customHeight="false" outlineLevel="0" collapsed="false">
      <c r="A114" s="68"/>
      <c r="B114" s="69"/>
      <c r="C114" s="25"/>
      <c r="D114" s="25"/>
      <c r="E114" s="25"/>
      <c r="F114" s="25"/>
      <c r="G114" s="25"/>
      <c r="H114" s="25"/>
      <c r="I114" s="91"/>
      <c r="J114" s="91"/>
      <c r="K114" s="91"/>
      <c r="L114" s="68"/>
      <c r="M114" s="68"/>
      <c r="N114" s="74" t="str">
        <f aca="false">IF(A114="","",IF(ISNUMBER(K114),IF(AND(OR(I114="",K114&gt;=I114),OR(J114="",K114&lt;=J114)),"Conforme","Non conforme"),IF(M114="","En attente",M114)))</f>
        <v/>
      </c>
      <c r="O114" s="25"/>
      <c r="P114" s="25"/>
      <c r="Q114" s="69"/>
      <c r="R114" s="74" t="str">
        <f aca="false">IF(A114="","",IF(N114="Non conforme",IF(Q114="","NC ouverte","NC levée"),IF(N114="Réserve",IF(Q114="","Réserve ouverte","Réserve levée"),IF(N114="En attente","À contrôler","Clos"))))</f>
        <v/>
      </c>
      <c r="S114" s="25"/>
    </row>
    <row r="115" customFormat="false" ht="15" hidden="false" customHeight="false" outlineLevel="0" collapsed="false">
      <c r="A115" s="68"/>
      <c r="B115" s="69"/>
      <c r="C115" s="25"/>
      <c r="D115" s="25"/>
      <c r="E115" s="25"/>
      <c r="F115" s="25"/>
      <c r="G115" s="25"/>
      <c r="H115" s="25"/>
      <c r="I115" s="91"/>
      <c r="J115" s="91"/>
      <c r="K115" s="91"/>
      <c r="L115" s="68"/>
      <c r="M115" s="68"/>
      <c r="N115" s="74" t="str">
        <f aca="false">IF(A115="","",IF(ISNUMBER(K115),IF(AND(OR(I115="",K115&gt;=I115),OR(J115="",K115&lt;=J115)),"Conforme","Non conforme"),IF(M115="","En attente",M115)))</f>
        <v/>
      </c>
      <c r="O115" s="25"/>
      <c r="P115" s="25"/>
      <c r="Q115" s="69"/>
      <c r="R115" s="74" t="str">
        <f aca="false">IF(A115="","",IF(N115="Non conforme",IF(Q115="","NC ouverte","NC levée"),IF(N115="Réserve",IF(Q115="","Réserve ouverte","Réserve levée"),IF(N115="En attente","À contrôler","Clos"))))</f>
        <v/>
      </c>
      <c r="S115" s="25"/>
    </row>
    <row r="116" customFormat="false" ht="15" hidden="false" customHeight="false" outlineLevel="0" collapsed="false">
      <c r="A116" s="68"/>
      <c r="B116" s="69"/>
      <c r="C116" s="25"/>
      <c r="D116" s="25"/>
      <c r="E116" s="25"/>
      <c r="F116" s="25"/>
      <c r="G116" s="25"/>
      <c r="H116" s="25"/>
      <c r="I116" s="91"/>
      <c r="J116" s="91"/>
      <c r="K116" s="91"/>
      <c r="L116" s="68"/>
      <c r="M116" s="68"/>
      <c r="N116" s="74" t="str">
        <f aca="false">IF(A116="","",IF(ISNUMBER(K116),IF(AND(OR(I116="",K116&gt;=I116),OR(J116="",K116&lt;=J116)),"Conforme","Non conforme"),IF(M116="","En attente",M116)))</f>
        <v/>
      </c>
      <c r="O116" s="25"/>
      <c r="P116" s="25"/>
      <c r="Q116" s="69"/>
      <c r="R116" s="74" t="str">
        <f aca="false">IF(A116="","",IF(N116="Non conforme",IF(Q116="","NC ouverte","NC levée"),IF(N116="Réserve",IF(Q116="","Réserve ouverte","Réserve levée"),IF(N116="En attente","À contrôler","Clos"))))</f>
        <v/>
      </c>
      <c r="S116" s="25"/>
    </row>
    <row r="117" customFormat="false" ht="15" hidden="false" customHeight="false" outlineLevel="0" collapsed="false">
      <c r="A117" s="68"/>
      <c r="B117" s="69"/>
      <c r="C117" s="25"/>
      <c r="D117" s="25"/>
      <c r="E117" s="25"/>
      <c r="F117" s="25"/>
      <c r="G117" s="25"/>
      <c r="H117" s="25"/>
      <c r="I117" s="91"/>
      <c r="J117" s="91"/>
      <c r="K117" s="91"/>
      <c r="L117" s="68"/>
      <c r="M117" s="68"/>
      <c r="N117" s="74" t="str">
        <f aca="false">IF(A117="","",IF(ISNUMBER(K117),IF(AND(OR(I117="",K117&gt;=I117),OR(J117="",K117&lt;=J117)),"Conforme","Non conforme"),IF(M117="","En attente",M117)))</f>
        <v/>
      </c>
      <c r="O117" s="25"/>
      <c r="P117" s="25"/>
      <c r="Q117" s="69"/>
      <c r="R117" s="74" t="str">
        <f aca="false">IF(A117="","",IF(N117="Non conforme",IF(Q117="","NC ouverte","NC levée"),IF(N117="Réserve",IF(Q117="","Réserve ouverte","Réserve levée"),IF(N117="En attente","À contrôler","Clos"))))</f>
        <v/>
      </c>
      <c r="S117" s="25"/>
    </row>
    <row r="118" customFormat="false" ht="15" hidden="false" customHeight="false" outlineLevel="0" collapsed="false">
      <c r="A118" s="68"/>
      <c r="B118" s="69"/>
      <c r="C118" s="25"/>
      <c r="D118" s="25"/>
      <c r="E118" s="25"/>
      <c r="F118" s="25"/>
      <c r="G118" s="25"/>
      <c r="H118" s="25"/>
      <c r="I118" s="91"/>
      <c r="J118" s="91"/>
      <c r="K118" s="91"/>
      <c r="L118" s="68"/>
      <c r="M118" s="68"/>
      <c r="N118" s="74" t="str">
        <f aca="false">IF(A118="","",IF(ISNUMBER(K118),IF(AND(OR(I118="",K118&gt;=I118),OR(J118="",K118&lt;=J118)),"Conforme","Non conforme"),IF(M118="","En attente",M118)))</f>
        <v/>
      </c>
      <c r="O118" s="25"/>
      <c r="P118" s="25"/>
      <c r="Q118" s="69"/>
      <c r="R118" s="74" t="str">
        <f aca="false">IF(A118="","",IF(N118="Non conforme",IF(Q118="","NC ouverte","NC levée"),IF(N118="Réserve",IF(Q118="","Réserve ouverte","Réserve levée"),IF(N118="En attente","À contrôler","Clos"))))</f>
        <v/>
      </c>
      <c r="S118" s="25"/>
    </row>
    <row r="119" customFormat="false" ht="15" hidden="false" customHeight="false" outlineLevel="0" collapsed="false">
      <c r="A119" s="68"/>
      <c r="B119" s="69"/>
      <c r="C119" s="25"/>
      <c r="D119" s="25"/>
      <c r="E119" s="25"/>
      <c r="F119" s="25"/>
      <c r="G119" s="25"/>
      <c r="H119" s="25"/>
      <c r="I119" s="91"/>
      <c r="J119" s="91"/>
      <c r="K119" s="91"/>
      <c r="L119" s="68"/>
      <c r="M119" s="68"/>
      <c r="N119" s="74" t="str">
        <f aca="false">IF(A119="","",IF(ISNUMBER(K119),IF(AND(OR(I119="",K119&gt;=I119),OR(J119="",K119&lt;=J119)),"Conforme","Non conforme"),IF(M119="","En attente",M119)))</f>
        <v/>
      </c>
      <c r="O119" s="25"/>
      <c r="P119" s="25"/>
      <c r="Q119" s="69"/>
      <c r="R119" s="74" t="str">
        <f aca="false">IF(A119="","",IF(N119="Non conforme",IF(Q119="","NC ouverte","NC levée"),IF(N119="Réserve",IF(Q119="","Réserve ouverte","Réserve levée"),IF(N119="En attente","À contrôler","Clos"))))</f>
        <v/>
      </c>
      <c r="S119" s="25"/>
    </row>
    <row r="120" customFormat="false" ht="15" hidden="false" customHeight="false" outlineLevel="0" collapsed="false">
      <c r="A120" s="68"/>
      <c r="B120" s="69"/>
      <c r="C120" s="25"/>
      <c r="D120" s="25"/>
      <c r="E120" s="25"/>
      <c r="F120" s="25"/>
      <c r="G120" s="25"/>
      <c r="H120" s="25"/>
      <c r="I120" s="91"/>
      <c r="J120" s="91"/>
      <c r="K120" s="91"/>
      <c r="L120" s="68"/>
      <c r="M120" s="68"/>
      <c r="N120" s="74" t="str">
        <f aca="false">IF(A120="","",IF(ISNUMBER(K120),IF(AND(OR(I120="",K120&gt;=I120),OR(J120="",K120&lt;=J120)),"Conforme","Non conforme"),IF(M120="","En attente",M120)))</f>
        <v/>
      </c>
      <c r="O120" s="25"/>
      <c r="P120" s="25"/>
      <c r="Q120" s="69"/>
      <c r="R120" s="74" t="str">
        <f aca="false">IF(A120="","",IF(N120="Non conforme",IF(Q120="","NC ouverte","NC levée"),IF(N120="Réserve",IF(Q120="","Réserve ouverte","Réserve levée"),IF(N120="En attente","À contrôler","Clos"))))</f>
        <v/>
      </c>
      <c r="S120" s="25"/>
    </row>
    <row r="121" customFormat="false" ht="15" hidden="false" customHeight="false" outlineLevel="0" collapsed="false">
      <c r="A121" s="68"/>
      <c r="B121" s="69"/>
      <c r="C121" s="25"/>
      <c r="D121" s="25"/>
      <c r="E121" s="25"/>
      <c r="F121" s="25"/>
      <c r="G121" s="25"/>
      <c r="H121" s="25"/>
      <c r="I121" s="91"/>
      <c r="J121" s="91"/>
      <c r="K121" s="91"/>
      <c r="L121" s="68"/>
      <c r="M121" s="68"/>
      <c r="N121" s="74" t="str">
        <f aca="false">IF(A121="","",IF(ISNUMBER(K121),IF(AND(OR(I121="",K121&gt;=I121),OR(J121="",K121&lt;=J121)),"Conforme","Non conforme"),IF(M121="","En attente",M121)))</f>
        <v/>
      </c>
      <c r="O121" s="25"/>
      <c r="P121" s="25"/>
      <c r="Q121" s="69"/>
      <c r="R121" s="74" t="str">
        <f aca="false">IF(A121="","",IF(N121="Non conforme",IF(Q121="","NC ouverte","NC levée"),IF(N121="Réserve",IF(Q121="","Réserve ouverte","Réserve levée"),IF(N121="En attente","À contrôler","Clos"))))</f>
        <v/>
      </c>
      <c r="S121" s="25"/>
    </row>
    <row r="122" customFormat="false" ht="15" hidden="false" customHeight="false" outlineLevel="0" collapsed="false">
      <c r="A122" s="68"/>
      <c r="B122" s="69"/>
      <c r="C122" s="25"/>
      <c r="D122" s="25"/>
      <c r="E122" s="25"/>
      <c r="F122" s="25"/>
      <c r="G122" s="25"/>
      <c r="H122" s="25"/>
      <c r="I122" s="91"/>
      <c r="J122" s="91"/>
      <c r="K122" s="91"/>
      <c r="L122" s="68"/>
      <c r="M122" s="68"/>
      <c r="N122" s="74" t="str">
        <f aca="false">IF(A122="","",IF(ISNUMBER(K122),IF(AND(OR(I122="",K122&gt;=I122),OR(J122="",K122&lt;=J122)),"Conforme","Non conforme"),IF(M122="","En attente",M122)))</f>
        <v/>
      </c>
      <c r="O122" s="25"/>
      <c r="P122" s="25"/>
      <c r="Q122" s="69"/>
      <c r="R122" s="74" t="str">
        <f aca="false">IF(A122="","",IF(N122="Non conforme",IF(Q122="","NC ouverte","NC levée"),IF(N122="Réserve",IF(Q122="","Réserve ouverte","Réserve levée"),IF(N122="En attente","À contrôler","Clos"))))</f>
        <v/>
      </c>
      <c r="S122" s="25"/>
    </row>
    <row r="123" customFormat="false" ht="15" hidden="false" customHeight="false" outlineLevel="0" collapsed="false">
      <c r="A123" s="68"/>
      <c r="B123" s="69"/>
      <c r="C123" s="25"/>
      <c r="D123" s="25"/>
      <c r="E123" s="25"/>
      <c r="F123" s="25"/>
      <c r="G123" s="25"/>
      <c r="H123" s="25"/>
      <c r="I123" s="91"/>
      <c r="J123" s="91"/>
      <c r="K123" s="91"/>
      <c r="L123" s="68"/>
      <c r="M123" s="68"/>
      <c r="N123" s="74" t="str">
        <f aca="false">IF(A123="","",IF(ISNUMBER(K123),IF(AND(OR(I123="",K123&gt;=I123),OR(J123="",K123&lt;=J123)),"Conforme","Non conforme"),IF(M123="","En attente",M123)))</f>
        <v/>
      </c>
      <c r="O123" s="25"/>
      <c r="P123" s="25"/>
      <c r="Q123" s="69"/>
      <c r="R123" s="74" t="str">
        <f aca="false">IF(A123="","",IF(N123="Non conforme",IF(Q123="","NC ouverte","NC levée"),IF(N123="Réserve",IF(Q123="","Réserve ouverte","Réserve levée"),IF(N123="En attente","À contrôler","Clos"))))</f>
        <v/>
      </c>
      <c r="S123" s="25"/>
    </row>
    <row r="124" customFormat="false" ht="15" hidden="false" customHeight="false" outlineLevel="0" collapsed="false">
      <c r="A124" s="68"/>
      <c r="B124" s="69"/>
      <c r="C124" s="25"/>
      <c r="D124" s="25"/>
      <c r="E124" s="25"/>
      <c r="F124" s="25"/>
      <c r="G124" s="25"/>
      <c r="H124" s="25"/>
      <c r="I124" s="91"/>
      <c r="J124" s="91"/>
      <c r="K124" s="91"/>
      <c r="L124" s="68"/>
      <c r="M124" s="68"/>
      <c r="N124" s="74" t="str">
        <f aca="false">IF(A124="","",IF(ISNUMBER(K124),IF(AND(OR(I124="",K124&gt;=I124),OR(J124="",K124&lt;=J124)),"Conforme","Non conforme"),IF(M124="","En attente",M124)))</f>
        <v/>
      </c>
      <c r="O124" s="25"/>
      <c r="P124" s="25"/>
      <c r="Q124" s="69"/>
      <c r="R124" s="74" t="str">
        <f aca="false">IF(A124="","",IF(N124="Non conforme",IF(Q124="","NC ouverte","NC levée"),IF(N124="Réserve",IF(Q124="","Réserve ouverte","Réserve levée"),IF(N124="En attente","À contrôler","Clos"))))</f>
        <v/>
      </c>
      <c r="S124" s="25"/>
    </row>
    <row r="125" customFormat="false" ht="15" hidden="false" customHeight="false" outlineLevel="0" collapsed="false">
      <c r="A125" s="68"/>
      <c r="B125" s="69"/>
      <c r="C125" s="25"/>
      <c r="D125" s="25"/>
      <c r="E125" s="25"/>
      <c r="F125" s="25"/>
      <c r="G125" s="25"/>
      <c r="H125" s="25"/>
      <c r="I125" s="91"/>
      <c r="J125" s="91"/>
      <c r="K125" s="91"/>
      <c r="L125" s="68"/>
      <c r="M125" s="68"/>
      <c r="N125" s="74" t="str">
        <f aca="false">IF(A125="","",IF(ISNUMBER(K125),IF(AND(OR(I125="",K125&gt;=I125),OR(J125="",K125&lt;=J125)),"Conforme","Non conforme"),IF(M125="","En attente",M125)))</f>
        <v/>
      </c>
      <c r="O125" s="25"/>
      <c r="P125" s="25"/>
      <c r="Q125" s="69"/>
      <c r="R125" s="74" t="str">
        <f aca="false">IF(A125="","",IF(N125="Non conforme",IF(Q125="","NC ouverte","NC levée"),IF(N125="Réserve",IF(Q125="","Réserve ouverte","Réserve levée"),IF(N125="En attente","À contrôler","Clos"))))</f>
        <v/>
      </c>
      <c r="S125" s="25"/>
    </row>
    <row r="126" customFormat="false" ht="15" hidden="false" customHeight="false" outlineLevel="0" collapsed="false">
      <c r="A126" s="68"/>
      <c r="B126" s="69"/>
      <c r="C126" s="25"/>
      <c r="D126" s="25"/>
      <c r="E126" s="25"/>
      <c r="F126" s="25"/>
      <c r="G126" s="25"/>
      <c r="H126" s="25"/>
      <c r="I126" s="91"/>
      <c r="J126" s="91"/>
      <c r="K126" s="91"/>
      <c r="L126" s="68"/>
      <c r="M126" s="68"/>
      <c r="N126" s="74" t="str">
        <f aca="false">IF(A126="","",IF(ISNUMBER(K126),IF(AND(OR(I126="",K126&gt;=I126),OR(J126="",K126&lt;=J126)),"Conforme","Non conforme"),IF(M126="","En attente",M126)))</f>
        <v/>
      </c>
      <c r="O126" s="25"/>
      <c r="P126" s="25"/>
      <c r="Q126" s="69"/>
      <c r="R126" s="74" t="str">
        <f aca="false">IF(A126="","",IF(N126="Non conforme",IF(Q126="","NC ouverte","NC levée"),IF(N126="Réserve",IF(Q126="","Réserve ouverte","Réserve levée"),IF(N126="En attente","À contrôler","Clos"))))</f>
        <v/>
      </c>
      <c r="S126" s="25"/>
    </row>
    <row r="127" customFormat="false" ht="15" hidden="false" customHeight="false" outlineLevel="0" collapsed="false">
      <c r="A127" s="68"/>
      <c r="B127" s="69"/>
      <c r="C127" s="25"/>
      <c r="D127" s="25"/>
      <c r="E127" s="25"/>
      <c r="F127" s="25"/>
      <c r="G127" s="25"/>
      <c r="H127" s="25"/>
      <c r="I127" s="91"/>
      <c r="J127" s="91"/>
      <c r="K127" s="91"/>
      <c r="L127" s="68"/>
      <c r="M127" s="68"/>
      <c r="N127" s="74" t="str">
        <f aca="false">IF(A127="","",IF(ISNUMBER(K127),IF(AND(OR(I127="",K127&gt;=I127),OR(J127="",K127&lt;=J127)),"Conforme","Non conforme"),IF(M127="","En attente",M127)))</f>
        <v/>
      </c>
      <c r="O127" s="25"/>
      <c r="P127" s="25"/>
      <c r="Q127" s="69"/>
      <c r="R127" s="74" t="str">
        <f aca="false">IF(A127="","",IF(N127="Non conforme",IF(Q127="","NC ouverte","NC levée"),IF(N127="Réserve",IF(Q127="","Réserve ouverte","Réserve levée"),IF(N127="En attente","À contrôler","Clos"))))</f>
        <v/>
      </c>
      <c r="S127" s="25"/>
    </row>
    <row r="128" customFormat="false" ht="15" hidden="false" customHeight="false" outlineLevel="0" collapsed="false">
      <c r="A128" s="68"/>
      <c r="B128" s="69"/>
      <c r="C128" s="25"/>
      <c r="D128" s="25"/>
      <c r="E128" s="25"/>
      <c r="F128" s="25"/>
      <c r="G128" s="25"/>
      <c r="H128" s="25"/>
      <c r="I128" s="91"/>
      <c r="J128" s="91"/>
      <c r="K128" s="91"/>
      <c r="L128" s="68"/>
      <c r="M128" s="68"/>
      <c r="N128" s="74" t="str">
        <f aca="false">IF(A128="","",IF(ISNUMBER(K128),IF(AND(OR(I128="",K128&gt;=I128),OR(J128="",K128&lt;=J128)),"Conforme","Non conforme"),IF(M128="","En attente",M128)))</f>
        <v/>
      </c>
      <c r="O128" s="25"/>
      <c r="P128" s="25"/>
      <c r="Q128" s="69"/>
      <c r="R128" s="74" t="str">
        <f aca="false">IF(A128="","",IF(N128="Non conforme",IF(Q128="","NC ouverte","NC levée"),IF(N128="Réserve",IF(Q128="","Réserve ouverte","Réserve levée"),IF(N128="En attente","À contrôler","Clos"))))</f>
        <v/>
      </c>
      <c r="S128" s="25"/>
    </row>
    <row r="129" customFormat="false" ht="15" hidden="false" customHeight="false" outlineLevel="0" collapsed="false">
      <c r="A129" s="68"/>
      <c r="B129" s="69"/>
      <c r="C129" s="25"/>
      <c r="D129" s="25"/>
      <c r="E129" s="25"/>
      <c r="F129" s="25"/>
      <c r="G129" s="25"/>
      <c r="H129" s="25"/>
      <c r="I129" s="91"/>
      <c r="J129" s="91"/>
      <c r="K129" s="91"/>
      <c r="L129" s="68"/>
      <c r="M129" s="68"/>
      <c r="N129" s="74" t="str">
        <f aca="false">IF(A129="","",IF(ISNUMBER(K129),IF(AND(OR(I129="",K129&gt;=I129),OR(J129="",K129&lt;=J129)),"Conforme","Non conforme"),IF(M129="","En attente",M129)))</f>
        <v/>
      </c>
      <c r="O129" s="25"/>
      <c r="P129" s="25"/>
      <c r="Q129" s="69"/>
      <c r="R129" s="74" t="str">
        <f aca="false">IF(A129="","",IF(N129="Non conforme",IF(Q129="","NC ouverte","NC levée"),IF(N129="Réserve",IF(Q129="","Réserve ouverte","Réserve levée"),IF(N129="En attente","À contrôler","Clos"))))</f>
        <v/>
      </c>
      <c r="S129" s="25"/>
    </row>
    <row r="130" customFormat="false" ht="15" hidden="false" customHeight="false" outlineLevel="0" collapsed="false">
      <c r="A130" s="68"/>
      <c r="B130" s="69"/>
      <c r="C130" s="25"/>
      <c r="D130" s="25"/>
      <c r="E130" s="25"/>
      <c r="F130" s="25"/>
      <c r="G130" s="25"/>
      <c r="H130" s="25"/>
      <c r="I130" s="91"/>
      <c r="J130" s="91"/>
      <c r="K130" s="91"/>
      <c r="L130" s="68"/>
      <c r="M130" s="68"/>
      <c r="N130" s="74" t="str">
        <f aca="false">IF(A130="","",IF(ISNUMBER(K130),IF(AND(OR(I130="",K130&gt;=I130),OR(J130="",K130&lt;=J130)),"Conforme","Non conforme"),IF(M130="","En attente",M130)))</f>
        <v/>
      </c>
      <c r="O130" s="25"/>
      <c r="P130" s="25"/>
      <c r="Q130" s="69"/>
      <c r="R130" s="74" t="str">
        <f aca="false">IF(A130="","",IF(N130="Non conforme",IF(Q130="","NC ouverte","NC levée"),IF(N130="Réserve",IF(Q130="","Réserve ouverte","Réserve levée"),IF(N130="En attente","À contrôler","Clos"))))</f>
        <v/>
      </c>
      <c r="S130" s="25"/>
    </row>
    <row r="131" customFormat="false" ht="15" hidden="false" customHeight="false" outlineLevel="0" collapsed="false">
      <c r="A131" s="68"/>
      <c r="B131" s="69"/>
      <c r="C131" s="25"/>
      <c r="D131" s="25"/>
      <c r="E131" s="25"/>
      <c r="F131" s="25"/>
      <c r="G131" s="25"/>
      <c r="H131" s="25"/>
      <c r="I131" s="91"/>
      <c r="J131" s="91"/>
      <c r="K131" s="91"/>
      <c r="L131" s="68"/>
      <c r="M131" s="68"/>
      <c r="N131" s="74" t="str">
        <f aca="false">IF(A131="","",IF(ISNUMBER(K131),IF(AND(OR(I131="",K131&gt;=I131),OR(J131="",K131&lt;=J131)),"Conforme","Non conforme"),IF(M131="","En attente",M131)))</f>
        <v/>
      </c>
      <c r="O131" s="25"/>
      <c r="P131" s="25"/>
      <c r="Q131" s="69"/>
      <c r="R131" s="74" t="str">
        <f aca="false">IF(A131="","",IF(N131="Non conforme",IF(Q131="","NC ouverte","NC levée"),IF(N131="Réserve",IF(Q131="","Réserve ouverte","Réserve levée"),IF(N131="En attente","À contrôler","Clos"))))</f>
        <v/>
      </c>
      <c r="S131" s="25"/>
    </row>
    <row r="132" customFormat="false" ht="15" hidden="false" customHeight="false" outlineLevel="0" collapsed="false">
      <c r="A132" s="68"/>
      <c r="B132" s="69"/>
      <c r="C132" s="25"/>
      <c r="D132" s="25"/>
      <c r="E132" s="25"/>
      <c r="F132" s="25"/>
      <c r="G132" s="25"/>
      <c r="H132" s="25"/>
      <c r="I132" s="91"/>
      <c r="J132" s="91"/>
      <c r="K132" s="91"/>
      <c r="L132" s="68"/>
      <c r="M132" s="68"/>
      <c r="N132" s="74" t="str">
        <f aca="false">IF(A132="","",IF(ISNUMBER(K132),IF(AND(OR(I132="",K132&gt;=I132),OR(J132="",K132&lt;=J132)),"Conforme","Non conforme"),IF(M132="","En attente",M132)))</f>
        <v/>
      </c>
      <c r="O132" s="25"/>
      <c r="P132" s="25"/>
      <c r="Q132" s="69"/>
      <c r="R132" s="74" t="str">
        <f aca="false">IF(A132="","",IF(N132="Non conforme",IF(Q132="","NC ouverte","NC levée"),IF(N132="Réserve",IF(Q132="","Réserve ouverte","Réserve levée"),IF(N132="En attente","À contrôler","Clos"))))</f>
        <v/>
      </c>
      <c r="S132" s="25"/>
    </row>
    <row r="133" customFormat="false" ht="15" hidden="false" customHeight="false" outlineLevel="0" collapsed="false">
      <c r="A133" s="68"/>
      <c r="B133" s="69"/>
      <c r="C133" s="25"/>
      <c r="D133" s="25"/>
      <c r="E133" s="25"/>
      <c r="F133" s="25"/>
      <c r="G133" s="25"/>
      <c r="H133" s="25"/>
      <c r="I133" s="91"/>
      <c r="J133" s="91"/>
      <c r="K133" s="91"/>
      <c r="L133" s="68"/>
      <c r="M133" s="68"/>
      <c r="N133" s="74" t="str">
        <f aca="false">IF(A133="","",IF(ISNUMBER(K133),IF(AND(OR(I133="",K133&gt;=I133),OR(J133="",K133&lt;=J133)),"Conforme","Non conforme"),IF(M133="","En attente",M133)))</f>
        <v/>
      </c>
      <c r="O133" s="25"/>
      <c r="P133" s="25"/>
      <c r="Q133" s="69"/>
      <c r="R133" s="74" t="str">
        <f aca="false">IF(A133="","",IF(N133="Non conforme",IF(Q133="","NC ouverte","NC levée"),IF(N133="Réserve",IF(Q133="","Réserve ouverte","Réserve levée"),IF(N133="En attente","À contrôler","Clos"))))</f>
        <v/>
      </c>
      <c r="S133" s="25"/>
    </row>
    <row r="134" customFormat="false" ht="15" hidden="false" customHeight="false" outlineLevel="0" collapsed="false">
      <c r="A134" s="68"/>
      <c r="B134" s="69"/>
      <c r="C134" s="25"/>
      <c r="D134" s="25"/>
      <c r="E134" s="25"/>
      <c r="F134" s="25"/>
      <c r="G134" s="25"/>
      <c r="H134" s="25"/>
      <c r="I134" s="91"/>
      <c r="J134" s="91"/>
      <c r="K134" s="91"/>
      <c r="L134" s="68"/>
      <c r="M134" s="68"/>
      <c r="N134" s="74" t="str">
        <f aca="false">IF(A134="","",IF(ISNUMBER(K134),IF(AND(OR(I134="",K134&gt;=I134),OR(J134="",K134&lt;=J134)),"Conforme","Non conforme"),IF(M134="","En attente",M134)))</f>
        <v/>
      </c>
      <c r="O134" s="25"/>
      <c r="P134" s="25"/>
      <c r="Q134" s="69"/>
      <c r="R134" s="74" t="str">
        <f aca="false">IF(A134="","",IF(N134="Non conforme",IF(Q134="","NC ouverte","NC levée"),IF(N134="Réserve",IF(Q134="","Réserve ouverte","Réserve levée"),IF(N134="En attente","À contrôler","Clos"))))</f>
        <v/>
      </c>
      <c r="S134" s="25"/>
    </row>
    <row r="135" customFormat="false" ht="15" hidden="false" customHeight="false" outlineLevel="0" collapsed="false">
      <c r="A135" s="68"/>
      <c r="B135" s="69"/>
      <c r="C135" s="25"/>
      <c r="D135" s="25"/>
      <c r="E135" s="25"/>
      <c r="F135" s="25"/>
      <c r="G135" s="25"/>
      <c r="H135" s="25"/>
      <c r="I135" s="91"/>
      <c r="J135" s="91"/>
      <c r="K135" s="91"/>
      <c r="L135" s="68"/>
      <c r="M135" s="68"/>
      <c r="N135" s="74" t="str">
        <f aca="false">IF(A135="","",IF(ISNUMBER(K135),IF(AND(OR(I135="",K135&gt;=I135),OR(J135="",K135&lt;=J135)),"Conforme","Non conforme"),IF(M135="","En attente",M135)))</f>
        <v/>
      </c>
      <c r="O135" s="25"/>
      <c r="P135" s="25"/>
      <c r="Q135" s="69"/>
      <c r="R135" s="74" t="str">
        <f aca="false">IF(A135="","",IF(N135="Non conforme",IF(Q135="","NC ouverte","NC levée"),IF(N135="Réserve",IF(Q135="","Réserve ouverte","Réserve levée"),IF(N135="En attente","À contrôler","Clos"))))</f>
        <v/>
      </c>
      <c r="S135" s="25"/>
    </row>
    <row r="136" customFormat="false" ht="15" hidden="false" customHeight="false" outlineLevel="0" collapsed="false">
      <c r="A136" s="68"/>
      <c r="B136" s="69"/>
      <c r="C136" s="25"/>
      <c r="D136" s="25"/>
      <c r="E136" s="25"/>
      <c r="F136" s="25"/>
      <c r="G136" s="25"/>
      <c r="H136" s="25"/>
      <c r="I136" s="91"/>
      <c r="J136" s="91"/>
      <c r="K136" s="91"/>
      <c r="L136" s="68"/>
      <c r="M136" s="68"/>
      <c r="N136" s="74" t="str">
        <f aca="false">IF(A136="","",IF(ISNUMBER(K136),IF(AND(OR(I136="",K136&gt;=I136),OR(J136="",K136&lt;=J136)),"Conforme","Non conforme"),IF(M136="","En attente",M136)))</f>
        <v/>
      </c>
      <c r="O136" s="25"/>
      <c r="P136" s="25"/>
      <c r="Q136" s="69"/>
      <c r="R136" s="74" t="str">
        <f aca="false">IF(A136="","",IF(N136="Non conforme",IF(Q136="","NC ouverte","NC levée"),IF(N136="Réserve",IF(Q136="","Réserve ouverte","Réserve levée"),IF(N136="En attente","À contrôler","Clos"))))</f>
        <v/>
      </c>
      <c r="S136" s="25"/>
    </row>
    <row r="137" customFormat="false" ht="15" hidden="false" customHeight="false" outlineLevel="0" collapsed="false">
      <c r="A137" s="68"/>
      <c r="B137" s="69"/>
      <c r="C137" s="25"/>
      <c r="D137" s="25"/>
      <c r="E137" s="25"/>
      <c r="F137" s="25"/>
      <c r="G137" s="25"/>
      <c r="H137" s="25"/>
      <c r="I137" s="91"/>
      <c r="J137" s="91"/>
      <c r="K137" s="91"/>
      <c r="L137" s="68"/>
      <c r="M137" s="68"/>
      <c r="N137" s="74" t="str">
        <f aca="false">IF(A137="","",IF(ISNUMBER(K137),IF(AND(OR(I137="",K137&gt;=I137),OR(J137="",K137&lt;=J137)),"Conforme","Non conforme"),IF(M137="","En attente",M137)))</f>
        <v/>
      </c>
      <c r="O137" s="25"/>
      <c r="P137" s="25"/>
      <c r="Q137" s="69"/>
      <c r="R137" s="74" t="str">
        <f aca="false">IF(A137="","",IF(N137="Non conforme",IF(Q137="","NC ouverte","NC levée"),IF(N137="Réserve",IF(Q137="","Réserve ouverte","Réserve levée"),IF(N137="En attente","À contrôler","Clos"))))</f>
        <v/>
      </c>
      <c r="S137" s="25"/>
    </row>
    <row r="138" customFormat="false" ht="15" hidden="false" customHeight="false" outlineLevel="0" collapsed="false">
      <c r="A138" s="68"/>
      <c r="B138" s="69"/>
      <c r="C138" s="25"/>
      <c r="D138" s="25"/>
      <c r="E138" s="25"/>
      <c r="F138" s="25"/>
      <c r="G138" s="25"/>
      <c r="H138" s="25"/>
      <c r="I138" s="91"/>
      <c r="J138" s="91"/>
      <c r="K138" s="91"/>
      <c r="L138" s="68"/>
      <c r="M138" s="68"/>
      <c r="N138" s="74" t="str">
        <f aca="false">IF(A138="","",IF(ISNUMBER(K138),IF(AND(OR(I138="",K138&gt;=I138),OR(J138="",K138&lt;=J138)),"Conforme","Non conforme"),IF(M138="","En attente",M138)))</f>
        <v/>
      </c>
      <c r="O138" s="25"/>
      <c r="P138" s="25"/>
      <c r="Q138" s="69"/>
      <c r="R138" s="74" t="str">
        <f aca="false">IF(A138="","",IF(N138="Non conforme",IF(Q138="","NC ouverte","NC levée"),IF(N138="Réserve",IF(Q138="","Réserve ouverte","Réserve levée"),IF(N138="En attente","À contrôler","Clos"))))</f>
        <v/>
      </c>
      <c r="S138" s="25"/>
    </row>
    <row r="139" customFormat="false" ht="15" hidden="false" customHeight="false" outlineLevel="0" collapsed="false">
      <c r="A139" s="68"/>
      <c r="B139" s="69"/>
      <c r="C139" s="25"/>
      <c r="D139" s="25"/>
      <c r="E139" s="25"/>
      <c r="F139" s="25"/>
      <c r="G139" s="25"/>
      <c r="H139" s="25"/>
      <c r="I139" s="91"/>
      <c r="J139" s="91"/>
      <c r="K139" s="91"/>
      <c r="L139" s="68"/>
      <c r="M139" s="68"/>
      <c r="N139" s="74" t="str">
        <f aca="false">IF(A139="","",IF(ISNUMBER(K139),IF(AND(OR(I139="",K139&gt;=I139),OR(J139="",K139&lt;=J139)),"Conforme","Non conforme"),IF(M139="","En attente",M139)))</f>
        <v/>
      </c>
      <c r="O139" s="25"/>
      <c r="P139" s="25"/>
      <c r="Q139" s="69"/>
      <c r="R139" s="74" t="str">
        <f aca="false">IF(A139="","",IF(N139="Non conforme",IF(Q139="","NC ouverte","NC levée"),IF(N139="Réserve",IF(Q139="","Réserve ouverte","Réserve levée"),IF(N139="En attente","À contrôler","Clos"))))</f>
        <v/>
      </c>
      <c r="S139" s="25"/>
    </row>
    <row r="140" customFormat="false" ht="15" hidden="false" customHeight="false" outlineLevel="0" collapsed="false">
      <c r="A140" s="68"/>
      <c r="B140" s="69"/>
      <c r="C140" s="25"/>
      <c r="D140" s="25"/>
      <c r="E140" s="25"/>
      <c r="F140" s="25"/>
      <c r="G140" s="25"/>
      <c r="H140" s="25"/>
      <c r="I140" s="91"/>
      <c r="J140" s="91"/>
      <c r="K140" s="91"/>
      <c r="L140" s="68"/>
      <c r="M140" s="68"/>
      <c r="N140" s="74" t="str">
        <f aca="false">IF(A140="","",IF(ISNUMBER(K140),IF(AND(OR(I140="",K140&gt;=I140),OR(J140="",K140&lt;=J140)),"Conforme","Non conforme"),IF(M140="","En attente",M140)))</f>
        <v/>
      </c>
      <c r="O140" s="25"/>
      <c r="P140" s="25"/>
      <c r="Q140" s="69"/>
      <c r="R140" s="74" t="str">
        <f aca="false">IF(A140="","",IF(N140="Non conforme",IF(Q140="","NC ouverte","NC levée"),IF(N140="Réserve",IF(Q140="","Réserve ouverte","Réserve levée"),IF(N140="En attente","À contrôler","Clos"))))</f>
        <v/>
      </c>
      <c r="S140" s="25"/>
    </row>
    <row r="141" customFormat="false" ht="15" hidden="false" customHeight="false" outlineLevel="0" collapsed="false">
      <c r="A141" s="68"/>
      <c r="B141" s="69"/>
      <c r="C141" s="25"/>
      <c r="D141" s="25"/>
      <c r="E141" s="25"/>
      <c r="F141" s="25"/>
      <c r="G141" s="25"/>
      <c r="H141" s="25"/>
      <c r="I141" s="91"/>
      <c r="J141" s="91"/>
      <c r="K141" s="91"/>
      <c r="L141" s="68"/>
      <c r="M141" s="68"/>
      <c r="N141" s="74" t="str">
        <f aca="false">IF(A141="","",IF(ISNUMBER(K141),IF(AND(OR(I141="",K141&gt;=I141),OR(J141="",K141&lt;=J141)),"Conforme","Non conforme"),IF(M141="","En attente",M141)))</f>
        <v/>
      </c>
      <c r="O141" s="25"/>
      <c r="P141" s="25"/>
      <c r="Q141" s="69"/>
      <c r="R141" s="74" t="str">
        <f aca="false">IF(A141="","",IF(N141="Non conforme",IF(Q141="","NC ouverte","NC levée"),IF(N141="Réserve",IF(Q141="","Réserve ouverte","Réserve levée"),IF(N141="En attente","À contrôler","Clos"))))</f>
        <v/>
      </c>
      <c r="S141" s="25"/>
    </row>
    <row r="142" customFormat="false" ht="15" hidden="false" customHeight="false" outlineLevel="0" collapsed="false">
      <c r="A142" s="68"/>
      <c r="B142" s="69"/>
      <c r="C142" s="25"/>
      <c r="D142" s="25"/>
      <c r="E142" s="25"/>
      <c r="F142" s="25"/>
      <c r="G142" s="25"/>
      <c r="H142" s="25"/>
      <c r="I142" s="91"/>
      <c r="J142" s="91"/>
      <c r="K142" s="91"/>
      <c r="L142" s="68"/>
      <c r="M142" s="68"/>
      <c r="N142" s="74" t="str">
        <f aca="false">IF(A142="","",IF(ISNUMBER(K142),IF(AND(OR(I142="",K142&gt;=I142),OR(J142="",K142&lt;=J142)),"Conforme","Non conforme"),IF(M142="","En attente",M142)))</f>
        <v/>
      </c>
      <c r="O142" s="25"/>
      <c r="P142" s="25"/>
      <c r="Q142" s="69"/>
      <c r="R142" s="74" t="str">
        <f aca="false">IF(A142="","",IF(N142="Non conforme",IF(Q142="","NC ouverte","NC levée"),IF(N142="Réserve",IF(Q142="","Réserve ouverte","Réserve levée"),IF(N142="En attente","À contrôler","Clos"))))</f>
        <v/>
      </c>
      <c r="S142" s="25"/>
    </row>
    <row r="143" customFormat="false" ht="15" hidden="false" customHeight="false" outlineLevel="0" collapsed="false">
      <c r="A143" s="68"/>
      <c r="B143" s="69"/>
      <c r="C143" s="25"/>
      <c r="D143" s="25"/>
      <c r="E143" s="25"/>
      <c r="F143" s="25"/>
      <c r="G143" s="25"/>
      <c r="H143" s="25"/>
      <c r="I143" s="91"/>
      <c r="J143" s="91"/>
      <c r="K143" s="91"/>
      <c r="L143" s="68"/>
      <c r="M143" s="68"/>
      <c r="N143" s="74" t="str">
        <f aca="false">IF(A143="","",IF(ISNUMBER(K143),IF(AND(OR(I143="",K143&gt;=I143),OR(J143="",K143&lt;=J143)),"Conforme","Non conforme"),IF(M143="","En attente",M143)))</f>
        <v/>
      </c>
      <c r="O143" s="25"/>
      <c r="P143" s="25"/>
      <c r="Q143" s="69"/>
      <c r="R143" s="74" t="str">
        <f aca="false">IF(A143="","",IF(N143="Non conforme",IF(Q143="","NC ouverte","NC levée"),IF(N143="Réserve",IF(Q143="","Réserve ouverte","Réserve levée"),IF(N143="En attente","À contrôler","Clos"))))</f>
        <v/>
      </c>
      <c r="S143" s="25"/>
    </row>
    <row r="144" customFormat="false" ht="15" hidden="false" customHeight="false" outlineLevel="0" collapsed="false">
      <c r="A144" s="68"/>
      <c r="B144" s="69"/>
      <c r="C144" s="25"/>
      <c r="D144" s="25"/>
      <c r="E144" s="25"/>
      <c r="F144" s="25"/>
      <c r="G144" s="25"/>
      <c r="H144" s="25"/>
      <c r="I144" s="91"/>
      <c r="J144" s="91"/>
      <c r="K144" s="91"/>
      <c r="L144" s="68"/>
      <c r="M144" s="68"/>
      <c r="N144" s="74" t="str">
        <f aca="false">IF(A144="","",IF(ISNUMBER(K144),IF(AND(OR(I144="",K144&gt;=I144),OR(J144="",K144&lt;=J144)),"Conforme","Non conforme"),IF(M144="","En attente",M144)))</f>
        <v/>
      </c>
      <c r="O144" s="25"/>
      <c r="P144" s="25"/>
      <c r="Q144" s="69"/>
      <c r="R144" s="74" t="str">
        <f aca="false">IF(A144="","",IF(N144="Non conforme",IF(Q144="","NC ouverte","NC levée"),IF(N144="Réserve",IF(Q144="","Réserve ouverte","Réserve levée"),IF(N144="En attente","À contrôler","Clos"))))</f>
        <v/>
      </c>
      <c r="S144" s="25"/>
    </row>
    <row r="145" customFormat="false" ht="15" hidden="false" customHeight="false" outlineLevel="0" collapsed="false">
      <c r="A145" s="68"/>
      <c r="B145" s="69"/>
      <c r="C145" s="25"/>
      <c r="D145" s="25"/>
      <c r="E145" s="25"/>
      <c r="F145" s="25"/>
      <c r="G145" s="25"/>
      <c r="H145" s="25"/>
      <c r="I145" s="91"/>
      <c r="J145" s="91"/>
      <c r="K145" s="91"/>
      <c r="L145" s="68"/>
      <c r="M145" s="68"/>
      <c r="N145" s="74" t="str">
        <f aca="false">IF(A145="","",IF(ISNUMBER(K145),IF(AND(OR(I145="",K145&gt;=I145),OR(J145="",K145&lt;=J145)),"Conforme","Non conforme"),IF(M145="","En attente",M145)))</f>
        <v/>
      </c>
      <c r="O145" s="25"/>
      <c r="P145" s="25"/>
      <c r="Q145" s="69"/>
      <c r="R145" s="74" t="str">
        <f aca="false">IF(A145="","",IF(N145="Non conforme",IF(Q145="","NC ouverte","NC levée"),IF(N145="Réserve",IF(Q145="","Réserve ouverte","Réserve levée"),IF(N145="En attente","À contrôler","Clos"))))</f>
        <v/>
      </c>
      <c r="S145" s="25"/>
    </row>
    <row r="146" customFormat="false" ht="15" hidden="false" customHeight="false" outlineLevel="0" collapsed="false">
      <c r="A146" s="68"/>
      <c r="B146" s="69"/>
      <c r="C146" s="25"/>
      <c r="D146" s="25"/>
      <c r="E146" s="25"/>
      <c r="F146" s="25"/>
      <c r="G146" s="25"/>
      <c r="H146" s="25"/>
      <c r="I146" s="91"/>
      <c r="J146" s="91"/>
      <c r="K146" s="91"/>
      <c r="L146" s="68"/>
      <c r="M146" s="68"/>
      <c r="N146" s="74" t="str">
        <f aca="false">IF(A146="","",IF(ISNUMBER(K146),IF(AND(OR(I146="",K146&gt;=I146),OR(J146="",K146&lt;=J146)),"Conforme","Non conforme"),IF(M146="","En attente",M146)))</f>
        <v/>
      </c>
      <c r="O146" s="25"/>
      <c r="P146" s="25"/>
      <c r="Q146" s="69"/>
      <c r="R146" s="74" t="str">
        <f aca="false">IF(A146="","",IF(N146="Non conforme",IF(Q146="","NC ouverte","NC levée"),IF(N146="Réserve",IF(Q146="","Réserve ouverte","Réserve levée"),IF(N146="En attente","À contrôler","Clos"))))</f>
        <v/>
      </c>
      <c r="S146" s="25"/>
    </row>
    <row r="147" customFormat="false" ht="15" hidden="false" customHeight="false" outlineLevel="0" collapsed="false">
      <c r="A147" s="68"/>
      <c r="B147" s="69"/>
      <c r="C147" s="25"/>
      <c r="D147" s="25"/>
      <c r="E147" s="25"/>
      <c r="F147" s="25"/>
      <c r="G147" s="25"/>
      <c r="H147" s="25"/>
      <c r="I147" s="91"/>
      <c r="J147" s="91"/>
      <c r="K147" s="91"/>
      <c r="L147" s="68"/>
      <c r="M147" s="68"/>
      <c r="N147" s="74" t="str">
        <f aca="false">IF(A147="","",IF(ISNUMBER(K147),IF(AND(OR(I147="",K147&gt;=I147),OR(J147="",K147&lt;=J147)),"Conforme","Non conforme"),IF(M147="","En attente",M147)))</f>
        <v/>
      </c>
      <c r="O147" s="25"/>
      <c r="P147" s="25"/>
      <c r="Q147" s="69"/>
      <c r="R147" s="74" t="str">
        <f aca="false">IF(A147="","",IF(N147="Non conforme",IF(Q147="","NC ouverte","NC levée"),IF(N147="Réserve",IF(Q147="","Réserve ouverte","Réserve levée"),IF(N147="En attente","À contrôler","Clos"))))</f>
        <v/>
      </c>
      <c r="S147" s="25"/>
    </row>
    <row r="148" customFormat="false" ht="15" hidden="false" customHeight="false" outlineLevel="0" collapsed="false">
      <c r="A148" s="68"/>
      <c r="B148" s="69"/>
      <c r="C148" s="25"/>
      <c r="D148" s="25"/>
      <c r="E148" s="25"/>
      <c r="F148" s="25"/>
      <c r="G148" s="25"/>
      <c r="H148" s="25"/>
      <c r="I148" s="91"/>
      <c r="J148" s="91"/>
      <c r="K148" s="91"/>
      <c r="L148" s="68"/>
      <c r="M148" s="68"/>
      <c r="N148" s="74" t="str">
        <f aca="false">IF(A148="","",IF(ISNUMBER(K148),IF(AND(OR(I148="",K148&gt;=I148),OR(J148="",K148&lt;=J148)),"Conforme","Non conforme"),IF(M148="","En attente",M148)))</f>
        <v/>
      </c>
      <c r="O148" s="25"/>
      <c r="P148" s="25"/>
      <c r="Q148" s="69"/>
      <c r="R148" s="74" t="str">
        <f aca="false">IF(A148="","",IF(N148="Non conforme",IF(Q148="","NC ouverte","NC levée"),IF(N148="Réserve",IF(Q148="","Réserve ouverte","Réserve levée"),IF(N148="En attente","À contrôler","Clos"))))</f>
        <v/>
      </c>
      <c r="S148" s="25"/>
    </row>
    <row r="149" customFormat="false" ht="15" hidden="false" customHeight="false" outlineLevel="0" collapsed="false">
      <c r="A149" s="68"/>
      <c r="B149" s="69"/>
      <c r="C149" s="25"/>
      <c r="D149" s="25"/>
      <c r="E149" s="25"/>
      <c r="F149" s="25"/>
      <c r="G149" s="25"/>
      <c r="H149" s="25"/>
      <c r="I149" s="91"/>
      <c r="J149" s="91"/>
      <c r="K149" s="91"/>
      <c r="L149" s="68"/>
      <c r="M149" s="68"/>
      <c r="N149" s="74" t="str">
        <f aca="false">IF(A149="","",IF(ISNUMBER(K149),IF(AND(OR(I149="",K149&gt;=I149),OR(J149="",K149&lt;=J149)),"Conforme","Non conforme"),IF(M149="","En attente",M149)))</f>
        <v/>
      </c>
      <c r="O149" s="25"/>
      <c r="P149" s="25"/>
      <c r="Q149" s="69"/>
      <c r="R149" s="74" t="str">
        <f aca="false">IF(A149="","",IF(N149="Non conforme",IF(Q149="","NC ouverte","NC levée"),IF(N149="Réserve",IF(Q149="","Réserve ouverte","Réserve levée"),IF(N149="En attente","À contrôler","Clos"))))</f>
        <v/>
      </c>
      <c r="S149" s="25"/>
    </row>
    <row r="150" customFormat="false" ht="15" hidden="false" customHeight="false" outlineLevel="0" collapsed="false">
      <c r="A150" s="68"/>
      <c r="B150" s="69"/>
      <c r="C150" s="25"/>
      <c r="D150" s="25"/>
      <c r="E150" s="25"/>
      <c r="F150" s="25"/>
      <c r="G150" s="25"/>
      <c r="H150" s="25"/>
      <c r="I150" s="91"/>
      <c r="J150" s="91"/>
      <c r="K150" s="91"/>
      <c r="L150" s="68"/>
      <c r="M150" s="68"/>
      <c r="N150" s="74" t="str">
        <f aca="false">IF(A150="","",IF(ISNUMBER(K150),IF(AND(OR(I150="",K150&gt;=I150),OR(J150="",K150&lt;=J150)),"Conforme","Non conforme"),IF(M150="","En attente",M150)))</f>
        <v/>
      </c>
      <c r="O150" s="25"/>
      <c r="P150" s="25"/>
      <c r="Q150" s="69"/>
      <c r="R150" s="74" t="str">
        <f aca="false">IF(A150="","",IF(N150="Non conforme",IF(Q150="","NC ouverte","NC levée"),IF(N150="Réserve",IF(Q150="","Réserve ouverte","Réserve levée"),IF(N150="En attente","À contrôler","Clos"))))</f>
        <v/>
      </c>
      <c r="S150" s="25"/>
    </row>
    <row r="151" customFormat="false" ht="15" hidden="false" customHeight="false" outlineLevel="0" collapsed="false">
      <c r="A151" s="68"/>
      <c r="B151" s="69"/>
      <c r="C151" s="25"/>
      <c r="D151" s="25"/>
      <c r="E151" s="25"/>
      <c r="F151" s="25"/>
      <c r="G151" s="25"/>
      <c r="H151" s="25"/>
      <c r="I151" s="91"/>
      <c r="J151" s="91"/>
      <c r="K151" s="91"/>
      <c r="L151" s="68"/>
      <c r="M151" s="68"/>
      <c r="N151" s="74" t="str">
        <f aca="false">IF(A151="","",IF(ISNUMBER(K151),IF(AND(OR(I151="",K151&gt;=I151),OR(J151="",K151&lt;=J151)),"Conforme","Non conforme"),IF(M151="","En attente",M151)))</f>
        <v/>
      </c>
      <c r="O151" s="25"/>
      <c r="P151" s="25"/>
      <c r="Q151" s="69"/>
      <c r="R151" s="74" t="str">
        <f aca="false">IF(A151="","",IF(N151="Non conforme",IF(Q151="","NC ouverte","NC levée"),IF(N151="Réserve",IF(Q151="","Réserve ouverte","Réserve levée"),IF(N151="En attente","À contrôler","Clos"))))</f>
        <v/>
      </c>
      <c r="S151" s="25"/>
    </row>
    <row r="152" customFormat="false" ht="15" hidden="false" customHeight="false" outlineLevel="0" collapsed="false">
      <c r="A152" s="68"/>
      <c r="B152" s="69"/>
      <c r="C152" s="25"/>
      <c r="D152" s="25"/>
      <c r="E152" s="25"/>
      <c r="F152" s="25"/>
      <c r="G152" s="25"/>
      <c r="H152" s="25"/>
      <c r="I152" s="91"/>
      <c r="J152" s="91"/>
      <c r="K152" s="91"/>
      <c r="L152" s="68"/>
      <c r="M152" s="68"/>
      <c r="N152" s="74" t="str">
        <f aca="false">IF(A152="","",IF(ISNUMBER(K152),IF(AND(OR(I152="",K152&gt;=I152),OR(J152="",K152&lt;=J152)),"Conforme","Non conforme"),IF(M152="","En attente",M152)))</f>
        <v/>
      </c>
      <c r="O152" s="25"/>
      <c r="P152" s="25"/>
      <c r="Q152" s="69"/>
      <c r="R152" s="74" t="str">
        <f aca="false">IF(A152="","",IF(N152="Non conforme",IF(Q152="","NC ouverte","NC levée"),IF(N152="Réserve",IF(Q152="","Réserve ouverte","Réserve levée"),IF(N152="En attente","À contrôler","Clos"))))</f>
        <v/>
      </c>
      <c r="S152" s="25"/>
    </row>
    <row r="153" customFormat="false" ht="15" hidden="false" customHeight="false" outlineLevel="0" collapsed="false">
      <c r="A153" s="68"/>
      <c r="B153" s="69"/>
      <c r="C153" s="25"/>
      <c r="D153" s="25"/>
      <c r="E153" s="25"/>
      <c r="F153" s="25"/>
      <c r="G153" s="25"/>
      <c r="H153" s="25"/>
      <c r="I153" s="91"/>
      <c r="J153" s="91"/>
      <c r="K153" s="91"/>
      <c r="L153" s="68"/>
      <c r="M153" s="68"/>
      <c r="N153" s="74" t="str">
        <f aca="false">IF(A153="","",IF(ISNUMBER(K153),IF(AND(OR(I153="",K153&gt;=I153),OR(J153="",K153&lt;=J153)),"Conforme","Non conforme"),IF(M153="","En attente",M153)))</f>
        <v/>
      </c>
      <c r="O153" s="25"/>
      <c r="P153" s="25"/>
      <c r="Q153" s="69"/>
      <c r="R153" s="74" t="str">
        <f aca="false">IF(A153="","",IF(N153="Non conforme",IF(Q153="","NC ouverte","NC levée"),IF(N153="Réserve",IF(Q153="","Réserve ouverte","Réserve levée"),IF(N153="En attente","À contrôler","Clos"))))</f>
        <v/>
      </c>
      <c r="S153" s="25"/>
    </row>
    <row r="154" customFormat="false" ht="15" hidden="false" customHeight="false" outlineLevel="0" collapsed="false">
      <c r="A154" s="68"/>
      <c r="B154" s="69"/>
      <c r="C154" s="25"/>
      <c r="D154" s="25"/>
      <c r="E154" s="25"/>
      <c r="F154" s="25"/>
      <c r="G154" s="25"/>
      <c r="H154" s="25"/>
      <c r="I154" s="91"/>
      <c r="J154" s="91"/>
      <c r="K154" s="91"/>
      <c r="L154" s="68"/>
      <c r="M154" s="68"/>
      <c r="N154" s="74" t="str">
        <f aca="false">IF(A154="","",IF(ISNUMBER(K154),IF(AND(OR(I154="",K154&gt;=I154),OR(J154="",K154&lt;=J154)),"Conforme","Non conforme"),IF(M154="","En attente",M154)))</f>
        <v/>
      </c>
      <c r="O154" s="25"/>
      <c r="P154" s="25"/>
      <c r="Q154" s="69"/>
      <c r="R154" s="74" t="str">
        <f aca="false">IF(A154="","",IF(N154="Non conforme",IF(Q154="","NC ouverte","NC levée"),IF(N154="Réserve",IF(Q154="","Réserve ouverte","Réserve levée"),IF(N154="En attente","À contrôler","Clos"))))</f>
        <v/>
      </c>
      <c r="S154" s="25"/>
    </row>
    <row r="155" customFormat="false" ht="15" hidden="false" customHeight="false" outlineLevel="0" collapsed="false">
      <c r="A155" s="68"/>
      <c r="B155" s="69"/>
      <c r="C155" s="25"/>
      <c r="D155" s="25"/>
      <c r="E155" s="25"/>
      <c r="F155" s="25"/>
      <c r="G155" s="25"/>
      <c r="H155" s="25"/>
      <c r="I155" s="91"/>
      <c r="J155" s="91"/>
      <c r="K155" s="91"/>
      <c r="L155" s="68"/>
      <c r="M155" s="68"/>
      <c r="N155" s="74" t="str">
        <f aca="false">IF(A155="","",IF(ISNUMBER(K155),IF(AND(OR(I155="",K155&gt;=I155),OR(J155="",K155&lt;=J155)),"Conforme","Non conforme"),IF(M155="","En attente",M155)))</f>
        <v/>
      </c>
      <c r="O155" s="25"/>
      <c r="P155" s="25"/>
      <c r="Q155" s="69"/>
      <c r="R155" s="74" t="str">
        <f aca="false">IF(A155="","",IF(N155="Non conforme",IF(Q155="","NC ouverte","NC levée"),IF(N155="Réserve",IF(Q155="","Réserve ouverte","Réserve levée"),IF(N155="En attente","À contrôler","Clos"))))</f>
        <v/>
      </c>
      <c r="S155" s="25"/>
    </row>
    <row r="156" customFormat="false" ht="15" hidden="false" customHeight="false" outlineLevel="0" collapsed="false">
      <c r="A156" s="68"/>
      <c r="B156" s="69"/>
      <c r="C156" s="25"/>
      <c r="D156" s="25"/>
      <c r="E156" s="25"/>
      <c r="F156" s="25"/>
      <c r="G156" s="25"/>
      <c r="H156" s="25"/>
      <c r="I156" s="91"/>
      <c r="J156" s="91"/>
      <c r="K156" s="91"/>
      <c r="L156" s="68"/>
      <c r="M156" s="68"/>
      <c r="N156" s="74" t="str">
        <f aca="false">IF(A156="","",IF(ISNUMBER(K156),IF(AND(OR(I156="",K156&gt;=I156),OR(J156="",K156&lt;=J156)),"Conforme","Non conforme"),IF(M156="","En attente",M156)))</f>
        <v/>
      </c>
      <c r="O156" s="25"/>
      <c r="P156" s="25"/>
      <c r="Q156" s="69"/>
      <c r="R156" s="74" t="str">
        <f aca="false">IF(A156="","",IF(N156="Non conforme",IF(Q156="","NC ouverte","NC levée"),IF(N156="Réserve",IF(Q156="","Réserve ouverte","Réserve levée"),IF(N156="En attente","À contrôler","Clos"))))</f>
        <v/>
      </c>
      <c r="S156" s="25"/>
    </row>
    <row r="157" customFormat="false" ht="15" hidden="false" customHeight="false" outlineLevel="0" collapsed="false">
      <c r="A157" s="68"/>
      <c r="B157" s="69"/>
      <c r="C157" s="25"/>
      <c r="D157" s="25"/>
      <c r="E157" s="25"/>
      <c r="F157" s="25"/>
      <c r="G157" s="25"/>
      <c r="H157" s="25"/>
      <c r="I157" s="91"/>
      <c r="J157" s="91"/>
      <c r="K157" s="91"/>
      <c r="L157" s="68"/>
      <c r="M157" s="68"/>
      <c r="N157" s="74" t="str">
        <f aca="false">IF(A157="","",IF(ISNUMBER(K157),IF(AND(OR(I157="",K157&gt;=I157),OR(J157="",K157&lt;=J157)),"Conforme","Non conforme"),IF(M157="","En attente",M157)))</f>
        <v/>
      </c>
      <c r="O157" s="25"/>
      <c r="P157" s="25"/>
      <c r="Q157" s="69"/>
      <c r="R157" s="74" t="str">
        <f aca="false">IF(A157="","",IF(N157="Non conforme",IF(Q157="","NC ouverte","NC levée"),IF(N157="Réserve",IF(Q157="","Réserve ouverte","Réserve levée"),IF(N157="En attente","À contrôler","Clos"))))</f>
        <v/>
      </c>
      <c r="S157" s="25"/>
    </row>
    <row r="158" customFormat="false" ht="15" hidden="false" customHeight="false" outlineLevel="0" collapsed="false">
      <c r="A158" s="68"/>
      <c r="B158" s="69"/>
      <c r="C158" s="25"/>
      <c r="D158" s="25"/>
      <c r="E158" s="25"/>
      <c r="F158" s="25"/>
      <c r="G158" s="25"/>
      <c r="H158" s="25"/>
      <c r="I158" s="91"/>
      <c r="J158" s="91"/>
      <c r="K158" s="91"/>
      <c r="L158" s="68"/>
      <c r="M158" s="68"/>
      <c r="N158" s="74" t="str">
        <f aca="false">IF(A158="","",IF(ISNUMBER(K158),IF(AND(OR(I158="",K158&gt;=I158),OR(J158="",K158&lt;=J158)),"Conforme","Non conforme"),IF(M158="","En attente",M158)))</f>
        <v/>
      </c>
      <c r="O158" s="25"/>
      <c r="P158" s="25"/>
      <c r="Q158" s="69"/>
      <c r="R158" s="74" t="str">
        <f aca="false">IF(A158="","",IF(N158="Non conforme",IF(Q158="","NC ouverte","NC levée"),IF(N158="Réserve",IF(Q158="","Réserve ouverte","Réserve levée"),IF(N158="En attente","À contrôler","Clos"))))</f>
        <v/>
      </c>
      <c r="S158" s="25"/>
    </row>
    <row r="159" customFormat="false" ht="15" hidden="false" customHeight="false" outlineLevel="0" collapsed="false">
      <c r="A159" s="68"/>
      <c r="B159" s="69"/>
      <c r="C159" s="25"/>
      <c r="D159" s="25"/>
      <c r="E159" s="25"/>
      <c r="F159" s="25"/>
      <c r="G159" s="25"/>
      <c r="H159" s="25"/>
      <c r="I159" s="91"/>
      <c r="J159" s="91"/>
      <c r="K159" s="91"/>
      <c r="L159" s="68"/>
      <c r="M159" s="68"/>
      <c r="N159" s="74" t="str">
        <f aca="false">IF(A159="","",IF(ISNUMBER(K159),IF(AND(OR(I159="",K159&gt;=I159),OR(J159="",K159&lt;=J159)),"Conforme","Non conforme"),IF(M159="","En attente",M159)))</f>
        <v/>
      </c>
      <c r="O159" s="25"/>
      <c r="P159" s="25"/>
      <c r="Q159" s="69"/>
      <c r="R159" s="74" t="str">
        <f aca="false">IF(A159="","",IF(N159="Non conforme",IF(Q159="","NC ouverte","NC levée"),IF(N159="Réserve",IF(Q159="","Réserve ouverte","Réserve levée"),IF(N159="En attente","À contrôler","Clos"))))</f>
        <v/>
      </c>
      <c r="S159" s="25"/>
    </row>
    <row r="160" customFormat="false" ht="15" hidden="false" customHeight="false" outlineLevel="0" collapsed="false">
      <c r="A160" s="68"/>
      <c r="B160" s="69"/>
      <c r="C160" s="25"/>
      <c r="D160" s="25"/>
      <c r="E160" s="25"/>
      <c r="F160" s="25"/>
      <c r="G160" s="25"/>
      <c r="H160" s="25"/>
      <c r="I160" s="91"/>
      <c r="J160" s="91"/>
      <c r="K160" s="91"/>
      <c r="L160" s="68"/>
      <c r="M160" s="68"/>
      <c r="N160" s="74" t="str">
        <f aca="false">IF(A160="","",IF(ISNUMBER(K160),IF(AND(OR(I160="",K160&gt;=I160),OR(J160="",K160&lt;=J160)),"Conforme","Non conforme"),IF(M160="","En attente",M160)))</f>
        <v/>
      </c>
      <c r="O160" s="25"/>
      <c r="P160" s="25"/>
      <c r="Q160" s="69"/>
      <c r="R160" s="74" t="str">
        <f aca="false">IF(A160="","",IF(N160="Non conforme",IF(Q160="","NC ouverte","NC levée"),IF(N160="Réserve",IF(Q160="","Réserve ouverte","Réserve levée"),IF(N160="En attente","À contrôler","Clos"))))</f>
        <v/>
      </c>
      <c r="S160" s="25"/>
    </row>
    <row r="161" customFormat="false" ht="15" hidden="false" customHeight="false" outlineLevel="0" collapsed="false">
      <c r="A161" s="68"/>
      <c r="B161" s="69"/>
      <c r="C161" s="25"/>
      <c r="D161" s="25"/>
      <c r="E161" s="25"/>
      <c r="F161" s="25"/>
      <c r="G161" s="25"/>
      <c r="H161" s="25"/>
      <c r="I161" s="91"/>
      <c r="J161" s="91"/>
      <c r="K161" s="91"/>
      <c r="L161" s="68"/>
      <c r="M161" s="68"/>
      <c r="N161" s="74" t="str">
        <f aca="false">IF(A161="","",IF(ISNUMBER(K161),IF(AND(OR(I161="",K161&gt;=I161),OR(J161="",K161&lt;=J161)),"Conforme","Non conforme"),IF(M161="","En attente",M161)))</f>
        <v/>
      </c>
      <c r="O161" s="25"/>
      <c r="P161" s="25"/>
      <c r="Q161" s="69"/>
      <c r="R161" s="74" t="str">
        <f aca="false">IF(A161="","",IF(N161="Non conforme",IF(Q161="","NC ouverte","NC levée"),IF(N161="Réserve",IF(Q161="","Réserve ouverte","Réserve levée"),IF(N161="En attente","À contrôler","Clos"))))</f>
        <v/>
      </c>
      <c r="S161" s="25"/>
    </row>
    <row r="162" customFormat="false" ht="15" hidden="false" customHeight="false" outlineLevel="0" collapsed="false">
      <c r="A162" s="68"/>
      <c r="B162" s="69"/>
      <c r="C162" s="25"/>
      <c r="D162" s="25"/>
      <c r="E162" s="25"/>
      <c r="F162" s="25"/>
      <c r="G162" s="25"/>
      <c r="H162" s="25"/>
      <c r="I162" s="91"/>
      <c r="J162" s="91"/>
      <c r="K162" s="91"/>
      <c r="L162" s="68"/>
      <c r="M162" s="68"/>
      <c r="N162" s="74" t="str">
        <f aca="false">IF(A162="","",IF(ISNUMBER(K162),IF(AND(OR(I162="",K162&gt;=I162),OR(J162="",K162&lt;=J162)),"Conforme","Non conforme"),IF(M162="","En attente",M162)))</f>
        <v/>
      </c>
      <c r="O162" s="25"/>
      <c r="P162" s="25"/>
      <c r="Q162" s="69"/>
      <c r="R162" s="74" t="str">
        <f aca="false">IF(A162="","",IF(N162="Non conforme",IF(Q162="","NC ouverte","NC levée"),IF(N162="Réserve",IF(Q162="","Réserve ouverte","Réserve levée"),IF(N162="En attente","À contrôler","Clos"))))</f>
        <v/>
      </c>
      <c r="S162" s="25"/>
    </row>
    <row r="163" customFormat="false" ht="15" hidden="false" customHeight="false" outlineLevel="0" collapsed="false">
      <c r="A163" s="68"/>
      <c r="B163" s="69"/>
      <c r="C163" s="25"/>
      <c r="D163" s="25"/>
      <c r="E163" s="25"/>
      <c r="F163" s="25"/>
      <c r="G163" s="25"/>
      <c r="H163" s="25"/>
      <c r="I163" s="91"/>
      <c r="J163" s="91"/>
      <c r="K163" s="91"/>
      <c r="L163" s="68"/>
      <c r="M163" s="68"/>
      <c r="N163" s="74" t="str">
        <f aca="false">IF(A163="","",IF(ISNUMBER(K163),IF(AND(OR(I163="",K163&gt;=I163),OR(J163="",K163&lt;=J163)),"Conforme","Non conforme"),IF(M163="","En attente",M163)))</f>
        <v/>
      </c>
      <c r="O163" s="25"/>
      <c r="P163" s="25"/>
      <c r="Q163" s="69"/>
      <c r="R163" s="74" t="str">
        <f aca="false">IF(A163="","",IF(N163="Non conforme",IF(Q163="","NC ouverte","NC levée"),IF(N163="Réserve",IF(Q163="","Réserve ouverte","Réserve levée"),IF(N163="En attente","À contrôler","Clos"))))</f>
        <v/>
      </c>
      <c r="S163" s="25"/>
    </row>
    <row r="164" customFormat="false" ht="15" hidden="false" customHeight="false" outlineLevel="0" collapsed="false">
      <c r="A164" s="68"/>
      <c r="B164" s="69"/>
      <c r="C164" s="25"/>
      <c r="D164" s="25"/>
      <c r="E164" s="25"/>
      <c r="F164" s="25"/>
      <c r="G164" s="25"/>
      <c r="H164" s="25"/>
      <c r="I164" s="91"/>
      <c r="J164" s="91"/>
      <c r="K164" s="91"/>
      <c r="L164" s="68"/>
      <c r="M164" s="68"/>
      <c r="N164" s="74" t="str">
        <f aca="false">IF(A164="","",IF(ISNUMBER(K164),IF(AND(OR(I164="",K164&gt;=I164),OR(J164="",K164&lt;=J164)),"Conforme","Non conforme"),IF(M164="","En attente",M164)))</f>
        <v/>
      </c>
      <c r="O164" s="25"/>
      <c r="P164" s="25"/>
      <c r="Q164" s="69"/>
      <c r="R164" s="74" t="str">
        <f aca="false">IF(A164="","",IF(N164="Non conforme",IF(Q164="","NC ouverte","NC levée"),IF(N164="Réserve",IF(Q164="","Réserve ouverte","Réserve levée"),IF(N164="En attente","À contrôler","Clos"))))</f>
        <v/>
      </c>
      <c r="S164" s="25"/>
    </row>
    <row r="165" customFormat="false" ht="15" hidden="false" customHeight="false" outlineLevel="0" collapsed="false">
      <c r="A165" s="68"/>
      <c r="B165" s="69"/>
      <c r="C165" s="25"/>
      <c r="D165" s="25"/>
      <c r="E165" s="25"/>
      <c r="F165" s="25"/>
      <c r="G165" s="25"/>
      <c r="H165" s="25"/>
      <c r="I165" s="91"/>
      <c r="J165" s="91"/>
      <c r="K165" s="91"/>
      <c r="L165" s="68"/>
      <c r="M165" s="68"/>
      <c r="N165" s="74" t="str">
        <f aca="false">IF(A165="","",IF(ISNUMBER(K165),IF(AND(OR(I165="",K165&gt;=I165),OR(J165="",K165&lt;=J165)),"Conforme","Non conforme"),IF(M165="","En attente",M165)))</f>
        <v/>
      </c>
      <c r="O165" s="25"/>
      <c r="P165" s="25"/>
      <c r="Q165" s="69"/>
      <c r="R165" s="74" t="str">
        <f aca="false">IF(A165="","",IF(N165="Non conforme",IF(Q165="","NC ouverte","NC levée"),IF(N165="Réserve",IF(Q165="","Réserve ouverte","Réserve levée"),IF(N165="En attente","À contrôler","Clos"))))</f>
        <v/>
      </c>
      <c r="S165" s="25"/>
    </row>
    <row r="166" customFormat="false" ht="15" hidden="false" customHeight="false" outlineLevel="0" collapsed="false">
      <c r="A166" s="68"/>
      <c r="B166" s="69"/>
      <c r="C166" s="25"/>
      <c r="D166" s="25"/>
      <c r="E166" s="25"/>
      <c r="F166" s="25"/>
      <c r="G166" s="25"/>
      <c r="H166" s="25"/>
      <c r="I166" s="91"/>
      <c r="J166" s="91"/>
      <c r="K166" s="91"/>
      <c r="L166" s="68"/>
      <c r="M166" s="68"/>
      <c r="N166" s="74" t="str">
        <f aca="false">IF(A166="","",IF(ISNUMBER(K166),IF(AND(OR(I166="",K166&gt;=I166),OR(J166="",K166&lt;=J166)),"Conforme","Non conforme"),IF(M166="","En attente",M166)))</f>
        <v/>
      </c>
      <c r="O166" s="25"/>
      <c r="P166" s="25"/>
      <c r="Q166" s="69"/>
      <c r="R166" s="74" t="str">
        <f aca="false">IF(A166="","",IF(N166="Non conforme",IF(Q166="","NC ouverte","NC levée"),IF(N166="Réserve",IF(Q166="","Réserve ouverte","Réserve levée"),IF(N166="En attente","À contrôler","Clos"))))</f>
        <v/>
      </c>
      <c r="S166" s="25"/>
    </row>
    <row r="167" customFormat="false" ht="15" hidden="false" customHeight="false" outlineLevel="0" collapsed="false">
      <c r="A167" s="68"/>
      <c r="B167" s="69"/>
      <c r="C167" s="25"/>
      <c r="D167" s="25"/>
      <c r="E167" s="25"/>
      <c r="F167" s="25"/>
      <c r="G167" s="25"/>
      <c r="H167" s="25"/>
      <c r="I167" s="91"/>
      <c r="J167" s="91"/>
      <c r="K167" s="91"/>
      <c r="L167" s="68"/>
      <c r="M167" s="68"/>
      <c r="N167" s="74" t="str">
        <f aca="false">IF(A167="","",IF(ISNUMBER(K167),IF(AND(OR(I167="",K167&gt;=I167),OR(J167="",K167&lt;=J167)),"Conforme","Non conforme"),IF(M167="","En attente",M167)))</f>
        <v/>
      </c>
      <c r="O167" s="25"/>
      <c r="P167" s="25"/>
      <c r="Q167" s="69"/>
      <c r="R167" s="74" t="str">
        <f aca="false">IF(A167="","",IF(N167="Non conforme",IF(Q167="","NC ouverte","NC levée"),IF(N167="Réserve",IF(Q167="","Réserve ouverte","Réserve levée"),IF(N167="En attente","À contrôler","Clos"))))</f>
        <v/>
      </c>
      <c r="S167" s="25"/>
    </row>
    <row r="168" customFormat="false" ht="15" hidden="false" customHeight="false" outlineLevel="0" collapsed="false">
      <c r="A168" s="68"/>
      <c r="B168" s="69"/>
      <c r="C168" s="25"/>
      <c r="D168" s="25"/>
      <c r="E168" s="25"/>
      <c r="F168" s="25"/>
      <c r="G168" s="25"/>
      <c r="H168" s="25"/>
      <c r="I168" s="91"/>
      <c r="J168" s="91"/>
      <c r="K168" s="91"/>
      <c r="L168" s="68"/>
      <c r="M168" s="68"/>
      <c r="N168" s="74" t="str">
        <f aca="false">IF(A168="","",IF(ISNUMBER(K168),IF(AND(OR(I168="",K168&gt;=I168),OR(J168="",K168&lt;=J168)),"Conforme","Non conforme"),IF(M168="","En attente",M168)))</f>
        <v/>
      </c>
      <c r="O168" s="25"/>
      <c r="P168" s="25"/>
      <c r="Q168" s="69"/>
      <c r="R168" s="74" t="str">
        <f aca="false">IF(A168="","",IF(N168="Non conforme",IF(Q168="","NC ouverte","NC levée"),IF(N168="Réserve",IF(Q168="","Réserve ouverte","Réserve levée"),IF(N168="En attente","À contrôler","Clos"))))</f>
        <v/>
      </c>
      <c r="S168" s="25"/>
    </row>
    <row r="169" customFormat="false" ht="15" hidden="false" customHeight="false" outlineLevel="0" collapsed="false">
      <c r="A169" s="68"/>
      <c r="B169" s="69"/>
      <c r="C169" s="25"/>
      <c r="D169" s="25"/>
      <c r="E169" s="25"/>
      <c r="F169" s="25"/>
      <c r="G169" s="25"/>
      <c r="H169" s="25"/>
      <c r="I169" s="91"/>
      <c r="J169" s="91"/>
      <c r="K169" s="91"/>
      <c r="L169" s="68"/>
      <c r="M169" s="68"/>
      <c r="N169" s="74" t="str">
        <f aca="false">IF(A169="","",IF(ISNUMBER(K169),IF(AND(OR(I169="",K169&gt;=I169),OR(J169="",K169&lt;=J169)),"Conforme","Non conforme"),IF(M169="","En attente",M169)))</f>
        <v/>
      </c>
      <c r="O169" s="25"/>
      <c r="P169" s="25"/>
      <c r="Q169" s="69"/>
      <c r="R169" s="74" t="str">
        <f aca="false">IF(A169="","",IF(N169="Non conforme",IF(Q169="","NC ouverte","NC levée"),IF(N169="Réserve",IF(Q169="","Réserve ouverte","Réserve levée"),IF(N169="En attente","À contrôler","Clos"))))</f>
        <v/>
      </c>
      <c r="S169" s="25"/>
    </row>
    <row r="170" customFormat="false" ht="15" hidden="false" customHeight="false" outlineLevel="0" collapsed="false">
      <c r="A170" s="68"/>
      <c r="B170" s="69"/>
      <c r="C170" s="25"/>
      <c r="D170" s="25"/>
      <c r="E170" s="25"/>
      <c r="F170" s="25"/>
      <c r="G170" s="25"/>
      <c r="H170" s="25"/>
      <c r="I170" s="91"/>
      <c r="J170" s="91"/>
      <c r="K170" s="91"/>
      <c r="L170" s="68"/>
      <c r="M170" s="68"/>
      <c r="N170" s="74" t="str">
        <f aca="false">IF(A170="","",IF(ISNUMBER(K170),IF(AND(OR(I170="",K170&gt;=I170),OR(J170="",K170&lt;=J170)),"Conforme","Non conforme"),IF(M170="","En attente",M170)))</f>
        <v/>
      </c>
      <c r="O170" s="25"/>
      <c r="P170" s="25"/>
      <c r="Q170" s="69"/>
      <c r="R170" s="74" t="str">
        <f aca="false">IF(A170="","",IF(N170="Non conforme",IF(Q170="","NC ouverte","NC levée"),IF(N170="Réserve",IF(Q170="","Réserve ouverte","Réserve levée"),IF(N170="En attente","À contrôler","Clos"))))</f>
        <v/>
      </c>
      <c r="S170" s="25"/>
    </row>
    <row r="171" customFormat="false" ht="15" hidden="false" customHeight="false" outlineLevel="0" collapsed="false">
      <c r="A171" s="68"/>
      <c r="B171" s="69"/>
      <c r="C171" s="25"/>
      <c r="D171" s="25"/>
      <c r="E171" s="25"/>
      <c r="F171" s="25"/>
      <c r="G171" s="25"/>
      <c r="H171" s="25"/>
      <c r="I171" s="91"/>
      <c r="J171" s="91"/>
      <c r="K171" s="91"/>
      <c r="L171" s="68"/>
      <c r="M171" s="68"/>
      <c r="N171" s="74" t="str">
        <f aca="false">IF(A171="","",IF(ISNUMBER(K171),IF(AND(OR(I171="",K171&gt;=I171),OR(J171="",K171&lt;=J171)),"Conforme","Non conforme"),IF(M171="","En attente",M171)))</f>
        <v/>
      </c>
      <c r="O171" s="25"/>
      <c r="P171" s="25"/>
      <c r="Q171" s="69"/>
      <c r="R171" s="74" t="str">
        <f aca="false">IF(A171="","",IF(N171="Non conforme",IF(Q171="","NC ouverte","NC levée"),IF(N171="Réserve",IF(Q171="","Réserve ouverte","Réserve levée"),IF(N171="En attente","À contrôler","Clos"))))</f>
        <v/>
      </c>
      <c r="S171" s="25"/>
    </row>
    <row r="172" customFormat="false" ht="15" hidden="false" customHeight="false" outlineLevel="0" collapsed="false">
      <c r="A172" s="68"/>
      <c r="B172" s="69"/>
      <c r="C172" s="25"/>
      <c r="D172" s="25"/>
      <c r="E172" s="25"/>
      <c r="F172" s="25"/>
      <c r="G172" s="25"/>
      <c r="H172" s="25"/>
      <c r="I172" s="91"/>
      <c r="J172" s="91"/>
      <c r="K172" s="91"/>
      <c r="L172" s="68"/>
      <c r="M172" s="68"/>
      <c r="N172" s="74" t="str">
        <f aca="false">IF(A172="","",IF(ISNUMBER(K172),IF(AND(OR(I172="",K172&gt;=I172),OR(J172="",K172&lt;=J172)),"Conforme","Non conforme"),IF(M172="","En attente",M172)))</f>
        <v/>
      </c>
      <c r="O172" s="25"/>
      <c r="P172" s="25"/>
      <c r="Q172" s="69"/>
      <c r="R172" s="74" t="str">
        <f aca="false">IF(A172="","",IF(N172="Non conforme",IF(Q172="","NC ouverte","NC levée"),IF(N172="Réserve",IF(Q172="","Réserve ouverte","Réserve levée"),IF(N172="En attente","À contrôler","Clos"))))</f>
        <v/>
      </c>
      <c r="S172" s="25"/>
    </row>
    <row r="173" customFormat="false" ht="15" hidden="false" customHeight="false" outlineLevel="0" collapsed="false">
      <c r="A173" s="68"/>
      <c r="B173" s="69"/>
      <c r="C173" s="25"/>
      <c r="D173" s="25"/>
      <c r="E173" s="25"/>
      <c r="F173" s="25"/>
      <c r="G173" s="25"/>
      <c r="H173" s="25"/>
      <c r="I173" s="91"/>
      <c r="J173" s="91"/>
      <c r="K173" s="91"/>
      <c r="L173" s="68"/>
      <c r="M173" s="68"/>
      <c r="N173" s="74" t="str">
        <f aca="false">IF(A173="","",IF(ISNUMBER(K173),IF(AND(OR(I173="",K173&gt;=I173),OR(J173="",K173&lt;=J173)),"Conforme","Non conforme"),IF(M173="","En attente",M173)))</f>
        <v/>
      </c>
      <c r="O173" s="25"/>
      <c r="P173" s="25"/>
      <c r="Q173" s="69"/>
      <c r="R173" s="74" t="str">
        <f aca="false">IF(A173="","",IF(N173="Non conforme",IF(Q173="","NC ouverte","NC levée"),IF(N173="Réserve",IF(Q173="","Réserve ouverte","Réserve levée"),IF(N173="En attente","À contrôler","Clos"))))</f>
        <v/>
      </c>
      <c r="S173" s="25"/>
    </row>
    <row r="174" customFormat="false" ht="15" hidden="false" customHeight="false" outlineLevel="0" collapsed="false">
      <c r="A174" s="68"/>
      <c r="B174" s="69"/>
      <c r="C174" s="25"/>
      <c r="D174" s="25"/>
      <c r="E174" s="25"/>
      <c r="F174" s="25"/>
      <c r="G174" s="25"/>
      <c r="H174" s="25"/>
      <c r="I174" s="91"/>
      <c r="J174" s="91"/>
      <c r="K174" s="91"/>
      <c r="L174" s="68"/>
      <c r="M174" s="68"/>
      <c r="N174" s="74" t="str">
        <f aca="false">IF(A174="","",IF(ISNUMBER(K174),IF(AND(OR(I174="",K174&gt;=I174),OR(J174="",K174&lt;=J174)),"Conforme","Non conforme"),IF(M174="","En attente",M174)))</f>
        <v/>
      </c>
      <c r="O174" s="25"/>
      <c r="P174" s="25"/>
      <c r="Q174" s="69"/>
      <c r="R174" s="74" t="str">
        <f aca="false">IF(A174="","",IF(N174="Non conforme",IF(Q174="","NC ouverte","NC levée"),IF(N174="Réserve",IF(Q174="","Réserve ouverte","Réserve levée"),IF(N174="En attente","À contrôler","Clos"))))</f>
        <v/>
      </c>
      <c r="S174" s="25"/>
    </row>
    <row r="175" customFormat="false" ht="15" hidden="false" customHeight="false" outlineLevel="0" collapsed="false">
      <c r="A175" s="68"/>
      <c r="B175" s="69"/>
      <c r="C175" s="25"/>
      <c r="D175" s="25"/>
      <c r="E175" s="25"/>
      <c r="F175" s="25"/>
      <c r="G175" s="25"/>
      <c r="H175" s="25"/>
      <c r="I175" s="91"/>
      <c r="J175" s="91"/>
      <c r="K175" s="91"/>
      <c r="L175" s="68"/>
      <c r="M175" s="68"/>
      <c r="N175" s="74" t="str">
        <f aca="false">IF(A175="","",IF(ISNUMBER(K175),IF(AND(OR(I175="",K175&gt;=I175),OR(J175="",K175&lt;=J175)),"Conforme","Non conforme"),IF(M175="","En attente",M175)))</f>
        <v/>
      </c>
      <c r="O175" s="25"/>
      <c r="P175" s="25"/>
      <c r="Q175" s="69"/>
      <c r="R175" s="74" t="str">
        <f aca="false">IF(A175="","",IF(N175="Non conforme",IF(Q175="","NC ouverte","NC levée"),IF(N175="Réserve",IF(Q175="","Réserve ouverte","Réserve levée"),IF(N175="En attente","À contrôler","Clos"))))</f>
        <v/>
      </c>
      <c r="S175" s="25"/>
    </row>
    <row r="176" customFormat="false" ht="15" hidden="false" customHeight="false" outlineLevel="0" collapsed="false">
      <c r="A176" s="68"/>
      <c r="B176" s="69"/>
      <c r="C176" s="25"/>
      <c r="D176" s="25"/>
      <c r="E176" s="25"/>
      <c r="F176" s="25"/>
      <c r="G176" s="25"/>
      <c r="H176" s="25"/>
      <c r="I176" s="91"/>
      <c r="J176" s="91"/>
      <c r="K176" s="91"/>
      <c r="L176" s="68"/>
      <c r="M176" s="68"/>
      <c r="N176" s="74" t="str">
        <f aca="false">IF(A176="","",IF(ISNUMBER(K176),IF(AND(OR(I176="",K176&gt;=I176),OR(J176="",K176&lt;=J176)),"Conforme","Non conforme"),IF(M176="","En attente",M176)))</f>
        <v/>
      </c>
      <c r="O176" s="25"/>
      <c r="P176" s="25"/>
      <c r="Q176" s="69"/>
      <c r="R176" s="74" t="str">
        <f aca="false">IF(A176="","",IF(N176="Non conforme",IF(Q176="","NC ouverte","NC levée"),IF(N176="Réserve",IF(Q176="","Réserve ouverte","Réserve levée"),IF(N176="En attente","À contrôler","Clos"))))</f>
        <v/>
      </c>
      <c r="S176" s="25"/>
    </row>
    <row r="177" customFormat="false" ht="15" hidden="false" customHeight="false" outlineLevel="0" collapsed="false">
      <c r="A177" s="68"/>
      <c r="B177" s="69"/>
      <c r="C177" s="25"/>
      <c r="D177" s="25"/>
      <c r="E177" s="25"/>
      <c r="F177" s="25"/>
      <c r="G177" s="25"/>
      <c r="H177" s="25"/>
      <c r="I177" s="91"/>
      <c r="J177" s="91"/>
      <c r="K177" s="91"/>
      <c r="L177" s="68"/>
      <c r="M177" s="68"/>
      <c r="N177" s="74" t="str">
        <f aca="false">IF(A177="","",IF(ISNUMBER(K177),IF(AND(OR(I177="",K177&gt;=I177),OR(J177="",K177&lt;=J177)),"Conforme","Non conforme"),IF(M177="","En attente",M177)))</f>
        <v/>
      </c>
      <c r="O177" s="25"/>
      <c r="P177" s="25"/>
      <c r="Q177" s="69"/>
      <c r="R177" s="74" t="str">
        <f aca="false">IF(A177="","",IF(N177="Non conforme",IF(Q177="","NC ouverte","NC levée"),IF(N177="Réserve",IF(Q177="","Réserve ouverte","Réserve levée"),IF(N177="En attente","À contrôler","Clos"))))</f>
        <v/>
      </c>
      <c r="S177" s="25"/>
    </row>
    <row r="178" customFormat="false" ht="15" hidden="false" customHeight="false" outlineLevel="0" collapsed="false">
      <c r="A178" s="68"/>
      <c r="B178" s="69"/>
      <c r="C178" s="25"/>
      <c r="D178" s="25"/>
      <c r="E178" s="25"/>
      <c r="F178" s="25"/>
      <c r="G178" s="25"/>
      <c r="H178" s="25"/>
      <c r="I178" s="91"/>
      <c r="J178" s="91"/>
      <c r="K178" s="91"/>
      <c r="L178" s="68"/>
      <c r="M178" s="68"/>
      <c r="N178" s="74" t="str">
        <f aca="false">IF(A178="","",IF(ISNUMBER(K178),IF(AND(OR(I178="",K178&gt;=I178),OR(J178="",K178&lt;=J178)),"Conforme","Non conforme"),IF(M178="","En attente",M178)))</f>
        <v/>
      </c>
      <c r="O178" s="25"/>
      <c r="P178" s="25"/>
      <c r="Q178" s="69"/>
      <c r="R178" s="74" t="str">
        <f aca="false">IF(A178="","",IF(N178="Non conforme",IF(Q178="","NC ouverte","NC levée"),IF(N178="Réserve",IF(Q178="","Réserve ouverte","Réserve levée"),IF(N178="En attente","À contrôler","Clos"))))</f>
        <v/>
      </c>
      <c r="S178" s="25"/>
    </row>
    <row r="179" customFormat="false" ht="15" hidden="false" customHeight="false" outlineLevel="0" collapsed="false">
      <c r="A179" s="68"/>
      <c r="B179" s="69"/>
      <c r="C179" s="25"/>
      <c r="D179" s="25"/>
      <c r="E179" s="25"/>
      <c r="F179" s="25"/>
      <c r="G179" s="25"/>
      <c r="H179" s="25"/>
      <c r="I179" s="91"/>
      <c r="J179" s="91"/>
      <c r="K179" s="91"/>
      <c r="L179" s="68"/>
      <c r="M179" s="68"/>
      <c r="N179" s="74" t="str">
        <f aca="false">IF(A179="","",IF(ISNUMBER(K179),IF(AND(OR(I179="",K179&gt;=I179),OR(J179="",K179&lt;=J179)),"Conforme","Non conforme"),IF(M179="","En attente",M179)))</f>
        <v/>
      </c>
      <c r="O179" s="25"/>
      <c r="P179" s="25"/>
      <c r="Q179" s="69"/>
      <c r="R179" s="74" t="str">
        <f aca="false">IF(A179="","",IF(N179="Non conforme",IF(Q179="","NC ouverte","NC levée"),IF(N179="Réserve",IF(Q179="","Réserve ouverte","Réserve levée"),IF(N179="En attente","À contrôler","Clos"))))</f>
        <v/>
      </c>
      <c r="S179" s="25"/>
    </row>
    <row r="180" customFormat="false" ht="15" hidden="false" customHeight="false" outlineLevel="0" collapsed="false">
      <c r="A180" s="68"/>
      <c r="B180" s="69"/>
      <c r="C180" s="25"/>
      <c r="D180" s="25"/>
      <c r="E180" s="25"/>
      <c r="F180" s="25"/>
      <c r="G180" s="25"/>
      <c r="H180" s="25"/>
      <c r="I180" s="91"/>
      <c r="J180" s="91"/>
      <c r="K180" s="91"/>
      <c r="L180" s="68"/>
      <c r="M180" s="68"/>
      <c r="N180" s="74" t="str">
        <f aca="false">IF(A180="","",IF(ISNUMBER(K180),IF(AND(OR(I180="",K180&gt;=I180),OR(J180="",K180&lt;=J180)),"Conforme","Non conforme"),IF(M180="","En attente",M180)))</f>
        <v/>
      </c>
      <c r="O180" s="25"/>
      <c r="P180" s="25"/>
      <c r="Q180" s="69"/>
      <c r="R180" s="74" t="str">
        <f aca="false">IF(A180="","",IF(N180="Non conforme",IF(Q180="","NC ouverte","NC levée"),IF(N180="Réserve",IF(Q180="","Réserve ouverte","Réserve levée"),IF(N180="En attente","À contrôler","Clos"))))</f>
        <v/>
      </c>
      <c r="S180" s="25"/>
    </row>
    <row r="181" customFormat="false" ht="15" hidden="false" customHeight="false" outlineLevel="0" collapsed="false">
      <c r="A181" s="68"/>
      <c r="B181" s="69"/>
      <c r="C181" s="25"/>
      <c r="D181" s="25"/>
      <c r="E181" s="25"/>
      <c r="F181" s="25"/>
      <c r="G181" s="25"/>
      <c r="H181" s="25"/>
      <c r="I181" s="91"/>
      <c r="J181" s="91"/>
      <c r="K181" s="91"/>
      <c r="L181" s="68"/>
      <c r="M181" s="68"/>
      <c r="N181" s="74" t="str">
        <f aca="false">IF(A181="","",IF(ISNUMBER(K181),IF(AND(OR(I181="",K181&gt;=I181),OR(J181="",K181&lt;=J181)),"Conforme","Non conforme"),IF(M181="","En attente",M181)))</f>
        <v/>
      </c>
      <c r="O181" s="25"/>
      <c r="P181" s="25"/>
      <c r="Q181" s="69"/>
      <c r="R181" s="74" t="str">
        <f aca="false">IF(A181="","",IF(N181="Non conforme",IF(Q181="","NC ouverte","NC levée"),IF(N181="Réserve",IF(Q181="","Réserve ouverte","Réserve levée"),IF(N181="En attente","À contrôler","Clos"))))</f>
        <v/>
      </c>
      <c r="S181" s="25"/>
    </row>
    <row r="182" customFormat="false" ht="15" hidden="false" customHeight="false" outlineLevel="0" collapsed="false">
      <c r="A182" s="68"/>
      <c r="B182" s="69"/>
      <c r="C182" s="25"/>
      <c r="D182" s="25"/>
      <c r="E182" s="25"/>
      <c r="F182" s="25"/>
      <c r="G182" s="25"/>
      <c r="H182" s="25"/>
      <c r="I182" s="91"/>
      <c r="J182" s="91"/>
      <c r="K182" s="91"/>
      <c r="L182" s="68"/>
      <c r="M182" s="68"/>
      <c r="N182" s="74" t="str">
        <f aca="false">IF(A182="","",IF(ISNUMBER(K182),IF(AND(OR(I182="",K182&gt;=I182),OR(J182="",K182&lt;=J182)),"Conforme","Non conforme"),IF(M182="","En attente",M182)))</f>
        <v/>
      </c>
      <c r="O182" s="25"/>
      <c r="P182" s="25"/>
      <c r="Q182" s="69"/>
      <c r="R182" s="74" t="str">
        <f aca="false">IF(A182="","",IF(N182="Non conforme",IF(Q182="","NC ouverte","NC levée"),IF(N182="Réserve",IF(Q182="","Réserve ouverte","Réserve levée"),IF(N182="En attente","À contrôler","Clos"))))</f>
        <v/>
      </c>
      <c r="S182" s="25"/>
    </row>
    <row r="183" customFormat="false" ht="15" hidden="false" customHeight="false" outlineLevel="0" collapsed="false">
      <c r="A183" s="68"/>
      <c r="B183" s="69"/>
      <c r="C183" s="25"/>
      <c r="D183" s="25"/>
      <c r="E183" s="25"/>
      <c r="F183" s="25"/>
      <c r="G183" s="25"/>
      <c r="H183" s="25"/>
      <c r="I183" s="91"/>
      <c r="J183" s="91"/>
      <c r="K183" s="91"/>
      <c r="L183" s="68"/>
      <c r="M183" s="68"/>
      <c r="N183" s="74" t="str">
        <f aca="false">IF(A183="","",IF(ISNUMBER(K183),IF(AND(OR(I183="",K183&gt;=I183),OR(J183="",K183&lt;=J183)),"Conforme","Non conforme"),IF(M183="","En attente",M183)))</f>
        <v/>
      </c>
      <c r="O183" s="25"/>
      <c r="P183" s="25"/>
      <c r="Q183" s="69"/>
      <c r="R183" s="74" t="str">
        <f aca="false">IF(A183="","",IF(N183="Non conforme",IF(Q183="","NC ouverte","NC levée"),IF(N183="Réserve",IF(Q183="","Réserve ouverte","Réserve levée"),IF(N183="En attente","À contrôler","Clos"))))</f>
        <v/>
      </c>
      <c r="S183" s="25"/>
    </row>
    <row r="184" customFormat="false" ht="15" hidden="false" customHeight="false" outlineLevel="0" collapsed="false">
      <c r="A184" s="68"/>
      <c r="B184" s="69"/>
      <c r="C184" s="25"/>
      <c r="D184" s="25"/>
      <c r="E184" s="25"/>
      <c r="F184" s="25"/>
      <c r="G184" s="25"/>
      <c r="H184" s="25"/>
      <c r="I184" s="91"/>
      <c r="J184" s="91"/>
      <c r="K184" s="91"/>
      <c r="L184" s="68"/>
      <c r="M184" s="68"/>
      <c r="N184" s="74" t="str">
        <f aca="false">IF(A184="","",IF(ISNUMBER(K184),IF(AND(OR(I184="",K184&gt;=I184),OR(J184="",K184&lt;=J184)),"Conforme","Non conforme"),IF(M184="","En attente",M184)))</f>
        <v/>
      </c>
      <c r="O184" s="25"/>
      <c r="P184" s="25"/>
      <c r="Q184" s="69"/>
      <c r="R184" s="74" t="str">
        <f aca="false">IF(A184="","",IF(N184="Non conforme",IF(Q184="","NC ouverte","NC levée"),IF(N184="Réserve",IF(Q184="","Réserve ouverte","Réserve levée"),IF(N184="En attente","À contrôler","Clos"))))</f>
        <v/>
      </c>
      <c r="S184" s="25"/>
    </row>
    <row r="185" customFormat="false" ht="15" hidden="false" customHeight="false" outlineLevel="0" collapsed="false">
      <c r="A185" s="68"/>
      <c r="B185" s="69"/>
      <c r="C185" s="25"/>
      <c r="D185" s="25"/>
      <c r="E185" s="25"/>
      <c r="F185" s="25"/>
      <c r="G185" s="25"/>
      <c r="H185" s="25"/>
      <c r="I185" s="91"/>
      <c r="J185" s="91"/>
      <c r="K185" s="91"/>
      <c r="L185" s="68"/>
      <c r="M185" s="68"/>
      <c r="N185" s="74" t="str">
        <f aca="false">IF(A185="","",IF(ISNUMBER(K185),IF(AND(OR(I185="",K185&gt;=I185),OR(J185="",K185&lt;=J185)),"Conforme","Non conforme"),IF(M185="","En attente",M185)))</f>
        <v/>
      </c>
      <c r="O185" s="25"/>
      <c r="P185" s="25"/>
      <c r="Q185" s="69"/>
      <c r="R185" s="74" t="str">
        <f aca="false">IF(A185="","",IF(N185="Non conforme",IF(Q185="","NC ouverte","NC levée"),IF(N185="Réserve",IF(Q185="","Réserve ouverte","Réserve levée"),IF(N185="En attente","À contrôler","Clos"))))</f>
        <v/>
      </c>
      <c r="S185" s="25"/>
    </row>
    <row r="186" customFormat="false" ht="15" hidden="false" customHeight="false" outlineLevel="0" collapsed="false">
      <c r="A186" s="68"/>
      <c r="B186" s="69"/>
      <c r="C186" s="25"/>
      <c r="D186" s="25"/>
      <c r="E186" s="25"/>
      <c r="F186" s="25"/>
      <c r="G186" s="25"/>
      <c r="H186" s="25"/>
      <c r="I186" s="91"/>
      <c r="J186" s="91"/>
      <c r="K186" s="91"/>
      <c r="L186" s="68"/>
      <c r="M186" s="68"/>
      <c r="N186" s="74" t="str">
        <f aca="false">IF(A186="","",IF(ISNUMBER(K186),IF(AND(OR(I186="",K186&gt;=I186),OR(J186="",K186&lt;=J186)),"Conforme","Non conforme"),IF(M186="","En attente",M186)))</f>
        <v/>
      </c>
      <c r="O186" s="25"/>
      <c r="P186" s="25"/>
      <c r="Q186" s="69"/>
      <c r="R186" s="74" t="str">
        <f aca="false">IF(A186="","",IF(N186="Non conforme",IF(Q186="","NC ouverte","NC levée"),IF(N186="Réserve",IF(Q186="","Réserve ouverte","Réserve levée"),IF(N186="En attente","À contrôler","Clos"))))</f>
        <v/>
      </c>
      <c r="S186" s="25"/>
    </row>
    <row r="187" customFormat="false" ht="15" hidden="false" customHeight="false" outlineLevel="0" collapsed="false">
      <c r="A187" s="68"/>
      <c r="B187" s="69"/>
      <c r="C187" s="25"/>
      <c r="D187" s="25"/>
      <c r="E187" s="25"/>
      <c r="F187" s="25"/>
      <c r="G187" s="25"/>
      <c r="H187" s="25"/>
      <c r="I187" s="91"/>
      <c r="J187" s="91"/>
      <c r="K187" s="91"/>
      <c r="L187" s="68"/>
      <c r="M187" s="68"/>
      <c r="N187" s="74" t="str">
        <f aca="false">IF(A187="","",IF(ISNUMBER(K187),IF(AND(OR(I187="",K187&gt;=I187),OR(J187="",K187&lt;=J187)),"Conforme","Non conforme"),IF(M187="","En attente",M187)))</f>
        <v/>
      </c>
      <c r="O187" s="25"/>
      <c r="P187" s="25"/>
      <c r="Q187" s="69"/>
      <c r="R187" s="74" t="str">
        <f aca="false">IF(A187="","",IF(N187="Non conforme",IF(Q187="","NC ouverte","NC levée"),IF(N187="Réserve",IF(Q187="","Réserve ouverte","Réserve levée"),IF(N187="En attente","À contrôler","Clos"))))</f>
        <v/>
      </c>
      <c r="S187" s="25"/>
    </row>
    <row r="188" customFormat="false" ht="15" hidden="false" customHeight="false" outlineLevel="0" collapsed="false">
      <c r="A188" s="68"/>
      <c r="B188" s="69"/>
      <c r="C188" s="25"/>
      <c r="D188" s="25"/>
      <c r="E188" s="25"/>
      <c r="F188" s="25"/>
      <c r="G188" s="25"/>
      <c r="H188" s="25"/>
      <c r="I188" s="91"/>
      <c r="J188" s="91"/>
      <c r="K188" s="91"/>
      <c r="L188" s="68"/>
      <c r="M188" s="68"/>
      <c r="N188" s="74" t="str">
        <f aca="false">IF(A188="","",IF(ISNUMBER(K188),IF(AND(OR(I188="",K188&gt;=I188),OR(J188="",K188&lt;=J188)),"Conforme","Non conforme"),IF(M188="","En attente",M188)))</f>
        <v/>
      </c>
      <c r="O188" s="25"/>
      <c r="P188" s="25"/>
      <c r="Q188" s="69"/>
      <c r="R188" s="74" t="str">
        <f aca="false">IF(A188="","",IF(N188="Non conforme",IF(Q188="","NC ouverte","NC levée"),IF(N188="Réserve",IF(Q188="","Réserve ouverte","Réserve levée"),IF(N188="En attente","À contrôler","Clos"))))</f>
        <v/>
      </c>
      <c r="S188" s="25"/>
    </row>
    <row r="189" customFormat="false" ht="15" hidden="false" customHeight="false" outlineLevel="0" collapsed="false">
      <c r="A189" s="68"/>
      <c r="B189" s="69"/>
      <c r="C189" s="25"/>
      <c r="D189" s="25"/>
      <c r="E189" s="25"/>
      <c r="F189" s="25"/>
      <c r="G189" s="25"/>
      <c r="H189" s="25"/>
      <c r="I189" s="91"/>
      <c r="J189" s="91"/>
      <c r="K189" s="91"/>
      <c r="L189" s="68"/>
      <c r="M189" s="68"/>
      <c r="N189" s="74" t="str">
        <f aca="false">IF(A189="","",IF(ISNUMBER(K189),IF(AND(OR(I189="",K189&gt;=I189),OR(J189="",K189&lt;=J189)),"Conforme","Non conforme"),IF(M189="","En attente",M189)))</f>
        <v/>
      </c>
      <c r="O189" s="25"/>
      <c r="P189" s="25"/>
      <c r="Q189" s="69"/>
      <c r="R189" s="74" t="str">
        <f aca="false">IF(A189="","",IF(N189="Non conforme",IF(Q189="","NC ouverte","NC levée"),IF(N189="Réserve",IF(Q189="","Réserve ouverte","Réserve levée"),IF(N189="En attente","À contrôler","Clos"))))</f>
        <v/>
      </c>
      <c r="S189" s="25"/>
    </row>
    <row r="190" customFormat="false" ht="15" hidden="false" customHeight="false" outlineLevel="0" collapsed="false">
      <c r="A190" s="68"/>
      <c r="B190" s="69"/>
      <c r="C190" s="25"/>
      <c r="D190" s="25"/>
      <c r="E190" s="25"/>
      <c r="F190" s="25"/>
      <c r="G190" s="25"/>
      <c r="H190" s="25"/>
      <c r="I190" s="91"/>
      <c r="J190" s="91"/>
      <c r="K190" s="91"/>
      <c r="L190" s="68"/>
      <c r="M190" s="68"/>
      <c r="N190" s="74" t="str">
        <f aca="false">IF(A190="","",IF(ISNUMBER(K190),IF(AND(OR(I190="",K190&gt;=I190),OR(J190="",K190&lt;=J190)),"Conforme","Non conforme"),IF(M190="","En attente",M190)))</f>
        <v/>
      </c>
      <c r="O190" s="25"/>
      <c r="P190" s="25"/>
      <c r="Q190" s="69"/>
      <c r="R190" s="74" t="str">
        <f aca="false">IF(A190="","",IF(N190="Non conforme",IF(Q190="","NC ouverte","NC levée"),IF(N190="Réserve",IF(Q190="","Réserve ouverte","Réserve levée"),IF(N190="En attente","À contrôler","Clos"))))</f>
        <v/>
      </c>
      <c r="S190" s="25"/>
    </row>
    <row r="191" customFormat="false" ht="15" hidden="false" customHeight="false" outlineLevel="0" collapsed="false">
      <c r="A191" s="68"/>
      <c r="B191" s="69"/>
      <c r="C191" s="25"/>
      <c r="D191" s="25"/>
      <c r="E191" s="25"/>
      <c r="F191" s="25"/>
      <c r="G191" s="25"/>
      <c r="H191" s="25"/>
      <c r="I191" s="91"/>
      <c r="J191" s="91"/>
      <c r="K191" s="91"/>
      <c r="L191" s="68"/>
      <c r="M191" s="68"/>
      <c r="N191" s="74" t="str">
        <f aca="false">IF(A191="","",IF(ISNUMBER(K191),IF(AND(OR(I191="",K191&gt;=I191),OR(J191="",K191&lt;=J191)),"Conforme","Non conforme"),IF(M191="","En attente",M191)))</f>
        <v/>
      </c>
      <c r="O191" s="25"/>
      <c r="P191" s="25"/>
      <c r="Q191" s="69"/>
      <c r="R191" s="74" t="str">
        <f aca="false">IF(A191="","",IF(N191="Non conforme",IF(Q191="","NC ouverte","NC levée"),IF(N191="Réserve",IF(Q191="","Réserve ouverte","Réserve levée"),IF(N191="En attente","À contrôler","Clos"))))</f>
        <v/>
      </c>
      <c r="S191" s="25"/>
    </row>
    <row r="192" customFormat="false" ht="15" hidden="false" customHeight="false" outlineLevel="0" collapsed="false">
      <c r="A192" s="68"/>
      <c r="B192" s="69"/>
      <c r="C192" s="25"/>
      <c r="D192" s="25"/>
      <c r="E192" s="25"/>
      <c r="F192" s="25"/>
      <c r="G192" s="25"/>
      <c r="H192" s="25"/>
      <c r="I192" s="91"/>
      <c r="J192" s="91"/>
      <c r="K192" s="91"/>
      <c r="L192" s="68"/>
      <c r="M192" s="68"/>
      <c r="N192" s="74" t="str">
        <f aca="false">IF(A192="","",IF(ISNUMBER(K192),IF(AND(OR(I192="",K192&gt;=I192),OR(J192="",K192&lt;=J192)),"Conforme","Non conforme"),IF(M192="","En attente",M192)))</f>
        <v/>
      </c>
      <c r="O192" s="25"/>
      <c r="P192" s="25"/>
      <c r="Q192" s="69"/>
      <c r="R192" s="74" t="str">
        <f aca="false">IF(A192="","",IF(N192="Non conforme",IF(Q192="","NC ouverte","NC levée"),IF(N192="Réserve",IF(Q192="","Réserve ouverte","Réserve levée"),IF(N192="En attente","À contrôler","Clos"))))</f>
        <v/>
      </c>
      <c r="S192" s="25"/>
    </row>
    <row r="193" customFormat="false" ht="15" hidden="false" customHeight="false" outlineLevel="0" collapsed="false">
      <c r="A193" s="68"/>
      <c r="B193" s="69"/>
      <c r="C193" s="25"/>
      <c r="D193" s="25"/>
      <c r="E193" s="25"/>
      <c r="F193" s="25"/>
      <c r="G193" s="25"/>
      <c r="H193" s="25"/>
      <c r="I193" s="91"/>
      <c r="J193" s="91"/>
      <c r="K193" s="91"/>
      <c r="L193" s="68"/>
      <c r="M193" s="68"/>
      <c r="N193" s="74" t="str">
        <f aca="false">IF(A193="","",IF(ISNUMBER(K193),IF(AND(OR(I193="",K193&gt;=I193),OR(J193="",K193&lt;=J193)),"Conforme","Non conforme"),IF(M193="","En attente",M193)))</f>
        <v/>
      </c>
      <c r="O193" s="25"/>
      <c r="P193" s="25"/>
      <c r="Q193" s="69"/>
      <c r="R193" s="74" t="str">
        <f aca="false">IF(A193="","",IF(N193="Non conforme",IF(Q193="","NC ouverte","NC levée"),IF(N193="Réserve",IF(Q193="","Réserve ouverte","Réserve levée"),IF(N193="En attente","À contrôler","Clos"))))</f>
        <v/>
      </c>
      <c r="S193" s="25"/>
    </row>
    <row r="194" customFormat="false" ht="15" hidden="false" customHeight="false" outlineLevel="0" collapsed="false">
      <c r="A194" s="68"/>
      <c r="B194" s="69"/>
      <c r="C194" s="25"/>
      <c r="D194" s="25"/>
      <c r="E194" s="25"/>
      <c r="F194" s="25"/>
      <c r="G194" s="25"/>
      <c r="H194" s="25"/>
      <c r="I194" s="91"/>
      <c r="J194" s="91"/>
      <c r="K194" s="91"/>
      <c r="L194" s="68"/>
      <c r="M194" s="68"/>
      <c r="N194" s="74" t="str">
        <f aca="false">IF(A194="","",IF(ISNUMBER(K194),IF(AND(OR(I194="",K194&gt;=I194),OR(J194="",K194&lt;=J194)),"Conforme","Non conforme"),IF(M194="","En attente",M194)))</f>
        <v/>
      </c>
      <c r="O194" s="25"/>
      <c r="P194" s="25"/>
      <c r="Q194" s="69"/>
      <c r="R194" s="74" t="str">
        <f aca="false">IF(A194="","",IF(N194="Non conforme",IF(Q194="","NC ouverte","NC levée"),IF(N194="Réserve",IF(Q194="","Réserve ouverte","Réserve levée"),IF(N194="En attente","À contrôler","Clos"))))</f>
        <v/>
      </c>
      <c r="S194" s="25"/>
    </row>
    <row r="195" customFormat="false" ht="15" hidden="false" customHeight="false" outlineLevel="0" collapsed="false">
      <c r="A195" s="68"/>
      <c r="B195" s="69"/>
      <c r="C195" s="25"/>
      <c r="D195" s="25"/>
      <c r="E195" s="25"/>
      <c r="F195" s="25"/>
      <c r="G195" s="25"/>
      <c r="H195" s="25"/>
      <c r="I195" s="91"/>
      <c r="J195" s="91"/>
      <c r="K195" s="91"/>
      <c r="L195" s="68"/>
      <c r="M195" s="68"/>
      <c r="N195" s="74" t="str">
        <f aca="false">IF(A195="","",IF(ISNUMBER(K195),IF(AND(OR(I195="",K195&gt;=I195),OR(J195="",K195&lt;=J195)),"Conforme","Non conforme"),IF(M195="","En attente",M195)))</f>
        <v/>
      </c>
      <c r="O195" s="25"/>
      <c r="P195" s="25"/>
      <c r="Q195" s="69"/>
      <c r="R195" s="74" t="str">
        <f aca="false">IF(A195="","",IF(N195="Non conforme",IF(Q195="","NC ouverte","NC levée"),IF(N195="Réserve",IF(Q195="","Réserve ouverte","Réserve levée"),IF(N195="En attente","À contrôler","Clos"))))</f>
        <v/>
      </c>
      <c r="S195" s="25"/>
    </row>
    <row r="196" customFormat="false" ht="15" hidden="false" customHeight="false" outlineLevel="0" collapsed="false">
      <c r="A196" s="68"/>
      <c r="B196" s="69"/>
      <c r="C196" s="25"/>
      <c r="D196" s="25"/>
      <c r="E196" s="25"/>
      <c r="F196" s="25"/>
      <c r="G196" s="25"/>
      <c r="H196" s="25"/>
      <c r="I196" s="91"/>
      <c r="J196" s="91"/>
      <c r="K196" s="91"/>
      <c r="L196" s="68"/>
      <c r="M196" s="68"/>
      <c r="N196" s="74" t="str">
        <f aca="false">IF(A196="","",IF(ISNUMBER(K196),IF(AND(OR(I196="",K196&gt;=I196),OR(J196="",K196&lt;=J196)),"Conforme","Non conforme"),IF(M196="","En attente",M196)))</f>
        <v/>
      </c>
      <c r="O196" s="25"/>
      <c r="P196" s="25"/>
      <c r="Q196" s="69"/>
      <c r="R196" s="74" t="str">
        <f aca="false">IF(A196="","",IF(N196="Non conforme",IF(Q196="","NC ouverte","NC levée"),IF(N196="Réserve",IF(Q196="","Réserve ouverte","Réserve levée"),IF(N196="En attente","À contrôler","Clos"))))</f>
        <v/>
      </c>
      <c r="S196" s="25"/>
    </row>
    <row r="197" customFormat="false" ht="15" hidden="false" customHeight="false" outlineLevel="0" collapsed="false">
      <c r="A197" s="68"/>
      <c r="B197" s="69"/>
      <c r="C197" s="25"/>
      <c r="D197" s="25"/>
      <c r="E197" s="25"/>
      <c r="F197" s="25"/>
      <c r="G197" s="25"/>
      <c r="H197" s="25"/>
      <c r="I197" s="91"/>
      <c r="J197" s="91"/>
      <c r="K197" s="91"/>
      <c r="L197" s="68"/>
      <c r="M197" s="68"/>
      <c r="N197" s="74" t="str">
        <f aca="false">IF(A197="","",IF(ISNUMBER(K197),IF(AND(OR(I197="",K197&gt;=I197),OR(J197="",K197&lt;=J197)),"Conforme","Non conforme"),IF(M197="","En attente",M197)))</f>
        <v/>
      </c>
      <c r="O197" s="25"/>
      <c r="P197" s="25"/>
      <c r="Q197" s="69"/>
      <c r="R197" s="74" t="str">
        <f aca="false">IF(A197="","",IF(N197="Non conforme",IF(Q197="","NC ouverte","NC levée"),IF(N197="Réserve",IF(Q197="","Réserve ouverte","Réserve levée"),IF(N197="En attente","À contrôler","Clos"))))</f>
        <v/>
      </c>
      <c r="S197" s="25"/>
    </row>
    <row r="198" customFormat="false" ht="15" hidden="false" customHeight="false" outlineLevel="0" collapsed="false">
      <c r="A198" s="68"/>
      <c r="B198" s="69"/>
      <c r="C198" s="25"/>
      <c r="D198" s="25"/>
      <c r="E198" s="25"/>
      <c r="F198" s="25"/>
      <c r="G198" s="25"/>
      <c r="H198" s="25"/>
      <c r="I198" s="91"/>
      <c r="J198" s="91"/>
      <c r="K198" s="91"/>
      <c r="L198" s="68"/>
      <c r="M198" s="68"/>
      <c r="N198" s="74" t="str">
        <f aca="false">IF(A198="","",IF(ISNUMBER(K198),IF(AND(OR(I198="",K198&gt;=I198),OR(J198="",K198&lt;=J198)),"Conforme","Non conforme"),IF(M198="","En attente",M198)))</f>
        <v/>
      </c>
      <c r="O198" s="25"/>
      <c r="P198" s="25"/>
      <c r="Q198" s="69"/>
      <c r="R198" s="74" t="str">
        <f aca="false">IF(A198="","",IF(N198="Non conforme",IF(Q198="","NC ouverte","NC levée"),IF(N198="Réserve",IF(Q198="","Réserve ouverte","Réserve levée"),IF(N198="En attente","À contrôler","Clos"))))</f>
        <v/>
      </c>
      <c r="S198" s="25"/>
    </row>
    <row r="199" customFormat="false" ht="15" hidden="false" customHeight="false" outlineLevel="0" collapsed="false">
      <c r="A199" s="68"/>
      <c r="B199" s="69"/>
      <c r="C199" s="25"/>
      <c r="D199" s="25"/>
      <c r="E199" s="25"/>
      <c r="F199" s="25"/>
      <c r="G199" s="25"/>
      <c r="H199" s="25"/>
      <c r="I199" s="91"/>
      <c r="J199" s="91"/>
      <c r="K199" s="91"/>
      <c r="L199" s="68"/>
      <c r="M199" s="68"/>
      <c r="N199" s="74" t="str">
        <f aca="false">IF(A199="","",IF(ISNUMBER(K199),IF(AND(OR(I199="",K199&gt;=I199),OR(J199="",K199&lt;=J199)),"Conforme","Non conforme"),IF(M199="","En attente",M199)))</f>
        <v/>
      </c>
      <c r="O199" s="25"/>
      <c r="P199" s="25"/>
      <c r="Q199" s="69"/>
      <c r="R199" s="74" t="str">
        <f aca="false">IF(A199="","",IF(N199="Non conforme",IF(Q199="","NC ouverte","NC levée"),IF(N199="Réserve",IF(Q199="","Réserve ouverte","Réserve levée"),IF(N199="En attente","À contrôler","Clos"))))</f>
        <v/>
      </c>
      <c r="S199" s="25"/>
    </row>
    <row r="200" customFormat="false" ht="15" hidden="false" customHeight="false" outlineLevel="0" collapsed="false">
      <c r="A200" s="68"/>
      <c r="B200" s="69"/>
      <c r="C200" s="25"/>
      <c r="D200" s="25"/>
      <c r="E200" s="25"/>
      <c r="F200" s="25"/>
      <c r="G200" s="25"/>
      <c r="H200" s="25"/>
      <c r="I200" s="91"/>
      <c r="J200" s="91"/>
      <c r="K200" s="91"/>
      <c r="L200" s="68"/>
      <c r="M200" s="68"/>
      <c r="N200" s="74" t="str">
        <f aca="false">IF(A200="","",IF(ISNUMBER(K200),IF(AND(OR(I200="",K200&gt;=I200),OR(J200="",K200&lt;=J200)),"Conforme","Non conforme"),IF(M200="","En attente",M200)))</f>
        <v/>
      </c>
      <c r="O200" s="25"/>
      <c r="P200" s="25"/>
      <c r="Q200" s="69"/>
      <c r="R200" s="74" t="str">
        <f aca="false">IF(A200="","",IF(N200="Non conforme",IF(Q200="","NC ouverte","NC levée"),IF(N200="Réserve",IF(Q200="","Réserve ouverte","Réserve levée"),IF(N200="En attente","À contrôler","Clos"))))</f>
        <v/>
      </c>
      <c r="S200" s="25"/>
    </row>
    <row r="201" customFormat="false" ht="15" hidden="false" customHeight="false" outlineLevel="0" collapsed="false">
      <c r="A201" s="68"/>
      <c r="B201" s="69"/>
      <c r="C201" s="25"/>
      <c r="D201" s="25"/>
      <c r="E201" s="25"/>
      <c r="F201" s="25"/>
      <c r="G201" s="25"/>
      <c r="H201" s="25"/>
      <c r="I201" s="91"/>
      <c r="J201" s="91"/>
      <c r="K201" s="91"/>
      <c r="L201" s="68"/>
      <c r="M201" s="68"/>
      <c r="N201" s="74" t="str">
        <f aca="false">IF(A201="","",IF(ISNUMBER(K201),IF(AND(OR(I201="",K201&gt;=I201),OR(J201="",K201&lt;=J201)),"Conforme","Non conforme"),IF(M201="","En attente",M201)))</f>
        <v/>
      </c>
      <c r="O201" s="25"/>
      <c r="P201" s="25"/>
      <c r="Q201" s="69"/>
      <c r="R201" s="74" t="str">
        <f aca="false">IF(A201="","",IF(N201="Non conforme",IF(Q201="","NC ouverte","NC levée"),IF(N201="Réserve",IF(Q201="","Réserve ouverte","Réserve levée"),IF(N201="En attente","À contrôler","Clos"))))</f>
        <v/>
      </c>
      <c r="S201" s="25"/>
    </row>
    <row r="202" customFormat="false" ht="15" hidden="false" customHeight="false" outlineLevel="0" collapsed="false">
      <c r="A202" s="68"/>
      <c r="B202" s="69"/>
      <c r="C202" s="25"/>
      <c r="D202" s="25"/>
      <c r="E202" s="25"/>
      <c r="F202" s="25"/>
      <c r="G202" s="25"/>
      <c r="H202" s="25"/>
      <c r="I202" s="91"/>
      <c r="J202" s="91"/>
      <c r="K202" s="91"/>
      <c r="L202" s="68"/>
      <c r="M202" s="68"/>
      <c r="N202" s="74" t="str">
        <f aca="false">IF(A202="","",IF(ISNUMBER(K202),IF(AND(OR(I202="",K202&gt;=I202),OR(J202="",K202&lt;=J202)),"Conforme","Non conforme"),IF(M202="","En attente",M202)))</f>
        <v/>
      </c>
      <c r="O202" s="25"/>
      <c r="P202" s="25"/>
      <c r="Q202" s="69"/>
      <c r="R202" s="74" t="str">
        <f aca="false">IF(A202="","",IF(N202="Non conforme",IF(Q202="","NC ouverte","NC levée"),IF(N202="Réserve",IF(Q202="","Réserve ouverte","Réserve levée"),IF(N202="En attente","À contrôler","Clos"))))</f>
        <v/>
      </c>
      <c r="S202" s="25"/>
    </row>
    <row r="203" customFormat="false" ht="15" hidden="false" customHeight="false" outlineLevel="0" collapsed="false">
      <c r="A203" s="68"/>
      <c r="B203" s="69"/>
      <c r="C203" s="25"/>
      <c r="D203" s="25"/>
      <c r="E203" s="25"/>
      <c r="F203" s="25"/>
      <c r="G203" s="25"/>
      <c r="H203" s="25"/>
      <c r="I203" s="91"/>
      <c r="J203" s="91"/>
      <c r="K203" s="91"/>
      <c r="L203" s="68"/>
      <c r="M203" s="68"/>
      <c r="N203" s="74" t="str">
        <f aca="false">IF(A203="","",IF(ISNUMBER(K203),IF(AND(OR(I203="",K203&gt;=I203),OR(J203="",K203&lt;=J203)),"Conforme","Non conforme"),IF(M203="","En attente",M203)))</f>
        <v/>
      </c>
      <c r="O203" s="25"/>
      <c r="P203" s="25"/>
      <c r="Q203" s="69"/>
      <c r="R203" s="74" t="str">
        <f aca="false">IF(A203="","",IF(N203="Non conforme",IF(Q203="","NC ouverte","NC levée"),IF(N203="Réserve",IF(Q203="","Réserve ouverte","Réserve levée"),IF(N203="En attente","À contrôler","Clos"))))</f>
        <v/>
      </c>
      <c r="S203" s="25"/>
    </row>
    <row r="204" customFormat="false" ht="15" hidden="false" customHeight="false" outlineLevel="0" collapsed="false">
      <c r="A204" s="68"/>
      <c r="B204" s="69"/>
      <c r="C204" s="25"/>
      <c r="D204" s="25"/>
      <c r="E204" s="25"/>
      <c r="F204" s="25"/>
      <c r="G204" s="25"/>
      <c r="H204" s="25"/>
      <c r="I204" s="91"/>
      <c r="J204" s="91"/>
      <c r="K204" s="91"/>
      <c r="L204" s="68"/>
      <c r="M204" s="68"/>
      <c r="N204" s="74" t="str">
        <f aca="false">IF(A204="","",IF(ISNUMBER(K204),IF(AND(OR(I204="",K204&gt;=I204),OR(J204="",K204&lt;=J204)),"Conforme","Non conforme"),IF(M204="","En attente",M204)))</f>
        <v/>
      </c>
      <c r="O204" s="25"/>
      <c r="P204" s="25"/>
      <c r="Q204" s="69"/>
      <c r="R204" s="74" t="str">
        <f aca="false">IF(A204="","",IF(N204="Non conforme",IF(Q204="","NC ouverte","NC levée"),IF(N204="Réserve",IF(Q204="","Réserve ouverte","Réserve levée"),IF(N204="En attente","À contrôler","Clos"))))</f>
        <v/>
      </c>
      <c r="S204" s="25"/>
    </row>
    <row r="205" customFormat="false" ht="15" hidden="false" customHeight="false" outlineLevel="0" collapsed="false">
      <c r="A205" s="68"/>
      <c r="B205" s="69"/>
      <c r="C205" s="25"/>
      <c r="D205" s="25"/>
      <c r="E205" s="25"/>
      <c r="F205" s="25"/>
      <c r="G205" s="25"/>
      <c r="H205" s="25"/>
      <c r="I205" s="91"/>
      <c r="J205" s="91"/>
      <c r="K205" s="91"/>
      <c r="L205" s="68"/>
      <c r="M205" s="68"/>
      <c r="N205" s="74" t="str">
        <f aca="false">IF(A205="","",IF(ISNUMBER(K205),IF(AND(OR(I205="",K205&gt;=I205),OR(J205="",K205&lt;=J205)),"Conforme","Non conforme"),IF(M205="","En attente",M205)))</f>
        <v/>
      </c>
      <c r="O205" s="25"/>
      <c r="P205" s="25"/>
      <c r="Q205" s="69"/>
      <c r="R205" s="74" t="str">
        <f aca="false">IF(A205="","",IF(N205="Non conforme",IF(Q205="","NC ouverte","NC levée"),IF(N205="Réserve",IF(Q205="","Réserve ouverte","Réserve levée"),IF(N205="En attente","À contrôler","Clos"))))</f>
        <v/>
      </c>
      <c r="S205" s="25"/>
    </row>
    <row r="206" customFormat="false" ht="15" hidden="false" customHeight="false" outlineLevel="0" collapsed="false">
      <c r="A206" s="68"/>
      <c r="B206" s="69"/>
      <c r="C206" s="25"/>
      <c r="D206" s="25"/>
      <c r="E206" s="25"/>
      <c r="F206" s="25"/>
      <c r="G206" s="25"/>
      <c r="H206" s="25"/>
      <c r="I206" s="91"/>
      <c r="J206" s="91"/>
      <c r="K206" s="91"/>
      <c r="L206" s="68"/>
      <c r="M206" s="68"/>
      <c r="N206" s="74" t="str">
        <f aca="false">IF(A206="","",IF(ISNUMBER(K206),IF(AND(OR(I206="",K206&gt;=I206),OR(J206="",K206&lt;=J206)),"Conforme","Non conforme"),IF(M206="","En attente",M206)))</f>
        <v/>
      </c>
      <c r="O206" s="25"/>
      <c r="P206" s="25"/>
      <c r="Q206" s="69"/>
      <c r="R206" s="74" t="str">
        <f aca="false">IF(A206="","",IF(N206="Non conforme",IF(Q206="","NC ouverte","NC levée"),IF(N206="Réserve",IF(Q206="","Réserve ouverte","Réserve levée"),IF(N206="En attente","À contrôler","Clos"))))</f>
        <v/>
      </c>
      <c r="S206" s="25"/>
    </row>
    <row r="207" customFormat="false" ht="15" hidden="false" customHeight="false" outlineLevel="0" collapsed="false">
      <c r="A207" s="68"/>
      <c r="B207" s="69"/>
      <c r="C207" s="25"/>
      <c r="D207" s="25"/>
      <c r="E207" s="25"/>
      <c r="F207" s="25"/>
      <c r="G207" s="25"/>
      <c r="H207" s="25"/>
      <c r="I207" s="91"/>
      <c r="J207" s="91"/>
      <c r="K207" s="91"/>
      <c r="L207" s="68"/>
      <c r="M207" s="68"/>
      <c r="N207" s="74" t="str">
        <f aca="false">IF(A207="","",IF(ISNUMBER(K207),IF(AND(OR(I207="",K207&gt;=I207),OR(J207="",K207&lt;=J207)),"Conforme","Non conforme"),IF(M207="","En attente",M207)))</f>
        <v/>
      </c>
      <c r="O207" s="25"/>
      <c r="P207" s="25"/>
      <c r="Q207" s="69"/>
      <c r="R207" s="74" t="str">
        <f aca="false">IF(A207="","",IF(N207="Non conforme",IF(Q207="","NC ouverte","NC levée"),IF(N207="Réserve",IF(Q207="","Réserve ouverte","Réserve levée"),IF(N207="En attente","À contrôler","Clos"))))</f>
        <v/>
      </c>
      <c r="S207" s="25"/>
    </row>
    <row r="208" customFormat="false" ht="15" hidden="false" customHeight="false" outlineLevel="0" collapsed="false">
      <c r="A208" s="68"/>
      <c r="B208" s="69"/>
      <c r="C208" s="25"/>
      <c r="D208" s="25"/>
      <c r="E208" s="25"/>
      <c r="F208" s="25"/>
      <c r="G208" s="25"/>
      <c r="H208" s="25"/>
      <c r="I208" s="91"/>
      <c r="J208" s="91"/>
      <c r="K208" s="91"/>
      <c r="L208" s="68"/>
      <c r="M208" s="68"/>
      <c r="N208" s="74" t="str">
        <f aca="false">IF(A208="","",IF(ISNUMBER(K208),IF(AND(OR(I208="",K208&gt;=I208),OR(J208="",K208&lt;=J208)),"Conforme","Non conforme"),IF(M208="","En attente",M208)))</f>
        <v/>
      </c>
      <c r="O208" s="25"/>
      <c r="P208" s="25"/>
      <c r="Q208" s="69"/>
      <c r="R208" s="74" t="str">
        <f aca="false">IF(A208="","",IF(N208="Non conforme",IF(Q208="","NC ouverte","NC levée"),IF(N208="Réserve",IF(Q208="","Réserve ouverte","Réserve levée"),IF(N208="En attente","À contrôler","Clos"))))</f>
        <v/>
      </c>
      <c r="S208" s="25"/>
    </row>
    <row r="209" customFormat="false" ht="15" hidden="false" customHeight="false" outlineLevel="0" collapsed="false">
      <c r="A209" s="68"/>
      <c r="B209" s="69"/>
      <c r="C209" s="25"/>
      <c r="D209" s="25"/>
      <c r="E209" s="25"/>
      <c r="F209" s="25"/>
      <c r="G209" s="25"/>
      <c r="H209" s="25"/>
      <c r="I209" s="91"/>
      <c r="J209" s="91"/>
      <c r="K209" s="91"/>
      <c r="L209" s="68"/>
      <c r="M209" s="68"/>
      <c r="N209" s="74" t="str">
        <f aca="false">IF(A209="","",IF(ISNUMBER(K209),IF(AND(OR(I209="",K209&gt;=I209),OR(J209="",K209&lt;=J209)),"Conforme","Non conforme"),IF(M209="","En attente",M209)))</f>
        <v/>
      </c>
      <c r="O209" s="25"/>
      <c r="P209" s="25"/>
      <c r="Q209" s="69"/>
      <c r="R209" s="74" t="str">
        <f aca="false">IF(A209="","",IF(N209="Non conforme",IF(Q209="","NC ouverte","NC levée"),IF(N209="Réserve",IF(Q209="","Réserve ouverte","Réserve levée"),IF(N209="En attente","À contrôler","Clos"))))</f>
        <v/>
      </c>
      <c r="S209" s="25"/>
    </row>
    <row r="210" customFormat="false" ht="15" hidden="false" customHeight="false" outlineLevel="0" collapsed="false">
      <c r="A210" s="68"/>
      <c r="B210" s="69"/>
      <c r="C210" s="25"/>
      <c r="D210" s="25"/>
      <c r="E210" s="25"/>
      <c r="F210" s="25"/>
      <c r="G210" s="25"/>
      <c r="H210" s="25"/>
      <c r="I210" s="91"/>
      <c r="J210" s="91"/>
      <c r="K210" s="91"/>
      <c r="L210" s="68"/>
      <c r="M210" s="68"/>
      <c r="N210" s="74" t="str">
        <f aca="false">IF(A210="","",IF(ISNUMBER(K210),IF(AND(OR(I210="",K210&gt;=I210),OR(J210="",K210&lt;=J210)),"Conforme","Non conforme"),IF(M210="","En attente",M210)))</f>
        <v/>
      </c>
      <c r="O210" s="25"/>
      <c r="P210" s="25"/>
      <c r="Q210" s="69"/>
      <c r="R210" s="74" t="str">
        <f aca="false">IF(A210="","",IF(N210="Non conforme",IF(Q210="","NC ouverte","NC levée"),IF(N210="Réserve",IF(Q210="","Réserve ouverte","Réserve levée"),IF(N210="En attente","À contrôler","Clos"))))</f>
        <v/>
      </c>
      <c r="S210" s="25"/>
    </row>
    <row r="211" customFormat="false" ht="15" hidden="false" customHeight="false" outlineLevel="0" collapsed="false">
      <c r="A211" s="68"/>
      <c r="B211" s="69"/>
      <c r="C211" s="25"/>
      <c r="D211" s="25"/>
      <c r="E211" s="25"/>
      <c r="F211" s="25"/>
      <c r="G211" s="25"/>
      <c r="H211" s="25"/>
      <c r="I211" s="91"/>
      <c r="J211" s="91"/>
      <c r="K211" s="91"/>
      <c r="L211" s="68"/>
      <c r="M211" s="68"/>
      <c r="N211" s="74" t="str">
        <f aca="false">IF(A211="","",IF(ISNUMBER(K211),IF(AND(OR(I211="",K211&gt;=I211),OR(J211="",K211&lt;=J211)),"Conforme","Non conforme"),IF(M211="","En attente",M211)))</f>
        <v/>
      </c>
      <c r="O211" s="25"/>
      <c r="P211" s="25"/>
      <c r="Q211" s="69"/>
      <c r="R211" s="74" t="str">
        <f aca="false">IF(A211="","",IF(N211="Non conforme",IF(Q211="","NC ouverte","NC levée"),IF(N211="Réserve",IF(Q211="","Réserve ouverte","Réserve levée"),IF(N211="En attente","À contrôler","Clos"))))</f>
        <v/>
      </c>
      <c r="S211" s="25"/>
    </row>
    <row r="212" customFormat="false" ht="15" hidden="false" customHeight="false" outlineLevel="0" collapsed="false">
      <c r="A212" s="68"/>
      <c r="B212" s="69"/>
      <c r="C212" s="25"/>
      <c r="D212" s="25"/>
      <c r="E212" s="25"/>
      <c r="F212" s="25"/>
      <c r="G212" s="25"/>
      <c r="H212" s="25"/>
      <c r="I212" s="91"/>
      <c r="J212" s="91"/>
      <c r="K212" s="91"/>
      <c r="L212" s="68"/>
      <c r="M212" s="68"/>
      <c r="N212" s="74" t="str">
        <f aca="false">IF(A212="","",IF(ISNUMBER(K212),IF(AND(OR(I212="",K212&gt;=I212),OR(J212="",K212&lt;=J212)),"Conforme","Non conforme"),IF(M212="","En attente",M212)))</f>
        <v/>
      </c>
      <c r="O212" s="25"/>
      <c r="P212" s="25"/>
      <c r="Q212" s="69"/>
      <c r="R212" s="74" t="str">
        <f aca="false">IF(A212="","",IF(N212="Non conforme",IF(Q212="","NC ouverte","NC levée"),IF(N212="Réserve",IF(Q212="","Réserve ouverte","Réserve levée"),IF(N212="En attente","À contrôler","Clos"))))</f>
        <v/>
      </c>
      <c r="S212" s="25"/>
    </row>
    <row r="213" customFormat="false" ht="15" hidden="false" customHeight="false" outlineLevel="0" collapsed="false">
      <c r="A213" s="68"/>
      <c r="B213" s="69"/>
      <c r="C213" s="25"/>
      <c r="D213" s="25"/>
      <c r="E213" s="25"/>
      <c r="F213" s="25"/>
      <c r="G213" s="25"/>
      <c r="H213" s="25"/>
      <c r="I213" s="91"/>
      <c r="J213" s="91"/>
      <c r="K213" s="91"/>
      <c r="L213" s="68"/>
      <c r="M213" s="68"/>
      <c r="N213" s="74" t="str">
        <f aca="false">IF(A213="","",IF(ISNUMBER(K213),IF(AND(OR(I213="",K213&gt;=I213),OR(J213="",K213&lt;=J213)),"Conforme","Non conforme"),IF(M213="","En attente",M213)))</f>
        <v/>
      </c>
      <c r="O213" s="25"/>
      <c r="P213" s="25"/>
      <c r="Q213" s="69"/>
      <c r="R213" s="74" t="str">
        <f aca="false">IF(A213="","",IF(N213="Non conforme",IF(Q213="","NC ouverte","NC levée"),IF(N213="Réserve",IF(Q213="","Réserve ouverte","Réserve levée"),IF(N213="En attente","À contrôler","Clos"))))</f>
        <v/>
      </c>
      <c r="S213" s="25"/>
    </row>
    <row r="214" customFormat="false" ht="15" hidden="false" customHeight="false" outlineLevel="0" collapsed="false">
      <c r="A214" s="68"/>
      <c r="B214" s="69"/>
      <c r="C214" s="25"/>
      <c r="D214" s="25"/>
      <c r="E214" s="25"/>
      <c r="F214" s="25"/>
      <c r="G214" s="25"/>
      <c r="H214" s="25"/>
      <c r="I214" s="91"/>
      <c r="J214" s="91"/>
      <c r="K214" s="91"/>
      <c r="L214" s="68"/>
      <c r="M214" s="68"/>
      <c r="N214" s="74" t="str">
        <f aca="false">IF(A214="","",IF(ISNUMBER(K214),IF(AND(OR(I214="",K214&gt;=I214),OR(J214="",K214&lt;=J214)),"Conforme","Non conforme"),IF(M214="","En attente",M214)))</f>
        <v/>
      </c>
      <c r="O214" s="25"/>
      <c r="P214" s="25"/>
      <c r="Q214" s="69"/>
      <c r="R214" s="74" t="str">
        <f aca="false">IF(A214="","",IF(N214="Non conforme",IF(Q214="","NC ouverte","NC levée"),IF(N214="Réserve",IF(Q214="","Réserve ouverte","Réserve levée"),IF(N214="En attente","À contrôler","Clos"))))</f>
        <v/>
      </c>
      <c r="S214" s="25"/>
    </row>
    <row r="215" customFormat="false" ht="15" hidden="false" customHeight="false" outlineLevel="0" collapsed="false">
      <c r="A215" s="68"/>
      <c r="B215" s="69"/>
      <c r="C215" s="25"/>
      <c r="D215" s="25"/>
      <c r="E215" s="25"/>
      <c r="F215" s="25"/>
      <c r="G215" s="25"/>
      <c r="H215" s="25"/>
      <c r="I215" s="91"/>
      <c r="J215" s="91"/>
      <c r="K215" s="91"/>
      <c r="L215" s="68"/>
      <c r="M215" s="68"/>
      <c r="N215" s="74" t="str">
        <f aca="false">IF(A215="","",IF(ISNUMBER(K215),IF(AND(OR(I215="",K215&gt;=I215),OR(J215="",K215&lt;=J215)),"Conforme","Non conforme"),IF(M215="","En attente",M215)))</f>
        <v/>
      </c>
      <c r="O215" s="25"/>
      <c r="P215" s="25"/>
      <c r="Q215" s="69"/>
      <c r="R215" s="74" t="str">
        <f aca="false">IF(A215="","",IF(N215="Non conforme",IF(Q215="","NC ouverte","NC levée"),IF(N215="Réserve",IF(Q215="","Réserve ouverte","Réserve levée"),IF(N215="En attente","À contrôler","Clos"))))</f>
        <v/>
      </c>
      <c r="S215" s="25"/>
    </row>
    <row r="216" customFormat="false" ht="15" hidden="false" customHeight="false" outlineLevel="0" collapsed="false">
      <c r="A216" s="68"/>
      <c r="B216" s="69"/>
      <c r="C216" s="25"/>
      <c r="D216" s="25"/>
      <c r="E216" s="25"/>
      <c r="F216" s="25"/>
      <c r="G216" s="25"/>
      <c r="H216" s="25"/>
      <c r="I216" s="91"/>
      <c r="J216" s="91"/>
      <c r="K216" s="91"/>
      <c r="L216" s="68"/>
      <c r="M216" s="68"/>
      <c r="N216" s="74" t="str">
        <f aca="false">IF(A216="","",IF(ISNUMBER(K216),IF(AND(OR(I216="",K216&gt;=I216),OR(J216="",K216&lt;=J216)),"Conforme","Non conforme"),IF(M216="","En attente",M216)))</f>
        <v/>
      </c>
      <c r="O216" s="25"/>
      <c r="P216" s="25"/>
      <c r="Q216" s="69"/>
      <c r="R216" s="74" t="str">
        <f aca="false">IF(A216="","",IF(N216="Non conforme",IF(Q216="","NC ouverte","NC levée"),IF(N216="Réserve",IF(Q216="","Réserve ouverte","Réserve levée"),IF(N216="En attente","À contrôler","Clos"))))</f>
        <v/>
      </c>
      <c r="S216" s="25"/>
    </row>
    <row r="217" customFormat="false" ht="15" hidden="false" customHeight="false" outlineLevel="0" collapsed="false">
      <c r="A217" s="68"/>
      <c r="B217" s="69"/>
      <c r="C217" s="25"/>
      <c r="D217" s="25"/>
      <c r="E217" s="25"/>
      <c r="F217" s="25"/>
      <c r="G217" s="25"/>
      <c r="H217" s="25"/>
      <c r="I217" s="91"/>
      <c r="J217" s="91"/>
      <c r="K217" s="91"/>
      <c r="L217" s="68"/>
      <c r="M217" s="68"/>
      <c r="N217" s="74" t="str">
        <f aca="false">IF(A217="","",IF(ISNUMBER(K217),IF(AND(OR(I217="",K217&gt;=I217),OR(J217="",K217&lt;=J217)),"Conforme","Non conforme"),IF(M217="","En attente",M217)))</f>
        <v/>
      </c>
      <c r="O217" s="25"/>
      <c r="P217" s="25"/>
      <c r="Q217" s="69"/>
      <c r="R217" s="74" t="str">
        <f aca="false">IF(A217="","",IF(N217="Non conforme",IF(Q217="","NC ouverte","NC levée"),IF(N217="Réserve",IF(Q217="","Réserve ouverte","Réserve levée"),IF(N217="En attente","À contrôler","Clos"))))</f>
        <v/>
      </c>
      <c r="S217" s="25"/>
    </row>
    <row r="218" customFormat="false" ht="15" hidden="false" customHeight="false" outlineLevel="0" collapsed="false">
      <c r="A218" s="68"/>
      <c r="B218" s="69"/>
      <c r="C218" s="25"/>
      <c r="D218" s="25"/>
      <c r="E218" s="25"/>
      <c r="F218" s="25"/>
      <c r="G218" s="25"/>
      <c r="H218" s="25"/>
      <c r="I218" s="91"/>
      <c r="J218" s="91"/>
      <c r="K218" s="91"/>
      <c r="L218" s="68"/>
      <c r="M218" s="68"/>
      <c r="N218" s="74" t="str">
        <f aca="false">IF(A218="","",IF(ISNUMBER(K218),IF(AND(OR(I218="",K218&gt;=I218),OR(J218="",K218&lt;=J218)),"Conforme","Non conforme"),IF(M218="","En attente",M218)))</f>
        <v/>
      </c>
      <c r="O218" s="25"/>
      <c r="P218" s="25"/>
      <c r="Q218" s="69"/>
      <c r="R218" s="74" t="str">
        <f aca="false">IF(A218="","",IF(N218="Non conforme",IF(Q218="","NC ouverte","NC levée"),IF(N218="Réserve",IF(Q218="","Réserve ouverte","Réserve levée"),IF(N218="En attente","À contrôler","Clos"))))</f>
        <v/>
      </c>
      <c r="S218" s="25"/>
    </row>
    <row r="219" customFormat="false" ht="15" hidden="false" customHeight="false" outlineLevel="0" collapsed="false">
      <c r="A219" s="68"/>
      <c r="B219" s="69"/>
      <c r="C219" s="25"/>
      <c r="D219" s="25"/>
      <c r="E219" s="25"/>
      <c r="F219" s="25"/>
      <c r="G219" s="25"/>
      <c r="H219" s="25"/>
      <c r="I219" s="91"/>
      <c r="J219" s="91"/>
      <c r="K219" s="91"/>
      <c r="L219" s="68"/>
      <c r="M219" s="68"/>
      <c r="N219" s="74" t="str">
        <f aca="false">IF(A219="","",IF(ISNUMBER(K219),IF(AND(OR(I219="",K219&gt;=I219),OR(J219="",K219&lt;=J219)),"Conforme","Non conforme"),IF(M219="","En attente",M219)))</f>
        <v/>
      </c>
      <c r="O219" s="25"/>
      <c r="P219" s="25"/>
      <c r="Q219" s="69"/>
      <c r="R219" s="74" t="str">
        <f aca="false">IF(A219="","",IF(N219="Non conforme",IF(Q219="","NC ouverte","NC levée"),IF(N219="Réserve",IF(Q219="","Réserve ouverte","Réserve levée"),IF(N219="En attente","À contrôler","Clos"))))</f>
        <v/>
      </c>
      <c r="S219" s="25"/>
    </row>
    <row r="220" customFormat="false" ht="15" hidden="false" customHeight="false" outlineLevel="0" collapsed="false">
      <c r="A220" s="68"/>
      <c r="B220" s="69"/>
      <c r="C220" s="25"/>
      <c r="D220" s="25"/>
      <c r="E220" s="25"/>
      <c r="F220" s="25"/>
      <c r="G220" s="25"/>
      <c r="H220" s="25"/>
      <c r="I220" s="91"/>
      <c r="J220" s="91"/>
      <c r="K220" s="91"/>
      <c r="L220" s="68"/>
      <c r="M220" s="68"/>
      <c r="N220" s="74" t="str">
        <f aca="false">IF(A220="","",IF(ISNUMBER(K220),IF(AND(OR(I220="",K220&gt;=I220),OR(J220="",K220&lt;=J220)),"Conforme","Non conforme"),IF(M220="","En attente",M220)))</f>
        <v/>
      </c>
      <c r="O220" s="25"/>
      <c r="P220" s="25"/>
      <c r="Q220" s="69"/>
      <c r="R220" s="74" t="str">
        <f aca="false">IF(A220="","",IF(N220="Non conforme",IF(Q220="","NC ouverte","NC levée"),IF(N220="Réserve",IF(Q220="","Réserve ouverte","Réserve levée"),IF(N220="En attente","À contrôler","Clos"))))</f>
        <v/>
      </c>
      <c r="S220" s="25"/>
    </row>
    <row r="221" customFormat="false" ht="15" hidden="false" customHeight="false" outlineLevel="0" collapsed="false">
      <c r="A221" s="68"/>
      <c r="B221" s="69"/>
      <c r="C221" s="25"/>
      <c r="D221" s="25"/>
      <c r="E221" s="25"/>
      <c r="F221" s="25"/>
      <c r="G221" s="25"/>
      <c r="H221" s="25"/>
      <c r="I221" s="91"/>
      <c r="J221" s="91"/>
      <c r="K221" s="91"/>
      <c r="L221" s="68"/>
      <c r="M221" s="68"/>
      <c r="N221" s="74" t="str">
        <f aca="false">IF(A221="","",IF(ISNUMBER(K221),IF(AND(OR(I221="",K221&gt;=I221),OR(J221="",K221&lt;=J221)),"Conforme","Non conforme"),IF(M221="","En attente",M221)))</f>
        <v/>
      </c>
      <c r="O221" s="25"/>
      <c r="P221" s="25"/>
      <c r="Q221" s="69"/>
      <c r="R221" s="74" t="str">
        <f aca="false">IF(A221="","",IF(N221="Non conforme",IF(Q221="","NC ouverte","NC levée"),IF(N221="Réserve",IF(Q221="","Réserve ouverte","Réserve levée"),IF(N221="En attente","À contrôler","Clos"))))</f>
        <v/>
      </c>
      <c r="S221" s="25"/>
    </row>
    <row r="222" customFormat="false" ht="15" hidden="false" customHeight="false" outlineLevel="0" collapsed="false">
      <c r="A222" s="68"/>
      <c r="B222" s="69"/>
      <c r="C222" s="25"/>
      <c r="D222" s="25"/>
      <c r="E222" s="25"/>
      <c r="F222" s="25"/>
      <c r="G222" s="25"/>
      <c r="H222" s="25"/>
      <c r="I222" s="91"/>
      <c r="J222" s="91"/>
      <c r="K222" s="91"/>
      <c r="L222" s="68"/>
      <c r="M222" s="68"/>
      <c r="N222" s="74" t="str">
        <f aca="false">IF(A222="","",IF(ISNUMBER(K222),IF(AND(OR(I222="",K222&gt;=I222),OR(J222="",K222&lt;=J222)),"Conforme","Non conforme"),IF(M222="","En attente",M222)))</f>
        <v/>
      </c>
      <c r="O222" s="25"/>
      <c r="P222" s="25"/>
      <c r="Q222" s="69"/>
      <c r="R222" s="74" t="str">
        <f aca="false">IF(A222="","",IF(N222="Non conforme",IF(Q222="","NC ouverte","NC levée"),IF(N222="Réserve",IF(Q222="","Réserve ouverte","Réserve levée"),IF(N222="En attente","À contrôler","Clos"))))</f>
        <v/>
      </c>
      <c r="S222" s="25"/>
    </row>
    <row r="223" customFormat="false" ht="15" hidden="false" customHeight="false" outlineLevel="0" collapsed="false">
      <c r="A223" s="68"/>
      <c r="B223" s="69"/>
      <c r="C223" s="25"/>
      <c r="D223" s="25"/>
      <c r="E223" s="25"/>
      <c r="F223" s="25"/>
      <c r="G223" s="25"/>
      <c r="H223" s="25"/>
      <c r="I223" s="91"/>
      <c r="J223" s="91"/>
      <c r="K223" s="91"/>
      <c r="L223" s="68"/>
      <c r="M223" s="68"/>
      <c r="N223" s="74" t="str">
        <f aca="false">IF(A223="","",IF(ISNUMBER(K223),IF(AND(OR(I223="",K223&gt;=I223),OR(J223="",K223&lt;=J223)),"Conforme","Non conforme"),IF(M223="","En attente",M223)))</f>
        <v/>
      </c>
      <c r="O223" s="25"/>
      <c r="P223" s="25"/>
      <c r="Q223" s="69"/>
      <c r="R223" s="74" t="str">
        <f aca="false">IF(A223="","",IF(N223="Non conforme",IF(Q223="","NC ouverte","NC levée"),IF(N223="Réserve",IF(Q223="","Réserve ouverte","Réserve levée"),IF(N223="En attente","À contrôler","Clos"))))</f>
        <v/>
      </c>
      <c r="S223" s="25"/>
    </row>
    <row r="224" customFormat="false" ht="15" hidden="false" customHeight="false" outlineLevel="0" collapsed="false">
      <c r="A224" s="68"/>
      <c r="B224" s="69"/>
      <c r="C224" s="25"/>
      <c r="D224" s="25"/>
      <c r="E224" s="25"/>
      <c r="F224" s="25"/>
      <c r="G224" s="25"/>
      <c r="H224" s="25"/>
      <c r="I224" s="91"/>
      <c r="J224" s="91"/>
      <c r="K224" s="91"/>
      <c r="L224" s="68"/>
      <c r="M224" s="68"/>
      <c r="N224" s="74" t="str">
        <f aca="false">IF(A224="","",IF(ISNUMBER(K224),IF(AND(OR(I224="",K224&gt;=I224),OR(J224="",K224&lt;=J224)),"Conforme","Non conforme"),IF(M224="","En attente",M224)))</f>
        <v/>
      </c>
      <c r="O224" s="25"/>
      <c r="P224" s="25"/>
      <c r="Q224" s="69"/>
      <c r="R224" s="74" t="str">
        <f aca="false">IF(A224="","",IF(N224="Non conforme",IF(Q224="","NC ouverte","NC levée"),IF(N224="Réserve",IF(Q224="","Réserve ouverte","Réserve levée"),IF(N224="En attente","À contrôler","Clos"))))</f>
        <v/>
      </c>
      <c r="S224" s="25"/>
    </row>
    <row r="225" customFormat="false" ht="15" hidden="false" customHeight="false" outlineLevel="0" collapsed="false">
      <c r="A225" s="68"/>
      <c r="B225" s="69"/>
      <c r="C225" s="25"/>
      <c r="D225" s="25"/>
      <c r="E225" s="25"/>
      <c r="F225" s="25"/>
      <c r="G225" s="25"/>
      <c r="H225" s="25"/>
      <c r="I225" s="91"/>
      <c r="J225" s="91"/>
      <c r="K225" s="91"/>
      <c r="L225" s="68"/>
      <c r="M225" s="68"/>
      <c r="N225" s="74" t="str">
        <f aca="false">IF(A225="","",IF(ISNUMBER(K225),IF(AND(OR(I225="",K225&gt;=I225),OR(J225="",K225&lt;=J225)),"Conforme","Non conforme"),IF(M225="","En attente",M225)))</f>
        <v/>
      </c>
      <c r="O225" s="25"/>
      <c r="P225" s="25"/>
      <c r="Q225" s="69"/>
      <c r="R225" s="74" t="str">
        <f aca="false">IF(A225="","",IF(N225="Non conforme",IF(Q225="","NC ouverte","NC levée"),IF(N225="Réserve",IF(Q225="","Réserve ouverte","Réserve levée"),IF(N225="En attente","À contrôler","Clos"))))</f>
        <v/>
      </c>
      <c r="S225" s="25"/>
    </row>
    <row r="226" customFormat="false" ht="15" hidden="false" customHeight="false" outlineLevel="0" collapsed="false">
      <c r="A226" s="68"/>
      <c r="B226" s="69"/>
      <c r="C226" s="25"/>
      <c r="D226" s="25"/>
      <c r="E226" s="25"/>
      <c r="F226" s="25"/>
      <c r="G226" s="25"/>
      <c r="H226" s="25"/>
      <c r="I226" s="91"/>
      <c r="J226" s="91"/>
      <c r="K226" s="91"/>
      <c r="L226" s="68"/>
      <c r="M226" s="68"/>
      <c r="N226" s="74" t="str">
        <f aca="false">IF(A226="","",IF(ISNUMBER(K226),IF(AND(OR(I226="",K226&gt;=I226),OR(J226="",K226&lt;=J226)),"Conforme","Non conforme"),IF(M226="","En attente",M226)))</f>
        <v/>
      </c>
      <c r="O226" s="25"/>
      <c r="P226" s="25"/>
      <c r="Q226" s="69"/>
      <c r="R226" s="74" t="str">
        <f aca="false">IF(A226="","",IF(N226="Non conforme",IF(Q226="","NC ouverte","NC levée"),IF(N226="Réserve",IF(Q226="","Réserve ouverte","Réserve levée"),IF(N226="En attente","À contrôler","Clos"))))</f>
        <v/>
      </c>
      <c r="S226" s="25"/>
    </row>
    <row r="227" customFormat="false" ht="15" hidden="false" customHeight="false" outlineLevel="0" collapsed="false">
      <c r="A227" s="68"/>
      <c r="B227" s="69"/>
      <c r="C227" s="25"/>
      <c r="D227" s="25"/>
      <c r="E227" s="25"/>
      <c r="F227" s="25"/>
      <c r="G227" s="25"/>
      <c r="H227" s="25"/>
      <c r="I227" s="91"/>
      <c r="J227" s="91"/>
      <c r="K227" s="91"/>
      <c r="L227" s="68"/>
      <c r="M227" s="68"/>
      <c r="N227" s="74" t="str">
        <f aca="false">IF(A227="","",IF(ISNUMBER(K227),IF(AND(OR(I227="",K227&gt;=I227),OR(J227="",K227&lt;=J227)),"Conforme","Non conforme"),IF(M227="","En attente",M227)))</f>
        <v/>
      </c>
      <c r="O227" s="25"/>
      <c r="P227" s="25"/>
      <c r="Q227" s="69"/>
      <c r="R227" s="74" t="str">
        <f aca="false">IF(A227="","",IF(N227="Non conforme",IF(Q227="","NC ouverte","NC levée"),IF(N227="Réserve",IF(Q227="","Réserve ouverte","Réserve levée"),IF(N227="En attente","À contrôler","Clos"))))</f>
        <v/>
      </c>
      <c r="S227" s="25"/>
    </row>
    <row r="228" customFormat="false" ht="15" hidden="false" customHeight="false" outlineLevel="0" collapsed="false">
      <c r="A228" s="68"/>
      <c r="B228" s="69"/>
      <c r="C228" s="25"/>
      <c r="D228" s="25"/>
      <c r="E228" s="25"/>
      <c r="F228" s="25"/>
      <c r="G228" s="25"/>
      <c r="H228" s="25"/>
      <c r="I228" s="91"/>
      <c r="J228" s="91"/>
      <c r="K228" s="91"/>
      <c r="L228" s="68"/>
      <c r="M228" s="68"/>
      <c r="N228" s="74" t="str">
        <f aca="false">IF(A228="","",IF(ISNUMBER(K228),IF(AND(OR(I228="",K228&gt;=I228),OR(J228="",K228&lt;=J228)),"Conforme","Non conforme"),IF(M228="","En attente",M228)))</f>
        <v/>
      </c>
      <c r="O228" s="25"/>
      <c r="P228" s="25"/>
      <c r="Q228" s="69"/>
      <c r="R228" s="74" t="str">
        <f aca="false">IF(A228="","",IF(N228="Non conforme",IF(Q228="","NC ouverte","NC levée"),IF(N228="Réserve",IF(Q228="","Réserve ouverte","Réserve levée"),IF(N228="En attente","À contrôler","Clos"))))</f>
        <v/>
      </c>
      <c r="S228" s="25"/>
    </row>
    <row r="229" customFormat="false" ht="15" hidden="false" customHeight="false" outlineLevel="0" collapsed="false">
      <c r="A229" s="68"/>
      <c r="B229" s="69"/>
      <c r="C229" s="25"/>
      <c r="D229" s="25"/>
      <c r="E229" s="25"/>
      <c r="F229" s="25"/>
      <c r="G229" s="25"/>
      <c r="H229" s="25"/>
      <c r="I229" s="91"/>
      <c r="J229" s="91"/>
      <c r="K229" s="91"/>
      <c r="L229" s="68"/>
      <c r="M229" s="68"/>
      <c r="N229" s="74" t="str">
        <f aca="false">IF(A229="","",IF(ISNUMBER(K229),IF(AND(OR(I229="",K229&gt;=I229),OR(J229="",K229&lt;=J229)),"Conforme","Non conforme"),IF(M229="","En attente",M229)))</f>
        <v/>
      </c>
      <c r="O229" s="25"/>
      <c r="P229" s="25"/>
      <c r="Q229" s="69"/>
      <c r="R229" s="74" t="str">
        <f aca="false">IF(A229="","",IF(N229="Non conforme",IF(Q229="","NC ouverte","NC levée"),IF(N229="Réserve",IF(Q229="","Réserve ouverte","Réserve levée"),IF(N229="En attente","À contrôler","Clos"))))</f>
        <v/>
      </c>
      <c r="S229" s="25"/>
    </row>
    <row r="230" customFormat="false" ht="15" hidden="false" customHeight="false" outlineLevel="0" collapsed="false">
      <c r="A230" s="68"/>
      <c r="B230" s="69"/>
      <c r="C230" s="25"/>
      <c r="D230" s="25"/>
      <c r="E230" s="25"/>
      <c r="F230" s="25"/>
      <c r="G230" s="25"/>
      <c r="H230" s="25"/>
      <c r="I230" s="91"/>
      <c r="J230" s="91"/>
      <c r="K230" s="91"/>
      <c r="L230" s="68"/>
      <c r="M230" s="68"/>
      <c r="N230" s="74" t="str">
        <f aca="false">IF(A230="","",IF(ISNUMBER(K230),IF(AND(OR(I230="",K230&gt;=I230),OR(J230="",K230&lt;=J230)),"Conforme","Non conforme"),IF(M230="","En attente",M230)))</f>
        <v/>
      </c>
      <c r="O230" s="25"/>
      <c r="P230" s="25"/>
      <c r="Q230" s="69"/>
      <c r="R230" s="74" t="str">
        <f aca="false">IF(A230="","",IF(N230="Non conforme",IF(Q230="","NC ouverte","NC levée"),IF(N230="Réserve",IF(Q230="","Réserve ouverte","Réserve levée"),IF(N230="En attente","À contrôler","Clos"))))</f>
        <v/>
      </c>
      <c r="S230" s="25"/>
    </row>
    <row r="231" customFormat="false" ht="15" hidden="false" customHeight="false" outlineLevel="0" collapsed="false">
      <c r="A231" s="68"/>
      <c r="B231" s="69"/>
      <c r="C231" s="25"/>
      <c r="D231" s="25"/>
      <c r="E231" s="25"/>
      <c r="F231" s="25"/>
      <c r="G231" s="25"/>
      <c r="H231" s="25"/>
      <c r="I231" s="91"/>
      <c r="J231" s="91"/>
      <c r="K231" s="91"/>
      <c r="L231" s="68"/>
      <c r="M231" s="68"/>
      <c r="N231" s="74" t="str">
        <f aca="false">IF(A231="","",IF(ISNUMBER(K231),IF(AND(OR(I231="",K231&gt;=I231),OR(J231="",K231&lt;=J231)),"Conforme","Non conforme"),IF(M231="","En attente",M231)))</f>
        <v/>
      </c>
      <c r="O231" s="25"/>
      <c r="P231" s="25"/>
      <c r="Q231" s="69"/>
      <c r="R231" s="74" t="str">
        <f aca="false">IF(A231="","",IF(N231="Non conforme",IF(Q231="","NC ouverte","NC levée"),IF(N231="Réserve",IF(Q231="","Réserve ouverte","Réserve levée"),IF(N231="En attente","À contrôler","Clos"))))</f>
        <v/>
      </c>
      <c r="S231" s="25"/>
    </row>
    <row r="232" customFormat="false" ht="15" hidden="false" customHeight="false" outlineLevel="0" collapsed="false">
      <c r="A232" s="68"/>
      <c r="B232" s="69"/>
      <c r="C232" s="25"/>
      <c r="D232" s="25"/>
      <c r="E232" s="25"/>
      <c r="F232" s="25"/>
      <c r="G232" s="25"/>
      <c r="H232" s="25"/>
      <c r="I232" s="91"/>
      <c r="J232" s="91"/>
      <c r="K232" s="91"/>
      <c r="L232" s="68"/>
      <c r="M232" s="68"/>
      <c r="N232" s="74" t="str">
        <f aca="false">IF(A232="","",IF(ISNUMBER(K232),IF(AND(OR(I232="",K232&gt;=I232),OR(J232="",K232&lt;=J232)),"Conforme","Non conforme"),IF(M232="","En attente",M232)))</f>
        <v/>
      </c>
      <c r="O232" s="25"/>
      <c r="P232" s="25"/>
      <c r="Q232" s="69"/>
      <c r="R232" s="74" t="str">
        <f aca="false">IF(A232="","",IF(N232="Non conforme",IF(Q232="","NC ouverte","NC levée"),IF(N232="Réserve",IF(Q232="","Réserve ouverte","Réserve levée"),IF(N232="En attente","À contrôler","Clos"))))</f>
        <v/>
      </c>
      <c r="S232" s="25"/>
    </row>
    <row r="233" customFormat="false" ht="15" hidden="false" customHeight="false" outlineLevel="0" collapsed="false">
      <c r="A233" s="68"/>
      <c r="B233" s="69"/>
      <c r="C233" s="25"/>
      <c r="D233" s="25"/>
      <c r="E233" s="25"/>
      <c r="F233" s="25"/>
      <c r="G233" s="25"/>
      <c r="H233" s="25"/>
      <c r="I233" s="91"/>
      <c r="J233" s="91"/>
      <c r="K233" s="91"/>
      <c r="L233" s="68"/>
      <c r="M233" s="68"/>
      <c r="N233" s="74" t="str">
        <f aca="false">IF(A233="","",IF(ISNUMBER(K233),IF(AND(OR(I233="",K233&gt;=I233),OR(J233="",K233&lt;=J233)),"Conforme","Non conforme"),IF(M233="","En attente",M233)))</f>
        <v/>
      </c>
      <c r="O233" s="25"/>
      <c r="P233" s="25"/>
      <c r="Q233" s="69"/>
      <c r="R233" s="74" t="str">
        <f aca="false">IF(A233="","",IF(N233="Non conforme",IF(Q233="","NC ouverte","NC levée"),IF(N233="Réserve",IF(Q233="","Réserve ouverte","Réserve levée"),IF(N233="En attente","À contrôler","Clos"))))</f>
        <v/>
      </c>
      <c r="S233" s="25"/>
    </row>
    <row r="234" customFormat="false" ht="15" hidden="false" customHeight="false" outlineLevel="0" collapsed="false">
      <c r="A234" s="68"/>
      <c r="B234" s="69"/>
      <c r="C234" s="25"/>
      <c r="D234" s="25"/>
      <c r="E234" s="25"/>
      <c r="F234" s="25"/>
      <c r="G234" s="25"/>
      <c r="H234" s="25"/>
      <c r="I234" s="91"/>
      <c r="J234" s="91"/>
      <c r="K234" s="91"/>
      <c r="L234" s="68"/>
      <c r="M234" s="68"/>
      <c r="N234" s="74" t="str">
        <f aca="false">IF(A234="","",IF(ISNUMBER(K234),IF(AND(OR(I234="",K234&gt;=I234),OR(J234="",K234&lt;=J234)),"Conforme","Non conforme"),IF(M234="","En attente",M234)))</f>
        <v/>
      </c>
      <c r="O234" s="25"/>
      <c r="P234" s="25"/>
      <c r="Q234" s="69"/>
      <c r="R234" s="74" t="str">
        <f aca="false">IF(A234="","",IF(N234="Non conforme",IF(Q234="","NC ouverte","NC levée"),IF(N234="Réserve",IF(Q234="","Réserve ouverte","Réserve levée"),IF(N234="En attente","À contrôler","Clos"))))</f>
        <v/>
      </c>
      <c r="S234" s="25"/>
    </row>
    <row r="235" customFormat="false" ht="15" hidden="false" customHeight="false" outlineLevel="0" collapsed="false">
      <c r="A235" s="68"/>
      <c r="B235" s="69"/>
      <c r="C235" s="25"/>
      <c r="D235" s="25"/>
      <c r="E235" s="25"/>
      <c r="F235" s="25"/>
      <c r="G235" s="25"/>
      <c r="H235" s="25"/>
      <c r="I235" s="91"/>
      <c r="J235" s="91"/>
      <c r="K235" s="91"/>
      <c r="L235" s="68"/>
      <c r="M235" s="68"/>
      <c r="N235" s="74" t="str">
        <f aca="false">IF(A235="","",IF(ISNUMBER(K235),IF(AND(OR(I235="",K235&gt;=I235),OR(J235="",K235&lt;=J235)),"Conforme","Non conforme"),IF(M235="","En attente",M235)))</f>
        <v/>
      </c>
      <c r="O235" s="25"/>
      <c r="P235" s="25"/>
      <c r="Q235" s="69"/>
      <c r="R235" s="74" t="str">
        <f aca="false">IF(A235="","",IF(N235="Non conforme",IF(Q235="","NC ouverte","NC levée"),IF(N235="Réserve",IF(Q235="","Réserve ouverte","Réserve levée"),IF(N235="En attente","À contrôler","Clos"))))</f>
        <v/>
      </c>
      <c r="S235" s="25"/>
    </row>
    <row r="236" customFormat="false" ht="15" hidden="false" customHeight="false" outlineLevel="0" collapsed="false">
      <c r="A236" s="68"/>
      <c r="B236" s="69"/>
      <c r="C236" s="25"/>
      <c r="D236" s="25"/>
      <c r="E236" s="25"/>
      <c r="F236" s="25"/>
      <c r="G236" s="25"/>
      <c r="H236" s="25"/>
      <c r="I236" s="91"/>
      <c r="J236" s="91"/>
      <c r="K236" s="91"/>
      <c r="L236" s="68"/>
      <c r="M236" s="68"/>
      <c r="N236" s="74" t="str">
        <f aca="false">IF(A236="","",IF(ISNUMBER(K236),IF(AND(OR(I236="",K236&gt;=I236),OR(J236="",K236&lt;=J236)),"Conforme","Non conforme"),IF(M236="","En attente",M236)))</f>
        <v/>
      </c>
      <c r="O236" s="25"/>
      <c r="P236" s="25"/>
      <c r="Q236" s="69"/>
      <c r="R236" s="74" t="str">
        <f aca="false">IF(A236="","",IF(N236="Non conforme",IF(Q236="","NC ouverte","NC levée"),IF(N236="Réserve",IF(Q236="","Réserve ouverte","Réserve levée"),IF(N236="En attente","À contrôler","Clos"))))</f>
        <v/>
      </c>
      <c r="S236" s="25"/>
    </row>
    <row r="237" customFormat="false" ht="15" hidden="false" customHeight="false" outlineLevel="0" collapsed="false">
      <c r="A237" s="68"/>
      <c r="B237" s="69"/>
      <c r="C237" s="25"/>
      <c r="D237" s="25"/>
      <c r="E237" s="25"/>
      <c r="F237" s="25"/>
      <c r="G237" s="25"/>
      <c r="H237" s="25"/>
      <c r="I237" s="91"/>
      <c r="J237" s="91"/>
      <c r="K237" s="91"/>
      <c r="L237" s="68"/>
      <c r="M237" s="68"/>
      <c r="N237" s="74" t="str">
        <f aca="false">IF(A237="","",IF(ISNUMBER(K237),IF(AND(OR(I237="",K237&gt;=I237),OR(J237="",K237&lt;=J237)),"Conforme","Non conforme"),IF(M237="","En attente",M237)))</f>
        <v/>
      </c>
      <c r="O237" s="25"/>
      <c r="P237" s="25"/>
      <c r="Q237" s="69"/>
      <c r="R237" s="74" t="str">
        <f aca="false">IF(A237="","",IF(N237="Non conforme",IF(Q237="","NC ouverte","NC levée"),IF(N237="Réserve",IF(Q237="","Réserve ouverte","Réserve levée"),IF(N237="En attente","À contrôler","Clos"))))</f>
        <v/>
      </c>
      <c r="S237" s="25"/>
    </row>
    <row r="238" customFormat="false" ht="15" hidden="false" customHeight="false" outlineLevel="0" collapsed="false">
      <c r="A238" s="68"/>
      <c r="B238" s="69"/>
      <c r="C238" s="25"/>
      <c r="D238" s="25"/>
      <c r="E238" s="25"/>
      <c r="F238" s="25"/>
      <c r="G238" s="25"/>
      <c r="H238" s="25"/>
      <c r="I238" s="91"/>
      <c r="J238" s="91"/>
      <c r="K238" s="91"/>
      <c r="L238" s="68"/>
      <c r="M238" s="68"/>
      <c r="N238" s="74" t="str">
        <f aca="false">IF(A238="","",IF(ISNUMBER(K238),IF(AND(OR(I238="",K238&gt;=I238),OR(J238="",K238&lt;=J238)),"Conforme","Non conforme"),IF(M238="","En attente",M238)))</f>
        <v/>
      </c>
      <c r="O238" s="25"/>
      <c r="P238" s="25"/>
      <c r="Q238" s="69"/>
      <c r="R238" s="74" t="str">
        <f aca="false">IF(A238="","",IF(N238="Non conforme",IF(Q238="","NC ouverte","NC levée"),IF(N238="Réserve",IF(Q238="","Réserve ouverte","Réserve levée"),IF(N238="En attente","À contrôler","Clos"))))</f>
        <v/>
      </c>
      <c r="S238" s="25"/>
    </row>
    <row r="239" customFormat="false" ht="15" hidden="false" customHeight="false" outlineLevel="0" collapsed="false">
      <c r="A239" s="68"/>
      <c r="B239" s="69"/>
      <c r="C239" s="25"/>
      <c r="D239" s="25"/>
      <c r="E239" s="25"/>
      <c r="F239" s="25"/>
      <c r="G239" s="25"/>
      <c r="H239" s="25"/>
      <c r="I239" s="91"/>
      <c r="J239" s="91"/>
      <c r="K239" s="91"/>
      <c r="L239" s="68"/>
      <c r="M239" s="68"/>
      <c r="N239" s="74" t="str">
        <f aca="false">IF(A239="","",IF(ISNUMBER(K239),IF(AND(OR(I239="",K239&gt;=I239),OR(J239="",K239&lt;=J239)),"Conforme","Non conforme"),IF(M239="","En attente",M239)))</f>
        <v/>
      </c>
      <c r="O239" s="25"/>
      <c r="P239" s="25"/>
      <c r="Q239" s="69"/>
      <c r="R239" s="74" t="str">
        <f aca="false">IF(A239="","",IF(N239="Non conforme",IF(Q239="","NC ouverte","NC levée"),IF(N239="Réserve",IF(Q239="","Réserve ouverte","Réserve levée"),IF(N239="En attente","À contrôler","Clos"))))</f>
        <v/>
      </c>
      <c r="S239" s="25"/>
    </row>
    <row r="240" customFormat="false" ht="15" hidden="false" customHeight="false" outlineLevel="0" collapsed="false">
      <c r="A240" s="68"/>
      <c r="B240" s="69"/>
      <c r="C240" s="25"/>
      <c r="D240" s="25"/>
      <c r="E240" s="25"/>
      <c r="F240" s="25"/>
      <c r="G240" s="25"/>
      <c r="H240" s="25"/>
      <c r="I240" s="91"/>
      <c r="J240" s="91"/>
      <c r="K240" s="91"/>
      <c r="L240" s="68"/>
      <c r="M240" s="68"/>
      <c r="N240" s="74" t="str">
        <f aca="false">IF(A240="","",IF(ISNUMBER(K240),IF(AND(OR(I240="",K240&gt;=I240),OR(J240="",K240&lt;=J240)),"Conforme","Non conforme"),IF(M240="","En attente",M240)))</f>
        <v/>
      </c>
      <c r="O240" s="25"/>
      <c r="P240" s="25"/>
      <c r="Q240" s="69"/>
      <c r="R240" s="74" t="str">
        <f aca="false">IF(A240="","",IF(N240="Non conforme",IF(Q240="","NC ouverte","NC levée"),IF(N240="Réserve",IF(Q240="","Réserve ouverte","Réserve levée"),IF(N240="En attente","À contrôler","Clos"))))</f>
        <v/>
      </c>
      <c r="S240" s="25"/>
    </row>
    <row r="241" customFormat="false" ht="15" hidden="false" customHeight="false" outlineLevel="0" collapsed="false">
      <c r="A241" s="68"/>
      <c r="B241" s="69"/>
      <c r="C241" s="25"/>
      <c r="D241" s="25"/>
      <c r="E241" s="25"/>
      <c r="F241" s="25"/>
      <c r="G241" s="25"/>
      <c r="H241" s="25"/>
      <c r="I241" s="91"/>
      <c r="J241" s="91"/>
      <c r="K241" s="91"/>
      <c r="L241" s="68"/>
      <c r="M241" s="68"/>
      <c r="N241" s="74" t="str">
        <f aca="false">IF(A241="","",IF(ISNUMBER(K241),IF(AND(OR(I241="",K241&gt;=I241),OR(J241="",K241&lt;=J241)),"Conforme","Non conforme"),IF(M241="","En attente",M241)))</f>
        <v/>
      </c>
      <c r="O241" s="25"/>
      <c r="P241" s="25"/>
      <c r="Q241" s="69"/>
      <c r="R241" s="74" t="str">
        <f aca="false">IF(A241="","",IF(N241="Non conforme",IF(Q241="","NC ouverte","NC levée"),IF(N241="Réserve",IF(Q241="","Réserve ouverte","Réserve levée"),IF(N241="En attente","À contrôler","Clos"))))</f>
        <v/>
      </c>
      <c r="S241" s="25"/>
    </row>
    <row r="242" customFormat="false" ht="15" hidden="false" customHeight="false" outlineLevel="0" collapsed="false">
      <c r="A242" s="68"/>
      <c r="B242" s="69"/>
      <c r="C242" s="25"/>
      <c r="D242" s="25"/>
      <c r="E242" s="25"/>
      <c r="F242" s="25"/>
      <c r="G242" s="25"/>
      <c r="H242" s="25"/>
      <c r="I242" s="91"/>
      <c r="J242" s="91"/>
      <c r="K242" s="91"/>
      <c r="L242" s="68"/>
      <c r="M242" s="68"/>
      <c r="N242" s="74" t="str">
        <f aca="false">IF(A242="","",IF(ISNUMBER(K242),IF(AND(OR(I242="",K242&gt;=I242),OR(J242="",K242&lt;=J242)),"Conforme","Non conforme"),IF(M242="","En attente",M242)))</f>
        <v/>
      </c>
      <c r="O242" s="25"/>
      <c r="P242" s="25"/>
      <c r="Q242" s="69"/>
      <c r="R242" s="74" t="str">
        <f aca="false">IF(A242="","",IF(N242="Non conforme",IF(Q242="","NC ouverte","NC levée"),IF(N242="Réserve",IF(Q242="","Réserve ouverte","Réserve levée"),IF(N242="En attente","À contrôler","Clos"))))</f>
        <v/>
      </c>
      <c r="S242" s="25"/>
    </row>
    <row r="243" customFormat="false" ht="15" hidden="false" customHeight="false" outlineLevel="0" collapsed="false">
      <c r="A243" s="68"/>
      <c r="B243" s="69"/>
      <c r="C243" s="25"/>
      <c r="D243" s="25"/>
      <c r="E243" s="25"/>
      <c r="F243" s="25"/>
      <c r="G243" s="25"/>
      <c r="H243" s="25"/>
      <c r="I243" s="91"/>
      <c r="J243" s="91"/>
      <c r="K243" s="91"/>
      <c r="L243" s="68"/>
      <c r="M243" s="68"/>
      <c r="N243" s="74" t="str">
        <f aca="false">IF(A243="","",IF(ISNUMBER(K243),IF(AND(OR(I243="",K243&gt;=I243),OR(J243="",K243&lt;=J243)),"Conforme","Non conforme"),IF(M243="","En attente",M243)))</f>
        <v/>
      </c>
      <c r="O243" s="25"/>
      <c r="P243" s="25"/>
      <c r="Q243" s="69"/>
      <c r="R243" s="74" t="str">
        <f aca="false">IF(A243="","",IF(N243="Non conforme",IF(Q243="","NC ouverte","NC levée"),IF(N243="Réserve",IF(Q243="","Réserve ouverte","Réserve levée"),IF(N243="En attente","À contrôler","Clos"))))</f>
        <v/>
      </c>
      <c r="S243" s="25"/>
    </row>
    <row r="244" customFormat="false" ht="15" hidden="false" customHeight="false" outlineLevel="0" collapsed="false">
      <c r="A244" s="68"/>
      <c r="B244" s="69"/>
      <c r="C244" s="25"/>
      <c r="D244" s="25"/>
      <c r="E244" s="25"/>
      <c r="F244" s="25"/>
      <c r="G244" s="25"/>
      <c r="H244" s="25"/>
      <c r="I244" s="91"/>
      <c r="J244" s="91"/>
      <c r="K244" s="91"/>
      <c r="L244" s="68"/>
      <c r="M244" s="68"/>
      <c r="N244" s="74" t="str">
        <f aca="false">IF(A244="","",IF(ISNUMBER(K244),IF(AND(OR(I244="",K244&gt;=I244),OR(J244="",K244&lt;=J244)),"Conforme","Non conforme"),IF(M244="","En attente",M244)))</f>
        <v/>
      </c>
      <c r="O244" s="25"/>
      <c r="P244" s="25"/>
      <c r="Q244" s="69"/>
      <c r="R244" s="74" t="str">
        <f aca="false">IF(A244="","",IF(N244="Non conforme",IF(Q244="","NC ouverte","NC levée"),IF(N244="Réserve",IF(Q244="","Réserve ouverte","Réserve levée"),IF(N244="En attente","À contrôler","Clos"))))</f>
        <v/>
      </c>
      <c r="S244" s="25"/>
    </row>
    <row r="245" customFormat="false" ht="15" hidden="false" customHeight="false" outlineLevel="0" collapsed="false">
      <c r="A245" s="68"/>
      <c r="B245" s="69"/>
      <c r="C245" s="25"/>
      <c r="D245" s="25"/>
      <c r="E245" s="25"/>
      <c r="F245" s="25"/>
      <c r="G245" s="25"/>
      <c r="H245" s="25"/>
      <c r="I245" s="91"/>
      <c r="J245" s="91"/>
      <c r="K245" s="91"/>
      <c r="L245" s="68"/>
      <c r="M245" s="68"/>
      <c r="N245" s="74" t="str">
        <f aca="false">IF(A245="","",IF(ISNUMBER(K245),IF(AND(OR(I245="",K245&gt;=I245),OR(J245="",K245&lt;=J245)),"Conforme","Non conforme"),IF(M245="","En attente",M245)))</f>
        <v/>
      </c>
      <c r="O245" s="25"/>
      <c r="P245" s="25"/>
      <c r="Q245" s="69"/>
      <c r="R245" s="74" t="str">
        <f aca="false">IF(A245="","",IF(N245="Non conforme",IF(Q245="","NC ouverte","NC levée"),IF(N245="Réserve",IF(Q245="","Réserve ouverte","Réserve levée"),IF(N245="En attente","À contrôler","Clos"))))</f>
        <v/>
      </c>
      <c r="S245" s="25"/>
    </row>
    <row r="246" customFormat="false" ht="15" hidden="false" customHeight="false" outlineLevel="0" collapsed="false">
      <c r="A246" s="68"/>
      <c r="B246" s="69"/>
      <c r="C246" s="25"/>
      <c r="D246" s="25"/>
      <c r="E246" s="25"/>
      <c r="F246" s="25"/>
      <c r="G246" s="25"/>
      <c r="H246" s="25"/>
      <c r="I246" s="91"/>
      <c r="J246" s="91"/>
      <c r="K246" s="91"/>
      <c r="L246" s="68"/>
      <c r="M246" s="68"/>
      <c r="N246" s="74" t="str">
        <f aca="false">IF(A246="","",IF(ISNUMBER(K246),IF(AND(OR(I246="",K246&gt;=I246),OR(J246="",K246&lt;=J246)),"Conforme","Non conforme"),IF(M246="","En attente",M246)))</f>
        <v/>
      </c>
      <c r="O246" s="25"/>
      <c r="P246" s="25"/>
      <c r="Q246" s="69"/>
      <c r="R246" s="74" t="str">
        <f aca="false">IF(A246="","",IF(N246="Non conforme",IF(Q246="","NC ouverte","NC levée"),IF(N246="Réserve",IF(Q246="","Réserve ouverte","Réserve levée"),IF(N246="En attente","À contrôler","Clos"))))</f>
        <v/>
      </c>
      <c r="S246" s="25"/>
    </row>
    <row r="247" customFormat="false" ht="15" hidden="false" customHeight="false" outlineLevel="0" collapsed="false">
      <c r="A247" s="68"/>
      <c r="B247" s="69"/>
      <c r="C247" s="25"/>
      <c r="D247" s="25"/>
      <c r="E247" s="25"/>
      <c r="F247" s="25"/>
      <c r="G247" s="25"/>
      <c r="H247" s="25"/>
      <c r="I247" s="91"/>
      <c r="J247" s="91"/>
      <c r="K247" s="91"/>
      <c r="L247" s="68"/>
      <c r="M247" s="68"/>
      <c r="N247" s="74" t="str">
        <f aca="false">IF(A247="","",IF(ISNUMBER(K247),IF(AND(OR(I247="",K247&gt;=I247),OR(J247="",K247&lt;=J247)),"Conforme","Non conforme"),IF(M247="","En attente",M247)))</f>
        <v/>
      </c>
      <c r="O247" s="25"/>
      <c r="P247" s="25"/>
      <c r="Q247" s="69"/>
      <c r="R247" s="74" t="str">
        <f aca="false">IF(A247="","",IF(N247="Non conforme",IF(Q247="","NC ouverte","NC levée"),IF(N247="Réserve",IF(Q247="","Réserve ouverte","Réserve levée"),IF(N247="En attente","À contrôler","Clos"))))</f>
        <v/>
      </c>
      <c r="S247" s="25"/>
    </row>
    <row r="248" customFormat="false" ht="15" hidden="false" customHeight="false" outlineLevel="0" collapsed="false">
      <c r="A248" s="68"/>
      <c r="B248" s="69"/>
      <c r="C248" s="25"/>
      <c r="D248" s="25"/>
      <c r="E248" s="25"/>
      <c r="F248" s="25"/>
      <c r="G248" s="25"/>
      <c r="H248" s="25"/>
      <c r="I248" s="91"/>
      <c r="J248" s="91"/>
      <c r="K248" s="91"/>
      <c r="L248" s="68"/>
      <c r="M248" s="68"/>
      <c r="N248" s="74" t="str">
        <f aca="false">IF(A248="","",IF(ISNUMBER(K248),IF(AND(OR(I248="",K248&gt;=I248),OR(J248="",K248&lt;=J248)),"Conforme","Non conforme"),IF(M248="","En attente",M248)))</f>
        <v/>
      </c>
      <c r="O248" s="25"/>
      <c r="P248" s="25"/>
      <c r="Q248" s="69"/>
      <c r="R248" s="74" t="str">
        <f aca="false">IF(A248="","",IF(N248="Non conforme",IF(Q248="","NC ouverte","NC levée"),IF(N248="Réserve",IF(Q248="","Réserve ouverte","Réserve levée"),IF(N248="En attente","À contrôler","Clos"))))</f>
        <v/>
      </c>
      <c r="S248" s="25"/>
    </row>
    <row r="249" customFormat="false" ht="15" hidden="false" customHeight="false" outlineLevel="0" collapsed="false">
      <c r="A249" s="68"/>
      <c r="B249" s="69"/>
      <c r="C249" s="25"/>
      <c r="D249" s="25"/>
      <c r="E249" s="25"/>
      <c r="F249" s="25"/>
      <c r="G249" s="25"/>
      <c r="H249" s="25"/>
      <c r="I249" s="91"/>
      <c r="J249" s="91"/>
      <c r="K249" s="91"/>
      <c r="L249" s="68"/>
      <c r="M249" s="68"/>
      <c r="N249" s="74" t="str">
        <f aca="false">IF(A249="","",IF(ISNUMBER(K249),IF(AND(OR(I249="",K249&gt;=I249),OR(J249="",K249&lt;=J249)),"Conforme","Non conforme"),IF(M249="","En attente",M249)))</f>
        <v/>
      </c>
      <c r="O249" s="25"/>
      <c r="P249" s="25"/>
      <c r="Q249" s="69"/>
      <c r="R249" s="74" t="str">
        <f aca="false">IF(A249="","",IF(N249="Non conforme",IF(Q249="","NC ouverte","NC levée"),IF(N249="Réserve",IF(Q249="","Réserve ouverte","Réserve levée"),IF(N249="En attente","À contrôler","Clos"))))</f>
        <v/>
      </c>
      <c r="S249" s="25"/>
    </row>
    <row r="250" customFormat="false" ht="15" hidden="false" customHeight="false" outlineLevel="0" collapsed="false">
      <c r="A250" s="68"/>
      <c r="B250" s="69"/>
      <c r="C250" s="25"/>
      <c r="D250" s="25"/>
      <c r="E250" s="25"/>
      <c r="F250" s="25"/>
      <c r="G250" s="25"/>
      <c r="H250" s="25"/>
      <c r="I250" s="91"/>
      <c r="J250" s="91"/>
      <c r="K250" s="91"/>
      <c r="L250" s="68"/>
      <c r="M250" s="68"/>
      <c r="N250" s="74" t="str">
        <f aca="false">IF(A250="","",IF(ISNUMBER(K250),IF(AND(OR(I250="",K250&gt;=I250),OR(J250="",K250&lt;=J250)),"Conforme","Non conforme"),IF(M250="","En attente",M250)))</f>
        <v/>
      </c>
      <c r="O250" s="25"/>
      <c r="P250" s="25"/>
      <c r="Q250" s="69"/>
      <c r="R250" s="74" t="str">
        <f aca="false">IF(A250="","",IF(N250="Non conforme",IF(Q250="","NC ouverte","NC levée"),IF(N250="Réserve",IF(Q250="","Réserve ouverte","Réserve levée"),IF(N250="En attente","À contrôler","Clos"))))</f>
        <v/>
      </c>
      <c r="S250" s="25"/>
    </row>
    <row r="251" customFormat="false" ht="15" hidden="false" customHeight="false" outlineLevel="0" collapsed="false">
      <c r="A251" s="68"/>
      <c r="B251" s="69"/>
      <c r="C251" s="25"/>
      <c r="D251" s="25"/>
      <c r="E251" s="25"/>
      <c r="F251" s="25"/>
      <c r="G251" s="25"/>
      <c r="H251" s="25"/>
      <c r="I251" s="91"/>
      <c r="J251" s="91"/>
      <c r="K251" s="91"/>
      <c r="L251" s="68"/>
      <c r="M251" s="68"/>
      <c r="N251" s="74" t="str">
        <f aca="false">IF(A251="","",IF(ISNUMBER(K251),IF(AND(OR(I251="",K251&gt;=I251),OR(J251="",K251&lt;=J251)),"Conforme","Non conforme"),IF(M251="","En attente",M251)))</f>
        <v/>
      </c>
      <c r="O251" s="25"/>
      <c r="P251" s="25"/>
      <c r="Q251" s="69"/>
      <c r="R251" s="74" t="str">
        <f aca="false">IF(A251="","",IF(N251="Non conforme",IF(Q251="","NC ouverte","NC levée"),IF(N251="Réserve",IF(Q251="","Réserve ouverte","Réserve levée"),IF(N251="En attente","À contrôler","Clos"))))</f>
        <v/>
      </c>
      <c r="S251" s="25"/>
    </row>
    <row r="252" customFormat="false" ht="15" hidden="false" customHeight="false" outlineLevel="0" collapsed="false">
      <c r="A252" s="68"/>
      <c r="B252" s="69"/>
      <c r="C252" s="25"/>
      <c r="D252" s="25"/>
      <c r="E252" s="25"/>
      <c r="F252" s="25"/>
      <c r="G252" s="25"/>
      <c r="H252" s="25"/>
      <c r="I252" s="91"/>
      <c r="J252" s="91"/>
      <c r="K252" s="91"/>
      <c r="L252" s="68"/>
      <c r="M252" s="68"/>
      <c r="N252" s="74" t="str">
        <f aca="false">IF(A252="","",IF(ISNUMBER(K252),IF(AND(OR(I252="",K252&gt;=I252),OR(J252="",K252&lt;=J252)),"Conforme","Non conforme"),IF(M252="","En attente",M252)))</f>
        <v/>
      </c>
      <c r="O252" s="25"/>
      <c r="P252" s="25"/>
      <c r="Q252" s="69"/>
      <c r="R252" s="74" t="str">
        <f aca="false">IF(A252="","",IF(N252="Non conforme",IF(Q252="","NC ouverte","NC levée"),IF(N252="Réserve",IF(Q252="","Réserve ouverte","Réserve levée"),IF(N252="En attente","À contrôler","Clos"))))</f>
        <v/>
      </c>
      <c r="S252" s="25"/>
    </row>
    <row r="253" customFormat="false" ht="15" hidden="false" customHeight="false" outlineLevel="0" collapsed="false">
      <c r="A253" s="68"/>
      <c r="B253" s="69"/>
      <c r="C253" s="25"/>
      <c r="D253" s="25"/>
      <c r="E253" s="25"/>
      <c r="F253" s="25"/>
      <c r="G253" s="25"/>
      <c r="H253" s="25"/>
      <c r="I253" s="91"/>
      <c r="J253" s="91"/>
      <c r="K253" s="91"/>
      <c r="L253" s="68"/>
      <c r="M253" s="68"/>
      <c r="N253" s="74" t="str">
        <f aca="false">IF(A253="","",IF(ISNUMBER(K253),IF(AND(OR(I253="",K253&gt;=I253),OR(J253="",K253&lt;=J253)),"Conforme","Non conforme"),IF(M253="","En attente",M253)))</f>
        <v/>
      </c>
      <c r="O253" s="25"/>
      <c r="P253" s="25"/>
      <c r="Q253" s="69"/>
      <c r="R253" s="74" t="str">
        <f aca="false">IF(A253="","",IF(N253="Non conforme",IF(Q253="","NC ouverte","NC levée"),IF(N253="Réserve",IF(Q253="","Réserve ouverte","Réserve levée"),IF(N253="En attente","À contrôler","Clos"))))</f>
        <v/>
      </c>
      <c r="S253" s="25"/>
    </row>
    <row r="254" customFormat="false" ht="15" hidden="false" customHeight="false" outlineLevel="0" collapsed="false">
      <c r="A254" s="68"/>
      <c r="B254" s="69"/>
      <c r="C254" s="25"/>
      <c r="D254" s="25"/>
      <c r="E254" s="25"/>
      <c r="F254" s="25"/>
      <c r="G254" s="25"/>
      <c r="H254" s="25"/>
      <c r="I254" s="91"/>
      <c r="J254" s="91"/>
      <c r="K254" s="91"/>
      <c r="L254" s="68"/>
      <c r="M254" s="68"/>
      <c r="N254" s="74" t="str">
        <f aca="false">IF(A254="","",IF(ISNUMBER(K254),IF(AND(OR(I254="",K254&gt;=I254),OR(J254="",K254&lt;=J254)),"Conforme","Non conforme"),IF(M254="","En attente",M254)))</f>
        <v/>
      </c>
      <c r="O254" s="25"/>
      <c r="P254" s="25"/>
      <c r="Q254" s="69"/>
      <c r="R254" s="74" t="str">
        <f aca="false">IF(A254="","",IF(N254="Non conforme",IF(Q254="","NC ouverte","NC levée"),IF(N254="Réserve",IF(Q254="","Réserve ouverte","Réserve levée"),IF(N254="En attente","À contrôler","Clos"))))</f>
        <v/>
      </c>
      <c r="S254" s="25"/>
    </row>
    <row r="255" customFormat="false" ht="15" hidden="false" customHeight="false" outlineLevel="0" collapsed="false">
      <c r="A255" s="68"/>
      <c r="B255" s="69"/>
      <c r="C255" s="25"/>
      <c r="D255" s="25"/>
      <c r="E255" s="25"/>
      <c r="F255" s="25"/>
      <c r="G255" s="25"/>
      <c r="H255" s="25"/>
      <c r="I255" s="91"/>
      <c r="J255" s="91"/>
      <c r="K255" s="91"/>
      <c r="L255" s="68"/>
      <c r="M255" s="68"/>
      <c r="N255" s="74" t="str">
        <f aca="false">IF(A255="","",IF(ISNUMBER(K255),IF(AND(OR(I255="",K255&gt;=I255),OR(J255="",K255&lt;=J255)),"Conforme","Non conforme"),IF(M255="","En attente",M255)))</f>
        <v/>
      </c>
      <c r="O255" s="25"/>
      <c r="P255" s="25"/>
      <c r="Q255" s="69"/>
      <c r="R255" s="74" t="str">
        <f aca="false">IF(A255="","",IF(N255="Non conforme",IF(Q255="","NC ouverte","NC levée"),IF(N255="Réserve",IF(Q255="","Réserve ouverte","Réserve levée"),IF(N255="En attente","À contrôler","Clos"))))</f>
        <v/>
      </c>
      <c r="S255" s="25"/>
    </row>
    <row r="256" customFormat="false" ht="15" hidden="false" customHeight="false" outlineLevel="0" collapsed="false">
      <c r="A256" s="68"/>
      <c r="B256" s="69"/>
      <c r="C256" s="25"/>
      <c r="D256" s="25"/>
      <c r="E256" s="25"/>
      <c r="F256" s="25"/>
      <c r="G256" s="25"/>
      <c r="H256" s="25"/>
      <c r="I256" s="91"/>
      <c r="J256" s="91"/>
      <c r="K256" s="91"/>
      <c r="L256" s="68"/>
      <c r="M256" s="68"/>
      <c r="N256" s="74" t="str">
        <f aca="false">IF(A256="","",IF(ISNUMBER(K256),IF(AND(OR(I256="",K256&gt;=I256),OR(J256="",K256&lt;=J256)),"Conforme","Non conforme"),IF(M256="","En attente",M256)))</f>
        <v/>
      </c>
      <c r="O256" s="25"/>
      <c r="P256" s="25"/>
      <c r="Q256" s="69"/>
      <c r="R256" s="74" t="str">
        <f aca="false">IF(A256="","",IF(N256="Non conforme",IF(Q256="","NC ouverte","NC levée"),IF(N256="Réserve",IF(Q256="","Réserve ouverte","Réserve levée"),IF(N256="En attente","À contrôler","Clos"))))</f>
        <v/>
      </c>
      <c r="S256" s="25"/>
    </row>
    <row r="257" customFormat="false" ht="15" hidden="false" customHeight="false" outlineLevel="0" collapsed="false">
      <c r="A257" s="68"/>
      <c r="B257" s="69"/>
      <c r="C257" s="25"/>
      <c r="D257" s="25"/>
      <c r="E257" s="25"/>
      <c r="F257" s="25"/>
      <c r="G257" s="25"/>
      <c r="H257" s="25"/>
      <c r="I257" s="91"/>
      <c r="J257" s="91"/>
      <c r="K257" s="91"/>
      <c r="L257" s="68"/>
      <c r="M257" s="68"/>
      <c r="N257" s="74" t="str">
        <f aca="false">IF(A257="","",IF(ISNUMBER(K257),IF(AND(OR(I257="",K257&gt;=I257),OR(J257="",K257&lt;=J257)),"Conforme","Non conforme"),IF(M257="","En attente",M257)))</f>
        <v/>
      </c>
      <c r="O257" s="25"/>
      <c r="P257" s="25"/>
      <c r="Q257" s="69"/>
      <c r="R257" s="74" t="str">
        <f aca="false">IF(A257="","",IF(N257="Non conforme",IF(Q257="","NC ouverte","NC levée"),IF(N257="Réserve",IF(Q257="","Réserve ouverte","Réserve levée"),IF(N257="En attente","À contrôler","Clos"))))</f>
        <v/>
      </c>
      <c r="S257" s="25"/>
    </row>
    <row r="258" customFormat="false" ht="15" hidden="false" customHeight="false" outlineLevel="0" collapsed="false">
      <c r="A258" s="68"/>
      <c r="B258" s="69"/>
      <c r="C258" s="25"/>
      <c r="D258" s="25"/>
      <c r="E258" s="25"/>
      <c r="F258" s="25"/>
      <c r="G258" s="25"/>
      <c r="H258" s="25"/>
      <c r="I258" s="91"/>
      <c r="J258" s="91"/>
      <c r="K258" s="91"/>
      <c r="L258" s="68"/>
      <c r="M258" s="68"/>
      <c r="N258" s="74" t="str">
        <f aca="false">IF(A258="","",IF(ISNUMBER(K258),IF(AND(OR(I258="",K258&gt;=I258),OR(J258="",K258&lt;=J258)),"Conforme","Non conforme"),IF(M258="","En attente",M258)))</f>
        <v/>
      </c>
      <c r="O258" s="25"/>
      <c r="P258" s="25"/>
      <c r="Q258" s="69"/>
      <c r="R258" s="74" t="str">
        <f aca="false">IF(A258="","",IF(N258="Non conforme",IF(Q258="","NC ouverte","NC levée"),IF(N258="Réserve",IF(Q258="","Réserve ouverte","Réserve levée"),IF(N258="En attente","À contrôler","Clos"))))</f>
        <v/>
      </c>
      <c r="S258" s="25"/>
    </row>
    <row r="259" customFormat="false" ht="15" hidden="false" customHeight="false" outlineLevel="0" collapsed="false">
      <c r="A259" s="68"/>
      <c r="B259" s="69"/>
      <c r="C259" s="25"/>
      <c r="D259" s="25"/>
      <c r="E259" s="25"/>
      <c r="F259" s="25"/>
      <c r="G259" s="25"/>
      <c r="H259" s="25"/>
      <c r="I259" s="91"/>
      <c r="J259" s="91"/>
      <c r="K259" s="91"/>
      <c r="L259" s="68"/>
      <c r="M259" s="68"/>
      <c r="N259" s="74" t="str">
        <f aca="false">IF(A259="","",IF(ISNUMBER(K259),IF(AND(OR(I259="",K259&gt;=I259),OR(J259="",K259&lt;=J259)),"Conforme","Non conforme"),IF(M259="","En attente",M259)))</f>
        <v/>
      </c>
      <c r="O259" s="25"/>
      <c r="P259" s="25"/>
      <c r="Q259" s="69"/>
      <c r="R259" s="74" t="str">
        <f aca="false">IF(A259="","",IF(N259="Non conforme",IF(Q259="","NC ouverte","NC levée"),IF(N259="Réserve",IF(Q259="","Réserve ouverte","Réserve levée"),IF(N259="En attente","À contrôler","Clos"))))</f>
        <v/>
      </c>
      <c r="S259" s="25"/>
    </row>
    <row r="260" customFormat="false" ht="15" hidden="false" customHeight="false" outlineLevel="0" collapsed="false">
      <c r="A260" s="68"/>
      <c r="B260" s="69"/>
      <c r="C260" s="25"/>
      <c r="D260" s="25"/>
      <c r="E260" s="25"/>
      <c r="F260" s="25"/>
      <c r="G260" s="25"/>
      <c r="H260" s="25"/>
      <c r="I260" s="91"/>
      <c r="J260" s="91"/>
      <c r="K260" s="91"/>
      <c r="L260" s="68"/>
      <c r="M260" s="68"/>
      <c r="N260" s="74" t="str">
        <f aca="false">IF(A260="","",IF(ISNUMBER(K260),IF(AND(OR(I260="",K260&gt;=I260),OR(J260="",K260&lt;=J260)),"Conforme","Non conforme"),IF(M260="","En attente",M260)))</f>
        <v/>
      </c>
      <c r="O260" s="25"/>
      <c r="P260" s="25"/>
      <c r="Q260" s="69"/>
      <c r="R260" s="74" t="str">
        <f aca="false">IF(A260="","",IF(N260="Non conforme",IF(Q260="","NC ouverte","NC levée"),IF(N260="Réserve",IF(Q260="","Réserve ouverte","Réserve levée"),IF(N260="En attente","À contrôler","Clos"))))</f>
        <v/>
      </c>
      <c r="S260" s="25"/>
    </row>
    <row r="261" customFormat="false" ht="15" hidden="false" customHeight="false" outlineLevel="0" collapsed="false">
      <c r="A261" s="68"/>
      <c r="B261" s="69"/>
      <c r="C261" s="25"/>
      <c r="D261" s="25"/>
      <c r="E261" s="25"/>
      <c r="F261" s="25"/>
      <c r="G261" s="25"/>
      <c r="H261" s="25"/>
      <c r="I261" s="91"/>
      <c r="J261" s="91"/>
      <c r="K261" s="91"/>
      <c r="L261" s="68"/>
      <c r="M261" s="68"/>
      <c r="N261" s="74" t="str">
        <f aca="false">IF(A261="","",IF(ISNUMBER(K261),IF(AND(OR(I261="",K261&gt;=I261),OR(J261="",K261&lt;=J261)),"Conforme","Non conforme"),IF(M261="","En attente",M261)))</f>
        <v/>
      </c>
      <c r="O261" s="25"/>
      <c r="P261" s="25"/>
      <c r="Q261" s="69"/>
      <c r="R261" s="74" t="str">
        <f aca="false">IF(A261="","",IF(N261="Non conforme",IF(Q261="","NC ouverte","NC levée"),IF(N261="Réserve",IF(Q261="","Réserve ouverte","Réserve levée"),IF(N261="En attente","À contrôler","Clos"))))</f>
        <v/>
      </c>
      <c r="S261" s="25"/>
    </row>
    <row r="262" customFormat="false" ht="15" hidden="false" customHeight="false" outlineLevel="0" collapsed="false">
      <c r="A262" s="68"/>
      <c r="B262" s="69"/>
      <c r="C262" s="25"/>
      <c r="D262" s="25"/>
      <c r="E262" s="25"/>
      <c r="F262" s="25"/>
      <c r="G262" s="25"/>
      <c r="H262" s="25"/>
      <c r="I262" s="91"/>
      <c r="J262" s="91"/>
      <c r="K262" s="91"/>
      <c r="L262" s="68"/>
      <c r="M262" s="68"/>
      <c r="N262" s="74" t="str">
        <f aca="false">IF(A262="","",IF(ISNUMBER(K262),IF(AND(OR(I262="",K262&gt;=I262),OR(J262="",K262&lt;=J262)),"Conforme","Non conforme"),IF(M262="","En attente",M262)))</f>
        <v/>
      </c>
      <c r="O262" s="25"/>
      <c r="P262" s="25"/>
      <c r="Q262" s="69"/>
      <c r="R262" s="74" t="str">
        <f aca="false">IF(A262="","",IF(N262="Non conforme",IF(Q262="","NC ouverte","NC levée"),IF(N262="Réserve",IF(Q262="","Réserve ouverte","Réserve levée"),IF(N262="En attente","À contrôler","Clos"))))</f>
        <v/>
      </c>
      <c r="S262" s="25"/>
    </row>
    <row r="263" customFormat="false" ht="15" hidden="false" customHeight="false" outlineLevel="0" collapsed="false">
      <c r="A263" s="68"/>
      <c r="B263" s="69"/>
      <c r="C263" s="25"/>
      <c r="D263" s="25"/>
      <c r="E263" s="25"/>
      <c r="F263" s="25"/>
      <c r="G263" s="25"/>
      <c r="H263" s="25"/>
      <c r="I263" s="91"/>
      <c r="J263" s="91"/>
      <c r="K263" s="91"/>
      <c r="L263" s="68"/>
      <c r="M263" s="68"/>
      <c r="N263" s="74" t="str">
        <f aca="false">IF(A263="","",IF(ISNUMBER(K263),IF(AND(OR(I263="",K263&gt;=I263),OR(J263="",K263&lt;=J263)),"Conforme","Non conforme"),IF(M263="","En attente",M263)))</f>
        <v/>
      </c>
      <c r="O263" s="25"/>
      <c r="P263" s="25"/>
      <c r="Q263" s="69"/>
      <c r="R263" s="74" t="str">
        <f aca="false">IF(A263="","",IF(N263="Non conforme",IF(Q263="","NC ouverte","NC levée"),IF(N263="Réserve",IF(Q263="","Réserve ouverte","Réserve levée"),IF(N263="En attente","À contrôler","Clos"))))</f>
        <v/>
      </c>
      <c r="S263" s="25"/>
    </row>
    <row r="264" customFormat="false" ht="15" hidden="false" customHeight="false" outlineLevel="0" collapsed="false">
      <c r="A264" s="68"/>
      <c r="B264" s="69"/>
      <c r="C264" s="25"/>
      <c r="D264" s="25"/>
      <c r="E264" s="25"/>
      <c r="F264" s="25"/>
      <c r="G264" s="25"/>
      <c r="H264" s="25"/>
      <c r="I264" s="91"/>
      <c r="J264" s="91"/>
      <c r="K264" s="91"/>
      <c r="L264" s="68"/>
      <c r="M264" s="68"/>
      <c r="N264" s="74" t="str">
        <f aca="false">IF(A264="","",IF(ISNUMBER(K264),IF(AND(OR(I264="",K264&gt;=I264),OR(J264="",K264&lt;=J264)),"Conforme","Non conforme"),IF(M264="","En attente",M264)))</f>
        <v/>
      </c>
      <c r="O264" s="25"/>
      <c r="P264" s="25"/>
      <c r="Q264" s="69"/>
      <c r="R264" s="74" t="str">
        <f aca="false">IF(A264="","",IF(N264="Non conforme",IF(Q264="","NC ouverte","NC levée"),IF(N264="Réserve",IF(Q264="","Réserve ouverte","Réserve levée"),IF(N264="En attente","À contrôler","Clos"))))</f>
        <v/>
      </c>
      <c r="S264" s="25"/>
    </row>
    <row r="265" customFormat="false" ht="15" hidden="false" customHeight="false" outlineLevel="0" collapsed="false">
      <c r="A265" s="68"/>
      <c r="B265" s="69"/>
      <c r="C265" s="25"/>
      <c r="D265" s="25"/>
      <c r="E265" s="25"/>
      <c r="F265" s="25"/>
      <c r="G265" s="25"/>
      <c r="H265" s="25"/>
      <c r="I265" s="91"/>
      <c r="J265" s="91"/>
      <c r="K265" s="91"/>
      <c r="L265" s="68"/>
      <c r="M265" s="68"/>
      <c r="N265" s="74" t="str">
        <f aca="false">IF(A265="","",IF(ISNUMBER(K265),IF(AND(OR(I265="",K265&gt;=I265),OR(J265="",K265&lt;=J265)),"Conforme","Non conforme"),IF(M265="","En attente",M265)))</f>
        <v/>
      </c>
      <c r="O265" s="25"/>
      <c r="P265" s="25"/>
      <c r="Q265" s="69"/>
      <c r="R265" s="74" t="str">
        <f aca="false">IF(A265="","",IF(N265="Non conforme",IF(Q265="","NC ouverte","NC levée"),IF(N265="Réserve",IF(Q265="","Réserve ouverte","Réserve levée"),IF(N265="En attente","À contrôler","Clos"))))</f>
        <v/>
      </c>
      <c r="S265" s="25"/>
    </row>
    <row r="266" customFormat="false" ht="15" hidden="false" customHeight="false" outlineLevel="0" collapsed="false">
      <c r="A266" s="68"/>
      <c r="B266" s="69"/>
      <c r="C266" s="25"/>
      <c r="D266" s="25"/>
      <c r="E266" s="25"/>
      <c r="F266" s="25"/>
      <c r="G266" s="25"/>
      <c r="H266" s="25"/>
      <c r="I266" s="91"/>
      <c r="J266" s="91"/>
      <c r="K266" s="91"/>
      <c r="L266" s="68"/>
      <c r="M266" s="68"/>
      <c r="N266" s="74" t="str">
        <f aca="false">IF(A266="","",IF(ISNUMBER(K266),IF(AND(OR(I266="",K266&gt;=I266),OR(J266="",K266&lt;=J266)),"Conforme","Non conforme"),IF(M266="","En attente",M266)))</f>
        <v/>
      </c>
      <c r="O266" s="25"/>
      <c r="P266" s="25"/>
      <c r="Q266" s="69"/>
      <c r="R266" s="74" t="str">
        <f aca="false">IF(A266="","",IF(N266="Non conforme",IF(Q266="","NC ouverte","NC levée"),IF(N266="Réserve",IF(Q266="","Réserve ouverte","Réserve levée"),IF(N266="En attente","À contrôler","Clos"))))</f>
        <v/>
      </c>
      <c r="S266" s="25"/>
    </row>
    <row r="267" customFormat="false" ht="15" hidden="false" customHeight="false" outlineLevel="0" collapsed="false">
      <c r="A267" s="68"/>
      <c r="B267" s="69"/>
      <c r="C267" s="25"/>
      <c r="D267" s="25"/>
      <c r="E267" s="25"/>
      <c r="F267" s="25"/>
      <c r="G267" s="25"/>
      <c r="H267" s="25"/>
      <c r="I267" s="91"/>
      <c r="J267" s="91"/>
      <c r="K267" s="91"/>
      <c r="L267" s="68"/>
      <c r="M267" s="68"/>
      <c r="N267" s="74" t="str">
        <f aca="false">IF(A267="","",IF(ISNUMBER(K267),IF(AND(OR(I267="",K267&gt;=I267),OR(J267="",K267&lt;=J267)),"Conforme","Non conforme"),IF(M267="","En attente",M267)))</f>
        <v/>
      </c>
      <c r="O267" s="25"/>
      <c r="P267" s="25"/>
      <c r="Q267" s="69"/>
      <c r="R267" s="74" t="str">
        <f aca="false">IF(A267="","",IF(N267="Non conforme",IF(Q267="","NC ouverte","NC levée"),IF(N267="Réserve",IF(Q267="","Réserve ouverte","Réserve levée"),IF(N267="En attente","À contrôler","Clos"))))</f>
        <v/>
      </c>
      <c r="S267" s="25"/>
    </row>
    <row r="268" customFormat="false" ht="15" hidden="false" customHeight="false" outlineLevel="0" collapsed="false">
      <c r="A268" s="68"/>
      <c r="B268" s="69"/>
      <c r="C268" s="25"/>
      <c r="D268" s="25"/>
      <c r="E268" s="25"/>
      <c r="F268" s="25"/>
      <c r="G268" s="25"/>
      <c r="H268" s="25"/>
      <c r="I268" s="91"/>
      <c r="J268" s="91"/>
      <c r="K268" s="91"/>
      <c r="L268" s="68"/>
      <c r="M268" s="68"/>
      <c r="N268" s="74" t="str">
        <f aca="false">IF(A268="","",IF(ISNUMBER(K268),IF(AND(OR(I268="",K268&gt;=I268),OR(J268="",K268&lt;=J268)),"Conforme","Non conforme"),IF(M268="","En attente",M268)))</f>
        <v/>
      </c>
      <c r="O268" s="25"/>
      <c r="P268" s="25"/>
      <c r="Q268" s="69"/>
      <c r="R268" s="74" t="str">
        <f aca="false">IF(A268="","",IF(N268="Non conforme",IF(Q268="","NC ouverte","NC levée"),IF(N268="Réserve",IF(Q268="","Réserve ouverte","Réserve levée"),IF(N268="En attente","À contrôler","Clos"))))</f>
        <v/>
      </c>
      <c r="S268" s="25"/>
    </row>
    <row r="269" customFormat="false" ht="15" hidden="false" customHeight="false" outlineLevel="0" collapsed="false">
      <c r="A269" s="68"/>
      <c r="B269" s="69"/>
      <c r="C269" s="25"/>
      <c r="D269" s="25"/>
      <c r="E269" s="25"/>
      <c r="F269" s="25"/>
      <c r="G269" s="25"/>
      <c r="H269" s="25"/>
      <c r="I269" s="91"/>
      <c r="J269" s="91"/>
      <c r="K269" s="91"/>
      <c r="L269" s="68"/>
      <c r="M269" s="68"/>
      <c r="N269" s="74" t="str">
        <f aca="false">IF(A269="","",IF(ISNUMBER(K269),IF(AND(OR(I269="",K269&gt;=I269),OR(J269="",K269&lt;=J269)),"Conforme","Non conforme"),IF(M269="","En attente",M269)))</f>
        <v/>
      </c>
      <c r="O269" s="25"/>
      <c r="P269" s="25"/>
      <c r="Q269" s="69"/>
      <c r="R269" s="74" t="str">
        <f aca="false">IF(A269="","",IF(N269="Non conforme",IF(Q269="","NC ouverte","NC levée"),IF(N269="Réserve",IF(Q269="","Réserve ouverte","Réserve levée"),IF(N269="En attente","À contrôler","Clos"))))</f>
        <v/>
      </c>
      <c r="S269" s="25"/>
    </row>
    <row r="270" customFormat="false" ht="15" hidden="false" customHeight="false" outlineLevel="0" collapsed="false">
      <c r="A270" s="68"/>
      <c r="B270" s="69"/>
      <c r="C270" s="25"/>
      <c r="D270" s="25"/>
      <c r="E270" s="25"/>
      <c r="F270" s="25"/>
      <c r="G270" s="25"/>
      <c r="H270" s="25"/>
      <c r="I270" s="91"/>
      <c r="J270" s="91"/>
      <c r="K270" s="91"/>
      <c r="L270" s="68"/>
      <c r="M270" s="68"/>
      <c r="N270" s="74" t="str">
        <f aca="false">IF(A270="","",IF(ISNUMBER(K270),IF(AND(OR(I270="",K270&gt;=I270),OR(J270="",K270&lt;=J270)),"Conforme","Non conforme"),IF(M270="","En attente",M270)))</f>
        <v/>
      </c>
      <c r="O270" s="25"/>
      <c r="P270" s="25"/>
      <c r="Q270" s="69"/>
      <c r="R270" s="74" t="str">
        <f aca="false">IF(A270="","",IF(N270="Non conforme",IF(Q270="","NC ouverte","NC levée"),IF(N270="Réserve",IF(Q270="","Réserve ouverte","Réserve levée"),IF(N270="En attente","À contrôler","Clos"))))</f>
        <v/>
      </c>
      <c r="S270" s="25"/>
    </row>
    <row r="271" customFormat="false" ht="15" hidden="false" customHeight="false" outlineLevel="0" collapsed="false">
      <c r="A271" s="68"/>
      <c r="B271" s="69"/>
      <c r="C271" s="25"/>
      <c r="D271" s="25"/>
      <c r="E271" s="25"/>
      <c r="F271" s="25"/>
      <c r="G271" s="25"/>
      <c r="H271" s="25"/>
      <c r="I271" s="91"/>
      <c r="J271" s="91"/>
      <c r="K271" s="91"/>
      <c r="L271" s="68"/>
      <c r="M271" s="68"/>
      <c r="N271" s="74" t="str">
        <f aca="false">IF(A271="","",IF(ISNUMBER(K271),IF(AND(OR(I271="",K271&gt;=I271),OR(J271="",K271&lt;=J271)),"Conforme","Non conforme"),IF(M271="","En attente",M271)))</f>
        <v/>
      </c>
      <c r="O271" s="25"/>
      <c r="P271" s="25"/>
      <c r="Q271" s="69"/>
      <c r="R271" s="74" t="str">
        <f aca="false">IF(A271="","",IF(N271="Non conforme",IF(Q271="","NC ouverte","NC levée"),IF(N271="Réserve",IF(Q271="","Réserve ouverte","Réserve levée"),IF(N271="En attente","À contrôler","Clos"))))</f>
        <v/>
      </c>
      <c r="S271" s="25"/>
    </row>
    <row r="272" customFormat="false" ht="15" hidden="false" customHeight="false" outlineLevel="0" collapsed="false">
      <c r="A272" s="68"/>
      <c r="B272" s="69"/>
      <c r="C272" s="25"/>
      <c r="D272" s="25"/>
      <c r="E272" s="25"/>
      <c r="F272" s="25"/>
      <c r="G272" s="25"/>
      <c r="H272" s="25"/>
      <c r="I272" s="91"/>
      <c r="J272" s="91"/>
      <c r="K272" s="91"/>
      <c r="L272" s="68"/>
      <c r="M272" s="68"/>
      <c r="N272" s="74" t="str">
        <f aca="false">IF(A272="","",IF(ISNUMBER(K272),IF(AND(OR(I272="",K272&gt;=I272),OR(J272="",K272&lt;=J272)),"Conforme","Non conforme"),IF(M272="","En attente",M272)))</f>
        <v/>
      </c>
      <c r="O272" s="25"/>
      <c r="P272" s="25"/>
      <c r="Q272" s="69"/>
      <c r="R272" s="74" t="str">
        <f aca="false">IF(A272="","",IF(N272="Non conforme",IF(Q272="","NC ouverte","NC levée"),IF(N272="Réserve",IF(Q272="","Réserve ouverte","Réserve levée"),IF(N272="En attente","À contrôler","Clos"))))</f>
        <v/>
      </c>
      <c r="S272" s="25"/>
    </row>
    <row r="273" customFormat="false" ht="15" hidden="false" customHeight="false" outlineLevel="0" collapsed="false">
      <c r="A273" s="68"/>
      <c r="B273" s="69"/>
      <c r="C273" s="25"/>
      <c r="D273" s="25"/>
      <c r="E273" s="25"/>
      <c r="F273" s="25"/>
      <c r="G273" s="25"/>
      <c r="H273" s="25"/>
      <c r="I273" s="91"/>
      <c r="J273" s="91"/>
      <c r="K273" s="91"/>
      <c r="L273" s="68"/>
      <c r="M273" s="68"/>
      <c r="N273" s="74" t="str">
        <f aca="false">IF(A273="","",IF(ISNUMBER(K273),IF(AND(OR(I273="",K273&gt;=I273),OR(J273="",K273&lt;=J273)),"Conforme","Non conforme"),IF(M273="","En attente",M273)))</f>
        <v/>
      </c>
      <c r="O273" s="25"/>
      <c r="P273" s="25"/>
      <c r="Q273" s="69"/>
      <c r="R273" s="74" t="str">
        <f aca="false">IF(A273="","",IF(N273="Non conforme",IF(Q273="","NC ouverte","NC levée"),IF(N273="Réserve",IF(Q273="","Réserve ouverte","Réserve levée"),IF(N273="En attente","À contrôler","Clos"))))</f>
        <v/>
      </c>
      <c r="S273" s="25"/>
    </row>
    <row r="274" customFormat="false" ht="15" hidden="false" customHeight="false" outlineLevel="0" collapsed="false">
      <c r="A274" s="68"/>
      <c r="B274" s="69"/>
      <c r="C274" s="25"/>
      <c r="D274" s="25"/>
      <c r="E274" s="25"/>
      <c r="F274" s="25"/>
      <c r="G274" s="25"/>
      <c r="H274" s="25"/>
      <c r="I274" s="91"/>
      <c r="J274" s="91"/>
      <c r="K274" s="91"/>
      <c r="L274" s="68"/>
      <c r="M274" s="68"/>
      <c r="N274" s="74" t="str">
        <f aca="false">IF(A274="","",IF(ISNUMBER(K274),IF(AND(OR(I274="",K274&gt;=I274),OR(J274="",K274&lt;=J274)),"Conforme","Non conforme"),IF(M274="","En attente",M274)))</f>
        <v/>
      </c>
      <c r="O274" s="25"/>
      <c r="P274" s="25"/>
      <c r="Q274" s="69"/>
      <c r="R274" s="74" t="str">
        <f aca="false">IF(A274="","",IF(N274="Non conforme",IF(Q274="","NC ouverte","NC levée"),IF(N274="Réserve",IF(Q274="","Réserve ouverte","Réserve levée"),IF(N274="En attente","À contrôler","Clos"))))</f>
        <v/>
      </c>
      <c r="S274" s="25"/>
    </row>
    <row r="275" customFormat="false" ht="15" hidden="false" customHeight="false" outlineLevel="0" collapsed="false">
      <c r="A275" s="68"/>
      <c r="B275" s="69"/>
      <c r="C275" s="25"/>
      <c r="D275" s="25"/>
      <c r="E275" s="25"/>
      <c r="F275" s="25"/>
      <c r="G275" s="25"/>
      <c r="H275" s="25"/>
      <c r="I275" s="91"/>
      <c r="J275" s="91"/>
      <c r="K275" s="91"/>
      <c r="L275" s="68"/>
      <c r="M275" s="68"/>
      <c r="N275" s="74" t="str">
        <f aca="false">IF(A275="","",IF(ISNUMBER(K275),IF(AND(OR(I275="",K275&gt;=I275),OR(J275="",K275&lt;=J275)),"Conforme","Non conforme"),IF(M275="","En attente",M275)))</f>
        <v/>
      </c>
      <c r="O275" s="25"/>
      <c r="P275" s="25"/>
      <c r="Q275" s="69"/>
      <c r="R275" s="74" t="str">
        <f aca="false">IF(A275="","",IF(N275="Non conforme",IF(Q275="","NC ouverte","NC levée"),IF(N275="Réserve",IF(Q275="","Réserve ouverte","Réserve levée"),IF(N275="En attente","À contrôler","Clos"))))</f>
        <v/>
      </c>
      <c r="S275" s="25"/>
    </row>
    <row r="276" customFormat="false" ht="15" hidden="false" customHeight="false" outlineLevel="0" collapsed="false">
      <c r="A276" s="68"/>
      <c r="B276" s="69"/>
      <c r="C276" s="25"/>
      <c r="D276" s="25"/>
      <c r="E276" s="25"/>
      <c r="F276" s="25"/>
      <c r="G276" s="25"/>
      <c r="H276" s="25"/>
      <c r="I276" s="91"/>
      <c r="J276" s="91"/>
      <c r="K276" s="91"/>
      <c r="L276" s="68"/>
      <c r="M276" s="68"/>
      <c r="N276" s="74" t="str">
        <f aca="false">IF(A276="","",IF(ISNUMBER(K276),IF(AND(OR(I276="",K276&gt;=I276),OR(J276="",K276&lt;=J276)),"Conforme","Non conforme"),IF(M276="","En attente",M276)))</f>
        <v/>
      </c>
      <c r="O276" s="25"/>
      <c r="P276" s="25"/>
      <c r="Q276" s="69"/>
      <c r="R276" s="74" t="str">
        <f aca="false">IF(A276="","",IF(N276="Non conforme",IF(Q276="","NC ouverte","NC levée"),IF(N276="Réserve",IF(Q276="","Réserve ouverte","Réserve levée"),IF(N276="En attente","À contrôler","Clos"))))</f>
        <v/>
      </c>
      <c r="S276" s="25"/>
    </row>
    <row r="277" customFormat="false" ht="15" hidden="false" customHeight="false" outlineLevel="0" collapsed="false">
      <c r="A277" s="68"/>
      <c r="B277" s="69"/>
      <c r="C277" s="25"/>
      <c r="D277" s="25"/>
      <c r="E277" s="25"/>
      <c r="F277" s="25"/>
      <c r="G277" s="25"/>
      <c r="H277" s="25"/>
      <c r="I277" s="91"/>
      <c r="J277" s="91"/>
      <c r="K277" s="91"/>
      <c r="L277" s="68"/>
      <c r="M277" s="68"/>
      <c r="N277" s="74" t="str">
        <f aca="false">IF(A277="","",IF(ISNUMBER(K277),IF(AND(OR(I277="",K277&gt;=I277),OR(J277="",K277&lt;=J277)),"Conforme","Non conforme"),IF(M277="","En attente",M277)))</f>
        <v/>
      </c>
      <c r="O277" s="25"/>
      <c r="P277" s="25"/>
      <c r="Q277" s="69"/>
      <c r="R277" s="74" t="str">
        <f aca="false">IF(A277="","",IF(N277="Non conforme",IF(Q277="","NC ouverte","NC levée"),IF(N277="Réserve",IF(Q277="","Réserve ouverte","Réserve levée"),IF(N277="En attente","À contrôler","Clos"))))</f>
        <v/>
      </c>
      <c r="S277" s="25"/>
    </row>
    <row r="278" customFormat="false" ht="15" hidden="false" customHeight="false" outlineLevel="0" collapsed="false">
      <c r="A278" s="68"/>
      <c r="B278" s="69"/>
      <c r="C278" s="25"/>
      <c r="D278" s="25"/>
      <c r="E278" s="25"/>
      <c r="F278" s="25"/>
      <c r="G278" s="25"/>
      <c r="H278" s="25"/>
      <c r="I278" s="91"/>
      <c r="J278" s="91"/>
      <c r="K278" s="91"/>
      <c r="L278" s="68"/>
      <c r="M278" s="68"/>
      <c r="N278" s="74" t="str">
        <f aca="false">IF(A278="","",IF(ISNUMBER(K278),IF(AND(OR(I278="",K278&gt;=I278),OR(J278="",K278&lt;=J278)),"Conforme","Non conforme"),IF(M278="","En attente",M278)))</f>
        <v/>
      </c>
      <c r="O278" s="25"/>
      <c r="P278" s="25"/>
      <c r="Q278" s="69"/>
      <c r="R278" s="74" t="str">
        <f aca="false">IF(A278="","",IF(N278="Non conforme",IF(Q278="","NC ouverte","NC levée"),IF(N278="Réserve",IF(Q278="","Réserve ouverte","Réserve levée"),IF(N278="En attente","À contrôler","Clos"))))</f>
        <v/>
      </c>
      <c r="S278" s="25"/>
    </row>
    <row r="279" customFormat="false" ht="15" hidden="false" customHeight="false" outlineLevel="0" collapsed="false">
      <c r="A279" s="68"/>
      <c r="B279" s="69"/>
      <c r="C279" s="25"/>
      <c r="D279" s="25"/>
      <c r="E279" s="25"/>
      <c r="F279" s="25"/>
      <c r="G279" s="25"/>
      <c r="H279" s="25"/>
      <c r="I279" s="91"/>
      <c r="J279" s="91"/>
      <c r="K279" s="91"/>
      <c r="L279" s="68"/>
      <c r="M279" s="68"/>
      <c r="N279" s="74" t="str">
        <f aca="false">IF(A279="","",IF(ISNUMBER(K279),IF(AND(OR(I279="",K279&gt;=I279),OR(J279="",K279&lt;=J279)),"Conforme","Non conforme"),IF(M279="","En attente",M279)))</f>
        <v/>
      </c>
      <c r="O279" s="25"/>
      <c r="P279" s="25"/>
      <c r="Q279" s="69"/>
      <c r="R279" s="74" t="str">
        <f aca="false">IF(A279="","",IF(N279="Non conforme",IF(Q279="","NC ouverte","NC levée"),IF(N279="Réserve",IF(Q279="","Réserve ouverte","Réserve levée"),IF(N279="En attente","À contrôler","Clos"))))</f>
        <v/>
      </c>
      <c r="S279" s="25"/>
    </row>
    <row r="280" customFormat="false" ht="15" hidden="false" customHeight="false" outlineLevel="0" collapsed="false">
      <c r="A280" s="68"/>
      <c r="B280" s="69"/>
      <c r="C280" s="25"/>
      <c r="D280" s="25"/>
      <c r="E280" s="25"/>
      <c r="F280" s="25"/>
      <c r="G280" s="25"/>
      <c r="H280" s="25"/>
      <c r="I280" s="91"/>
      <c r="J280" s="91"/>
      <c r="K280" s="91"/>
      <c r="L280" s="68"/>
      <c r="M280" s="68"/>
      <c r="N280" s="74" t="str">
        <f aca="false">IF(A280="","",IF(ISNUMBER(K280),IF(AND(OR(I280="",K280&gt;=I280),OR(J280="",K280&lt;=J280)),"Conforme","Non conforme"),IF(M280="","En attente",M280)))</f>
        <v/>
      </c>
      <c r="O280" s="25"/>
      <c r="P280" s="25"/>
      <c r="Q280" s="69"/>
      <c r="R280" s="74" t="str">
        <f aca="false">IF(A280="","",IF(N280="Non conforme",IF(Q280="","NC ouverte","NC levée"),IF(N280="Réserve",IF(Q280="","Réserve ouverte","Réserve levée"),IF(N280="En attente","À contrôler","Clos"))))</f>
        <v/>
      </c>
      <c r="S280" s="25"/>
    </row>
    <row r="281" customFormat="false" ht="15" hidden="false" customHeight="false" outlineLevel="0" collapsed="false">
      <c r="A281" s="68"/>
      <c r="B281" s="69"/>
      <c r="C281" s="25"/>
      <c r="D281" s="25"/>
      <c r="E281" s="25"/>
      <c r="F281" s="25"/>
      <c r="G281" s="25"/>
      <c r="H281" s="25"/>
      <c r="I281" s="91"/>
      <c r="J281" s="91"/>
      <c r="K281" s="91"/>
      <c r="L281" s="68"/>
      <c r="M281" s="68"/>
      <c r="N281" s="74" t="str">
        <f aca="false">IF(A281="","",IF(ISNUMBER(K281),IF(AND(OR(I281="",K281&gt;=I281),OR(J281="",K281&lt;=J281)),"Conforme","Non conforme"),IF(M281="","En attente",M281)))</f>
        <v/>
      </c>
      <c r="O281" s="25"/>
      <c r="P281" s="25"/>
      <c r="Q281" s="69"/>
      <c r="R281" s="74" t="str">
        <f aca="false">IF(A281="","",IF(N281="Non conforme",IF(Q281="","NC ouverte","NC levée"),IF(N281="Réserve",IF(Q281="","Réserve ouverte","Réserve levée"),IF(N281="En attente","À contrôler","Clos"))))</f>
        <v/>
      </c>
      <c r="S281" s="25"/>
    </row>
    <row r="282" customFormat="false" ht="15" hidden="false" customHeight="false" outlineLevel="0" collapsed="false">
      <c r="A282" s="68"/>
      <c r="B282" s="69"/>
      <c r="C282" s="25"/>
      <c r="D282" s="25"/>
      <c r="E282" s="25"/>
      <c r="F282" s="25"/>
      <c r="G282" s="25"/>
      <c r="H282" s="25"/>
      <c r="I282" s="91"/>
      <c r="J282" s="91"/>
      <c r="K282" s="91"/>
      <c r="L282" s="68"/>
      <c r="M282" s="68"/>
      <c r="N282" s="74" t="str">
        <f aca="false">IF(A282="","",IF(ISNUMBER(K282),IF(AND(OR(I282="",K282&gt;=I282),OR(J282="",K282&lt;=J282)),"Conforme","Non conforme"),IF(M282="","En attente",M282)))</f>
        <v/>
      </c>
      <c r="O282" s="25"/>
      <c r="P282" s="25"/>
      <c r="Q282" s="69"/>
      <c r="R282" s="74" t="str">
        <f aca="false">IF(A282="","",IF(N282="Non conforme",IF(Q282="","NC ouverte","NC levée"),IF(N282="Réserve",IF(Q282="","Réserve ouverte","Réserve levée"),IF(N282="En attente","À contrôler","Clos"))))</f>
        <v/>
      </c>
      <c r="S282" s="25"/>
    </row>
    <row r="283" customFormat="false" ht="15" hidden="false" customHeight="false" outlineLevel="0" collapsed="false">
      <c r="A283" s="68"/>
      <c r="B283" s="69"/>
      <c r="C283" s="25"/>
      <c r="D283" s="25"/>
      <c r="E283" s="25"/>
      <c r="F283" s="25"/>
      <c r="G283" s="25"/>
      <c r="H283" s="25"/>
      <c r="I283" s="91"/>
      <c r="J283" s="91"/>
      <c r="K283" s="91"/>
      <c r="L283" s="68"/>
      <c r="M283" s="68"/>
      <c r="N283" s="74" t="str">
        <f aca="false">IF(A283="","",IF(ISNUMBER(K283),IF(AND(OR(I283="",K283&gt;=I283),OR(J283="",K283&lt;=J283)),"Conforme","Non conforme"),IF(M283="","En attente",M283)))</f>
        <v/>
      </c>
      <c r="O283" s="25"/>
      <c r="P283" s="25"/>
      <c r="Q283" s="69"/>
      <c r="R283" s="74" t="str">
        <f aca="false">IF(A283="","",IF(N283="Non conforme",IF(Q283="","NC ouverte","NC levée"),IF(N283="Réserve",IF(Q283="","Réserve ouverte","Réserve levée"),IF(N283="En attente","À contrôler","Clos"))))</f>
        <v/>
      </c>
      <c r="S283" s="25"/>
    </row>
    <row r="284" customFormat="false" ht="15" hidden="false" customHeight="false" outlineLevel="0" collapsed="false">
      <c r="A284" s="68"/>
      <c r="B284" s="69"/>
      <c r="C284" s="25"/>
      <c r="D284" s="25"/>
      <c r="E284" s="25"/>
      <c r="F284" s="25"/>
      <c r="G284" s="25"/>
      <c r="H284" s="25"/>
      <c r="I284" s="91"/>
      <c r="J284" s="91"/>
      <c r="K284" s="91"/>
      <c r="L284" s="68"/>
      <c r="M284" s="68"/>
      <c r="N284" s="74" t="str">
        <f aca="false">IF(A284="","",IF(ISNUMBER(K284),IF(AND(OR(I284="",K284&gt;=I284),OR(J284="",K284&lt;=J284)),"Conforme","Non conforme"),IF(M284="","En attente",M284)))</f>
        <v/>
      </c>
      <c r="O284" s="25"/>
      <c r="P284" s="25"/>
      <c r="Q284" s="69"/>
      <c r="R284" s="74" t="str">
        <f aca="false">IF(A284="","",IF(N284="Non conforme",IF(Q284="","NC ouverte","NC levée"),IF(N284="Réserve",IF(Q284="","Réserve ouverte","Réserve levée"),IF(N284="En attente","À contrôler","Clos"))))</f>
        <v/>
      </c>
      <c r="S284" s="25"/>
    </row>
    <row r="285" customFormat="false" ht="15" hidden="false" customHeight="false" outlineLevel="0" collapsed="false">
      <c r="A285" s="68"/>
      <c r="B285" s="69"/>
      <c r="C285" s="25"/>
      <c r="D285" s="25"/>
      <c r="E285" s="25"/>
      <c r="F285" s="25"/>
      <c r="G285" s="25"/>
      <c r="H285" s="25"/>
      <c r="I285" s="91"/>
      <c r="J285" s="91"/>
      <c r="K285" s="91"/>
      <c r="L285" s="68"/>
      <c r="M285" s="68"/>
      <c r="N285" s="74" t="str">
        <f aca="false">IF(A285="","",IF(ISNUMBER(K285),IF(AND(OR(I285="",K285&gt;=I285),OR(J285="",K285&lt;=J285)),"Conforme","Non conforme"),IF(M285="","En attente",M285)))</f>
        <v/>
      </c>
      <c r="O285" s="25"/>
      <c r="P285" s="25"/>
      <c r="Q285" s="69"/>
      <c r="R285" s="74" t="str">
        <f aca="false">IF(A285="","",IF(N285="Non conforme",IF(Q285="","NC ouverte","NC levée"),IF(N285="Réserve",IF(Q285="","Réserve ouverte","Réserve levée"),IF(N285="En attente","À contrôler","Clos"))))</f>
        <v/>
      </c>
      <c r="S285" s="25"/>
    </row>
    <row r="286" customFormat="false" ht="15" hidden="false" customHeight="false" outlineLevel="0" collapsed="false">
      <c r="A286" s="68"/>
      <c r="B286" s="69"/>
      <c r="C286" s="25"/>
      <c r="D286" s="25"/>
      <c r="E286" s="25"/>
      <c r="F286" s="25"/>
      <c r="G286" s="25"/>
      <c r="H286" s="25"/>
      <c r="I286" s="91"/>
      <c r="J286" s="91"/>
      <c r="K286" s="91"/>
      <c r="L286" s="68"/>
      <c r="M286" s="68"/>
      <c r="N286" s="74" t="str">
        <f aca="false">IF(A286="","",IF(ISNUMBER(K286),IF(AND(OR(I286="",K286&gt;=I286),OR(J286="",K286&lt;=J286)),"Conforme","Non conforme"),IF(M286="","En attente",M286)))</f>
        <v/>
      </c>
      <c r="O286" s="25"/>
      <c r="P286" s="25"/>
      <c r="Q286" s="69"/>
      <c r="R286" s="74" t="str">
        <f aca="false">IF(A286="","",IF(N286="Non conforme",IF(Q286="","NC ouverte","NC levée"),IF(N286="Réserve",IF(Q286="","Réserve ouverte","Réserve levée"),IF(N286="En attente","À contrôler","Clos"))))</f>
        <v/>
      </c>
      <c r="S286" s="25"/>
    </row>
    <row r="287" customFormat="false" ht="15" hidden="false" customHeight="false" outlineLevel="0" collapsed="false">
      <c r="A287" s="68"/>
      <c r="B287" s="69"/>
      <c r="C287" s="25"/>
      <c r="D287" s="25"/>
      <c r="E287" s="25"/>
      <c r="F287" s="25"/>
      <c r="G287" s="25"/>
      <c r="H287" s="25"/>
      <c r="I287" s="91"/>
      <c r="J287" s="91"/>
      <c r="K287" s="91"/>
      <c r="L287" s="68"/>
      <c r="M287" s="68"/>
      <c r="N287" s="74" t="str">
        <f aca="false">IF(A287="","",IF(ISNUMBER(K287),IF(AND(OR(I287="",K287&gt;=I287),OR(J287="",K287&lt;=J287)),"Conforme","Non conforme"),IF(M287="","En attente",M287)))</f>
        <v/>
      </c>
      <c r="O287" s="25"/>
      <c r="P287" s="25"/>
      <c r="Q287" s="69"/>
      <c r="R287" s="74" t="str">
        <f aca="false">IF(A287="","",IF(N287="Non conforme",IF(Q287="","NC ouverte","NC levée"),IF(N287="Réserve",IF(Q287="","Réserve ouverte","Réserve levée"),IF(N287="En attente","À contrôler","Clos"))))</f>
        <v/>
      </c>
      <c r="S287" s="25"/>
    </row>
    <row r="288" customFormat="false" ht="15" hidden="false" customHeight="false" outlineLevel="0" collapsed="false">
      <c r="A288" s="68"/>
      <c r="B288" s="69"/>
      <c r="C288" s="25"/>
      <c r="D288" s="25"/>
      <c r="E288" s="25"/>
      <c r="F288" s="25"/>
      <c r="G288" s="25"/>
      <c r="H288" s="25"/>
      <c r="I288" s="91"/>
      <c r="J288" s="91"/>
      <c r="K288" s="91"/>
      <c r="L288" s="68"/>
      <c r="M288" s="68"/>
      <c r="N288" s="74" t="str">
        <f aca="false">IF(A288="","",IF(ISNUMBER(K288),IF(AND(OR(I288="",K288&gt;=I288),OR(J288="",K288&lt;=J288)),"Conforme","Non conforme"),IF(M288="","En attente",M288)))</f>
        <v/>
      </c>
      <c r="O288" s="25"/>
      <c r="P288" s="25"/>
      <c r="Q288" s="69"/>
      <c r="R288" s="74" t="str">
        <f aca="false">IF(A288="","",IF(N288="Non conforme",IF(Q288="","NC ouverte","NC levée"),IF(N288="Réserve",IF(Q288="","Réserve ouverte","Réserve levée"),IF(N288="En attente","À contrôler","Clos"))))</f>
        <v/>
      </c>
      <c r="S288" s="25"/>
    </row>
    <row r="289" customFormat="false" ht="15" hidden="false" customHeight="false" outlineLevel="0" collapsed="false">
      <c r="A289" s="68"/>
      <c r="B289" s="69"/>
      <c r="C289" s="25"/>
      <c r="D289" s="25"/>
      <c r="E289" s="25"/>
      <c r="F289" s="25"/>
      <c r="G289" s="25"/>
      <c r="H289" s="25"/>
      <c r="I289" s="91"/>
      <c r="J289" s="91"/>
      <c r="K289" s="91"/>
      <c r="L289" s="68"/>
      <c r="M289" s="68"/>
      <c r="N289" s="74" t="str">
        <f aca="false">IF(A289="","",IF(ISNUMBER(K289),IF(AND(OR(I289="",K289&gt;=I289),OR(J289="",K289&lt;=J289)),"Conforme","Non conforme"),IF(M289="","En attente",M289)))</f>
        <v/>
      </c>
      <c r="O289" s="25"/>
      <c r="P289" s="25"/>
      <c r="Q289" s="69"/>
      <c r="R289" s="74" t="str">
        <f aca="false">IF(A289="","",IF(N289="Non conforme",IF(Q289="","NC ouverte","NC levée"),IF(N289="Réserve",IF(Q289="","Réserve ouverte","Réserve levée"),IF(N289="En attente","À contrôler","Clos"))))</f>
        <v/>
      </c>
      <c r="S289" s="25"/>
    </row>
    <row r="290" customFormat="false" ht="15" hidden="false" customHeight="false" outlineLevel="0" collapsed="false">
      <c r="A290" s="68"/>
      <c r="B290" s="69"/>
      <c r="C290" s="25"/>
      <c r="D290" s="25"/>
      <c r="E290" s="25"/>
      <c r="F290" s="25"/>
      <c r="G290" s="25"/>
      <c r="H290" s="25"/>
      <c r="I290" s="91"/>
      <c r="J290" s="91"/>
      <c r="K290" s="91"/>
      <c r="L290" s="68"/>
      <c r="M290" s="68"/>
      <c r="N290" s="74" t="str">
        <f aca="false">IF(A290="","",IF(ISNUMBER(K290),IF(AND(OR(I290="",K290&gt;=I290),OR(J290="",K290&lt;=J290)),"Conforme","Non conforme"),IF(M290="","En attente",M290)))</f>
        <v/>
      </c>
      <c r="O290" s="25"/>
      <c r="P290" s="25"/>
      <c r="Q290" s="69"/>
      <c r="R290" s="74" t="str">
        <f aca="false">IF(A290="","",IF(N290="Non conforme",IF(Q290="","NC ouverte","NC levée"),IF(N290="Réserve",IF(Q290="","Réserve ouverte","Réserve levée"),IF(N290="En attente","À contrôler","Clos"))))</f>
        <v/>
      </c>
      <c r="S290" s="25"/>
    </row>
    <row r="291" customFormat="false" ht="15" hidden="false" customHeight="false" outlineLevel="0" collapsed="false">
      <c r="A291" s="68"/>
      <c r="B291" s="69"/>
      <c r="C291" s="25"/>
      <c r="D291" s="25"/>
      <c r="E291" s="25"/>
      <c r="F291" s="25"/>
      <c r="G291" s="25"/>
      <c r="H291" s="25"/>
      <c r="I291" s="91"/>
      <c r="J291" s="91"/>
      <c r="K291" s="91"/>
      <c r="L291" s="68"/>
      <c r="M291" s="68"/>
      <c r="N291" s="74" t="str">
        <f aca="false">IF(A291="","",IF(ISNUMBER(K291),IF(AND(OR(I291="",K291&gt;=I291),OR(J291="",K291&lt;=J291)),"Conforme","Non conforme"),IF(M291="","En attente",M291)))</f>
        <v/>
      </c>
      <c r="O291" s="25"/>
      <c r="P291" s="25"/>
      <c r="Q291" s="69"/>
      <c r="R291" s="74" t="str">
        <f aca="false">IF(A291="","",IF(N291="Non conforme",IF(Q291="","NC ouverte","NC levée"),IF(N291="Réserve",IF(Q291="","Réserve ouverte","Réserve levée"),IF(N291="En attente","À contrôler","Clos"))))</f>
        <v/>
      </c>
      <c r="S291" s="25"/>
    </row>
    <row r="292" customFormat="false" ht="15" hidden="false" customHeight="false" outlineLevel="0" collapsed="false">
      <c r="A292" s="68"/>
      <c r="B292" s="69"/>
      <c r="C292" s="25"/>
      <c r="D292" s="25"/>
      <c r="E292" s="25"/>
      <c r="F292" s="25"/>
      <c r="G292" s="25"/>
      <c r="H292" s="25"/>
      <c r="I292" s="91"/>
      <c r="J292" s="91"/>
      <c r="K292" s="91"/>
      <c r="L292" s="68"/>
      <c r="M292" s="68"/>
      <c r="N292" s="74" t="str">
        <f aca="false">IF(A292="","",IF(ISNUMBER(K292),IF(AND(OR(I292="",K292&gt;=I292),OR(J292="",K292&lt;=J292)),"Conforme","Non conforme"),IF(M292="","En attente",M292)))</f>
        <v/>
      </c>
      <c r="O292" s="25"/>
      <c r="P292" s="25"/>
      <c r="Q292" s="69"/>
      <c r="R292" s="74" t="str">
        <f aca="false">IF(A292="","",IF(N292="Non conforme",IF(Q292="","NC ouverte","NC levée"),IF(N292="Réserve",IF(Q292="","Réserve ouverte","Réserve levée"),IF(N292="En attente","À contrôler","Clos"))))</f>
        <v/>
      </c>
      <c r="S292" s="25"/>
    </row>
    <row r="293" customFormat="false" ht="15" hidden="false" customHeight="false" outlineLevel="0" collapsed="false">
      <c r="A293" s="68"/>
      <c r="B293" s="69"/>
      <c r="C293" s="25"/>
      <c r="D293" s="25"/>
      <c r="E293" s="25"/>
      <c r="F293" s="25"/>
      <c r="G293" s="25"/>
      <c r="H293" s="25"/>
      <c r="I293" s="91"/>
      <c r="J293" s="91"/>
      <c r="K293" s="91"/>
      <c r="L293" s="68"/>
      <c r="M293" s="68"/>
      <c r="N293" s="74" t="str">
        <f aca="false">IF(A293="","",IF(ISNUMBER(K293),IF(AND(OR(I293="",K293&gt;=I293),OR(J293="",K293&lt;=J293)),"Conforme","Non conforme"),IF(M293="","En attente",M293)))</f>
        <v/>
      </c>
      <c r="O293" s="25"/>
      <c r="P293" s="25"/>
      <c r="Q293" s="69"/>
      <c r="R293" s="74" t="str">
        <f aca="false">IF(A293="","",IF(N293="Non conforme",IF(Q293="","NC ouverte","NC levée"),IF(N293="Réserve",IF(Q293="","Réserve ouverte","Réserve levée"),IF(N293="En attente","À contrôler","Clos"))))</f>
        <v/>
      </c>
      <c r="S293" s="25"/>
    </row>
    <row r="294" customFormat="false" ht="15" hidden="false" customHeight="false" outlineLevel="0" collapsed="false">
      <c r="A294" s="68"/>
      <c r="B294" s="69"/>
      <c r="C294" s="25"/>
      <c r="D294" s="25"/>
      <c r="E294" s="25"/>
      <c r="F294" s="25"/>
      <c r="G294" s="25"/>
      <c r="H294" s="25"/>
      <c r="I294" s="91"/>
      <c r="J294" s="91"/>
      <c r="K294" s="91"/>
      <c r="L294" s="68"/>
      <c r="M294" s="68"/>
      <c r="N294" s="74" t="str">
        <f aca="false">IF(A294="","",IF(ISNUMBER(K294),IF(AND(OR(I294="",K294&gt;=I294),OR(J294="",K294&lt;=J294)),"Conforme","Non conforme"),IF(M294="","En attente",M294)))</f>
        <v/>
      </c>
      <c r="O294" s="25"/>
      <c r="P294" s="25"/>
      <c r="Q294" s="69"/>
      <c r="R294" s="74" t="str">
        <f aca="false">IF(A294="","",IF(N294="Non conforme",IF(Q294="","NC ouverte","NC levée"),IF(N294="Réserve",IF(Q294="","Réserve ouverte","Réserve levée"),IF(N294="En attente","À contrôler","Clos"))))</f>
        <v/>
      </c>
      <c r="S294" s="25"/>
    </row>
    <row r="295" customFormat="false" ht="15" hidden="false" customHeight="false" outlineLevel="0" collapsed="false">
      <c r="A295" s="68"/>
      <c r="B295" s="69"/>
      <c r="C295" s="25"/>
      <c r="D295" s="25"/>
      <c r="E295" s="25"/>
      <c r="F295" s="25"/>
      <c r="G295" s="25"/>
      <c r="H295" s="25"/>
      <c r="I295" s="91"/>
      <c r="J295" s="91"/>
      <c r="K295" s="91"/>
      <c r="L295" s="68"/>
      <c r="M295" s="68"/>
      <c r="N295" s="74" t="str">
        <f aca="false">IF(A295="","",IF(ISNUMBER(K295),IF(AND(OR(I295="",K295&gt;=I295),OR(J295="",K295&lt;=J295)),"Conforme","Non conforme"),IF(M295="","En attente",M295)))</f>
        <v/>
      </c>
      <c r="O295" s="25"/>
      <c r="P295" s="25"/>
      <c r="Q295" s="69"/>
      <c r="R295" s="74" t="str">
        <f aca="false">IF(A295="","",IF(N295="Non conforme",IF(Q295="","NC ouverte","NC levée"),IF(N295="Réserve",IF(Q295="","Réserve ouverte","Réserve levée"),IF(N295="En attente","À contrôler","Clos"))))</f>
        <v/>
      </c>
      <c r="S295" s="25"/>
    </row>
    <row r="296" customFormat="false" ht="15" hidden="false" customHeight="false" outlineLevel="0" collapsed="false">
      <c r="A296" s="68"/>
      <c r="B296" s="69"/>
      <c r="C296" s="25"/>
      <c r="D296" s="25"/>
      <c r="E296" s="25"/>
      <c r="F296" s="25"/>
      <c r="G296" s="25"/>
      <c r="H296" s="25"/>
      <c r="I296" s="91"/>
      <c r="J296" s="91"/>
      <c r="K296" s="91"/>
      <c r="L296" s="68"/>
      <c r="M296" s="68"/>
      <c r="N296" s="74" t="str">
        <f aca="false">IF(A296="","",IF(ISNUMBER(K296),IF(AND(OR(I296="",K296&gt;=I296),OR(J296="",K296&lt;=J296)),"Conforme","Non conforme"),IF(M296="","En attente",M296)))</f>
        <v/>
      </c>
      <c r="O296" s="25"/>
      <c r="P296" s="25"/>
      <c r="Q296" s="69"/>
      <c r="R296" s="74" t="str">
        <f aca="false">IF(A296="","",IF(N296="Non conforme",IF(Q296="","NC ouverte","NC levée"),IF(N296="Réserve",IF(Q296="","Réserve ouverte","Réserve levée"),IF(N296="En attente","À contrôler","Clos"))))</f>
        <v/>
      </c>
      <c r="S296" s="25"/>
    </row>
    <row r="297" customFormat="false" ht="15" hidden="false" customHeight="false" outlineLevel="0" collapsed="false">
      <c r="A297" s="68"/>
      <c r="B297" s="69"/>
      <c r="C297" s="25"/>
      <c r="D297" s="25"/>
      <c r="E297" s="25"/>
      <c r="F297" s="25"/>
      <c r="G297" s="25"/>
      <c r="H297" s="25"/>
      <c r="I297" s="91"/>
      <c r="J297" s="91"/>
      <c r="K297" s="91"/>
      <c r="L297" s="68"/>
      <c r="M297" s="68"/>
      <c r="N297" s="74" t="str">
        <f aca="false">IF(A297="","",IF(ISNUMBER(K297),IF(AND(OR(I297="",K297&gt;=I297),OR(J297="",K297&lt;=J297)),"Conforme","Non conforme"),IF(M297="","En attente",M297)))</f>
        <v/>
      </c>
      <c r="O297" s="25"/>
      <c r="P297" s="25"/>
      <c r="Q297" s="69"/>
      <c r="R297" s="74" t="str">
        <f aca="false">IF(A297="","",IF(N297="Non conforme",IF(Q297="","NC ouverte","NC levée"),IF(N297="Réserve",IF(Q297="","Réserve ouverte","Réserve levée"),IF(N297="En attente","À contrôler","Clos"))))</f>
        <v/>
      </c>
      <c r="S297" s="25"/>
    </row>
    <row r="298" customFormat="false" ht="15" hidden="false" customHeight="false" outlineLevel="0" collapsed="false">
      <c r="A298" s="68"/>
      <c r="B298" s="69"/>
      <c r="C298" s="25"/>
      <c r="D298" s="25"/>
      <c r="E298" s="25"/>
      <c r="F298" s="25"/>
      <c r="G298" s="25"/>
      <c r="H298" s="25"/>
      <c r="I298" s="91"/>
      <c r="J298" s="91"/>
      <c r="K298" s="91"/>
      <c r="L298" s="68"/>
      <c r="M298" s="68"/>
      <c r="N298" s="74" t="str">
        <f aca="false">IF(A298="","",IF(ISNUMBER(K298),IF(AND(OR(I298="",K298&gt;=I298),OR(J298="",K298&lt;=J298)),"Conforme","Non conforme"),IF(M298="","En attente",M298)))</f>
        <v/>
      </c>
      <c r="O298" s="25"/>
      <c r="P298" s="25"/>
      <c r="Q298" s="69"/>
      <c r="R298" s="74" t="str">
        <f aca="false">IF(A298="","",IF(N298="Non conforme",IF(Q298="","NC ouverte","NC levée"),IF(N298="Réserve",IF(Q298="","Réserve ouverte","Réserve levée"),IF(N298="En attente","À contrôler","Clos"))))</f>
        <v/>
      </c>
      <c r="S298" s="25"/>
    </row>
    <row r="299" customFormat="false" ht="15" hidden="false" customHeight="false" outlineLevel="0" collapsed="false">
      <c r="A299" s="68"/>
      <c r="B299" s="69"/>
      <c r="C299" s="25"/>
      <c r="D299" s="25"/>
      <c r="E299" s="25"/>
      <c r="F299" s="25"/>
      <c r="G299" s="25"/>
      <c r="H299" s="25"/>
      <c r="I299" s="91"/>
      <c r="J299" s="91"/>
      <c r="K299" s="91"/>
      <c r="L299" s="68"/>
      <c r="M299" s="68"/>
      <c r="N299" s="74" t="str">
        <f aca="false">IF(A299="","",IF(ISNUMBER(K299),IF(AND(OR(I299="",K299&gt;=I299),OR(J299="",K299&lt;=J299)),"Conforme","Non conforme"),IF(M299="","En attente",M299)))</f>
        <v/>
      </c>
      <c r="O299" s="25"/>
      <c r="P299" s="25"/>
      <c r="Q299" s="69"/>
      <c r="R299" s="74" t="str">
        <f aca="false">IF(A299="","",IF(N299="Non conforme",IF(Q299="","NC ouverte","NC levée"),IF(N299="Réserve",IF(Q299="","Réserve ouverte","Réserve levée"),IF(N299="En attente","À contrôler","Clos"))))</f>
        <v/>
      </c>
      <c r="S299" s="25"/>
    </row>
    <row r="300" customFormat="false" ht="15" hidden="false" customHeight="false" outlineLevel="0" collapsed="false">
      <c r="A300" s="68"/>
      <c r="B300" s="69"/>
      <c r="C300" s="25"/>
      <c r="D300" s="25"/>
      <c r="E300" s="25"/>
      <c r="F300" s="25"/>
      <c r="G300" s="25"/>
      <c r="H300" s="25"/>
      <c r="I300" s="91"/>
      <c r="J300" s="91"/>
      <c r="K300" s="91"/>
      <c r="L300" s="68"/>
      <c r="M300" s="68"/>
      <c r="N300" s="74" t="str">
        <f aca="false">IF(A300="","",IF(ISNUMBER(K300),IF(AND(OR(I300="",K300&gt;=I300),OR(J300="",K300&lt;=J300)),"Conforme","Non conforme"),IF(M300="","En attente",M300)))</f>
        <v/>
      </c>
      <c r="O300" s="25"/>
      <c r="P300" s="25"/>
      <c r="Q300" s="69"/>
      <c r="R300" s="74" t="str">
        <f aca="false">IF(A300="","",IF(N300="Non conforme",IF(Q300="","NC ouverte","NC levée"),IF(N300="Réserve",IF(Q300="","Réserve ouverte","Réserve levée"),IF(N300="En attente","À contrôler","Clos"))))</f>
        <v/>
      </c>
      <c r="S300" s="25"/>
    </row>
    <row r="301" customFormat="false" ht="15" hidden="false" customHeight="false" outlineLevel="0" collapsed="false">
      <c r="A301" s="68"/>
      <c r="B301" s="69"/>
      <c r="C301" s="25"/>
      <c r="D301" s="25"/>
      <c r="E301" s="25"/>
      <c r="F301" s="25"/>
      <c r="G301" s="25"/>
      <c r="H301" s="25"/>
      <c r="I301" s="91"/>
      <c r="J301" s="91"/>
      <c r="K301" s="91"/>
      <c r="L301" s="68"/>
      <c r="M301" s="68"/>
      <c r="N301" s="74" t="str">
        <f aca="false">IF(A301="","",IF(ISNUMBER(K301),IF(AND(OR(I301="",K301&gt;=I301),OR(J301="",K301&lt;=J301)),"Conforme","Non conforme"),IF(M301="","En attente",M301)))</f>
        <v/>
      </c>
      <c r="O301" s="25"/>
      <c r="P301" s="25"/>
      <c r="Q301" s="69"/>
      <c r="R301" s="74" t="str">
        <f aca="false">IF(A301="","",IF(N301="Non conforme",IF(Q301="","NC ouverte","NC levée"),IF(N301="Réserve",IF(Q301="","Réserve ouverte","Réserve levée"),IF(N301="En attente","À contrôler","Clos"))))</f>
        <v/>
      </c>
      <c r="S301" s="25"/>
    </row>
    <row r="302" customFormat="false" ht="15" hidden="false" customHeight="false" outlineLevel="0" collapsed="false">
      <c r="A302" s="68"/>
      <c r="B302" s="69"/>
      <c r="C302" s="25"/>
      <c r="D302" s="25"/>
      <c r="E302" s="25"/>
      <c r="F302" s="25"/>
      <c r="G302" s="25"/>
      <c r="H302" s="25"/>
      <c r="I302" s="91"/>
      <c r="J302" s="91"/>
      <c r="K302" s="91"/>
      <c r="L302" s="68"/>
      <c r="M302" s="68"/>
      <c r="N302" s="74" t="str">
        <f aca="false">IF(A302="","",IF(ISNUMBER(K302),IF(AND(OR(I302="",K302&gt;=I302),OR(J302="",K302&lt;=J302)),"Conforme","Non conforme"),IF(M302="","En attente",M302)))</f>
        <v/>
      </c>
      <c r="O302" s="25"/>
      <c r="P302" s="25"/>
      <c r="Q302" s="69"/>
      <c r="R302" s="74" t="str">
        <f aca="false">IF(A302="","",IF(N302="Non conforme",IF(Q302="","NC ouverte","NC levée"),IF(N302="Réserve",IF(Q302="","Réserve ouverte","Réserve levée"),IF(N302="En attente","À contrôler","Clos"))))</f>
        <v/>
      </c>
      <c r="S302" s="25"/>
    </row>
    <row r="303" customFormat="false" ht="15" hidden="false" customHeight="false" outlineLevel="0" collapsed="false">
      <c r="A303" s="68"/>
      <c r="B303" s="69"/>
      <c r="C303" s="25"/>
      <c r="D303" s="25"/>
      <c r="E303" s="25"/>
      <c r="F303" s="25"/>
      <c r="G303" s="25"/>
      <c r="H303" s="25"/>
      <c r="I303" s="91"/>
      <c r="J303" s="91"/>
      <c r="K303" s="91"/>
      <c r="L303" s="68"/>
      <c r="M303" s="68"/>
      <c r="N303" s="74" t="str">
        <f aca="false">IF(A303="","",IF(ISNUMBER(K303),IF(AND(OR(I303="",K303&gt;=I303),OR(J303="",K303&lt;=J303)),"Conforme","Non conforme"),IF(M303="","En attente",M303)))</f>
        <v/>
      </c>
      <c r="O303" s="25"/>
      <c r="P303" s="25"/>
      <c r="Q303" s="69"/>
      <c r="R303" s="74" t="str">
        <f aca="false">IF(A303="","",IF(N303="Non conforme",IF(Q303="","NC ouverte","NC levée"),IF(N303="Réserve",IF(Q303="","Réserve ouverte","Réserve levée"),IF(N303="En attente","À contrôler","Clos"))))</f>
        <v/>
      </c>
      <c r="S303" s="25"/>
    </row>
    <row r="304" customFormat="false" ht="15" hidden="false" customHeight="false" outlineLevel="0" collapsed="false">
      <c r="A304" s="68"/>
      <c r="B304" s="69"/>
      <c r="C304" s="25"/>
      <c r="D304" s="25"/>
      <c r="E304" s="25"/>
      <c r="F304" s="25"/>
      <c r="G304" s="25"/>
      <c r="H304" s="25"/>
      <c r="I304" s="91"/>
      <c r="J304" s="91"/>
      <c r="K304" s="91"/>
      <c r="L304" s="68"/>
      <c r="M304" s="68"/>
      <c r="N304" s="74" t="str">
        <f aca="false">IF(A304="","",IF(ISNUMBER(K304),IF(AND(OR(I304="",K304&gt;=I304),OR(J304="",K304&lt;=J304)),"Conforme","Non conforme"),IF(M304="","En attente",M304)))</f>
        <v/>
      </c>
      <c r="O304" s="25"/>
      <c r="P304" s="25"/>
      <c r="Q304" s="69"/>
      <c r="R304" s="74" t="str">
        <f aca="false">IF(A304="","",IF(N304="Non conforme",IF(Q304="","NC ouverte","NC levée"),IF(N304="Réserve",IF(Q304="","Réserve ouverte","Réserve levée"),IF(N304="En attente","À contrôler","Clos"))))</f>
        <v/>
      </c>
      <c r="S304" s="25"/>
    </row>
    <row r="305" customFormat="false" ht="15" hidden="false" customHeight="false" outlineLevel="0" collapsed="false">
      <c r="A305" s="68"/>
      <c r="B305" s="69"/>
      <c r="C305" s="25"/>
      <c r="D305" s="25"/>
      <c r="E305" s="25"/>
      <c r="F305" s="25"/>
      <c r="G305" s="25"/>
      <c r="H305" s="25"/>
      <c r="I305" s="91"/>
      <c r="J305" s="91"/>
      <c r="K305" s="91"/>
      <c r="L305" s="68"/>
      <c r="M305" s="68"/>
      <c r="N305" s="74" t="str">
        <f aca="false">IF(A305="","",IF(ISNUMBER(K305),IF(AND(OR(I305="",K305&gt;=I305),OR(J305="",K305&lt;=J305)),"Conforme","Non conforme"),IF(M305="","En attente",M305)))</f>
        <v/>
      </c>
      <c r="O305" s="25"/>
      <c r="P305" s="25"/>
      <c r="Q305" s="69"/>
      <c r="R305" s="74" t="str">
        <f aca="false">IF(A305="","",IF(N305="Non conforme",IF(Q305="","NC ouverte","NC levée"),IF(N305="Réserve",IF(Q305="","Réserve ouverte","Réserve levée"),IF(N305="En attente","À contrôler","Clos"))))</f>
        <v/>
      </c>
      <c r="S305" s="25"/>
    </row>
    <row r="306" customFormat="false" ht="15" hidden="false" customHeight="false" outlineLevel="0" collapsed="false">
      <c r="A306" s="68"/>
      <c r="B306" s="69"/>
      <c r="C306" s="25"/>
      <c r="D306" s="25"/>
      <c r="E306" s="25"/>
      <c r="F306" s="25"/>
      <c r="G306" s="25"/>
      <c r="H306" s="25"/>
      <c r="I306" s="91"/>
      <c r="J306" s="91"/>
      <c r="K306" s="91"/>
      <c r="L306" s="68"/>
      <c r="M306" s="68"/>
      <c r="N306" s="74" t="str">
        <f aca="false">IF(A306="","",IF(ISNUMBER(K306),IF(AND(OR(I306="",K306&gt;=I306),OR(J306="",K306&lt;=J306)),"Conforme","Non conforme"),IF(M306="","En attente",M306)))</f>
        <v/>
      </c>
      <c r="O306" s="25"/>
      <c r="P306" s="25"/>
      <c r="Q306" s="69"/>
      <c r="R306" s="74" t="str">
        <f aca="false">IF(A306="","",IF(N306="Non conforme",IF(Q306="","NC ouverte","NC levée"),IF(N306="Réserve",IF(Q306="","Réserve ouverte","Réserve levée"),IF(N306="En attente","À contrôler","Clos"))))</f>
        <v/>
      </c>
      <c r="S306" s="25"/>
    </row>
    <row r="307" customFormat="false" ht="15" hidden="false" customHeight="false" outlineLevel="0" collapsed="false">
      <c r="A307" s="68"/>
      <c r="B307" s="69"/>
      <c r="C307" s="25"/>
      <c r="D307" s="25"/>
      <c r="E307" s="25"/>
      <c r="F307" s="25"/>
      <c r="G307" s="25"/>
      <c r="H307" s="25"/>
      <c r="I307" s="91"/>
      <c r="J307" s="91"/>
      <c r="K307" s="91"/>
      <c r="L307" s="68"/>
      <c r="M307" s="68"/>
      <c r="N307" s="74" t="str">
        <f aca="false">IF(A307="","",IF(ISNUMBER(K307),IF(AND(OR(I307="",K307&gt;=I307),OR(J307="",K307&lt;=J307)),"Conforme","Non conforme"),IF(M307="","En attente",M307)))</f>
        <v/>
      </c>
      <c r="O307" s="25"/>
      <c r="P307" s="25"/>
      <c r="Q307" s="69"/>
      <c r="R307" s="74" t="str">
        <f aca="false">IF(A307="","",IF(N307="Non conforme",IF(Q307="","NC ouverte","NC levée"),IF(N307="Réserve",IF(Q307="","Réserve ouverte","Réserve levée"),IF(N307="En attente","À contrôler","Clos"))))</f>
        <v/>
      </c>
      <c r="S307" s="25"/>
    </row>
    <row r="308" customFormat="false" ht="15" hidden="false" customHeight="false" outlineLevel="0" collapsed="false">
      <c r="A308" s="68"/>
      <c r="B308" s="69"/>
      <c r="C308" s="25"/>
      <c r="D308" s="25"/>
      <c r="E308" s="25"/>
      <c r="F308" s="25"/>
      <c r="G308" s="25"/>
      <c r="H308" s="25"/>
      <c r="I308" s="91"/>
      <c r="J308" s="91"/>
      <c r="K308" s="91"/>
      <c r="L308" s="68"/>
      <c r="M308" s="68"/>
      <c r="N308" s="74" t="str">
        <f aca="false">IF(A308="","",IF(ISNUMBER(K308),IF(AND(OR(I308="",K308&gt;=I308),OR(J308="",K308&lt;=J308)),"Conforme","Non conforme"),IF(M308="","En attente",M308)))</f>
        <v/>
      </c>
      <c r="O308" s="25"/>
      <c r="P308" s="25"/>
      <c r="Q308" s="69"/>
      <c r="R308" s="74" t="str">
        <f aca="false">IF(A308="","",IF(N308="Non conforme",IF(Q308="","NC ouverte","NC levée"),IF(N308="Réserve",IF(Q308="","Réserve ouverte","Réserve levée"),IF(N308="En attente","À contrôler","Clos"))))</f>
        <v/>
      </c>
      <c r="S308" s="25"/>
    </row>
    <row r="309" customFormat="false" ht="15" hidden="false" customHeight="false" outlineLevel="0" collapsed="false">
      <c r="A309" s="68"/>
      <c r="B309" s="69"/>
      <c r="C309" s="25"/>
      <c r="D309" s="25"/>
      <c r="E309" s="25"/>
      <c r="F309" s="25"/>
      <c r="G309" s="25"/>
      <c r="H309" s="25"/>
      <c r="I309" s="91"/>
      <c r="J309" s="91"/>
      <c r="K309" s="91"/>
      <c r="L309" s="68"/>
      <c r="M309" s="68"/>
      <c r="N309" s="74" t="str">
        <f aca="false">IF(A309="","",IF(ISNUMBER(K309),IF(AND(OR(I309="",K309&gt;=I309),OR(J309="",K309&lt;=J309)),"Conforme","Non conforme"),IF(M309="","En attente",M309)))</f>
        <v/>
      </c>
      <c r="O309" s="25"/>
      <c r="P309" s="25"/>
      <c r="Q309" s="69"/>
      <c r="R309" s="74" t="str">
        <f aca="false">IF(A309="","",IF(N309="Non conforme",IF(Q309="","NC ouverte","NC levée"),IF(N309="Réserve",IF(Q309="","Réserve ouverte","Réserve levée"),IF(N309="En attente","À contrôler","Clos"))))</f>
        <v/>
      </c>
      <c r="S309" s="25"/>
    </row>
    <row r="310" customFormat="false" ht="15" hidden="false" customHeight="false" outlineLevel="0" collapsed="false">
      <c r="A310" s="68"/>
      <c r="B310" s="69"/>
      <c r="C310" s="25"/>
      <c r="D310" s="25"/>
      <c r="E310" s="25"/>
      <c r="F310" s="25"/>
      <c r="G310" s="25"/>
      <c r="H310" s="25"/>
      <c r="I310" s="91"/>
      <c r="J310" s="91"/>
      <c r="K310" s="91"/>
      <c r="L310" s="68"/>
      <c r="M310" s="68"/>
      <c r="N310" s="74" t="str">
        <f aca="false">IF(A310="","",IF(ISNUMBER(K310),IF(AND(OR(I310="",K310&gt;=I310),OR(J310="",K310&lt;=J310)),"Conforme","Non conforme"),IF(M310="","En attente",M310)))</f>
        <v/>
      </c>
      <c r="O310" s="25"/>
      <c r="P310" s="25"/>
      <c r="Q310" s="69"/>
      <c r="R310" s="74" t="str">
        <f aca="false">IF(A310="","",IF(N310="Non conforme",IF(Q310="","NC ouverte","NC levée"),IF(N310="Réserve",IF(Q310="","Réserve ouverte","Réserve levée"),IF(N310="En attente","À contrôler","Clos"))))</f>
        <v/>
      </c>
      <c r="S310" s="25"/>
    </row>
    <row r="311" customFormat="false" ht="15" hidden="false" customHeight="false" outlineLevel="0" collapsed="false">
      <c r="A311" s="68"/>
      <c r="B311" s="69"/>
      <c r="C311" s="25"/>
      <c r="D311" s="25"/>
      <c r="E311" s="25"/>
      <c r="F311" s="25"/>
      <c r="G311" s="25"/>
      <c r="H311" s="25"/>
      <c r="I311" s="91"/>
      <c r="J311" s="91"/>
      <c r="K311" s="91"/>
      <c r="L311" s="68"/>
      <c r="M311" s="68"/>
      <c r="N311" s="74" t="str">
        <f aca="false">IF(A311="","",IF(ISNUMBER(K311),IF(AND(OR(I311="",K311&gt;=I311),OR(J311="",K311&lt;=J311)),"Conforme","Non conforme"),IF(M311="","En attente",M311)))</f>
        <v/>
      </c>
      <c r="O311" s="25"/>
      <c r="P311" s="25"/>
      <c r="Q311" s="69"/>
      <c r="R311" s="74" t="str">
        <f aca="false">IF(A311="","",IF(N311="Non conforme",IF(Q311="","NC ouverte","NC levée"),IF(N311="Réserve",IF(Q311="","Réserve ouverte","Réserve levée"),IF(N311="En attente","À contrôler","Clos"))))</f>
        <v/>
      </c>
      <c r="S311" s="25"/>
    </row>
    <row r="312" customFormat="false" ht="15" hidden="false" customHeight="false" outlineLevel="0" collapsed="false">
      <c r="A312" s="68"/>
      <c r="B312" s="69"/>
      <c r="C312" s="25"/>
      <c r="D312" s="25"/>
      <c r="E312" s="25"/>
      <c r="F312" s="25"/>
      <c r="G312" s="25"/>
      <c r="H312" s="25"/>
      <c r="I312" s="91"/>
      <c r="J312" s="91"/>
      <c r="K312" s="91"/>
      <c r="L312" s="68"/>
      <c r="M312" s="68"/>
      <c r="N312" s="74" t="str">
        <f aca="false">IF(A312="","",IF(ISNUMBER(K312),IF(AND(OR(I312="",K312&gt;=I312),OR(J312="",K312&lt;=J312)),"Conforme","Non conforme"),IF(M312="","En attente",M312)))</f>
        <v/>
      </c>
      <c r="O312" s="25"/>
      <c r="P312" s="25"/>
      <c r="Q312" s="69"/>
      <c r="R312" s="74" t="str">
        <f aca="false">IF(A312="","",IF(N312="Non conforme",IF(Q312="","NC ouverte","NC levée"),IF(N312="Réserve",IF(Q312="","Réserve ouverte","Réserve levée"),IF(N312="En attente","À contrôler","Clos"))))</f>
        <v/>
      </c>
      <c r="S312" s="25"/>
    </row>
    <row r="313" customFormat="false" ht="15" hidden="false" customHeight="false" outlineLevel="0" collapsed="false">
      <c r="A313" s="68"/>
      <c r="B313" s="69"/>
      <c r="C313" s="25"/>
      <c r="D313" s="25"/>
      <c r="E313" s="25"/>
      <c r="F313" s="25"/>
      <c r="G313" s="25"/>
      <c r="H313" s="25"/>
      <c r="I313" s="91"/>
      <c r="J313" s="91"/>
      <c r="K313" s="91"/>
      <c r="L313" s="68"/>
      <c r="M313" s="68"/>
      <c r="N313" s="74" t="str">
        <f aca="false">IF(A313="","",IF(ISNUMBER(K313),IF(AND(OR(I313="",K313&gt;=I313),OR(J313="",K313&lt;=J313)),"Conforme","Non conforme"),IF(M313="","En attente",M313)))</f>
        <v/>
      </c>
      <c r="O313" s="25"/>
      <c r="P313" s="25"/>
      <c r="Q313" s="69"/>
      <c r="R313" s="74" t="str">
        <f aca="false">IF(A313="","",IF(N313="Non conforme",IF(Q313="","NC ouverte","NC levée"),IF(N313="Réserve",IF(Q313="","Réserve ouverte","Réserve levée"),IF(N313="En attente","À contrôler","Clos"))))</f>
        <v/>
      </c>
      <c r="S313" s="25"/>
    </row>
    <row r="314" customFormat="false" ht="15" hidden="false" customHeight="false" outlineLevel="0" collapsed="false">
      <c r="A314" s="68"/>
      <c r="B314" s="69"/>
      <c r="C314" s="25"/>
      <c r="D314" s="25"/>
      <c r="E314" s="25"/>
      <c r="F314" s="25"/>
      <c r="G314" s="25"/>
      <c r="H314" s="25"/>
      <c r="I314" s="91"/>
      <c r="J314" s="91"/>
      <c r="K314" s="91"/>
      <c r="L314" s="68"/>
      <c r="M314" s="68"/>
      <c r="N314" s="74" t="str">
        <f aca="false">IF(A314="","",IF(ISNUMBER(K314),IF(AND(OR(I314="",K314&gt;=I314),OR(J314="",K314&lt;=J314)),"Conforme","Non conforme"),IF(M314="","En attente",M314)))</f>
        <v/>
      </c>
      <c r="O314" s="25"/>
      <c r="P314" s="25"/>
      <c r="Q314" s="69"/>
      <c r="R314" s="74" t="str">
        <f aca="false">IF(A314="","",IF(N314="Non conforme",IF(Q314="","NC ouverte","NC levée"),IF(N314="Réserve",IF(Q314="","Réserve ouverte","Réserve levée"),IF(N314="En attente","À contrôler","Clos"))))</f>
        <v/>
      </c>
      <c r="S314" s="25"/>
    </row>
    <row r="315" customFormat="false" ht="15" hidden="false" customHeight="false" outlineLevel="0" collapsed="false">
      <c r="A315" s="68"/>
      <c r="B315" s="69"/>
      <c r="C315" s="25"/>
      <c r="D315" s="25"/>
      <c r="E315" s="25"/>
      <c r="F315" s="25"/>
      <c r="G315" s="25"/>
      <c r="H315" s="25"/>
      <c r="I315" s="91"/>
      <c r="J315" s="91"/>
      <c r="K315" s="91"/>
      <c r="L315" s="68"/>
      <c r="M315" s="68"/>
      <c r="N315" s="74" t="str">
        <f aca="false">IF(A315="","",IF(ISNUMBER(K315),IF(AND(OR(I315="",K315&gt;=I315),OR(J315="",K315&lt;=J315)),"Conforme","Non conforme"),IF(M315="","En attente",M315)))</f>
        <v/>
      </c>
      <c r="O315" s="25"/>
      <c r="P315" s="25"/>
      <c r="Q315" s="69"/>
      <c r="R315" s="74" t="str">
        <f aca="false">IF(A315="","",IF(N315="Non conforme",IF(Q315="","NC ouverte","NC levée"),IF(N315="Réserve",IF(Q315="","Réserve ouverte","Réserve levée"),IF(N315="En attente","À contrôler","Clos"))))</f>
        <v/>
      </c>
      <c r="S315" s="25"/>
    </row>
    <row r="316" customFormat="false" ht="15" hidden="false" customHeight="false" outlineLevel="0" collapsed="false">
      <c r="A316" s="68"/>
      <c r="B316" s="69"/>
      <c r="C316" s="25"/>
      <c r="D316" s="25"/>
      <c r="E316" s="25"/>
      <c r="F316" s="25"/>
      <c r="G316" s="25"/>
      <c r="H316" s="25"/>
      <c r="I316" s="91"/>
      <c r="J316" s="91"/>
      <c r="K316" s="91"/>
      <c r="L316" s="68"/>
      <c r="M316" s="68"/>
      <c r="N316" s="74" t="str">
        <f aca="false">IF(A316="","",IF(ISNUMBER(K316),IF(AND(OR(I316="",K316&gt;=I316),OR(J316="",K316&lt;=J316)),"Conforme","Non conforme"),IF(M316="","En attente",M316)))</f>
        <v/>
      </c>
      <c r="O316" s="25"/>
      <c r="P316" s="25"/>
      <c r="Q316" s="69"/>
      <c r="R316" s="74" t="str">
        <f aca="false">IF(A316="","",IF(N316="Non conforme",IF(Q316="","NC ouverte","NC levée"),IF(N316="Réserve",IF(Q316="","Réserve ouverte","Réserve levée"),IF(N316="En attente","À contrôler","Clos"))))</f>
        <v/>
      </c>
      <c r="S316" s="25"/>
    </row>
    <row r="317" customFormat="false" ht="15" hidden="false" customHeight="false" outlineLevel="0" collapsed="false">
      <c r="A317" s="68"/>
      <c r="B317" s="69"/>
      <c r="C317" s="25"/>
      <c r="D317" s="25"/>
      <c r="E317" s="25"/>
      <c r="F317" s="25"/>
      <c r="G317" s="25"/>
      <c r="H317" s="25"/>
      <c r="I317" s="91"/>
      <c r="J317" s="91"/>
      <c r="K317" s="91"/>
      <c r="L317" s="68"/>
      <c r="M317" s="68"/>
      <c r="N317" s="74" t="str">
        <f aca="false">IF(A317="","",IF(ISNUMBER(K317),IF(AND(OR(I317="",K317&gt;=I317),OR(J317="",K317&lt;=J317)),"Conforme","Non conforme"),IF(M317="","En attente",M317)))</f>
        <v/>
      </c>
      <c r="O317" s="25"/>
      <c r="P317" s="25"/>
      <c r="Q317" s="69"/>
      <c r="R317" s="74" t="str">
        <f aca="false">IF(A317="","",IF(N317="Non conforme",IF(Q317="","NC ouverte","NC levée"),IF(N317="Réserve",IF(Q317="","Réserve ouverte","Réserve levée"),IF(N317="En attente","À contrôler","Clos"))))</f>
        <v/>
      </c>
      <c r="S317" s="25"/>
    </row>
    <row r="318" customFormat="false" ht="15" hidden="false" customHeight="false" outlineLevel="0" collapsed="false">
      <c r="A318" s="68"/>
      <c r="B318" s="69"/>
      <c r="C318" s="25"/>
      <c r="D318" s="25"/>
      <c r="E318" s="25"/>
      <c r="F318" s="25"/>
      <c r="G318" s="25"/>
      <c r="H318" s="25"/>
      <c r="I318" s="91"/>
      <c r="J318" s="91"/>
      <c r="K318" s="91"/>
      <c r="L318" s="68"/>
      <c r="M318" s="68"/>
      <c r="N318" s="74" t="str">
        <f aca="false">IF(A318="","",IF(ISNUMBER(K318),IF(AND(OR(I318="",K318&gt;=I318),OR(J318="",K318&lt;=J318)),"Conforme","Non conforme"),IF(M318="","En attente",M318)))</f>
        <v/>
      </c>
      <c r="O318" s="25"/>
      <c r="P318" s="25"/>
      <c r="Q318" s="69"/>
      <c r="R318" s="74" t="str">
        <f aca="false">IF(A318="","",IF(N318="Non conforme",IF(Q318="","NC ouverte","NC levée"),IF(N318="Réserve",IF(Q318="","Réserve ouverte","Réserve levée"),IF(N318="En attente","À contrôler","Clos"))))</f>
        <v/>
      </c>
      <c r="S318" s="25"/>
    </row>
    <row r="319" customFormat="false" ht="15" hidden="false" customHeight="false" outlineLevel="0" collapsed="false">
      <c r="A319" s="68"/>
      <c r="B319" s="69"/>
      <c r="C319" s="25"/>
      <c r="D319" s="25"/>
      <c r="E319" s="25"/>
      <c r="F319" s="25"/>
      <c r="G319" s="25"/>
      <c r="H319" s="25"/>
      <c r="I319" s="91"/>
      <c r="J319" s="91"/>
      <c r="K319" s="91"/>
      <c r="L319" s="68"/>
      <c r="M319" s="68"/>
      <c r="N319" s="74" t="str">
        <f aca="false">IF(A319="","",IF(ISNUMBER(K319),IF(AND(OR(I319="",K319&gt;=I319),OR(J319="",K319&lt;=J319)),"Conforme","Non conforme"),IF(M319="","En attente",M319)))</f>
        <v/>
      </c>
      <c r="O319" s="25"/>
      <c r="P319" s="25"/>
      <c r="Q319" s="69"/>
      <c r="R319" s="74" t="str">
        <f aca="false">IF(A319="","",IF(N319="Non conforme",IF(Q319="","NC ouverte","NC levée"),IF(N319="Réserve",IF(Q319="","Réserve ouverte","Réserve levée"),IF(N319="En attente","À contrôler","Clos"))))</f>
        <v/>
      </c>
      <c r="S319" s="25"/>
    </row>
    <row r="320" customFormat="false" ht="15" hidden="false" customHeight="false" outlineLevel="0" collapsed="false">
      <c r="A320" s="68"/>
      <c r="B320" s="69"/>
      <c r="C320" s="25"/>
      <c r="D320" s="25"/>
      <c r="E320" s="25"/>
      <c r="F320" s="25"/>
      <c r="G320" s="25"/>
      <c r="H320" s="25"/>
      <c r="I320" s="91"/>
      <c r="J320" s="91"/>
      <c r="K320" s="91"/>
      <c r="L320" s="68"/>
      <c r="M320" s="68"/>
      <c r="N320" s="74" t="str">
        <f aca="false">IF(A320="","",IF(ISNUMBER(K320),IF(AND(OR(I320="",K320&gt;=I320),OR(J320="",K320&lt;=J320)),"Conforme","Non conforme"),IF(M320="","En attente",M320)))</f>
        <v/>
      </c>
      <c r="O320" s="25"/>
      <c r="P320" s="25"/>
      <c r="Q320" s="69"/>
      <c r="R320" s="74" t="str">
        <f aca="false">IF(A320="","",IF(N320="Non conforme",IF(Q320="","NC ouverte","NC levée"),IF(N320="Réserve",IF(Q320="","Réserve ouverte","Réserve levée"),IF(N320="En attente","À contrôler","Clos"))))</f>
        <v/>
      </c>
      <c r="S320" s="25"/>
    </row>
    <row r="321" customFormat="false" ht="15" hidden="false" customHeight="false" outlineLevel="0" collapsed="false">
      <c r="A321" s="68"/>
      <c r="B321" s="69"/>
      <c r="C321" s="25"/>
      <c r="D321" s="25"/>
      <c r="E321" s="25"/>
      <c r="F321" s="25"/>
      <c r="G321" s="25"/>
      <c r="H321" s="25"/>
      <c r="I321" s="91"/>
      <c r="J321" s="91"/>
      <c r="K321" s="91"/>
      <c r="L321" s="68"/>
      <c r="M321" s="68"/>
      <c r="N321" s="74" t="str">
        <f aca="false">IF(A321="","",IF(ISNUMBER(K321),IF(AND(OR(I321="",K321&gt;=I321),OR(J321="",K321&lt;=J321)),"Conforme","Non conforme"),IF(M321="","En attente",M321)))</f>
        <v/>
      </c>
      <c r="O321" s="25"/>
      <c r="P321" s="25"/>
      <c r="Q321" s="69"/>
      <c r="R321" s="74" t="str">
        <f aca="false">IF(A321="","",IF(N321="Non conforme",IF(Q321="","NC ouverte","NC levée"),IF(N321="Réserve",IF(Q321="","Réserve ouverte","Réserve levée"),IF(N321="En attente","À contrôler","Clos"))))</f>
        <v/>
      </c>
      <c r="S321" s="25"/>
    </row>
    <row r="322" customFormat="false" ht="15" hidden="false" customHeight="false" outlineLevel="0" collapsed="false">
      <c r="A322" s="68"/>
      <c r="B322" s="69"/>
      <c r="C322" s="25"/>
      <c r="D322" s="25"/>
      <c r="E322" s="25"/>
      <c r="F322" s="25"/>
      <c r="G322" s="25"/>
      <c r="H322" s="25"/>
      <c r="I322" s="91"/>
      <c r="J322" s="91"/>
      <c r="K322" s="91"/>
      <c r="L322" s="68"/>
      <c r="M322" s="68"/>
      <c r="N322" s="74" t="str">
        <f aca="false">IF(A322="","",IF(ISNUMBER(K322),IF(AND(OR(I322="",K322&gt;=I322),OR(J322="",K322&lt;=J322)),"Conforme","Non conforme"),IF(M322="","En attente",M322)))</f>
        <v/>
      </c>
      <c r="O322" s="25"/>
      <c r="P322" s="25"/>
      <c r="Q322" s="69"/>
      <c r="R322" s="74" t="str">
        <f aca="false">IF(A322="","",IF(N322="Non conforme",IF(Q322="","NC ouverte","NC levée"),IF(N322="Réserve",IF(Q322="","Réserve ouverte","Réserve levée"),IF(N322="En attente","À contrôler","Clos"))))</f>
        <v/>
      </c>
      <c r="S322" s="25"/>
    </row>
    <row r="323" customFormat="false" ht="15" hidden="false" customHeight="false" outlineLevel="0" collapsed="false">
      <c r="A323" s="68"/>
      <c r="B323" s="69"/>
      <c r="C323" s="25"/>
      <c r="D323" s="25"/>
      <c r="E323" s="25"/>
      <c r="F323" s="25"/>
      <c r="G323" s="25"/>
      <c r="H323" s="25"/>
      <c r="I323" s="91"/>
      <c r="J323" s="91"/>
      <c r="K323" s="91"/>
      <c r="L323" s="68"/>
      <c r="M323" s="68"/>
      <c r="N323" s="74" t="str">
        <f aca="false">IF(A323="","",IF(ISNUMBER(K323),IF(AND(OR(I323="",K323&gt;=I323),OR(J323="",K323&lt;=J323)),"Conforme","Non conforme"),IF(M323="","En attente",M323)))</f>
        <v/>
      </c>
      <c r="O323" s="25"/>
      <c r="P323" s="25"/>
      <c r="Q323" s="69"/>
      <c r="R323" s="74" t="str">
        <f aca="false">IF(A323="","",IF(N323="Non conforme",IF(Q323="","NC ouverte","NC levée"),IF(N323="Réserve",IF(Q323="","Réserve ouverte","Réserve levée"),IF(N323="En attente","À contrôler","Clos"))))</f>
        <v/>
      </c>
      <c r="S323" s="25"/>
    </row>
    <row r="324" customFormat="false" ht="15" hidden="false" customHeight="false" outlineLevel="0" collapsed="false">
      <c r="A324" s="68"/>
      <c r="B324" s="69"/>
      <c r="C324" s="25"/>
      <c r="D324" s="25"/>
      <c r="E324" s="25"/>
      <c r="F324" s="25"/>
      <c r="G324" s="25"/>
      <c r="H324" s="25"/>
      <c r="I324" s="91"/>
      <c r="J324" s="91"/>
      <c r="K324" s="91"/>
      <c r="L324" s="68"/>
      <c r="M324" s="68"/>
      <c r="N324" s="74" t="str">
        <f aca="false">IF(A324="","",IF(ISNUMBER(K324),IF(AND(OR(I324="",K324&gt;=I324),OR(J324="",K324&lt;=J324)),"Conforme","Non conforme"),IF(M324="","En attente",M324)))</f>
        <v/>
      </c>
      <c r="O324" s="25"/>
      <c r="P324" s="25"/>
      <c r="Q324" s="69"/>
      <c r="R324" s="74" t="str">
        <f aca="false">IF(A324="","",IF(N324="Non conforme",IF(Q324="","NC ouverte","NC levée"),IF(N324="Réserve",IF(Q324="","Réserve ouverte","Réserve levée"),IF(N324="En attente","À contrôler","Clos"))))</f>
        <v/>
      </c>
      <c r="S324" s="25"/>
    </row>
    <row r="325" customFormat="false" ht="15" hidden="false" customHeight="false" outlineLevel="0" collapsed="false">
      <c r="A325" s="68"/>
      <c r="B325" s="69"/>
      <c r="C325" s="25"/>
      <c r="D325" s="25"/>
      <c r="E325" s="25"/>
      <c r="F325" s="25"/>
      <c r="G325" s="25"/>
      <c r="H325" s="25"/>
      <c r="I325" s="91"/>
      <c r="J325" s="91"/>
      <c r="K325" s="91"/>
      <c r="L325" s="68"/>
      <c r="M325" s="68"/>
      <c r="N325" s="74" t="str">
        <f aca="false">IF(A325="","",IF(ISNUMBER(K325),IF(AND(OR(I325="",K325&gt;=I325),OR(J325="",K325&lt;=J325)),"Conforme","Non conforme"),IF(M325="","En attente",M325)))</f>
        <v/>
      </c>
      <c r="O325" s="25"/>
      <c r="P325" s="25"/>
      <c r="Q325" s="69"/>
      <c r="R325" s="74" t="str">
        <f aca="false">IF(A325="","",IF(N325="Non conforme",IF(Q325="","NC ouverte","NC levée"),IF(N325="Réserve",IF(Q325="","Réserve ouverte","Réserve levée"),IF(N325="En attente","À contrôler","Clos"))))</f>
        <v/>
      </c>
      <c r="S325" s="25"/>
    </row>
    <row r="326" customFormat="false" ht="15" hidden="false" customHeight="false" outlineLevel="0" collapsed="false">
      <c r="A326" s="68"/>
      <c r="B326" s="69"/>
      <c r="C326" s="25"/>
      <c r="D326" s="25"/>
      <c r="E326" s="25"/>
      <c r="F326" s="25"/>
      <c r="G326" s="25"/>
      <c r="H326" s="25"/>
      <c r="I326" s="91"/>
      <c r="J326" s="91"/>
      <c r="K326" s="91"/>
      <c r="L326" s="68"/>
      <c r="M326" s="68"/>
      <c r="N326" s="74" t="str">
        <f aca="false">IF(A326="","",IF(ISNUMBER(K326),IF(AND(OR(I326="",K326&gt;=I326),OR(J326="",K326&lt;=J326)),"Conforme","Non conforme"),IF(M326="","En attente",M326)))</f>
        <v/>
      </c>
      <c r="O326" s="25"/>
      <c r="P326" s="25"/>
      <c r="Q326" s="69"/>
      <c r="R326" s="74" t="str">
        <f aca="false">IF(A326="","",IF(N326="Non conforme",IF(Q326="","NC ouverte","NC levée"),IF(N326="Réserve",IF(Q326="","Réserve ouverte","Réserve levée"),IF(N326="En attente","À contrôler","Clos"))))</f>
        <v/>
      </c>
      <c r="S326" s="25"/>
    </row>
    <row r="327" customFormat="false" ht="15" hidden="false" customHeight="false" outlineLevel="0" collapsed="false">
      <c r="A327" s="68"/>
      <c r="B327" s="69"/>
      <c r="C327" s="25"/>
      <c r="D327" s="25"/>
      <c r="E327" s="25"/>
      <c r="F327" s="25"/>
      <c r="G327" s="25"/>
      <c r="H327" s="25"/>
      <c r="I327" s="91"/>
      <c r="J327" s="91"/>
      <c r="K327" s="91"/>
      <c r="L327" s="68"/>
      <c r="M327" s="68"/>
      <c r="N327" s="74" t="str">
        <f aca="false">IF(A327="","",IF(ISNUMBER(K327),IF(AND(OR(I327="",K327&gt;=I327),OR(J327="",K327&lt;=J327)),"Conforme","Non conforme"),IF(M327="","En attente",M327)))</f>
        <v/>
      </c>
      <c r="O327" s="25"/>
      <c r="P327" s="25"/>
      <c r="Q327" s="69"/>
      <c r="R327" s="74" t="str">
        <f aca="false">IF(A327="","",IF(N327="Non conforme",IF(Q327="","NC ouverte","NC levée"),IF(N327="Réserve",IF(Q327="","Réserve ouverte","Réserve levée"),IF(N327="En attente","À contrôler","Clos"))))</f>
        <v/>
      </c>
      <c r="S327" s="25"/>
    </row>
    <row r="328" customFormat="false" ht="15" hidden="false" customHeight="false" outlineLevel="0" collapsed="false">
      <c r="A328" s="68"/>
      <c r="B328" s="69"/>
      <c r="C328" s="25"/>
      <c r="D328" s="25"/>
      <c r="E328" s="25"/>
      <c r="F328" s="25"/>
      <c r="G328" s="25"/>
      <c r="H328" s="25"/>
      <c r="I328" s="91"/>
      <c r="J328" s="91"/>
      <c r="K328" s="91"/>
      <c r="L328" s="68"/>
      <c r="M328" s="68"/>
      <c r="N328" s="74" t="str">
        <f aca="false">IF(A328="","",IF(ISNUMBER(K328),IF(AND(OR(I328="",K328&gt;=I328),OR(J328="",K328&lt;=J328)),"Conforme","Non conforme"),IF(M328="","En attente",M328)))</f>
        <v/>
      </c>
      <c r="O328" s="25"/>
      <c r="P328" s="25"/>
      <c r="Q328" s="69"/>
      <c r="R328" s="74" t="str">
        <f aca="false">IF(A328="","",IF(N328="Non conforme",IF(Q328="","NC ouverte","NC levée"),IF(N328="Réserve",IF(Q328="","Réserve ouverte","Réserve levée"),IF(N328="En attente","À contrôler","Clos"))))</f>
        <v/>
      </c>
      <c r="S328" s="25"/>
    </row>
    <row r="329" customFormat="false" ht="15" hidden="false" customHeight="false" outlineLevel="0" collapsed="false">
      <c r="A329" s="68"/>
      <c r="B329" s="69"/>
      <c r="C329" s="25"/>
      <c r="D329" s="25"/>
      <c r="E329" s="25"/>
      <c r="F329" s="25"/>
      <c r="G329" s="25"/>
      <c r="H329" s="25"/>
      <c r="I329" s="91"/>
      <c r="J329" s="91"/>
      <c r="K329" s="91"/>
      <c r="L329" s="68"/>
      <c r="M329" s="68"/>
      <c r="N329" s="74" t="str">
        <f aca="false">IF(A329="","",IF(ISNUMBER(K329),IF(AND(OR(I329="",K329&gt;=I329),OR(J329="",K329&lt;=J329)),"Conforme","Non conforme"),IF(M329="","En attente",M329)))</f>
        <v/>
      </c>
      <c r="O329" s="25"/>
      <c r="P329" s="25"/>
      <c r="Q329" s="69"/>
      <c r="R329" s="74" t="str">
        <f aca="false">IF(A329="","",IF(N329="Non conforme",IF(Q329="","NC ouverte","NC levée"),IF(N329="Réserve",IF(Q329="","Réserve ouverte","Réserve levée"),IF(N329="En attente","À contrôler","Clos"))))</f>
        <v/>
      </c>
      <c r="S329" s="25"/>
    </row>
    <row r="330" customFormat="false" ht="15" hidden="false" customHeight="false" outlineLevel="0" collapsed="false">
      <c r="A330" s="68"/>
      <c r="B330" s="69"/>
      <c r="C330" s="25"/>
      <c r="D330" s="25"/>
      <c r="E330" s="25"/>
      <c r="F330" s="25"/>
      <c r="G330" s="25"/>
      <c r="H330" s="25"/>
      <c r="I330" s="91"/>
      <c r="J330" s="91"/>
      <c r="K330" s="91"/>
      <c r="L330" s="68"/>
      <c r="M330" s="68"/>
      <c r="N330" s="74" t="str">
        <f aca="false">IF(A330="","",IF(ISNUMBER(K330),IF(AND(OR(I330="",K330&gt;=I330),OR(J330="",K330&lt;=J330)),"Conforme","Non conforme"),IF(M330="","En attente",M330)))</f>
        <v/>
      </c>
      <c r="O330" s="25"/>
      <c r="P330" s="25"/>
      <c r="Q330" s="69"/>
      <c r="R330" s="74" t="str">
        <f aca="false">IF(A330="","",IF(N330="Non conforme",IF(Q330="","NC ouverte","NC levée"),IF(N330="Réserve",IF(Q330="","Réserve ouverte","Réserve levée"),IF(N330="En attente","À contrôler","Clos"))))</f>
        <v/>
      </c>
      <c r="S330" s="25"/>
    </row>
    <row r="331" customFormat="false" ht="15" hidden="false" customHeight="false" outlineLevel="0" collapsed="false">
      <c r="A331" s="68"/>
      <c r="B331" s="69"/>
      <c r="C331" s="25"/>
      <c r="D331" s="25"/>
      <c r="E331" s="25"/>
      <c r="F331" s="25"/>
      <c r="G331" s="25"/>
      <c r="H331" s="25"/>
      <c r="I331" s="91"/>
      <c r="J331" s="91"/>
      <c r="K331" s="91"/>
      <c r="L331" s="68"/>
      <c r="M331" s="68"/>
      <c r="N331" s="74" t="str">
        <f aca="false">IF(A331="","",IF(ISNUMBER(K331),IF(AND(OR(I331="",K331&gt;=I331),OR(J331="",K331&lt;=J331)),"Conforme","Non conforme"),IF(M331="","En attente",M331)))</f>
        <v/>
      </c>
      <c r="O331" s="25"/>
      <c r="P331" s="25"/>
      <c r="Q331" s="69"/>
      <c r="R331" s="74" t="str">
        <f aca="false">IF(A331="","",IF(N331="Non conforme",IF(Q331="","NC ouverte","NC levée"),IF(N331="Réserve",IF(Q331="","Réserve ouverte","Réserve levée"),IF(N331="En attente","À contrôler","Clos"))))</f>
        <v/>
      </c>
      <c r="S331" s="25"/>
    </row>
    <row r="332" customFormat="false" ht="15" hidden="false" customHeight="false" outlineLevel="0" collapsed="false">
      <c r="A332" s="68"/>
      <c r="B332" s="69"/>
      <c r="C332" s="25"/>
      <c r="D332" s="25"/>
      <c r="E332" s="25"/>
      <c r="F332" s="25"/>
      <c r="G332" s="25"/>
      <c r="H332" s="25"/>
      <c r="I332" s="91"/>
      <c r="J332" s="91"/>
      <c r="K332" s="91"/>
      <c r="L332" s="68"/>
      <c r="M332" s="68"/>
      <c r="N332" s="74" t="str">
        <f aca="false">IF(A332="","",IF(ISNUMBER(K332),IF(AND(OR(I332="",K332&gt;=I332),OR(J332="",K332&lt;=J332)),"Conforme","Non conforme"),IF(M332="","En attente",M332)))</f>
        <v/>
      </c>
      <c r="O332" s="25"/>
      <c r="P332" s="25"/>
      <c r="Q332" s="69"/>
      <c r="R332" s="74" t="str">
        <f aca="false">IF(A332="","",IF(N332="Non conforme",IF(Q332="","NC ouverte","NC levée"),IF(N332="Réserve",IF(Q332="","Réserve ouverte","Réserve levée"),IF(N332="En attente","À contrôler","Clos"))))</f>
        <v/>
      </c>
      <c r="S332" s="25"/>
    </row>
    <row r="333" customFormat="false" ht="15" hidden="false" customHeight="false" outlineLevel="0" collapsed="false">
      <c r="A333" s="68"/>
      <c r="B333" s="69"/>
      <c r="C333" s="25"/>
      <c r="D333" s="25"/>
      <c r="E333" s="25"/>
      <c r="F333" s="25"/>
      <c r="G333" s="25"/>
      <c r="H333" s="25"/>
      <c r="I333" s="91"/>
      <c r="J333" s="91"/>
      <c r="K333" s="91"/>
      <c r="L333" s="68"/>
      <c r="M333" s="68"/>
      <c r="N333" s="74" t="str">
        <f aca="false">IF(A333="","",IF(ISNUMBER(K333),IF(AND(OR(I333="",K333&gt;=I333),OR(J333="",K333&lt;=J333)),"Conforme","Non conforme"),IF(M333="","En attente",M333)))</f>
        <v/>
      </c>
      <c r="O333" s="25"/>
      <c r="P333" s="25"/>
      <c r="Q333" s="69"/>
      <c r="R333" s="74" t="str">
        <f aca="false">IF(A333="","",IF(N333="Non conforme",IF(Q333="","NC ouverte","NC levée"),IF(N333="Réserve",IF(Q333="","Réserve ouverte","Réserve levée"),IF(N333="En attente","À contrôler","Clos"))))</f>
        <v/>
      </c>
      <c r="S333" s="25"/>
    </row>
    <row r="334" customFormat="false" ht="15" hidden="false" customHeight="false" outlineLevel="0" collapsed="false">
      <c r="A334" s="68"/>
      <c r="B334" s="69"/>
      <c r="C334" s="25"/>
      <c r="D334" s="25"/>
      <c r="E334" s="25"/>
      <c r="F334" s="25"/>
      <c r="G334" s="25"/>
      <c r="H334" s="25"/>
      <c r="I334" s="91"/>
      <c r="J334" s="91"/>
      <c r="K334" s="91"/>
      <c r="L334" s="68"/>
      <c r="M334" s="68"/>
      <c r="N334" s="74" t="str">
        <f aca="false">IF(A334="","",IF(ISNUMBER(K334),IF(AND(OR(I334="",K334&gt;=I334),OR(J334="",K334&lt;=J334)),"Conforme","Non conforme"),IF(M334="","En attente",M334)))</f>
        <v/>
      </c>
      <c r="O334" s="25"/>
      <c r="P334" s="25"/>
      <c r="Q334" s="69"/>
      <c r="R334" s="74" t="str">
        <f aca="false">IF(A334="","",IF(N334="Non conforme",IF(Q334="","NC ouverte","NC levée"),IF(N334="Réserve",IF(Q334="","Réserve ouverte","Réserve levée"),IF(N334="En attente","À contrôler","Clos"))))</f>
        <v/>
      </c>
      <c r="S334" s="25"/>
    </row>
    <row r="335" customFormat="false" ht="15" hidden="false" customHeight="false" outlineLevel="0" collapsed="false">
      <c r="A335" s="68"/>
      <c r="B335" s="69"/>
      <c r="C335" s="25"/>
      <c r="D335" s="25"/>
      <c r="E335" s="25"/>
      <c r="F335" s="25"/>
      <c r="G335" s="25"/>
      <c r="H335" s="25"/>
      <c r="I335" s="91"/>
      <c r="J335" s="91"/>
      <c r="K335" s="91"/>
      <c r="L335" s="68"/>
      <c r="M335" s="68"/>
      <c r="N335" s="74" t="str">
        <f aca="false">IF(A335="","",IF(ISNUMBER(K335),IF(AND(OR(I335="",K335&gt;=I335),OR(J335="",K335&lt;=J335)),"Conforme","Non conforme"),IF(M335="","En attente",M335)))</f>
        <v/>
      </c>
      <c r="O335" s="25"/>
      <c r="P335" s="25"/>
      <c r="Q335" s="69"/>
      <c r="R335" s="74" t="str">
        <f aca="false">IF(A335="","",IF(N335="Non conforme",IF(Q335="","NC ouverte","NC levée"),IF(N335="Réserve",IF(Q335="","Réserve ouverte","Réserve levée"),IF(N335="En attente","À contrôler","Clos"))))</f>
        <v/>
      </c>
      <c r="S335" s="25"/>
    </row>
    <row r="336" customFormat="false" ht="15" hidden="false" customHeight="false" outlineLevel="0" collapsed="false">
      <c r="A336" s="68"/>
      <c r="B336" s="69"/>
      <c r="C336" s="25"/>
      <c r="D336" s="25"/>
      <c r="E336" s="25"/>
      <c r="F336" s="25"/>
      <c r="G336" s="25"/>
      <c r="H336" s="25"/>
      <c r="I336" s="91"/>
      <c r="J336" s="91"/>
      <c r="K336" s="91"/>
      <c r="L336" s="68"/>
      <c r="M336" s="68"/>
      <c r="N336" s="74" t="str">
        <f aca="false">IF(A336="","",IF(ISNUMBER(K336),IF(AND(OR(I336="",K336&gt;=I336),OR(J336="",K336&lt;=J336)),"Conforme","Non conforme"),IF(M336="","En attente",M336)))</f>
        <v/>
      </c>
      <c r="O336" s="25"/>
      <c r="P336" s="25"/>
      <c r="Q336" s="69"/>
      <c r="R336" s="74" t="str">
        <f aca="false">IF(A336="","",IF(N336="Non conforme",IF(Q336="","NC ouverte","NC levée"),IF(N336="Réserve",IF(Q336="","Réserve ouverte","Réserve levée"),IF(N336="En attente","À contrôler","Clos"))))</f>
        <v/>
      </c>
      <c r="S336" s="25"/>
    </row>
    <row r="337" customFormat="false" ht="15" hidden="false" customHeight="false" outlineLevel="0" collapsed="false">
      <c r="A337" s="68"/>
      <c r="B337" s="69"/>
      <c r="C337" s="25"/>
      <c r="D337" s="25"/>
      <c r="E337" s="25"/>
      <c r="F337" s="25"/>
      <c r="G337" s="25"/>
      <c r="H337" s="25"/>
      <c r="I337" s="91"/>
      <c r="J337" s="91"/>
      <c r="K337" s="91"/>
      <c r="L337" s="68"/>
      <c r="M337" s="68"/>
      <c r="N337" s="74" t="str">
        <f aca="false">IF(A337="","",IF(ISNUMBER(K337),IF(AND(OR(I337="",K337&gt;=I337),OR(J337="",K337&lt;=J337)),"Conforme","Non conforme"),IF(M337="","En attente",M337)))</f>
        <v/>
      </c>
      <c r="O337" s="25"/>
      <c r="P337" s="25"/>
      <c r="Q337" s="69"/>
      <c r="R337" s="74" t="str">
        <f aca="false">IF(A337="","",IF(N337="Non conforme",IF(Q337="","NC ouverte","NC levée"),IF(N337="Réserve",IF(Q337="","Réserve ouverte","Réserve levée"),IF(N337="En attente","À contrôler","Clos"))))</f>
        <v/>
      </c>
      <c r="S337" s="25"/>
    </row>
    <row r="338" customFormat="false" ht="15" hidden="false" customHeight="false" outlineLevel="0" collapsed="false">
      <c r="A338" s="68"/>
      <c r="B338" s="69"/>
      <c r="C338" s="25"/>
      <c r="D338" s="25"/>
      <c r="E338" s="25"/>
      <c r="F338" s="25"/>
      <c r="G338" s="25"/>
      <c r="H338" s="25"/>
      <c r="I338" s="91"/>
      <c r="J338" s="91"/>
      <c r="K338" s="91"/>
      <c r="L338" s="68"/>
      <c r="M338" s="68"/>
      <c r="N338" s="74" t="str">
        <f aca="false">IF(A338="","",IF(ISNUMBER(K338),IF(AND(OR(I338="",K338&gt;=I338),OR(J338="",K338&lt;=J338)),"Conforme","Non conforme"),IF(M338="","En attente",M338)))</f>
        <v/>
      </c>
      <c r="O338" s="25"/>
      <c r="P338" s="25"/>
      <c r="Q338" s="69"/>
      <c r="R338" s="74" t="str">
        <f aca="false">IF(A338="","",IF(N338="Non conforme",IF(Q338="","NC ouverte","NC levée"),IF(N338="Réserve",IF(Q338="","Réserve ouverte","Réserve levée"),IF(N338="En attente","À contrôler","Clos"))))</f>
        <v/>
      </c>
      <c r="S338" s="25"/>
    </row>
    <row r="339" customFormat="false" ht="15" hidden="false" customHeight="false" outlineLevel="0" collapsed="false">
      <c r="A339" s="68"/>
      <c r="B339" s="69"/>
      <c r="C339" s="25"/>
      <c r="D339" s="25"/>
      <c r="E339" s="25"/>
      <c r="F339" s="25"/>
      <c r="G339" s="25"/>
      <c r="H339" s="25"/>
      <c r="I339" s="91"/>
      <c r="J339" s="91"/>
      <c r="K339" s="91"/>
      <c r="L339" s="68"/>
      <c r="M339" s="68"/>
      <c r="N339" s="74" t="str">
        <f aca="false">IF(A339="","",IF(ISNUMBER(K339),IF(AND(OR(I339="",K339&gt;=I339),OR(J339="",K339&lt;=J339)),"Conforme","Non conforme"),IF(M339="","En attente",M339)))</f>
        <v/>
      </c>
      <c r="O339" s="25"/>
      <c r="P339" s="25"/>
      <c r="Q339" s="69"/>
      <c r="R339" s="74" t="str">
        <f aca="false">IF(A339="","",IF(N339="Non conforme",IF(Q339="","NC ouverte","NC levée"),IF(N339="Réserve",IF(Q339="","Réserve ouverte","Réserve levée"),IF(N339="En attente","À contrôler","Clos"))))</f>
        <v/>
      </c>
      <c r="S339" s="25"/>
    </row>
    <row r="340" customFormat="false" ht="15" hidden="false" customHeight="false" outlineLevel="0" collapsed="false">
      <c r="A340" s="68"/>
      <c r="B340" s="69"/>
      <c r="C340" s="25"/>
      <c r="D340" s="25"/>
      <c r="E340" s="25"/>
      <c r="F340" s="25"/>
      <c r="G340" s="25"/>
      <c r="H340" s="25"/>
      <c r="I340" s="91"/>
      <c r="J340" s="91"/>
      <c r="K340" s="91"/>
      <c r="L340" s="68"/>
      <c r="M340" s="68"/>
      <c r="N340" s="74" t="str">
        <f aca="false">IF(A340="","",IF(ISNUMBER(K340),IF(AND(OR(I340="",K340&gt;=I340),OR(J340="",K340&lt;=J340)),"Conforme","Non conforme"),IF(M340="","En attente",M340)))</f>
        <v/>
      </c>
      <c r="O340" s="25"/>
      <c r="P340" s="25"/>
      <c r="Q340" s="69"/>
      <c r="R340" s="74" t="str">
        <f aca="false">IF(A340="","",IF(N340="Non conforme",IF(Q340="","NC ouverte","NC levée"),IF(N340="Réserve",IF(Q340="","Réserve ouverte","Réserve levée"),IF(N340="En attente","À contrôler","Clos"))))</f>
        <v/>
      </c>
      <c r="S340" s="25"/>
    </row>
    <row r="341" customFormat="false" ht="15" hidden="false" customHeight="false" outlineLevel="0" collapsed="false">
      <c r="A341" s="68"/>
      <c r="B341" s="69"/>
      <c r="C341" s="25"/>
      <c r="D341" s="25"/>
      <c r="E341" s="25"/>
      <c r="F341" s="25"/>
      <c r="G341" s="25"/>
      <c r="H341" s="25"/>
      <c r="I341" s="91"/>
      <c r="J341" s="91"/>
      <c r="K341" s="91"/>
      <c r="L341" s="68"/>
      <c r="M341" s="68"/>
      <c r="N341" s="74" t="str">
        <f aca="false">IF(A341="","",IF(ISNUMBER(K341),IF(AND(OR(I341="",K341&gt;=I341),OR(J341="",K341&lt;=J341)),"Conforme","Non conforme"),IF(M341="","En attente",M341)))</f>
        <v/>
      </c>
      <c r="O341" s="25"/>
      <c r="P341" s="25"/>
      <c r="Q341" s="69"/>
      <c r="R341" s="74" t="str">
        <f aca="false">IF(A341="","",IF(N341="Non conforme",IF(Q341="","NC ouverte","NC levée"),IF(N341="Réserve",IF(Q341="","Réserve ouverte","Réserve levée"),IF(N341="En attente","À contrôler","Clos"))))</f>
        <v/>
      </c>
      <c r="S341" s="25"/>
    </row>
    <row r="342" customFormat="false" ht="15" hidden="false" customHeight="false" outlineLevel="0" collapsed="false">
      <c r="A342" s="68"/>
      <c r="B342" s="69"/>
      <c r="C342" s="25"/>
      <c r="D342" s="25"/>
      <c r="E342" s="25"/>
      <c r="F342" s="25"/>
      <c r="G342" s="25"/>
      <c r="H342" s="25"/>
      <c r="I342" s="91"/>
      <c r="J342" s="91"/>
      <c r="K342" s="91"/>
      <c r="L342" s="68"/>
      <c r="M342" s="68"/>
      <c r="N342" s="74" t="str">
        <f aca="false">IF(A342="","",IF(ISNUMBER(K342),IF(AND(OR(I342="",K342&gt;=I342),OR(J342="",K342&lt;=J342)),"Conforme","Non conforme"),IF(M342="","En attente",M342)))</f>
        <v/>
      </c>
      <c r="O342" s="25"/>
      <c r="P342" s="25"/>
      <c r="Q342" s="69"/>
      <c r="R342" s="74" t="str">
        <f aca="false">IF(A342="","",IF(N342="Non conforme",IF(Q342="","NC ouverte","NC levée"),IF(N342="Réserve",IF(Q342="","Réserve ouverte","Réserve levée"),IF(N342="En attente","À contrôler","Clos"))))</f>
        <v/>
      </c>
      <c r="S342" s="25"/>
    </row>
    <row r="343" customFormat="false" ht="15" hidden="false" customHeight="false" outlineLevel="0" collapsed="false">
      <c r="A343" s="68"/>
      <c r="B343" s="69"/>
      <c r="C343" s="25"/>
      <c r="D343" s="25"/>
      <c r="E343" s="25"/>
      <c r="F343" s="25"/>
      <c r="G343" s="25"/>
      <c r="H343" s="25"/>
      <c r="I343" s="91"/>
      <c r="J343" s="91"/>
      <c r="K343" s="91"/>
      <c r="L343" s="68"/>
      <c r="M343" s="68"/>
      <c r="N343" s="74" t="str">
        <f aca="false">IF(A343="","",IF(ISNUMBER(K343),IF(AND(OR(I343="",K343&gt;=I343),OR(J343="",K343&lt;=J343)),"Conforme","Non conforme"),IF(M343="","En attente",M343)))</f>
        <v/>
      </c>
      <c r="O343" s="25"/>
      <c r="P343" s="25"/>
      <c r="Q343" s="69"/>
      <c r="R343" s="74" t="str">
        <f aca="false">IF(A343="","",IF(N343="Non conforme",IF(Q343="","NC ouverte","NC levée"),IF(N343="Réserve",IF(Q343="","Réserve ouverte","Réserve levée"),IF(N343="En attente","À contrôler","Clos"))))</f>
        <v/>
      </c>
      <c r="S343" s="25"/>
    </row>
    <row r="344" customFormat="false" ht="15" hidden="false" customHeight="false" outlineLevel="0" collapsed="false">
      <c r="A344" s="68"/>
      <c r="B344" s="69"/>
      <c r="C344" s="25"/>
      <c r="D344" s="25"/>
      <c r="E344" s="25"/>
      <c r="F344" s="25"/>
      <c r="G344" s="25"/>
      <c r="H344" s="25"/>
      <c r="I344" s="91"/>
      <c r="J344" s="91"/>
      <c r="K344" s="91"/>
      <c r="L344" s="68"/>
      <c r="M344" s="68"/>
      <c r="N344" s="74" t="str">
        <f aca="false">IF(A344="","",IF(ISNUMBER(K344),IF(AND(OR(I344="",K344&gt;=I344),OR(J344="",K344&lt;=J344)),"Conforme","Non conforme"),IF(M344="","En attente",M344)))</f>
        <v/>
      </c>
      <c r="O344" s="25"/>
      <c r="P344" s="25"/>
      <c r="Q344" s="69"/>
      <c r="R344" s="74" t="str">
        <f aca="false">IF(A344="","",IF(N344="Non conforme",IF(Q344="","NC ouverte","NC levée"),IF(N344="Réserve",IF(Q344="","Réserve ouverte","Réserve levée"),IF(N344="En attente","À contrôler","Clos"))))</f>
        <v/>
      </c>
      <c r="S344" s="25"/>
    </row>
    <row r="345" customFormat="false" ht="15" hidden="false" customHeight="false" outlineLevel="0" collapsed="false">
      <c r="A345" s="68"/>
      <c r="B345" s="69"/>
      <c r="C345" s="25"/>
      <c r="D345" s="25"/>
      <c r="E345" s="25"/>
      <c r="F345" s="25"/>
      <c r="G345" s="25"/>
      <c r="H345" s="25"/>
      <c r="I345" s="91"/>
      <c r="J345" s="91"/>
      <c r="K345" s="91"/>
      <c r="L345" s="68"/>
      <c r="M345" s="68"/>
      <c r="N345" s="74" t="str">
        <f aca="false">IF(A345="","",IF(ISNUMBER(K345),IF(AND(OR(I345="",K345&gt;=I345),OR(J345="",K345&lt;=J345)),"Conforme","Non conforme"),IF(M345="","En attente",M345)))</f>
        <v/>
      </c>
      <c r="O345" s="25"/>
      <c r="P345" s="25"/>
      <c r="Q345" s="69"/>
      <c r="R345" s="74" t="str">
        <f aca="false">IF(A345="","",IF(N345="Non conforme",IF(Q345="","NC ouverte","NC levée"),IF(N345="Réserve",IF(Q345="","Réserve ouverte","Réserve levée"),IF(N345="En attente","À contrôler","Clos"))))</f>
        <v/>
      </c>
      <c r="S345" s="25"/>
    </row>
    <row r="346" customFormat="false" ht="15" hidden="false" customHeight="false" outlineLevel="0" collapsed="false">
      <c r="A346" s="68"/>
      <c r="B346" s="69"/>
      <c r="C346" s="25"/>
      <c r="D346" s="25"/>
      <c r="E346" s="25"/>
      <c r="F346" s="25"/>
      <c r="G346" s="25"/>
      <c r="H346" s="25"/>
      <c r="I346" s="91"/>
      <c r="J346" s="91"/>
      <c r="K346" s="91"/>
      <c r="L346" s="68"/>
      <c r="M346" s="68"/>
      <c r="N346" s="74" t="str">
        <f aca="false">IF(A346="","",IF(ISNUMBER(K346),IF(AND(OR(I346="",K346&gt;=I346),OR(J346="",K346&lt;=J346)),"Conforme","Non conforme"),IF(M346="","En attente",M346)))</f>
        <v/>
      </c>
      <c r="O346" s="25"/>
      <c r="P346" s="25"/>
      <c r="Q346" s="69"/>
      <c r="R346" s="74" t="str">
        <f aca="false">IF(A346="","",IF(N346="Non conforme",IF(Q346="","NC ouverte","NC levée"),IF(N346="Réserve",IF(Q346="","Réserve ouverte","Réserve levée"),IF(N346="En attente","À contrôler","Clos"))))</f>
        <v/>
      </c>
      <c r="S346" s="25"/>
    </row>
    <row r="347" customFormat="false" ht="15" hidden="false" customHeight="false" outlineLevel="0" collapsed="false">
      <c r="A347" s="68"/>
      <c r="B347" s="69"/>
      <c r="C347" s="25"/>
      <c r="D347" s="25"/>
      <c r="E347" s="25"/>
      <c r="F347" s="25"/>
      <c r="G347" s="25"/>
      <c r="H347" s="25"/>
      <c r="I347" s="91"/>
      <c r="J347" s="91"/>
      <c r="K347" s="91"/>
      <c r="L347" s="68"/>
      <c r="M347" s="68"/>
      <c r="N347" s="74" t="str">
        <f aca="false">IF(A347="","",IF(ISNUMBER(K347),IF(AND(OR(I347="",K347&gt;=I347),OR(J347="",K347&lt;=J347)),"Conforme","Non conforme"),IF(M347="","En attente",M347)))</f>
        <v/>
      </c>
      <c r="O347" s="25"/>
      <c r="P347" s="25"/>
      <c r="Q347" s="69"/>
      <c r="R347" s="74" t="str">
        <f aca="false">IF(A347="","",IF(N347="Non conforme",IF(Q347="","NC ouverte","NC levée"),IF(N347="Réserve",IF(Q347="","Réserve ouverte","Réserve levée"),IF(N347="En attente","À contrôler","Clos"))))</f>
        <v/>
      </c>
      <c r="S347" s="25"/>
    </row>
    <row r="348" customFormat="false" ht="15" hidden="false" customHeight="false" outlineLevel="0" collapsed="false">
      <c r="A348" s="68"/>
      <c r="B348" s="69"/>
      <c r="C348" s="25"/>
      <c r="D348" s="25"/>
      <c r="E348" s="25"/>
      <c r="F348" s="25"/>
      <c r="G348" s="25"/>
      <c r="H348" s="25"/>
      <c r="I348" s="91"/>
      <c r="J348" s="91"/>
      <c r="K348" s="91"/>
      <c r="L348" s="68"/>
      <c r="M348" s="68"/>
      <c r="N348" s="74" t="str">
        <f aca="false">IF(A348="","",IF(ISNUMBER(K348),IF(AND(OR(I348="",K348&gt;=I348),OR(J348="",K348&lt;=J348)),"Conforme","Non conforme"),IF(M348="","En attente",M348)))</f>
        <v/>
      </c>
      <c r="O348" s="25"/>
      <c r="P348" s="25"/>
      <c r="Q348" s="69"/>
      <c r="R348" s="74" t="str">
        <f aca="false">IF(A348="","",IF(N348="Non conforme",IF(Q348="","NC ouverte","NC levée"),IF(N348="Réserve",IF(Q348="","Réserve ouverte","Réserve levée"),IF(N348="En attente","À contrôler","Clos"))))</f>
        <v/>
      </c>
      <c r="S348" s="25"/>
    </row>
    <row r="349" customFormat="false" ht="15" hidden="false" customHeight="false" outlineLevel="0" collapsed="false">
      <c r="A349" s="68"/>
      <c r="B349" s="69"/>
      <c r="C349" s="25"/>
      <c r="D349" s="25"/>
      <c r="E349" s="25"/>
      <c r="F349" s="25"/>
      <c r="G349" s="25"/>
      <c r="H349" s="25"/>
      <c r="I349" s="91"/>
      <c r="J349" s="91"/>
      <c r="K349" s="91"/>
      <c r="L349" s="68"/>
      <c r="M349" s="68"/>
      <c r="N349" s="74" t="str">
        <f aca="false">IF(A349="","",IF(ISNUMBER(K349),IF(AND(OR(I349="",K349&gt;=I349),OR(J349="",K349&lt;=J349)),"Conforme","Non conforme"),IF(M349="","En attente",M349)))</f>
        <v/>
      </c>
      <c r="O349" s="25"/>
      <c r="P349" s="25"/>
      <c r="Q349" s="69"/>
      <c r="R349" s="74" t="str">
        <f aca="false">IF(A349="","",IF(N349="Non conforme",IF(Q349="","NC ouverte","NC levée"),IF(N349="Réserve",IF(Q349="","Réserve ouverte","Réserve levée"),IF(N349="En attente","À contrôler","Clos"))))</f>
        <v/>
      </c>
      <c r="S349" s="25"/>
    </row>
    <row r="350" customFormat="false" ht="15" hidden="false" customHeight="false" outlineLevel="0" collapsed="false">
      <c r="A350" s="68"/>
      <c r="B350" s="69"/>
      <c r="C350" s="25"/>
      <c r="D350" s="25"/>
      <c r="E350" s="25"/>
      <c r="F350" s="25"/>
      <c r="G350" s="25"/>
      <c r="H350" s="25"/>
      <c r="I350" s="91"/>
      <c r="J350" s="91"/>
      <c r="K350" s="91"/>
      <c r="L350" s="68"/>
      <c r="M350" s="68"/>
      <c r="N350" s="74" t="str">
        <f aca="false">IF(A350="","",IF(ISNUMBER(K350),IF(AND(OR(I350="",K350&gt;=I350),OR(J350="",K350&lt;=J350)),"Conforme","Non conforme"),IF(M350="","En attente",M350)))</f>
        <v/>
      </c>
      <c r="O350" s="25"/>
      <c r="P350" s="25"/>
      <c r="Q350" s="69"/>
      <c r="R350" s="74" t="str">
        <f aca="false">IF(A350="","",IF(N350="Non conforme",IF(Q350="","NC ouverte","NC levée"),IF(N350="Réserve",IF(Q350="","Réserve ouverte","Réserve levée"),IF(N350="En attente","À contrôler","Clos"))))</f>
        <v/>
      </c>
      <c r="S350" s="25"/>
    </row>
    <row r="351" customFormat="false" ht="15" hidden="false" customHeight="false" outlineLevel="0" collapsed="false">
      <c r="A351" s="68"/>
      <c r="B351" s="69"/>
      <c r="C351" s="25"/>
      <c r="D351" s="25"/>
      <c r="E351" s="25"/>
      <c r="F351" s="25"/>
      <c r="G351" s="25"/>
      <c r="H351" s="25"/>
      <c r="I351" s="91"/>
      <c r="J351" s="91"/>
      <c r="K351" s="91"/>
      <c r="L351" s="68"/>
      <c r="M351" s="68"/>
      <c r="N351" s="74" t="str">
        <f aca="false">IF(A351="","",IF(ISNUMBER(K351),IF(AND(OR(I351="",K351&gt;=I351),OR(J351="",K351&lt;=J351)),"Conforme","Non conforme"),IF(M351="","En attente",M351)))</f>
        <v/>
      </c>
      <c r="O351" s="25"/>
      <c r="P351" s="25"/>
      <c r="Q351" s="69"/>
      <c r="R351" s="74" t="str">
        <f aca="false">IF(A351="","",IF(N351="Non conforme",IF(Q351="","NC ouverte","NC levée"),IF(N351="Réserve",IF(Q351="","Réserve ouverte","Réserve levée"),IF(N351="En attente","À contrôler","Clos"))))</f>
        <v/>
      </c>
      <c r="S351" s="25"/>
    </row>
    <row r="352" customFormat="false" ht="15" hidden="false" customHeight="false" outlineLevel="0" collapsed="false">
      <c r="A352" s="68"/>
      <c r="B352" s="69"/>
      <c r="C352" s="25"/>
      <c r="D352" s="25"/>
      <c r="E352" s="25"/>
      <c r="F352" s="25"/>
      <c r="G352" s="25"/>
      <c r="H352" s="25"/>
      <c r="I352" s="91"/>
      <c r="J352" s="91"/>
      <c r="K352" s="91"/>
      <c r="L352" s="68"/>
      <c r="M352" s="68"/>
      <c r="N352" s="74" t="str">
        <f aca="false">IF(A352="","",IF(ISNUMBER(K352),IF(AND(OR(I352="",K352&gt;=I352),OR(J352="",K352&lt;=J352)),"Conforme","Non conforme"),IF(M352="","En attente",M352)))</f>
        <v/>
      </c>
      <c r="O352" s="25"/>
      <c r="P352" s="25"/>
      <c r="Q352" s="69"/>
      <c r="R352" s="74" t="str">
        <f aca="false">IF(A352="","",IF(N352="Non conforme",IF(Q352="","NC ouverte","NC levée"),IF(N352="Réserve",IF(Q352="","Réserve ouverte","Réserve levée"),IF(N352="En attente","À contrôler","Clos"))))</f>
        <v/>
      </c>
      <c r="S352" s="25"/>
    </row>
    <row r="353" customFormat="false" ht="15" hidden="false" customHeight="false" outlineLevel="0" collapsed="false">
      <c r="A353" s="68"/>
      <c r="B353" s="69"/>
      <c r="C353" s="25"/>
      <c r="D353" s="25"/>
      <c r="E353" s="25"/>
      <c r="F353" s="25"/>
      <c r="G353" s="25"/>
      <c r="H353" s="25"/>
      <c r="I353" s="91"/>
      <c r="J353" s="91"/>
      <c r="K353" s="91"/>
      <c r="L353" s="68"/>
      <c r="M353" s="68"/>
      <c r="N353" s="74" t="str">
        <f aca="false">IF(A353="","",IF(ISNUMBER(K353),IF(AND(OR(I353="",K353&gt;=I353),OR(J353="",K353&lt;=J353)),"Conforme","Non conforme"),IF(M353="","En attente",M353)))</f>
        <v/>
      </c>
      <c r="O353" s="25"/>
      <c r="P353" s="25"/>
      <c r="Q353" s="69"/>
      <c r="R353" s="74" t="str">
        <f aca="false">IF(A353="","",IF(N353="Non conforme",IF(Q353="","NC ouverte","NC levée"),IF(N353="Réserve",IF(Q353="","Réserve ouverte","Réserve levée"),IF(N353="En attente","À contrôler","Clos"))))</f>
        <v/>
      </c>
      <c r="S353" s="25"/>
    </row>
    <row r="354" customFormat="false" ht="15" hidden="false" customHeight="false" outlineLevel="0" collapsed="false">
      <c r="A354" s="68"/>
      <c r="B354" s="69"/>
      <c r="C354" s="25"/>
      <c r="D354" s="25"/>
      <c r="E354" s="25"/>
      <c r="F354" s="25"/>
      <c r="G354" s="25"/>
      <c r="H354" s="25"/>
      <c r="I354" s="91"/>
      <c r="J354" s="91"/>
      <c r="K354" s="91"/>
      <c r="L354" s="68"/>
      <c r="M354" s="68"/>
      <c r="N354" s="74" t="str">
        <f aca="false">IF(A354="","",IF(ISNUMBER(K354),IF(AND(OR(I354="",K354&gt;=I354),OR(J354="",K354&lt;=J354)),"Conforme","Non conforme"),IF(M354="","En attente",M354)))</f>
        <v/>
      </c>
      <c r="O354" s="25"/>
      <c r="P354" s="25"/>
      <c r="Q354" s="69"/>
      <c r="R354" s="74" t="str">
        <f aca="false">IF(A354="","",IF(N354="Non conforme",IF(Q354="","NC ouverte","NC levée"),IF(N354="Réserve",IF(Q354="","Réserve ouverte","Réserve levée"),IF(N354="En attente","À contrôler","Clos"))))</f>
        <v/>
      </c>
      <c r="S354" s="25"/>
    </row>
    <row r="355" customFormat="false" ht="15" hidden="false" customHeight="false" outlineLevel="0" collapsed="false">
      <c r="A355" s="68"/>
      <c r="B355" s="69"/>
      <c r="C355" s="25"/>
      <c r="D355" s="25"/>
      <c r="E355" s="25"/>
      <c r="F355" s="25"/>
      <c r="G355" s="25"/>
      <c r="H355" s="25"/>
      <c r="I355" s="91"/>
      <c r="J355" s="91"/>
      <c r="K355" s="91"/>
      <c r="L355" s="68"/>
      <c r="M355" s="68"/>
      <c r="N355" s="74" t="str">
        <f aca="false">IF(A355="","",IF(ISNUMBER(K355),IF(AND(OR(I355="",K355&gt;=I355),OR(J355="",K355&lt;=J355)),"Conforme","Non conforme"),IF(M355="","En attente",M355)))</f>
        <v/>
      </c>
      <c r="O355" s="25"/>
      <c r="P355" s="25"/>
      <c r="Q355" s="69"/>
      <c r="R355" s="74" t="str">
        <f aca="false">IF(A355="","",IF(N355="Non conforme",IF(Q355="","NC ouverte","NC levée"),IF(N355="Réserve",IF(Q355="","Réserve ouverte","Réserve levée"),IF(N355="En attente","À contrôler","Clos"))))</f>
        <v/>
      </c>
      <c r="S355" s="25"/>
    </row>
    <row r="356" customFormat="false" ht="15" hidden="false" customHeight="false" outlineLevel="0" collapsed="false">
      <c r="A356" s="68"/>
      <c r="B356" s="69"/>
      <c r="C356" s="25"/>
      <c r="D356" s="25"/>
      <c r="E356" s="25"/>
      <c r="F356" s="25"/>
      <c r="G356" s="25"/>
      <c r="H356" s="25"/>
      <c r="I356" s="91"/>
      <c r="J356" s="91"/>
      <c r="K356" s="91"/>
      <c r="L356" s="68"/>
      <c r="M356" s="68"/>
      <c r="N356" s="74" t="str">
        <f aca="false">IF(A356="","",IF(ISNUMBER(K356),IF(AND(OR(I356="",K356&gt;=I356),OR(J356="",K356&lt;=J356)),"Conforme","Non conforme"),IF(M356="","En attente",M356)))</f>
        <v/>
      </c>
      <c r="O356" s="25"/>
      <c r="P356" s="25"/>
      <c r="Q356" s="69"/>
      <c r="R356" s="74" t="str">
        <f aca="false">IF(A356="","",IF(N356="Non conforme",IF(Q356="","NC ouverte","NC levée"),IF(N356="Réserve",IF(Q356="","Réserve ouverte","Réserve levée"),IF(N356="En attente","À contrôler","Clos"))))</f>
        <v/>
      </c>
      <c r="S356" s="25"/>
    </row>
    <row r="357" customFormat="false" ht="15" hidden="false" customHeight="false" outlineLevel="0" collapsed="false">
      <c r="A357" s="68"/>
      <c r="B357" s="69"/>
      <c r="C357" s="25"/>
      <c r="D357" s="25"/>
      <c r="E357" s="25"/>
      <c r="F357" s="25"/>
      <c r="G357" s="25"/>
      <c r="H357" s="25"/>
      <c r="I357" s="91"/>
      <c r="J357" s="91"/>
      <c r="K357" s="91"/>
      <c r="L357" s="68"/>
      <c r="M357" s="68"/>
      <c r="N357" s="74" t="str">
        <f aca="false">IF(A357="","",IF(ISNUMBER(K357),IF(AND(OR(I357="",K357&gt;=I357),OR(J357="",K357&lt;=J357)),"Conforme","Non conforme"),IF(M357="","En attente",M357)))</f>
        <v/>
      </c>
      <c r="O357" s="25"/>
      <c r="P357" s="25"/>
      <c r="Q357" s="69"/>
      <c r="R357" s="74" t="str">
        <f aca="false">IF(A357="","",IF(N357="Non conforme",IF(Q357="","NC ouverte","NC levée"),IF(N357="Réserve",IF(Q357="","Réserve ouverte","Réserve levée"),IF(N357="En attente","À contrôler","Clos"))))</f>
        <v/>
      </c>
      <c r="S357" s="25"/>
    </row>
    <row r="358" customFormat="false" ht="15" hidden="false" customHeight="false" outlineLevel="0" collapsed="false">
      <c r="A358" s="68"/>
      <c r="B358" s="69"/>
      <c r="C358" s="25"/>
      <c r="D358" s="25"/>
      <c r="E358" s="25"/>
      <c r="F358" s="25"/>
      <c r="G358" s="25"/>
      <c r="H358" s="25"/>
      <c r="I358" s="91"/>
      <c r="J358" s="91"/>
      <c r="K358" s="91"/>
      <c r="L358" s="68"/>
      <c r="M358" s="68"/>
      <c r="N358" s="74" t="str">
        <f aca="false">IF(A358="","",IF(ISNUMBER(K358),IF(AND(OR(I358="",K358&gt;=I358),OR(J358="",K358&lt;=J358)),"Conforme","Non conforme"),IF(M358="","En attente",M358)))</f>
        <v/>
      </c>
      <c r="O358" s="25"/>
      <c r="P358" s="25"/>
      <c r="Q358" s="69"/>
      <c r="R358" s="74" t="str">
        <f aca="false">IF(A358="","",IF(N358="Non conforme",IF(Q358="","NC ouverte","NC levée"),IF(N358="Réserve",IF(Q358="","Réserve ouverte","Réserve levée"),IF(N358="En attente","À contrôler","Clos"))))</f>
        <v/>
      </c>
      <c r="S358" s="25"/>
    </row>
    <row r="359" customFormat="false" ht="15" hidden="false" customHeight="false" outlineLevel="0" collapsed="false">
      <c r="A359" s="68"/>
      <c r="B359" s="69"/>
      <c r="C359" s="25"/>
      <c r="D359" s="25"/>
      <c r="E359" s="25"/>
      <c r="F359" s="25"/>
      <c r="G359" s="25"/>
      <c r="H359" s="25"/>
      <c r="I359" s="91"/>
      <c r="J359" s="91"/>
      <c r="K359" s="91"/>
      <c r="L359" s="68"/>
      <c r="M359" s="68"/>
      <c r="N359" s="74" t="str">
        <f aca="false">IF(A359="","",IF(ISNUMBER(K359),IF(AND(OR(I359="",K359&gt;=I359),OR(J359="",K359&lt;=J359)),"Conforme","Non conforme"),IF(M359="","En attente",M359)))</f>
        <v/>
      </c>
      <c r="O359" s="25"/>
      <c r="P359" s="25"/>
      <c r="Q359" s="69"/>
      <c r="R359" s="74" t="str">
        <f aca="false">IF(A359="","",IF(N359="Non conforme",IF(Q359="","NC ouverte","NC levée"),IF(N359="Réserve",IF(Q359="","Réserve ouverte","Réserve levée"),IF(N359="En attente","À contrôler","Clos"))))</f>
        <v/>
      </c>
      <c r="S359" s="25"/>
    </row>
    <row r="360" customFormat="false" ht="15" hidden="false" customHeight="false" outlineLevel="0" collapsed="false">
      <c r="A360" s="68"/>
      <c r="B360" s="69"/>
      <c r="C360" s="25"/>
      <c r="D360" s="25"/>
      <c r="E360" s="25"/>
      <c r="F360" s="25"/>
      <c r="G360" s="25"/>
      <c r="H360" s="25"/>
      <c r="I360" s="91"/>
      <c r="J360" s="91"/>
      <c r="K360" s="91"/>
      <c r="L360" s="68"/>
      <c r="M360" s="68"/>
      <c r="N360" s="74" t="str">
        <f aca="false">IF(A360="","",IF(ISNUMBER(K360),IF(AND(OR(I360="",K360&gt;=I360),OR(J360="",K360&lt;=J360)),"Conforme","Non conforme"),IF(M360="","En attente",M360)))</f>
        <v/>
      </c>
      <c r="O360" s="25"/>
      <c r="P360" s="25"/>
      <c r="Q360" s="69"/>
      <c r="R360" s="74" t="str">
        <f aca="false">IF(A360="","",IF(N360="Non conforme",IF(Q360="","NC ouverte","NC levée"),IF(N360="Réserve",IF(Q360="","Réserve ouverte","Réserve levée"),IF(N360="En attente","À contrôler","Clos"))))</f>
        <v/>
      </c>
      <c r="S360" s="25"/>
    </row>
    <row r="361" customFormat="false" ht="15" hidden="false" customHeight="false" outlineLevel="0" collapsed="false">
      <c r="A361" s="68"/>
      <c r="B361" s="69"/>
      <c r="C361" s="25"/>
      <c r="D361" s="25"/>
      <c r="E361" s="25"/>
      <c r="F361" s="25"/>
      <c r="G361" s="25"/>
      <c r="H361" s="25"/>
      <c r="I361" s="91"/>
      <c r="J361" s="91"/>
      <c r="K361" s="91"/>
      <c r="L361" s="68"/>
      <c r="M361" s="68"/>
      <c r="N361" s="74" t="str">
        <f aca="false">IF(A361="","",IF(ISNUMBER(K361),IF(AND(OR(I361="",K361&gt;=I361),OR(J361="",K361&lt;=J361)),"Conforme","Non conforme"),IF(M361="","En attente",M361)))</f>
        <v/>
      </c>
      <c r="O361" s="25"/>
      <c r="P361" s="25"/>
      <c r="Q361" s="69"/>
      <c r="R361" s="74" t="str">
        <f aca="false">IF(A361="","",IF(N361="Non conforme",IF(Q361="","NC ouverte","NC levée"),IF(N361="Réserve",IF(Q361="","Réserve ouverte","Réserve levée"),IF(N361="En attente","À contrôler","Clos"))))</f>
        <v/>
      </c>
      <c r="S361" s="25"/>
    </row>
    <row r="362" customFormat="false" ht="15" hidden="false" customHeight="false" outlineLevel="0" collapsed="false">
      <c r="A362" s="68"/>
      <c r="B362" s="69"/>
      <c r="C362" s="25"/>
      <c r="D362" s="25"/>
      <c r="E362" s="25"/>
      <c r="F362" s="25"/>
      <c r="G362" s="25"/>
      <c r="H362" s="25"/>
      <c r="I362" s="91"/>
      <c r="J362" s="91"/>
      <c r="K362" s="91"/>
      <c r="L362" s="68"/>
      <c r="M362" s="68"/>
      <c r="N362" s="74" t="str">
        <f aca="false">IF(A362="","",IF(ISNUMBER(K362),IF(AND(OR(I362="",K362&gt;=I362),OR(J362="",K362&lt;=J362)),"Conforme","Non conforme"),IF(M362="","En attente",M362)))</f>
        <v/>
      </c>
      <c r="O362" s="25"/>
      <c r="P362" s="25"/>
      <c r="Q362" s="69"/>
      <c r="R362" s="74" t="str">
        <f aca="false">IF(A362="","",IF(N362="Non conforme",IF(Q362="","NC ouverte","NC levée"),IF(N362="Réserve",IF(Q362="","Réserve ouverte","Réserve levée"),IF(N362="En attente","À contrôler","Clos"))))</f>
        <v/>
      </c>
      <c r="S362" s="25"/>
    </row>
    <row r="363" customFormat="false" ht="15" hidden="false" customHeight="false" outlineLevel="0" collapsed="false">
      <c r="A363" s="68"/>
      <c r="B363" s="69"/>
      <c r="C363" s="25"/>
      <c r="D363" s="25"/>
      <c r="E363" s="25"/>
      <c r="F363" s="25"/>
      <c r="G363" s="25"/>
      <c r="H363" s="25"/>
      <c r="I363" s="91"/>
      <c r="J363" s="91"/>
      <c r="K363" s="91"/>
      <c r="L363" s="68"/>
      <c r="M363" s="68"/>
      <c r="N363" s="74" t="str">
        <f aca="false">IF(A363="","",IF(ISNUMBER(K363),IF(AND(OR(I363="",K363&gt;=I363),OR(J363="",K363&lt;=J363)),"Conforme","Non conforme"),IF(M363="","En attente",M363)))</f>
        <v/>
      </c>
      <c r="O363" s="25"/>
      <c r="P363" s="25"/>
      <c r="Q363" s="69"/>
      <c r="R363" s="74" t="str">
        <f aca="false">IF(A363="","",IF(N363="Non conforme",IF(Q363="","NC ouverte","NC levée"),IF(N363="Réserve",IF(Q363="","Réserve ouverte","Réserve levée"),IF(N363="En attente","À contrôler","Clos"))))</f>
        <v/>
      </c>
      <c r="S363" s="25"/>
    </row>
    <row r="364" customFormat="false" ht="15" hidden="false" customHeight="false" outlineLevel="0" collapsed="false">
      <c r="A364" s="68"/>
      <c r="B364" s="69"/>
      <c r="C364" s="25"/>
      <c r="D364" s="25"/>
      <c r="E364" s="25"/>
      <c r="F364" s="25"/>
      <c r="G364" s="25"/>
      <c r="H364" s="25"/>
      <c r="I364" s="91"/>
      <c r="J364" s="91"/>
      <c r="K364" s="91"/>
      <c r="L364" s="68"/>
      <c r="M364" s="68"/>
      <c r="N364" s="74" t="str">
        <f aca="false">IF(A364="","",IF(ISNUMBER(K364),IF(AND(OR(I364="",K364&gt;=I364),OR(J364="",K364&lt;=J364)),"Conforme","Non conforme"),IF(M364="","En attente",M364)))</f>
        <v/>
      </c>
      <c r="O364" s="25"/>
      <c r="P364" s="25"/>
      <c r="Q364" s="69"/>
      <c r="R364" s="74" t="str">
        <f aca="false">IF(A364="","",IF(N364="Non conforme",IF(Q364="","NC ouverte","NC levée"),IF(N364="Réserve",IF(Q364="","Réserve ouverte","Réserve levée"),IF(N364="En attente","À contrôler","Clos"))))</f>
        <v/>
      </c>
      <c r="S364" s="25"/>
    </row>
    <row r="365" customFormat="false" ht="15" hidden="false" customHeight="false" outlineLevel="0" collapsed="false">
      <c r="A365" s="68"/>
      <c r="B365" s="69"/>
      <c r="C365" s="25"/>
      <c r="D365" s="25"/>
      <c r="E365" s="25"/>
      <c r="F365" s="25"/>
      <c r="G365" s="25"/>
      <c r="H365" s="25"/>
      <c r="I365" s="91"/>
      <c r="J365" s="91"/>
      <c r="K365" s="91"/>
      <c r="L365" s="68"/>
      <c r="M365" s="68"/>
      <c r="N365" s="74" t="str">
        <f aca="false">IF(A365="","",IF(ISNUMBER(K365),IF(AND(OR(I365="",K365&gt;=I365),OR(J365="",K365&lt;=J365)),"Conforme","Non conforme"),IF(M365="","En attente",M365)))</f>
        <v/>
      </c>
      <c r="O365" s="25"/>
      <c r="P365" s="25"/>
      <c r="Q365" s="69"/>
      <c r="R365" s="74" t="str">
        <f aca="false">IF(A365="","",IF(N365="Non conforme",IF(Q365="","NC ouverte","NC levée"),IF(N365="Réserve",IF(Q365="","Réserve ouverte","Réserve levée"),IF(N365="En attente","À contrôler","Clos"))))</f>
        <v/>
      </c>
      <c r="S365" s="25"/>
    </row>
    <row r="366" customFormat="false" ht="15" hidden="false" customHeight="false" outlineLevel="0" collapsed="false">
      <c r="A366" s="68"/>
      <c r="B366" s="69"/>
      <c r="C366" s="25"/>
      <c r="D366" s="25"/>
      <c r="E366" s="25"/>
      <c r="F366" s="25"/>
      <c r="G366" s="25"/>
      <c r="H366" s="25"/>
      <c r="I366" s="91"/>
      <c r="J366" s="91"/>
      <c r="K366" s="91"/>
      <c r="L366" s="68"/>
      <c r="M366" s="68"/>
      <c r="N366" s="74" t="str">
        <f aca="false">IF(A366="","",IF(ISNUMBER(K366),IF(AND(OR(I366="",K366&gt;=I366),OR(J366="",K366&lt;=J366)),"Conforme","Non conforme"),IF(M366="","En attente",M366)))</f>
        <v/>
      </c>
      <c r="O366" s="25"/>
      <c r="P366" s="25"/>
      <c r="Q366" s="69"/>
      <c r="R366" s="74" t="str">
        <f aca="false">IF(A366="","",IF(N366="Non conforme",IF(Q366="","NC ouverte","NC levée"),IF(N366="Réserve",IF(Q366="","Réserve ouverte","Réserve levée"),IF(N366="En attente","À contrôler","Clos"))))</f>
        <v/>
      </c>
      <c r="S366" s="25"/>
    </row>
    <row r="367" customFormat="false" ht="15" hidden="false" customHeight="false" outlineLevel="0" collapsed="false">
      <c r="A367" s="68"/>
      <c r="B367" s="69"/>
      <c r="C367" s="25"/>
      <c r="D367" s="25"/>
      <c r="E367" s="25"/>
      <c r="F367" s="25"/>
      <c r="G367" s="25"/>
      <c r="H367" s="25"/>
      <c r="I367" s="91"/>
      <c r="J367" s="91"/>
      <c r="K367" s="91"/>
      <c r="L367" s="68"/>
      <c r="M367" s="68"/>
      <c r="N367" s="74" t="str">
        <f aca="false">IF(A367="","",IF(ISNUMBER(K367),IF(AND(OR(I367="",K367&gt;=I367),OR(J367="",K367&lt;=J367)),"Conforme","Non conforme"),IF(M367="","En attente",M367)))</f>
        <v/>
      </c>
      <c r="O367" s="25"/>
      <c r="P367" s="25"/>
      <c r="Q367" s="69"/>
      <c r="R367" s="74" t="str">
        <f aca="false">IF(A367="","",IF(N367="Non conforme",IF(Q367="","NC ouverte","NC levée"),IF(N367="Réserve",IF(Q367="","Réserve ouverte","Réserve levée"),IF(N367="En attente","À contrôler","Clos"))))</f>
        <v/>
      </c>
      <c r="S367" s="25"/>
    </row>
    <row r="368" customFormat="false" ht="15" hidden="false" customHeight="false" outlineLevel="0" collapsed="false">
      <c r="A368" s="68"/>
      <c r="B368" s="69"/>
      <c r="C368" s="25"/>
      <c r="D368" s="25"/>
      <c r="E368" s="25"/>
      <c r="F368" s="25"/>
      <c r="G368" s="25"/>
      <c r="H368" s="25"/>
      <c r="I368" s="91"/>
      <c r="J368" s="91"/>
      <c r="K368" s="91"/>
      <c r="L368" s="68"/>
      <c r="M368" s="68"/>
      <c r="N368" s="74" t="str">
        <f aca="false">IF(A368="","",IF(ISNUMBER(K368),IF(AND(OR(I368="",K368&gt;=I368),OR(J368="",K368&lt;=J368)),"Conforme","Non conforme"),IF(M368="","En attente",M368)))</f>
        <v/>
      </c>
      <c r="O368" s="25"/>
      <c r="P368" s="25"/>
      <c r="Q368" s="69"/>
      <c r="R368" s="74" t="str">
        <f aca="false">IF(A368="","",IF(N368="Non conforme",IF(Q368="","NC ouverte","NC levée"),IF(N368="Réserve",IF(Q368="","Réserve ouverte","Réserve levée"),IF(N368="En attente","À contrôler","Clos"))))</f>
        <v/>
      </c>
      <c r="S368" s="25"/>
    </row>
    <row r="369" customFormat="false" ht="15" hidden="false" customHeight="false" outlineLevel="0" collapsed="false">
      <c r="A369" s="68"/>
      <c r="B369" s="69"/>
      <c r="C369" s="25"/>
      <c r="D369" s="25"/>
      <c r="E369" s="25"/>
      <c r="F369" s="25"/>
      <c r="G369" s="25"/>
      <c r="H369" s="25"/>
      <c r="I369" s="91"/>
      <c r="J369" s="91"/>
      <c r="K369" s="91"/>
      <c r="L369" s="68"/>
      <c r="M369" s="68"/>
      <c r="N369" s="74" t="str">
        <f aca="false">IF(A369="","",IF(ISNUMBER(K369),IF(AND(OR(I369="",K369&gt;=I369),OR(J369="",K369&lt;=J369)),"Conforme","Non conforme"),IF(M369="","En attente",M369)))</f>
        <v/>
      </c>
      <c r="O369" s="25"/>
      <c r="P369" s="25"/>
      <c r="Q369" s="69"/>
      <c r="R369" s="74" t="str">
        <f aca="false">IF(A369="","",IF(N369="Non conforme",IF(Q369="","NC ouverte","NC levée"),IF(N369="Réserve",IF(Q369="","Réserve ouverte","Réserve levée"),IF(N369="En attente","À contrôler","Clos"))))</f>
        <v/>
      </c>
      <c r="S369" s="25"/>
    </row>
    <row r="370" customFormat="false" ht="15" hidden="false" customHeight="false" outlineLevel="0" collapsed="false">
      <c r="A370" s="68"/>
      <c r="B370" s="69"/>
      <c r="C370" s="25"/>
      <c r="D370" s="25"/>
      <c r="E370" s="25"/>
      <c r="F370" s="25"/>
      <c r="G370" s="25"/>
      <c r="H370" s="25"/>
      <c r="I370" s="91"/>
      <c r="J370" s="91"/>
      <c r="K370" s="91"/>
      <c r="L370" s="68"/>
      <c r="M370" s="68"/>
      <c r="N370" s="74" t="str">
        <f aca="false">IF(A370="","",IF(ISNUMBER(K370),IF(AND(OR(I370="",K370&gt;=I370),OR(J370="",K370&lt;=J370)),"Conforme","Non conforme"),IF(M370="","En attente",M370)))</f>
        <v/>
      </c>
      <c r="O370" s="25"/>
      <c r="P370" s="25"/>
      <c r="Q370" s="69"/>
      <c r="R370" s="74" t="str">
        <f aca="false">IF(A370="","",IF(N370="Non conforme",IF(Q370="","NC ouverte","NC levée"),IF(N370="Réserve",IF(Q370="","Réserve ouverte","Réserve levée"),IF(N370="En attente","À contrôler","Clos"))))</f>
        <v/>
      </c>
      <c r="S370" s="25"/>
    </row>
    <row r="371" customFormat="false" ht="15" hidden="false" customHeight="false" outlineLevel="0" collapsed="false">
      <c r="A371" s="68"/>
      <c r="B371" s="69"/>
      <c r="C371" s="25"/>
      <c r="D371" s="25"/>
      <c r="E371" s="25"/>
      <c r="F371" s="25"/>
      <c r="G371" s="25"/>
      <c r="H371" s="25"/>
      <c r="I371" s="91"/>
      <c r="J371" s="91"/>
      <c r="K371" s="91"/>
      <c r="L371" s="68"/>
      <c r="M371" s="68"/>
      <c r="N371" s="74" t="str">
        <f aca="false">IF(A371="","",IF(ISNUMBER(K371),IF(AND(OR(I371="",K371&gt;=I371),OR(J371="",K371&lt;=J371)),"Conforme","Non conforme"),IF(M371="","En attente",M371)))</f>
        <v/>
      </c>
      <c r="O371" s="25"/>
      <c r="P371" s="25"/>
      <c r="Q371" s="69"/>
      <c r="R371" s="74" t="str">
        <f aca="false">IF(A371="","",IF(N371="Non conforme",IF(Q371="","NC ouverte","NC levée"),IF(N371="Réserve",IF(Q371="","Réserve ouverte","Réserve levée"),IF(N371="En attente","À contrôler","Clos"))))</f>
        <v/>
      </c>
      <c r="S371" s="25"/>
    </row>
    <row r="372" customFormat="false" ht="15" hidden="false" customHeight="false" outlineLevel="0" collapsed="false">
      <c r="A372" s="68"/>
      <c r="B372" s="69"/>
      <c r="C372" s="25"/>
      <c r="D372" s="25"/>
      <c r="E372" s="25"/>
      <c r="F372" s="25"/>
      <c r="G372" s="25"/>
      <c r="H372" s="25"/>
      <c r="I372" s="91"/>
      <c r="J372" s="91"/>
      <c r="K372" s="91"/>
      <c r="L372" s="68"/>
      <c r="M372" s="68"/>
      <c r="N372" s="74" t="str">
        <f aca="false">IF(A372="","",IF(ISNUMBER(K372),IF(AND(OR(I372="",K372&gt;=I372),OR(J372="",K372&lt;=J372)),"Conforme","Non conforme"),IF(M372="","En attente",M372)))</f>
        <v/>
      </c>
      <c r="O372" s="25"/>
      <c r="P372" s="25"/>
      <c r="Q372" s="69"/>
      <c r="R372" s="74" t="str">
        <f aca="false">IF(A372="","",IF(N372="Non conforme",IF(Q372="","NC ouverte","NC levée"),IF(N372="Réserve",IF(Q372="","Réserve ouverte","Réserve levée"),IF(N372="En attente","À contrôler","Clos"))))</f>
        <v/>
      </c>
      <c r="S372" s="25"/>
    </row>
    <row r="373" customFormat="false" ht="15" hidden="false" customHeight="false" outlineLevel="0" collapsed="false">
      <c r="A373" s="68"/>
      <c r="B373" s="69"/>
      <c r="C373" s="25"/>
      <c r="D373" s="25"/>
      <c r="E373" s="25"/>
      <c r="F373" s="25"/>
      <c r="G373" s="25"/>
      <c r="H373" s="25"/>
      <c r="I373" s="91"/>
      <c r="J373" s="91"/>
      <c r="K373" s="91"/>
      <c r="L373" s="68"/>
      <c r="M373" s="68"/>
      <c r="N373" s="74" t="str">
        <f aca="false">IF(A373="","",IF(ISNUMBER(K373),IF(AND(OR(I373="",K373&gt;=I373),OR(J373="",K373&lt;=J373)),"Conforme","Non conforme"),IF(M373="","En attente",M373)))</f>
        <v/>
      </c>
      <c r="O373" s="25"/>
      <c r="P373" s="25"/>
      <c r="Q373" s="69"/>
      <c r="R373" s="74" t="str">
        <f aca="false">IF(A373="","",IF(N373="Non conforme",IF(Q373="","NC ouverte","NC levée"),IF(N373="Réserve",IF(Q373="","Réserve ouverte","Réserve levée"),IF(N373="En attente","À contrôler","Clos"))))</f>
        <v/>
      </c>
      <c r="S373" s="25"/>
    </row>
    <row r="374" customFormat="false" ht="15" hidden="false" customHeight="false" outlineLevel="0" collapsed="false">
      <c r="A374" s="68"/>
      <c r="B374" s="69"/>
      <c r="C374" s="25"/>
      <c r="D374" s="25"/>
      <c r="E374" s="25"/>
      <c r="F374" s="25"/>
      <c r="G374" s="25"/>
      <c r="H374" s="25"/>
      <c r="I374" s="91"/>
      <c r="J374" s="91"/>
      <c r="K374" s="91"/>
      <c r="L374" s="68"/>
      <c r="M374" s="68"/>
      <c r="N374" s="74" t="str">
        <f aca="false">IF(A374="","",IF(ISNUMBER(K374),IF(AND(OR(I374="",K374&gt;=I374),OR(J374="",K374&lt;=J374)),"Conforme","Non conforme"),IF(M374="","En attente",M374)))</f>
        <v/>
      </c>
      <c r="O374" s="25"/>
      <c r="P374" s="25"/>
      <c r="Q374" s="69"/>
      <c r="R374" s="74" t="str">
        <f aca="false">IF(A374="","",IF(N374="Non conforme",IF(Q374="","NC ouverte","NC levée"),IF(N374="Réserve",IF(Q374="","Réserve ouverte","Réserve levée"),IF(N374="En attente","À contrôler","Clos"))))</f>
        <v/>
      </c>
      <c r="S374" s="25"/>
    </row>
    <row r="375" customFormat="false" ht="15" hidden="false" customHeight="false" outlineLevel="0" collapsed="false">
      <c r="A375" s="68"/>
      <c r="B375" s="69"/>
      <c r="C375" s="25"/>
      <c r="D375" s="25"/>
      <c r="E375" s="25"/>
      <c r="F375" s="25"/>
      <c r="G375" s="25"/>
      <c r="H375" s="25"/>
      <c r="I375" s="91"/>
      <c r="J375" s="91"/>
      <c r="K375" s="91"/>
      <c r="L375" s="68"/>
      <c r="M375" s="68"/>
      <c r="N375" s="74" t="str">
        <f aca="false">IF(A375="","",IF(ISNUMBER(K375),IF(AND(OR(I375="",K375&gt;=I375),OR(J375="",K375&lt;=J375)),"Conforme","Non conforme"),IF(M375="","En attente",M375)))</f>
        <v/>
      </c>
      <c r="O375" s="25"/>
      <c r="P375" s="25"/>
      <c r="Q375" s="69"/>
      <c r="R375" s="74" t="str">
        <f aca="false">IF(A375="","",IF(N375="Non conforme",IF(Q375="","NC ouverte","NC levée"),IF(N375="Réserve",IF(Q375="","Réserve ouverte","Réserve levée"),IF(N375="En attente","À contrôler","Clos"))))</f>
        <v/>
      </c>
      <c r="S375" s="25"/>
    </row>
    <row r="376" customFormat="false" ht="15" hidden="false" customHeight="false" outlineLevel="0" collapsed="false">
      <c r="A376" s="68"/>
      <c r="B376" s="69"/>
      <c r="C376" s="25"/>
      <c r="D376" s="25"/>
      <c r="E376" s="25"/>
      <c r="F376" s="25"/>
      <c r="G376" s="25"/>
      <c r="H376" s="25"/>
      <c r="I376" s="91"/>
      <c r="J376" s="91"/>
      <c r="K376" s="91"/>
      <c r="L376" s="68"/>
      <c r="M376" s="68"/>
      <c r="N376" s="74" t="str">
        <f aca="false">IF(A376="","",IF(ISNUMBER(K376),IF(AND(OR(I376="",K376&gt;=I376),OR(J376="",K376&lt;=J376)),"Conforme","Non conforme"),IF(M376="","En attente",M376)))</f>
        <v/>
      </c>
      <c r="O376" s="25"/>
      <c r="P376" s="25"/>
      <c r="Q376" s="69"/>
      <c r="R376" s="74" t="str">
        <f aca="false">IF(A376="","",IF(N376="Non conforme",IF(Q376="","NC ouverte","NC levée"),IF(N376="Réserve",IF(Q376="","Réserve ouverte","Réserve levée"),IF(N376="En attente","À contrôler","Clos"))))</f>
        <v/>
      </c>
      <c r="S376" s="25"/>
    </row>
    <row r="377" customFormat="false" ht="15" hidden="false" customHeight="false" outlineLevel="0" collapsed="false">
      <c r="A377" s="68"/>
      <c r="B377" s="69"/>
      <c r="C377" s="25"/>
      <c r="D377" s="25"/>
      <c r="E377" s="25"/>
      <c r="F377" s="25"/>
      <c r="G377" s="25"/>
      <c r="H377" s="25"/>
      <c r="I377" s="91"/>
      <c r="J377" s="91"/>
      <c r="K377" s="91"/>
      <c r="L377" s="68"/>
      <c r="M377" s="68"/>
      <c r="N377" s="74" t="str">
        <f aca="false">IF(A377="","",IF(ISNUMBER(K377),IF(AND(OR(I377="",K377&gt;=I377),OR(J377="",K377&lt;=J377)),"Conforme","Non conforme"),IF(M377="","En attente",M377)))</f>
        <v/>
      </c>
      <c r="O377" s="25"/>
      <c r="P377" s="25"/>
      <c r="Q377" s="69"/>
      <c r="R377" s="74" t="str">
        <f aca="false">IF(A377="","",IF(N377="Non conforme",IF(Q377="","NC ouverte","NC levée"),IF(N377="Réserve",IF(Q377="","Réserve ouverte","Réserve levée"),IF(N377="En attente","À contrôler","Clos"))))</f>
        <v/>
      </c>
      <c r="S377" s="25"/>
    </row>
    <row r="378" customFormat="false" ht="15" hidden="false" customHeight="false" outlineLevel="0" collapsed="false">
      <c r="A378" s="68"/>
      <c r="B378" s="69"/>
      <c r="C378" s="25"/>
      <c r="D378" s="25"/>
      <c r="E378" s="25"/>
      <c r="F378" s="25"/>
      <c r="G378" s="25"/>
      <c r="H378" s="25"/>
      <c r="I378" s="91"/>
      <c r="J378" s="91"/>
      <c r="K378" s="91"/>
      <c r="L378" s="68"/>
      <c r="M378" s="68"/>
      <c r="N378" s="74" t="str">
        <f aca="false">IF(A378="","",IF(ISNUMBER(K378),IF(AND(OR(I378="",K378&gt;=I378),OR(J378="",K378&lt;=J378)),"Conforme","Non conforme"),IF(M378="","En attente",M378)))</f>
        <v/>
      </c>
      <c r="O378" s="25"/>
      <c r="P378" s="25"/>
      <c r="Q378" s="69"/>
      <c r="R378" s="74" t="str">
        <f aca="false">IF(A378="","",IF(N378="Non conforme",IF(Q378="","NC ouverte","NC levée"),IF(N378="Réserve",IF(Q378="","Réserve ouverte","Réserve levée"),IF(N378="En attente","À contrôler","Clos"))))</f>
        <v/>
      </c>
      <c r="S378" s="25"/>
    </row>
    <row r="379" customFormat="false" ht="15" hidden="false" customHeight="false" outlineLevel="0" collapsed="false">
      <c r="A379" s="68"/>
      <c r="B379" s="69"/>
      <c r="C379" s="25"/>
      <c r="D379" s="25"/>
      <c r="E379" s="25"/>
      <c r="F379" s="25"/>
      <c r="G379" s="25"/>
      <c r="H379" s="25"/>
      <c r="I379" s="91"/>
      <c r="J379" s="91"/>
      <c r="K379" s="91"/>
      <c r="L379" s="68"/>
      <c r="M379" s="68"/>
      <c r="N379" s="74" t="str">
        <f aca="false">IF(A379="","",IF(ISNUMBER(K379),IF(AND(OR(I379="",K379&gt;=I379),OR(J379="",K379&lt;=J379)),"Conforme","Non conforme"),IF(M379="","En attente",M379)))</f>
        <v/>
      </c>
      <c r="O379" s="25"/>
      <c r="P379" s="25"/>
      <c r="Q379" s="69"/>
      <c r="R379" s="74" t="str">
        <f aca="false">IF(A379="","",IF(N379="Non conforme",IF(Q379="","NC ouverte","NC levée"),IF(N379="Réserve",IF(Q379="","Réserve ouverte","Réserve levée"),IF(N379="En attente","À contrôler","Clos"))))</f>
        <v/>
      </c>
      <c r="S379" s="25"/>
    </row>
    <row r="380" customFormat="false" ht="15" hidden="false" customHeight="false" outlineLevel="0" collapsed="false">
      <c r="A380" s="68"/>
      <c r="B380" s="69"/>
      <c r="C380" s="25"/>
      <c r="D380" s="25"/>
      <c r="E380" s="25"/>
      <c r="F380" s="25"/>
      <c r="G380" s="25"/>
      <c r="H380" s="25"/>
      <c r="I380" s="91"/>
      <c r="J380" s="91"/>
      <c r="K380" s="91"/>
      <c r="L380" s="68"/>
      <c r="M380" s="68"/>
      <c r="N380" s="74" t="str">
        <f aca="false">IF(A380="","",IF(ISNUMBER(K380),IF(AND(OR(I380="",K380&gt;=I380),OR(J380="",K380&lt;=J380)),"Conforme","Non conforme"),IF(M380="","En attente",M380)))</f>
        <v/>
      </c>
      <c r="O380" s="25"/>
      <c r="P380" s="25"/>
      <c r="Q380" s="69"/>
      <c r="R380" s="74" t="str">
        <f aca="false">IF(A380="","",IF(N380="Non conforme",IF(Q380="","NC ouverte","NC levée"),IF(N380="Réserve",IF(Q380="","Réserve ouverte","Réserve levée"),IF(N380="En attente","À contrôler","Clos"))))</f>
        <v/>
      </c>
      <c r="S380" s="25"/>
    </row>
    <row r="381" customFormat="false" ht="15" hidden="false" customHeight="false" outlineLevel="0" collapsed="false">
      <c r="A381" s="68"/>
      <c r="B381" s="69"/>
      <c r="C381" s="25"/>
      <c r="D381" s="25"/>
      <c r="E381" s="25"/>
      <c r="F381" s="25"/>
      <c r="G381" s="25"/>
      <c r="H381" s="25"/>
      <c r="I381" s="91"/>
      <c r="J381" s="91"/>
      <c r="K381" s="91"/>
      <c r="L381" s="68"/>
      <c r="M381" s="68"/>
      <c r="N381" s="74" t="str">
        <f aca="false">IF(A381="","",IF(ISNUMBER(K381),IF(AND(OR(I381="",K381&gt;=I381),OR(J381="",K381&lt;=J381)),"Conforme","Non conforme"),IF(M381="","En attente",M381)))</f>
        <v/>
      </c>
      <c r="O381" s="25"/>
      <c r="P381" s="25"/>
      <c r="Q381" s="69"/>
      <c r="R381" s="74" t="str">
        <f aca="false">IF(A381="","",IF(N381="Non conforme",IF(Q381="","NC ouverte","NC levée"),IF(N381="Réserve",IF(Q381="","Réserve ouverte","Réserve levée"),IF(N381="En attente","À contrôler","Clos"))))</f>
        <v/>
      </c>
      <c r="S381" s="25"/>
    </row>
    <row r="382" customFormat="false" ht="15" hidden="false" customHeight="false" outlineLevel="0" collapsed="false">
      <c r="A382" s="68"/>
      <c r="B382" s="69"/>
      <c r="C382" s="25"/>
      <c r="D382" s="25"/>
      <c r="E382" s="25"/>
      <c r="F382" s="25"/>
      <c r="G382" s="25"/>
      <c r="H382" s="25"/>
      <c r="I382" s="91"/>
      <c r="J382" s="91"/>
      <c r="K382" s="91"/>
      <c r="L382" s="68"/>
      <c r="M382" s="68"/>
      <c r="N382" s="74" t="str">
        <f aca="false">IF(A382="","",IF(ISNUMBER(K382),IF(AND(OR(I382="",K382&gt;=I382),OR(J382="",K382&lt;=J382)),"Conforme","Non conforme"),IF(M382="","En attente",M382)))</f>
        <v/>
      </c>
      <c r="O382" s="25"/>
      <c r="P382" s="25"/>
      <c r="Q382" s="69"/>
      <c r="R382" s="74" t="str">
        <f aca="false">IF(A382="","",IF(N382="Non conforme",IF(Q382="","NC ouverte","NC levée"),IF(N382="Réserve",IF(Q382="","Réserve ouverte","Réserve levée"),IF(N382="En attente","À contrôler","Clos"))))</f>
        <v/>
      </c>
      <c r="S382" s="25"/>
    </row>
    <row r="383" customFormat="false" ht="15" hidden="false" customHeight="false" outlineLevel="0" collapsed="false">
      <c r="A383" s="68"/>
      <c r="B383" s="69"/>
      <c r="C383" s="25"/>
      <c r="D383" s="25"/>
      <c r="E383" s="25"/>
      <c r="F383" s="25"/>
      <c r="G383" s="25"/>
      <c r="H383" s="25"/>
      <c r="I383" s="91"/>
      <c r="J383" s="91"/>
      <c r="K383" s="91"/>
      <c r="L383" s="68"/>
      <c r="M383" s="68"/>
      <c r="N383" s="74" t="str">
        <f aca="false">IF(A383="","",IF(ISNUMBER(K383),IF(AND(OR(I383="",K383&gt;=I383),OR(J383="",K383&lt;=J383)),"Conforme","Non conforme"),IF(M383="","En attente",M383)))</f>
        <v/>
      </c>
      <c r="O383" s="25"/>
      <c r="P383" s="25"/>
      <c r="Q383" s="69"/>
      <c r="R383" s="74" t="str">
        <f aca="false">IF(A383="","",IF(N383="Non conforme",IF(Q383="","NC ouverte","NC levée"),IF(N383="Réserve",IF(Q383="","Réserve ouverte","Réserve levée"),IF(N383="En attente","À contrôler","Clos"))))</f>
        <v/>
      </c>
      <c r="S383" s="25"/>
    </row>
    <row r="384" customFormat="false" ht="15" hidden="false" customHeight="false" outlineLevel="0" collapsed="false">
      <c r="A384" s="68"/>
      <c r="B384" s="69"/>
      <c r="C384" s="25"/>
      <c r="D384" s="25"/>
      <c r="E384" s="25"/>
      <c r="F384" s="25"/>
      <c r="G384" s="25"/>
      <c r="H384" s="25"/>
      <c r="I384" s="91"/>
      <c r="J384" s="91"/>
      <c r="K384" s="91"/>
      <c r="L384" s="68"/>
      <c r="M384" s="68"/>
      <c r="N384" s="74" t="str">
        <f aca="false">IF(A384="","",IF(ISNUMBER(K384),IF(AND(OR(I384="",K384&gt;=I384),OR(J384="",K384&lt;=J384)),"Conforme","Non conforme"),IF(M384="","En attente",M384)))</f>
        <v/>
      </c>
      <c r="O384" s="25"/>
      <c r="P384" s="25"/>
      <c r="Q384" s="69"/>
      <c r="R384" s="74" t="str">
        <f aca="false">IF(A384="","",IF(N384="Non conforme",IF(Q384="","NC ouverte","NC levée"),IF(N384="Réserve",IF(Q384="","Réserve ouverte","Réserve levée"),IF(N384="En attente","À contrôler","Clos"))))</f>
        <v/>
      </c>
      <c r="S384" s="25"/>
    </row>
    <row r="385" customFormat="false" ht="15" hidden="false" customHeight="false" outlineLevel="0" collapsed="false">
      <c r="A385" s="68"/>
      <c r="B385" s="69"/>
      <c r="C385" s="25"/>
      <c r="D385" s="25"/>
      <c r="E385" s="25"/>
      <c r="F385" s="25"/>
      <c r="G385" s="25"/>
      <c r="H385" s="25"/>
      <c r="I385" s="91"/>
      <c r="J385" s="91"/>
      <c r="K385" s="91"/>
      <c r="L385" s="68"/>
      <c r="M385" s="68"/>
      <c r="N385" s="74" t="str">
        <f aca="false">IF(A385="","",IF(ISNUMBER(K385),IF(AND(OR(I385="",K385&gt;=I385),OR(J385="",K385&lt;=J385)),"Conforme","Non conforme"),IF(M385="","En attente",M385)))</f>
        <v/>
      </c>
      <c r="O385" s="25"/>
      <c r="P385" s="25"/>
      <c r="Q385" s="69"/>
      <c r="R385" s="74" t="str">
        <f aca="false">IF(A385="","",IF(N385="Non conforme",IF(Q385="","NC ouverte","NC levée"),IF(N385="Réserve",IF(Q385="","Réserve ouverte","Réserve levée"),IF(N385="En attente","À contrôler","Clos"))))</f>
        <v/>
      </c>
      <c r="S385" s="25"/>
    </row>
    <row r="386" customFormat="false" ht="15" hidden="false" customHeight="false" outlineLevel="0" collapsed="false">
      <c r="A386" s="68"/>
      <c r="B386" s="69"/>
      <c r="C386" s="25"/>
      <c r="D386" s="25"/>
      <c r="E386" s="25"/>
      <c r="F386" s="25"/>
      <c r="G386" s="25"/>
      <c r="H386" s="25"/>
      <c r="I386" s="91"/>
      <c r="J386" s="91"/>
      <c r="K386" s="91"/>
      <c r="L386" s="68"/>
      <c r="M386" s="68"/>
      <c r="N386" s="74" t="str">
        <f aca="false">IF(A386="","",IF(ISNUMBER(K386),IF(AND(OR(I386="",K386&gt;=I386),OR(J386="",K386&lt;=J386)),"Conforme","Non conforme"),IF(M386="","En attente",M386)))</f>
        <v/>
      </c>
      <c r="O386" s="25"/>
      <c r="P386" s="25"/>
      <c r="Q386" s="69"/>
      <c r="R386" s="74" t="str">
        <f aca="false">IF(A386="","",IF(N386="Non conforme",IF(Q386="","NC ouverte","NC levée"),IF(N386="Réserve",IF(Q386="","Réserve ouverte","Réserve levée"),IF(N386="En attente","À contrôler","Clos"))))</f>
        <v/>
      </c>
      <c r="S386" s="25"/>
    </row>
    <row r="387" customFormat="false" ht="15" hidden="false" customHeight="false" outlineLevel="0" collapsed="false">
      <c r="A387" s="68"/>
      <c r="B387" s="69"/>
      <c r="C387" s="25"/>
      <c r="D387" s="25"/>
      <c r="E387" s="25"/>
      <c r="F387" s="25"/>
      <c r="G387" s="25"/>
      <c r="H387" s="25"/>
      <c r="I387" s="91"/>
      <c r="J387" s="91"/>
      <c r="K387" s="91"/>
      <c r="L387" s="68"/>
      <c r="M387" s="68"/>
      <c r="N387" s="74" t="str">
        <f aca="false">IF(A387="","",IF(ISNUMBER(K387),IF(AND(OR(I387="",K387&gt;=I387),OR(J387="",K387&lt;=J387)),"Conforme","Non conforme"),IF(M387="","En attente",M387)))</f>
        <v/>
      </c>
      <c r="O387" s="25"/>
      <c r="P387" s="25"/>
      <c r="Q387" s="69"/>
      <c r="R387" s="74" t="str">
        <f aca="false">IF(A387="","",IF(N387="Non conforme",IF(Q387="","NC ouverte","NC levée"),IF(N387="Réserve",IF(Q387="","Réserve ouverte","Réserve levée"),IF(N387="En attente","À contrôler","Clos"))))</f>
        <v/>
      </c>
      <c r="S387" s="25"/>
    </row>
    <row r="388" customFormat="false" ht="15" hidden="false" customHeight="false" outlineLevel="0" collapsed="false">
      <c r="A388" s="68"/>
      <c r="B388" s="69"/>
      <c r="C388" s="25"/>
      <c r="D388" s="25"/>
      <c r="E388" s="25"/>
      <c r="F388" s="25"/>
      <c r="G388" s="25"/>
      <c r="H388" s="25"/>
      <c r="I388" s="91"/>
      <c r="J388" s="91"/>
      <c r="K388" s="91"/>
      <c r="L388" s="68"/>
      <c r="M388" s="68"/>
      <c r="N388" s="74" t="str">
        <f aca="false">IF(A388="","",IF(ISNUMBER(K388),IF(AND(OR(I388="",K388&gt;=I388),OR(J388="",K388&lt;=J388)),"Conforme","Non conforme"),IF(M388="","En attente",M388)))</f>
        <v/>
      </c>
      <c r="O388" s="25"/>
      <c r="P388" s="25"/>
      <c r="Q388" s="69"/>
      <c r="R388" s="74" t="str">
        <f aca="false">IF(A388="","",IF(N388="Non conforme",IF(Q388="","NC ouverte","NC levée"),IF(N388="Réserve",IF(Q388="","Réserve ouverte","Réserve levée"),IF(N388="En attente","À contrôler","Clos"))))</f>
        <v/>
      </c>
      <c r="S388" s="25"/>
    </row>
    <row r="389" customFormat="false" ht="15" hidden="false" customHeight="false" outlineLevel="0" collapsed="false">
      <c r="A389" s="68"/>
      <c r="B389" s="69"/>
      <c r="C389" s="25"/>
      <c r="D389" s="25"/>
      <c r="E389" s="25"/>
      <c r="F389" s="25"/>
      <c r="G389" s="25"/>
      <c r="H389" s="25"/>
      <c r="I389" s="91"/>
      <c r="J389" s="91"/>
      <c r="K389" s="91"/>
      <c r="L389" s="68"/>
      <c r="M389" s="68"/>
      <c r="N389" s="74" t="str">
        <f aca="false">IF(A389="","",IF(ISNUMBER(K389),IF(AND(OR(I389="",K389&gt;=I389),OR(J389="",K389&lt;=J389)),"Conforme","Non conforme"),IF(M389="","En attente",M389)))</f>
        <v/>
      </c>
      <c r="O389" s="25"/>
      <c r="P389" s="25"/>
      <c r="Q389" s="69"/>
      <c r="R389" s="74" t="str">
        <f aca="false">IF(A389="","",IF(N389="Non conforme",IF(Q389="","NC ouverte","NC levée"),IF(N389="Réserve",IF(Q389="","Réserve ouverte","Réserve levée"),IF(N389="En attente","À contrôler","Clos"))))</f>
        <v/>
      </c>
      <c r="S389" s="25"/>
    </row>
    <row r="390" customFormat="false" ht="15" hidden="false" customHeight="false" outlineLevel="0" collapsed="false">
      <c r="A390" s="68"/>
      <c r="B390" s="69"/>
      <c r="C390" s="25"/>
      <c r="D390" s="25"/>
      <c r="E390" s="25"/>
      <c r="F390" s="25"/>
      <c r="G390" s="25"/>
      <c r="H390" s="25"/>
      <c r="I390" s="91"/>
      <c r="J390" s="91"/>
      <c r="K390" s="91"/>
      <c r="L390" s="68"/>
      <c r="M390" s="68"/>
      <c r="N390" s="74" t="str">
        <f aca="false">IF(A390="","",IF(ISNUMBER(K390),IF(AND(OR(I390="",K390&gt;=I390),OR(J390="",K390&lt;=J390)),"Conforme","Non conforme"),IF(M390="","En attente",M390)))</f>
        <v/>
      </c>
      <c r="O390" s="25"/>
      <c r="P390" s="25"/>
      <c r="Q390" s="69"/>
      <c r="R390" s="74" t="str">
        <f aca="false">IF(A390="","",IF(N390="Non conforme",IF(Q390="","NC ouverte","NC levée"),IF(N390="Réserve",IF(Q390="","Réserve ouverte","Réserve levée"),IF(N390="En attente","À contrôler","Clos"))))</f>
        <v/>
      </c>
      <c r="S390" s="25"/>
    </row>
    <row r="391" customFormat="false" ht="15" hidden="false" customHeight="false" outlineLevel="0" collapsed="false">
      <c r="A391" s="68"/>
      <c r="B391" s="69"/>
      <c r="C391" s="25"/>
      <c r="D391" s="25"/>
      <c r="E391" s="25"/>
      <c r="F391" s="25"/>
      <c r="G391" s="25"/>
      <c r="H391" s="25"/>
      <c r="I391" s="91"/>
      <c r="J391" s="91"/>
      <c r="K391" s="91"/>
      <c r="L391" s="68"/>
      <c r="M391" s="68"/>
      <c r="N391" s="74" t="str">
        <f aca="false">IF(A391="","",IF(ISNUMBER(K391),IF(AND(OR(I391="",K391&gt;=I391),OR(J391="",K391&lt;=J391)),"Conforme","Non conforme"),IF(M391="","En attente",M391)))</f>
        <v/>
      </c>
      <c r="O391" s="25"/>
      <c r="P391" s="25"/>
      <c r="Q391" s="69"/>
      <c r="R391" s="74" t="str">
        <f aca="false">IF(A391="","",IF(N391="Non conforme",IF(Q391="","NC ouverte","NC levée"),IF(N391="Réserve",IF(Q391="","Réserve ouverte","Réserve levée"),IF(N391="En attente","À contrôler","Clos"))))</f>
        <v/>
      </c>
      <c r="S391" s="25"/>
    </row>
    <row r="392" customFormat="false" ht="15" hidden="false" customHeight="false" outlineLevel="0" collapsed="false">
      <c r="A392" s="68"/>
      <c r="B392" s="69"/>
      <c r="C392" s="25"/>
      <c r="D392" s="25"/>
      <c r="E392" s="25"/>
      <c r="F392" s="25"/>
      <c r="G392" s="25"/>
      <c r="H392" s="25"/>
      <c r="I392" s="91"/>
      <c r="J392" s="91"/>
      <c r="K392" s="91"/>
      <c r="L392" s="68"/>
      <c r="M392" s="68"/>
      <c r="N392" s="74" t="str">
        <f aca="false">IF(A392="","",IF(ISNUMBER(K392),IF(AND(OR(I392="",K392&gt;=I392),OR(J392="",K392&lt;=J392)),"Conforme","Non conforme"),IF(M392="","En attente",M392)))</f>
        <v/>
      </c>
      <c r="O392" s="25"/>
      <c r="P392" s="25"/>
      <c r="Q392" s="69"/>
      <c r="R392" s="74" t="str">
        <f aca="false">IF(A392="","",IF(N392="Non conforme",IF(Q392="","NC ouverte","NC levée"),IF(N392="Réserve",IF(Q392="","Réserve ouverte","Réserve levée"),IF(N392="En attente","À contrôler","Clos"))))</f>
        <v/>
      </c>
      <c r="S392" s="25"/>
    </row>
    <row r="393" customFormat="false" ht="15" hidden="false" customHeight="false" outlineLevel="0" collapsed="false">
      <c r="A393" s="68"/>
      <c r="B393" s="69"/>
      <c r="C393" s="25"/>
      <c r="D393" s="25"/>
      <c r="E393" s="25"/>
      <c r="F393" s="25"/>
      <c r="G393" s="25"/>
      <c r="H393" s="25"/>
      <c r="I393" s="91"/>
      <c r="J393" s="91"/>
      <c r="K393" s="91"/>
      <c r="L393" s="68"/>
      <c r="M393" s="68"/>
      <c r="N393" s="74" t="str">
        <f aca="false">IF(A393="","",IF(ISNUMBER(K393),IF(AND(OR(I393="",K393&gt;=I393),OR(J393="",K393&lt;=J393)),"Conforme","Non conforme"),IF(M393="","En attente",M393)))</f>
        <v/>
      </c>
      <c r="O393" s="25"/>
      <c r="P393" s="25"/>
      <c r="Q393" s="69"/>
      <c r="R393" s="74" t="str">
        <f aca="false">IF(A393="","",IF(N393="Non conforme",IF(Q393="","NC ouverte","NC levée"),IF(N393="Réserve",IF(Q393="","Réserve ouverte","Réserve levée"),IF(N393="En attente","À contrôler","Clos"))))</f>
        <v/>
      </c>
      <c r="S393" s="25"/>
    </row>
    <row r="394" customFormat="false" ht="15" hidden="false" customHeight="false" outlineLevel="0" collapsed="false">
      <c r="A394" s="68"/>
      <c r="B394" s="69"/>
      <c r="C394" s="25"/>
      <c r="D394" s="25"/>
      <c r="E394" s="25"/>
      <c r="F394" s="25"/>
      <c r="G394" s="25"/>
      <c r="H394" s="25"/>
      <c r="I394" s="91"/>
      <c r="J394" s="91"/>
      <c r="K394" s="91"/>
      <c r="L394" s="68"/>
      <c r="M394" s="68"/>
      <c r="N394" s="74" t="str">
        <f aca="false">IF(A394="","",IF(ISNUMBER(K394),IF(AND(OR(I394="",K394&gt;=I394),OR(J394="",K394&lt;=J394)),"Conforme","Non conforme"),IF(M394="","En attente",M394)))</f>
        <v/>
      </c>
      <c r="O394" s="25"/>
      <c r="P394" s="25"/>
      <c r="Q394" s="69"/>
      <c r="R394" s="74" t="str">
        <f aca="false">IF(A394="","",IF(N394="Non conforme",IF(Q394="","NC ouverte","NC levée"),IF(N394="Réserve",IF(Q394="","Réserve ouverte","Réserve levée"),IF(N394="En attente","À contrôler","Clos"))))</f>
        <v/>
      </c>
      <c r="S394" s="25"/>
    </row>
    <row r="395" customFormat="false" ht="15" hidden="false" customHeight="false" outlineLevel="0" collapsed="false">
      <c r="A395" s="68"/>
      <c r="B395" s="69"/>
      <c r="C395" s="25"/>
      <c r="D395" s="25"/>
      <c r="E395" s="25"/>
      <c r="F395" s="25"/>
      <c r="G395" s="25"/>
      <c r="H395" s="25"/>
      <c r="I395" s="91"/>
      <c r="J395" s="91"/>
      <c r="K395" s="91"/>
      <c r="L395" s="68"/>
      <c r="M395" s="68"/>
      <c r="N395" s="74" t="str">
        <f aca="false">IF(A395="","",IF(ISNUMBER(K395),IF(AND(OR(I395="",K395&gt;=I395),OR(J395="",K395&lt;=J395)),"Conforme","Non conforme"),IF(M395="","En attente",M395)))</f>
        <v/>
      </c>
      <c r="O395" s="25"/>
      <c r="P395" s="25"/>
      <c r="Q395" s="69"/>
      <c r="R395" s="74" t="str">
        <f aca="false">IF(A395="","",IF(N395="Non conforme",IF(Q395="","NC ouverte","NC levée"),IF(N395="Réserve",IF(Q395="","Réserve ouverte","Réserve levée"),IF(N395="En attente","À contrôler","Clos"))))</f>
        <v/>
      </c>
      <c r="S395" s="25"/>
    </row>
    <row r="396" customFormat="false" ht="15" hidden="false" customHeight="false" outlineLevel="0" collapsed="false">
      <c r="A396" s="68"/>
      <c r="B396" s="69"/>
      <c r="C396" s="25"/>
      <c r="D396" s="25"/>
      <c r="E396" s="25"/>
      <c r="F396" s="25"/>
      <c r="G396" s="25"/>
      <c r="H396" s="25"/>
      <c r="I396" s="91"/>
      <c r="J396" s="91"/>
      <c r="K396" s="91"/>
      <c r="L396" s="68"/>
      <c r="M396" s="68"/>
      <c r="N396" s="74" t="str">
        <f aca="false">IF(A396="","",IF(ISNUMBER(K396),IF(AND(OR(I396="",K396&gt;=I396),OR(J396="",K396&lt;=J396)),"Conforme","Non conforme"),IF(M396="","En attente",M396)))</f>
        <v/>
      </c>
      <c r="O396" s="25"/>
      <c r="P396" s="25"/>
      <c r="Q396" s="69"/>
      <c r="R396" s="74" t="str">
        <f aca="false">IF(A396="","",IF(N396="Non conforme",IF(Q396="","NC ouverte","NC levée"),IF(N396="Réserve",IF(Q396="","Réserve ouverte","Réserve levée"),IF(N396="En attente","À contrôler","Clos"))))</f>
        <v/>
      </c>
      <c r="S396" s="25"/>
    </row>
    <row r="397" customFormat="false" ht="15" hidden="false" customHeight="false" outlineLevel="0" collapsed="false">
      <c r="A397" s="68"/>
      <c r="B397" s="69"/>
      <c r="C397" s="25"/>
      <c r="D397" s="25"/>
      <c r="E397" s="25"/>
      <c r="F397" s="25"/>
      <c r="G397" s="25"/>
      <c r="H397" s="25"/>
      <c r="I397" s="91"/>
      <c r="J397" s="91"/>
      <c r="K397" s="91"/>
      <c r="L397" s="68"/>
      <c r="M397" s="68"/>
      <c r="N397" s="74" t="str">
        <f aca="false">IF(A397="","",IF(ISNUMBER(K397),IF(AND(OR(I397="",K397&gt;=I397),OR(J397="",K397&lt;=J397)),"Conforme","Non conforme"),IF(M397="","En attente",M397)))</f>
        <v/>
      </c>
      <c r="O397" s="25"/>
      <c r="P397" s="25"/>
      <c r="Q397" s="69"/>
      <c r="R397" s="74" t="str">
        <f aca="false">IF(A397="","",IF(N397="Non conforme",IF(Q397="","NC ouverte","NC levée"),IF(N397="Réserve",IF(Q397="","Réserve ouverte","Réserve levée"),IF(N397="En attente","À contrôler","Clos"))))</f>
        <v/>
      </c>
      <c r="S397" s="25"/>
    </row>
    <row r="398" customFormat="false" ht="15" hidden="false" customHeight="false" outlineLevel="0" collapsed="false">
      <c r="A398" s="68"/>
      <c r="B398" s="69"/>
      <c r="C398" s="25"/>
      <c r="D398" s="25"/>
      <c r="E398" s="25"/>
      <c r="F398" s="25"/>
      <c r="G398" s="25"/>
      <c r="H398" s="25"/>
      <c r="I398" s="91"/>
      <c r="J398" s="91"/>
      <c r="K398" s="91"/>
      <c r="L398" s="68"/>
      <c r="M398" s="68"/>
      <c r="N398" s="74" t="str">
        <f aca="false">IF(A398="","",IF(ISNUMBER(K398),IF(AND(OR(I398="",K398&gt;=I398),OR(J398="",K398&lt;=J398)),"Conforme","Non conforme"),IF(M398="","En attente",M398)))</f>
        <v/>
      </c>
      <c r="O398" s="25"/>
      <c r="P398" s="25"/>
      <c r="Q398" s="69"/>
      <c r="R398" s="74" t="str">
        <f aca="false">IF(A398="","",IF(N398="Non conforme",IF(Q398="","NC ouverte","NC levée"),IF(N398="Réserve",IF(Q398="","Réserve ouverte","Réserve levée"),IF(N398="En attente","À contrôler","Clos"))))</f>
        <v/>
      </c>
      <c r="S398" s="25"/>
    </row>
    <row r="399" customFormat="false" ht="15" hidden="false" customHeight="false" outlineLevel="0" collapsed="false">
      <c r="A399" s="68"/>
      <c r="B399" s="69"/>
      <c r="C399" s="25"/>
      <c r="D399" s="25"/>
      <c r="E399" s="25"/>
      <c r="F399" s="25"/>
      <c r="G399" s="25"/>
      <c r="H399" s="25"/>
      <c r="I399" s="91"/>
      <c r="J399" s="91"/>
      <c r="K399" s="91"/>
      <c r="L399" s="68"/>
      <c r="M399" s="68"/>
      <c r="N399" s="74" t="str">
        <f aca="false">IF(A399="","",IF(ISNUMBER(K399),IF(AND(OR(I399="",K399&gt;=I399),OR(J399="",K399&lt;=J399)),"Conforme","Non conforme"),IF(M399="","En attente",M399)))</f>
        <v/>
      </c>
      <c r="O399" s="25"/>
      <c r="P399" s="25"/>
      <c r="Q399" s="69"/>
      <c r="R399" s="74" t="str">
        <f aca="false">IF(A399="","",IF(N399="Non conforme",IF(Q399="","NC ouverte","NC levée"),IF(N399="Réserve",IF(Q399="","Réserve ouverte","Réserve levée"),IF(N399="En attente","À contrôler","Clos"))))</f>
        <v/>
      </c>
      <c r="S399" s="25"/>
    </row>
    <row r="400" customFormat="false" ht="15" hidden="false" customHeight="false" outlineLevel="0" collapsed="false">
      <c r="A400" s="68"/>
      <c r="B400" s="69"/>
      <c r="C400" s="25"/>
      <c r="D400" s="25"/>
      <c r="E400" s="25"/>
      <c r="F400" s="25"/>
      <c r="G400" s="25"/>
      <c r="H400" s="25"/>
      <c r="I400" s="91"/>
      <c r="J400" s="91"/>
      <c r="K400" s="91"/>
      <c r="L400" s="68"/>
      <c r="M400" s="68"/>
      <c r="N400" s="74" t="str">
        <f aca="false">IF(A400="","",IF(ISNUMBER(K400),IF(AND(OR(I400="",K400&gt;=I400),OR(J400="",K400&lt;=J400)),"Conforme","Non conforme"),IF(M400="","En attente",M400)))</f>
        <v/>
      </c>
      <c r="O400" s="25"/>
      <c r="P400" s="25"/>
      <c r="Q400" s="69"/>
      <c r="R400" s="74" t="str">
        <f aca="false">IF(A400="","",IF(N400="Non conforme",IF(Q400="","NC ouverte","NC levée"),IF(N400="Réserve",IF(Q400="","Réserve ouverte","Réserve levée"),IF(N400="En attente","À contrôler","Clos"))))</f>
        <v/>
      </c>
      <c r="S400" s="25"/>
    </row>
    <row r="401" customFormat="false" ht="15" hidden="false" customHeight="false" outlineLevel="0" collapsed="false">
      <c r="A401" s="68"/>
      <c r="B401" s="69"/>
      <c r="C401" s="25"/>
      <c r="D401" s="25"/>
      <c r="E401" s="25"/>
      <c r="F401" s="25"/>
      <c r="G401" s="25"/>
      <c r="H401" s="25"/>
      <c r="I401" s="91"/>
      <c r="J401" s="91"/>
      <c r="K401" s="91"/>
      <c r="L401" s="68"/>
      <c r="M401" s="68"/>
      <c r="N401" s="74" t="str">
        <f aca="false">IF(A401="","",IF(ISNUMBER(K401),IF(AND(OR(I401="",K401&gt;=I401),OR(J401="",K401&lt;=J401)),"Conforme","Non conforme"),IF(M401="","En attente",M401)))</f>
        <v/>
      </c>
      <c r="O401" s="25"/>
      <c r="P401" s="25"/>
      <c r="Q401" s="69"/>
      <c r="R401" s="74" t="str">
        <f aca="false">IF(A401="","",IF(N401="Non conforme",IF(Q401="","NC ouverte","NC levée"),IF(N401="Réserve",IF(Q401="","Réserve ouverte","Réserve levée"),IF(N401="En attente","À contrôler","Clos"))))</f>
        <v/>
      </c>
      <c r="S401" s="25"/>
    </row>
    <row r="402" customFormat="false" ht="15" hidden="false" customHeight="false" outlineLevel="0" collapsed="false">
      <c r="A402" s="68"/>
      <c r="B402" s="69"/>
      <c r="C402" s="25"/>
      <c r="D402" s="25"/>
      <c r="E402" s="25"/>
      <c r="F402" s="25"/>
      <c r="G402" s="25"/>
      <c r="H402" s="25"/>
      <c r="I402" s="91"/>
      <c r="J402" s="91"/>
      <c r="K402" s="91"/>
      <c r="L402" s="68"/>
      <c r="M402" s="68"/>
      <c r="N402" s="74" t="str">
        <f aca="false">IF(A402="","",IF(ISNUMBER(K402),IF(AND(OR(I402="",K402&gt;=I402),OR(J402="",K402&lt;=J402)),"Conforme","Non conforme"),IF(M402="","En attente",M402)))</f>
        <v/>
      </c>
      <c r="O402" s="25"/>
      <c r="P402" s="25"/>
      <c r="Q402" s="69"/>
      <c r="R402" s="74" t="str">
        <f aca="false">IF(A402="","",IF(N402="Non conforme",IF(Q402="","NC ouverte","NC levée"),IF(N402="Réserve",IF(Q402="","Réserve ouverte","Réserve levée"),IF(N402="En attente","À contrôler","Clos"))))</f>
        <v/>
      </c>
      <c r="S402" s="25"/>
    </row>
    <row r="403" customFormat="false" ht="15" hidden="false" customHeight="false" outlineLevel="0" collapsed="false">
      <c r="A403" s="68"/>
      <c r="B403" s="69"/>
      <c r="C403" s="25"/>
      <c r="D403" s="25"/>
      <c r="E403" s="25"/>
      <c r="F403" s="25"/>
      <c r="G403" s="25"/>
      <c r="H403" s="25"/>
      <c r="I403" s="91"/>
      <c r="J403" s="91"/>
      <c r="K403" s="91"/>
      <c r="L403" s="68"/>
      <c r="M403" s="68"/>
      <c r="N403" s="74" t="str">
        <f aca="false">IF(A403="","",IF(ISNUMBER(K403),IF(AND(OR(I403="",K403&gt;=I403),OR(J403="",K403&lt;=J403)),"Conforme","Non conforme"),IF(M403="","En attente",M403)))</f>
        <v/>
      </c>
      <c r="O403" s="25"/>
      <c r="P403" s="25"/>
      <c r="Q403" s="69"/>
      <c r="R403" s="74" t="str">
        <f aca="false">IF(A403="","",IF(N403="Non conforme",IF(Q403="","NC ouverte","NC levée"),IF(N403="Réserve",IF(Q403="","Réserve ouverte","Réserve levée"),IF(N403="En attente","À contrôler","Clos"))))</f>
        <v/>
      </c>
      <c r="S403" s="25"/>
    </row>
    <row r="404" customFormat="false" ht="15" hidden="false" customHeight="false" outlineLevel="0" collapsed="false">
      <c r="A404" s="68"/>
      <c r="B404" s="69"/>
      <c r="C404" s="25"/>
      <c r="D404" s="25"/>
      <c r="E404" s="25"/>
      <c r="F404" s="25"/>
      <c r="G404" s="25"/>
      <c r="H404" s="25"/>
      <c r="I404" s="91"/>
      <c r="J404" s="91"/>
      <c r="K404" s="91"/>
      <c r="L404" s="68"/>
      <c r="M404" s="68"/>
      <c r="N404" s="74" t="str">
        <f aca="false">IF(A404="","",IF(ISNUMBER(K404),IF(AND(OR(I404="",K404&gt;=I404),OR(J404="",K404&lt;=J404)),"Conforme","Non conforme"),IF(M404="","En attente",M404)))</f>
        <v/>
      </c>
      <c r="O404" s="25"/>
      <c r="P404" s="25"/>
      <c r="Q404" s="69"/>
      <c r="R404" s="74" t="str">
        <f aca="false">IF(A404="","",IF(N404="Non conforme",IF(Q404="","NC ouverte","NC levée"),IF(N404="Réserve",IF(Q404="","Réserve ouverte","Réserve levée"),IF(N404="En attente","À contrôler","Clos"))))</f>
        <v/>
      </c>
      <c r="S404" s="25"/>
    </row>
    <row r="405" customFormat="false" ht="15" hidden="false" customHeight="false" outlineLevel="0" collapsed="false">
      <c r="A405" s="68"/>
      <c r="B405" s="69"/>
      <c r="C405" s="25"/>
      <c r="D405" s="25"/>
      <c r="E405" s="25"/>
      <c r="F405" s="25"/>
      <c r="G405" s="25"/>
      <c r="H405" s="25"/>
      <c r="I405" s="91"/>
      <c r="J405" s="91"/>
      <c r="K405" s="91"/>
      <c r="L405" s="68"/>
      <c r="M405" s="68"/>
      <c r="N405" s="74" t="str">
        <f aca="false">IF(A405="","",IF(ISNUMBER(K405),IF(AND(OR(I405="",K405&gt;=I405),OR(J405="",K405&lt;=J405)),"Conforme","Non conforme"),IF(M405="","En attente",M405)))</f>
        <v/>
      </c>
      <c r="O405" s="25"/>
      <c r="P405" s="25"/>
      <c r="Q405" s="69"/>
      <c r="R405" s="74" t="str">
        <f aca="false">IF(A405="","",IF(N405="Non conforme",IF(Q405="","NC ouverte","NC levée"),IF(N405="Réserve",IF(Q405="","Réserve ouverte","Réserve levée"),IF(N405="En attente","À contrôler","Clos"))))</f>
        <v/>
      </c>
      <c r="S405" s="25"/>
    </row>
    <row r="406" customFormat="false" ht="15" hidden="false" customHeight="false" outlineLevel="0" collapsed="false">
      <c r="A406" s="68"/>
      <c r="B406" s="69"/>
      <c r="C406" s="25"/>
      <c r="D406" s="25"/>
      <c r="E406" s="25"/>
      <c r="F406" s="25"/>
      <c r="G406" s="25"/>
      <c r="H406" s="25"/>
      <c r="I406" s="91"/>
      <c r="J406" s="91"/>
      <c r="K406" s="91"/>
      <c r="L406" s="68"/>
      <c r="M406" s="68"/>
      <c r="N406" s="74" t="str">
        <f aca="false">IF(A406="","",IF(ISNUMBER(K406),IF(AND(OR(I406="",K406&gt;=I406),OR(J406="",K406&lt;=J406)),"Conforme","Non conforme"),IF(M406="","En attente",M406)))</f>
        <v/>
      </c>
      <c r="O406" s="25"/>
      <c r="P406" s="25"/>
      <c r="Q406" s="69"/>
      <c r="R406" s="74" t="str">
        <f aca="false">IF(A406="","",IF(N406="Non conforme",IF(Q406="","NC ouverte","NC levée"),IF(N406="Réserve",IF(Q406="","Réserve ouverte","Réserve levée"),IF(N406="En attente","À contrôler","Clos"))))</f>
        <v/>
      </c>
      <c r="S406" s="25"/>
    </row>
    <row r="407" customFormat="false" ht="15" hidden="false" customHeight="false" outlineLevel="0" collapsed="false">
      <c r="A407" s="68"/>
      <c r="B407" s="69"/>
      <c r="C407" s="25"/>
      <c r="D407" s="25"/>
      <c r="E407" s="25"/>
      <c r="F407" s="25"/>
      <c r="G407" s="25"/>
      <c r="H407" s="25"/>
      <c r="I407" s="91"/>
      <c r="J407" s="91"/>
      <c r="K407" s="91"/>
      <c r="L407" s="68"/>
      <c r="M407" s="68"/>
      <c r="N407" s="74" t="str">
        <f aca="false">IF(A407="","",IF(ISNUMBER(K407),IF(AND(OR(I407="",K407&gt;=I407),OR(J407="",K407&lt;=J407)),"Conforme","Non conforme"),IF(M407="","En attente",M407)))</f>
        <v/>
      </c>
      <c r="O407" s="25"/>
      <c r="P407" s="25"/>
      <c r="Q407" s="69"/>
      <c r="R407" s="74" t="str">
        <f aca="false">IF(A407="","",IF(N407="Non conforme",IF(Q407="","NC ouverte","NC levée"),IF(N407="Réserve",IF(Q407="","Réserve ouverte","Réserve levée"),IF(N407="En attente","À contrôler","Clos"))))</f>
        <v/>
      </c>
      <c r="S407" s="25"/>
    </row>
    <row r="408" customFormat="false" ht="15" hidden="false" customHeight="false" outlineLevel="0" collapsed="false">
      <c r="A408" s="68"/>
      <c r="B408" s="69"/>
      <c r="C408" s="25"/>
      <c r="D408" s="25"/>
      <c r="E408" s="25"/>
      <c r="F408" s="25"/>
      <c r="G408" s="25"/>
      <c r="H408" s="25"/>
      <c r="I408" s="91"/>
      <c r="J408" s="91"/>
      <c r="K408" s="91"/>
      <c r="L408" s="68"/>
      <c r="M408" s="68"/>
      <c r="N408" s="74" t="str">
        <f aca="false">IF(A408="","",IF(ISNUMBER(K408),IF(AND(OR(I408="",K408&gt;=I408),OR(J408="",K408&lt;=J408)),"Conforme","Non conforme"),IF(M408="","En attente",M408)))</f>
        <v/>
      </c>
      <c r="O408" s="25"/>
      <c r="P408" s="25"/>
      <c r="Q408" s="69"/>
      <c r="R408" s="74" t="str">
        <f aca="false">IF(A408="","",IF(N408="Non conforme",IF(Q408="","NC ouverte","NC levée"),IF(N408="Réserve",IF(Q408="","Réserve ouverte","Réserve levée"),IF(N408="En attente","À contrôler","Clos"))))</f>
        <v/>
      </c>
      <c r="S408" s="25"/>
    </row>
    <row r="409" customFormat="false" ht="15" hidden="false" customHeight="false" outlineLevel="0" collapsed="false">
      <c r="A409" s="68"/>
      <c r="B409" s="69"/>
      <c r="C409" s="25"/>
      <c r="D409" s="25"/>
      <c r="E409" s="25"/>
      <c r="F409" s="25"/>
      <c r="G409" s="25"/>
      <c r="H409" s="25"/>
      <c r="I409" s="91"/>
      <c r="J409" s="91"/>
      <c r="K409" s="91"/>
      <c r="L409" s="68"/>
      <c r="M409" s="68"/>
      <c r="N409" s="74" t="str">
        <f aca="false">IF(A409="","",IF(ISNUMBER(K409),IF(AND(OR(I409="",K409&gt;=I409),OR(J409="",K409&lt;=J409)),"Conforme","Non conforme"),IF(M409="","En attente",M409)))</f>
        <v/>
      </c>
      <c r="O409" s="25"/>
      <c r="P409" s="25"/>
      <c r="Q409" s="69"/>
      <c r="R409" s="74" t="str">
        <f aca="false">IF(A409="","",IF(N409="Non conforme",IF(Q409="","NC ouverte","NC levée"),IF(N409="Réserve",IF(Q409="","Réserve ouverte","Réserve levée"),IF(N409="En attente","À contrôler","Clos"))))</f>
        <v/>
      </c>
      <c r="S409" s="25"/>
    </row>
    <row r="410" customFormat="false" ht="15" hidden="false" customHeight="false" outlineLevel="0" collapsed="false">
      <c r="A410" s="68"/>
      <c r="B410" s="69"/>
      <c r="C410" s="25"/>
      <c r="D410" s="25"/>
      <c r="E410" s="25"/>
      <c r="F410" s="25"/>
      <c r="G410" s="25"/>
      <c r="H410" s="25"/>
      <c r="I410" s="91"/>
      <c r="J410" s="91"/>
      <c r="K410" s="91"/>
      <c r="L410" s="68"/>
      <c r="M410" s="68"/>
      <c r="N410" s="74" t="str">
        <f aca="false">IF(A410="","",IF(ISNUMBER(K410),IF(AND(OR(I410="",K410&gt;=I410),OR(J410="",K410&lt;=J410)),"Conforme","Non conforme"),IF(M410="","En attente",M410)))</f>
        <v/>
      </c>
      <c r="O410" s="25"/>
      <c r="P410" s="25"/>
      <c r="Q410" s="69"/>
      <c r="R410" s="74" t="str">
        <f aca="false">IF(A410="","",IF(N410="Non conforme",IF(Q410="","NC ouverte","NC levée"),IF(N410="Réserve",IF(Q410="","Réserve ouverte","Réserve levée"),IF(N410="En attente","À contrôler","Clos"))))</f>
        <v/>
      </c>
      <c r="S410" s="25"/>
    </row>
    <row r="411" customFormat="false" ht="15" hidden="false" customHeight="false" outlineLevel="0" collapsed="false">
      <c r="A411" s="68"/>
      <c r="B411" s="69"/>
      <c r="C411" s="25"/>
      <c r="D411" s="25"/>
      <c r="E411" s="25"/>
      <c r="F411" s="25"/>
      <c r="G411" s="25"/>
      <c r="H411" s="25"/>
      <c r="I411" s="91"/>
      <c r="J411" s="91"/>
      <c r="K411" s="91"/>
      <c r="L411" s="68"/>
      <c r="M411" s="68"/>
      <c r="N411" s="74" t="str">
        <f aca="false">IF(A411="","",IF(ISNUMBER(K411),IF(AND(OR(I411="",K411&gt;=I411),OR(J411="",K411&lt;=J411)),"Conforme","Non conforme"),IF(M411="","En attente",M411)))</f>
        <v/>
      </c>
      <c r="O411" s="25"/>
      <c r="P411" s="25"/>
      <c r="Q411" s="69"/>
      <c r="R411" s="74" t="str">
        <f aca="false">IF(A411="","",IF(N411="Non conforme",IF(Q411="","NC ouverte","NC levée"),IF(N411="Réserve",IF(Q411="","Réserve ouverte","Réserve levée"),IF(N411="En attente","À contrôler","Clos"))))</f>
        <v/>
      </c>
      <c r="S411" s="25"/>
    </row>
    <row r="412" customFormat="false" ht="15" hidden="false" customHeight="false" outlineLevel="0" collapsed="false">
      <c r="A412" s="68"/>
      <c r="B412" s="69"/>
      <c r="C412" s="25"/>
      <c r="D412" s="25"/>
      <c r="E412" s="25"/>
      <c r="F412" s="25"/>
      <c r="G412" s="25"/>
      <c r="H412" s="25"/>
      <c r="I412" s="91"/>
      <c r="J412" s="91"/>
      <c r="K412" s="91"/>
      <c r="L412" s="68"/>
      <c r="M412" s="68"/>
      <c r="N412" s="74" t="str">
        <f aca="false">IF(A412="","",IF(ISNUMBER(K412),IF(AND(OR(I412="",K412&gt;=I412),OR(J412="",K412&lt;=J412)),"Conforme","Non conforme"),IF(M412="","En attente",M412)))</f>
        <v/>
      </c>
      <c r="O412" s="25"/>
      <c r="P412" s="25"/>
      <c r="Q412" s="69"/>
      <c r="R412" s="74" t="str">
        <f aca="false">IF(A412="","",IF(N412="Non conforme",IF(Q412="","NC ouverte","NC levée"),IF(N412="Réserve",IF(Q412="","Réserve ouverte","Réserve levée"),IF(N412="En attente","À contrôler","Clos"))))</f>
        <v/>
      </c>
      <c r="S412" s="25"/>
    </row>
    <row r="413" customFormat="false" ht="15" hidden="false" customHeight="false" outlineLevel="0" collapsed="false">
      <c r="A413" s="68"/>
      <c r="B413" s="69"/>
      <c r="C413" s="25"/>
      <c r="D413" s="25"/>
      <c r="E413" s="25"/>
      <c r="F413" s="25"/>
      <c r="G413" s="25"/>
      <c r="H413" s="25"/>
      <c r="I413" s="91"/>
      <c r="J413" s="91"/>
      <c r="K413" s="91"/>
      <c r="L413" s="68"/>
      <c r="M413" s="68"/>
      <c r="N413" s="74" t="str">
        <f aca="false">IF(A413="","",IF(ISNUMBER(K413),IF(AND(OR(I413="",K413&gt;=I413),OR(J413="",K413&lt;=J413)),"Conforme","Non conforme"),IF(M413="","En attente",M413)))</f>
        <v/>
      </c>
      <c r="O413" s="25"/>
      <c r="P413" s="25"/>
      <c r="Q413" s="69"/>
      <c r="R413" s="74" t="str">
        <f aca="false">IF(A413="","",IF(N413="Non conforme",IF(Q413="","NC ouverte","NC levée"),IF(N413="Réserve",IF(Q413="","Réserve ouverte","Réserve levée"),IF(N413="En attente","À contrôler","Clos"))))</f>
        <v/>
      </c>
      <c r="S413" s="25"/>
    </row>
    <row r="414" customFormat="false" ht="15" hidden="false" customHeight="false" outlineLevel="0" collapsed="false">
      <c r="A414" s="68"/>
      <c r="B414" s="69"/>
      <c r="C414" s="25"/>
      <c r="D414" s="25"/>
      <c r="E414" s="25"/>
      <c r="F414" s="25"/>
      <c r="G414" s="25"/>
      <c r="H414" s="25"/>
      <c r="I414" s="91"/>
      <c r="J414" s="91"/>
      <c r="K414" s="91"/>
      <c r="L414" s="68"/>
      <c r="M414" s="68"/>
      <c r="N414" s="74" t="str">
        <f aca="false">IF(A414="","",IF(ISNUMBER(K414),IF(AND(OR(I414="",K414&gt;=I414),OR(J414="",K414&lt;=J414)),"Conforme","Non conforme"),IF(M414="","En attente",M414)))</f>
        <v/>
      </c>
      <c r="O414" s="25"/>
      <c r="P414" s="25"/>
      <c r="Q414" s="69"/>
      <c r="R414" s="74" t="str">
        <f aca="false">IF(A414="","",IF(N414="Non conforme",IF(Q414="","NC ouverte","NC levée"),IF(N414="Réserve",IF(Q414="","Réserve ouverte","Réserve levée"),IF(N414="En attente","À contrôler","Clos"))))</f>
        <v/>
      </c>
      <c r="S414" s="25"/>
    </row>
    <row r="415" customFormat="false" ht="15" hidden="false" customHeight="false" outlineLevel="0" collapsed="false">
      <c r="A415" s="68"/>
      <c r="B415" s="69"/>
      <c r="C415" s="25"/>
      <c r="D415" s="25"/>
      <c r="E415" s="25"/>
      <c r="F415" s="25"/>
      <c r="G415" s="25"/>
      <c r="H415" s="25"/>
      <c r="I415" s="91"/>
      <c r="J415" s="91"/>
      <c r="K415" s="91"/>
      <c r="L415" s="68"/>
      <c r="M415" s="68"/>
      <c r="N415" s="74" t="str">
        <f aca="false">IF(A415="","",IF(ISNUMBER(K415),IF(AND(OR(I415="",K415&gt;=I415),OR(J415="",K415&lt;=J415)),"Conforme","Non conforme"),IF(M415="","En attente",M415)))</f>
        <v/>
      </c>
      <c r="O415" s="25"/>
      <c r="P415" s="25"/>
      <c r="Q415" s="69"/>
      <c r="R415" s="74" t="str">
        <f aca="false">IF(A415="","",IF(N415="Non conforme",IF(Q415="","NC ouverte","NC levée"),IF(N415="Réserve",IF(Q415="","Réserve ouverte","Réserve levée"),IF(N415="En attente","À contrôler","Clos"))))</f>
        <v/>
      </c>
      <c r="S415" s="25"/>
    </row>
    <row r="416" customFormat="false" ht="15" hidden="false" customHeight="false" outlineLevel="0" collapsed="false">
      <c r="A416" s="68"/>
      <c r="B416" s="69"/>
      <c r="C416" s="25"/>
      <c r="D416" s="25"/>
      <c r="E416" s="25"/>
      <c r="F416" s="25"/>
      <c r="G416" s="25"/>
      <c r="H416" s="25"/>
      <c r="I416" s="91"/>
      <c r="J416" s="91"/>
      <c r="K416" s="91"/>
      <c r="L416" s="68"/>
      <c r="M416" s="68"/>
      <c r="N416" s="74" t="str">
        <f aca="false">IF(A416="","",IF(ISNUMBER(K416),IF(AND(OR(I416="",K416&gt;=I416),OR(J416="",K416&lt;=J416)),"Conforme","Non conforme"),IF(M416="","En attente",M416)))</f>
        <v/>
      </c>
      <c r="O416" s="25"/>
      <c r="P416" s="25"/>
      <c r="Q416" s="69"/>
      <c r="R416" s="74" t="str">
        <f aca="false">IF(A416="","",IF(N416="Non conforme",IF(Q416="","NC ouverte","NC levée"),IF(N416="Réserve",IF(Q416="","Réserve ouverte","Réserve levée"),IF(N416="En attente","À contrôler","Clos"))))</f>
        <v/>
      </c>
      <c r="S416" s="25"/>
    </row>
    <row r="417" customFormat="false" ht="15" hidden="false" customHeight="false" outlineLevel="0" collapsed="false">
      <c r="A417" s="68"/>
      <c r="B417" s="69"/>
      <c r="C417" s="25"/>
      <c r="D417" s="25"/>
      <c r="E417" s="25"/>
      <c r="F417" s="25"/>
      <c r="G417" s="25"/>
      <c r="H417" s="25"/>
      <c r="I417" s="91"/>
      <c r="J417" s="91"/>
      <c r="K417" s="91"/>
      <c r="L417" s="68"/>
      <c r="M417" s="68"/>
      <c r="N417" s="74" t="str">
        <f aca="false">IF(A417="","",IF(ISNUMBER(K417),IF(AND(OR(I417="",K417&gt;=I417),OR(J417="",K417&lt;=J417)),"Conforme","Non conforme"),IF(M417="","En attente",M417)))</f>
        <v/>
      </c>
      <c r="O417" s="25"/>
      <c r="P417" s="25"/>
      <c r="Q417" s="69"/>
      <c r="R417" s="74" t="str">
        <f aca="false">IF(A417="","",IF(N417="Non conforme",IF(Q417="","NC ouverte","NC levée"),IF(N417="Réserve",IF(Q417="","Réserve ouverte","Réserve levée"),IF(N417="En attente","À contrôler","Clos"))))</f>
        <v/>
      </c>
      <c r="S417" s="25"/>
    </row>
    <row r="418" customFormat="false" ht="15" hidden="false" customHeight="false" outlineLevel="0" collapsed="false">
      <c r="A418" s="68"/>
      <c r="B418" s="69"/>
      <c r="C418" s="25"/>
      <c r="D418" s="25"/>
      <c r="E418" s="25"/>
      <c r="F418" s="25"/>
      <c r="G418" s="25"/>
      <c r="H418" s="25"/>
      <c r="I418" s="91"/>
      <c r="J418" s="91"/>
      <c r="K418" s="91"/>
      <c r="L418" s="68"/>
      <c r="M418" s="68"/>
      <c r="N418" s="74" t="str">
        <f aca="false">IF(A418="","",IF(ISNUMBER(K418),IF(AND(OR(I418="",K418&gt;=I418),OR(J418="",K418&lt;=J418)),"Conforme","Non conforme"),IF(M418="","En attente",M418)))</f>
        <v/>
      </c>
      <c r="O418" s="25"/>
      <c r="P418" s="25"/>
      <c r="Q418" s="69"/>
      <c r="R418" s="74" t="str">
        <f aca="false">IF(A418="","",IF(N418="Non conforme",IF(Q418="","NC ouverte","NC levée"),IF(N418="Réserve",IF(Q418="","Réserve ouverte","Réserve levée"),IF(N418="En attente","À contrôler","Clos"))))</f>
        <v/>
      </c>
      <c r="S418" s="25"/>
    </row>
    <row r="419" customFormat="false" ht="15" hidden="false" customHeight="false" outlineLevel="0" collapsed="false">
      <c r="A419" s="68"/>
      <c r="B419" s="69"/>
      <c r="C419" s="25"/>
      <c r="D419" s="25"/>
      <c r="E419" s="25"/>
      <c r="F419" s="25"/>
      <c r="G419" s="25"/>
      <c r="H419" s="25"/>
      <c r="I419" s="91"/>
      <c r="J419" s="91"/>
      <c r="K419" s="91"/>
      <c r="L419" s="68"/>
      <c r="M419" s="68"/>
      <c r="N419" s="74" t="str">
        <f aca="false">IF(A419="","",IF(ISNUMBER(K419),IF(AND(OR(I419="",K419&gt;=I419),OR(J419="",K419&lt;=J419)),"Conforme","Non conforme"),IF(M419="","En attente",M419)))</f>
        <v/>
      </c>
      <c r="O419" s="25"/>
      <c r="P419" s="25"/>
      <c r="Q419" s="69"/>
      <c r="R419" s="74" t="str">
        <f aca="false">IF(A419="","",IF(N419="Non conforme",IF(Q419="","NC ouverte","NC levée"),IF(N419="Réserve",IF(Q419="","Réserve ouverte","Réserve levée"),IF(N419="En attente","À contrôler","Clos"))))</f>
        <v/>
      </c>
      <c r="S419" s="25"/>
    </row>
    <row r="420" customFormat="false" ht="15" hidden="false" customHeight="false" outlineLevel="0" collapsed="false">
      <c r="A420" s="68"/>
      <c r="B420" s="69"/>
      <c r="C420" s="25"/>
      <c r="D420" s="25"/>
      <c r="E420" s="25"/>
      <c r="F420" s="25"/>
      <c r="G420" s="25"/>
      <c r="H420" s="25"/>
      <c r="I420" s="91"/>
      <c r="J420" s="91"/>
      <c r="K420" s="91"/>
      <c r="L420" s="68"/>
      <c r="M420" s="68"/>
      <c r="N420" s="74" t="str">
        <f aca="false">IF(A420="","",IF(ISNUMBER(K420),IF(AND(OR(I420="",K420&gt;=I420),OR(J420="",K420&lt;=J420)),"Conforme","Non conforme"),IF(M420="","En attente",M420)))</f>
        <v/>
      </c>
      <c r="O420" s="25"/>
      <c r="P420" s="25"/>
      <c r="Q420" s="69"/>
      <c r="R420" s="74" t="str">
        <f aca="false">IF(A420="","",IF(N420="Non conforme",IF(Q420="","NC ouverte","NC levée"),IF(N420="Réserve",IF(Q420="","Réserve ouverte","Réserve levée"),IF(N420="En attente","À contrôler","Clos"))))</f>
        <v/>
      </c>
      <c r="S420" s="25"/>
    </row>
    <row r="421" customFormat="false" ht="15" hidden="false" customHeight="false" outlineLevel="0" collapsed="false">
      <c r="A421" s="68"/>
      <c r="B421" s="69"/>
      <c r="C421" s="25"/>
      <c r="D421" s="25"/>
      <c r="E421" s="25"/>
      <c r="F421" s="25"/>
      <c r="G421" s="25"/>
      <c r="H421" s="25"/>
      <c r="I421" s="91"/>
      <c r="J421" s="91"/>
      <c r="K421" s="91"/>
      <c r="L421" s="68"/>
      <c r="M421" s="68"/>
      <c r="N421" s="74" t="str">
        <f aca="false">IF(A421="","",IF(ISNUMBER(K421),IF(AND(OR(I421="",K421&gt;=I421),OR(J421="",K421&lt;=J421)),"Conforme","Non conforme"),IF(M421="","En attente",M421)))</f>
        <v/>
      </c>
      <c r="O421" s="25"/>
      <c r="P421" s="25"/>
      <c r="Q421" s="69"/>
      <c r="R421" s="74" t="str">
        <f aca="false">IF(A421="","",IF(N421="Non conforme",IF(Q421="","NC ouverte","NC levée"),IF(N421="Réserve",IF(Q421="","Réserve ouverte","Réserve levée"),IF(N421="En attente","À contrôler","Clos"))))</f>
        <v/>
      </c>
      <c r="S421" s="25"/>
    </row>
    <row r="422" customFormat="false" ht="15" hidden="false" customHeight="false" outlineLevel="0" collapsed="false">
      <c r="A422" s="68"/>
      <c r="B422" s="69"/>
      <c r="C422" s="25"/>
      <c r="D422" s="25"/>
      <c r="E422" s="25"/>
      <c r="F422" s="25"/>
      <c r="G422" s="25"/>
      <c r="H422" s="25"/>
      <c r="I422" s="91"/>
      <c r="J422" s="91"/>
      <c r="K422" s="91"/>
      <c r="L422" s="68"/>
      <c r="M422" s="68"/>
      <c r="N422" s="74" t="str">
        <f aca="false">IF(A422="","",IF(ISNUMBER(K422),IF(AND(OR(I422="",K422&gt;=I422),OR(J422="",K422&lt;=J422)),"Conforme","Non conforme"),IF(M422="","En attente",M422)))</f>
        <v/>
      </c>
      <c r="O422" s="25"/>
      <c r="P422" s="25"/>
      <c r="Q422" s="69"/>
      <c r="R422" s="74" t="str">
        <f aca="false">IF(A422="","",IF(N422="Non conforme",IF(Q422="","NC ouverte","NC levée"),IF(N422="Réserve",IF(Q422="","Réserve ouverte","Réserve levée"),IF(N422="En attente","À contrôler","Clos"))))</f>
        <v/>
      </c>
      <c r="S422" s="25"/>
    </row>
    <row r="423" customFormat="false" ht="15" hidden="false" customHeight="false" outlineLevel="0" collapsed="false">
      <c r="A423" s="68"/>
      <c r="B423" s="69"/>
      <c r="C423" s="25"/>
      <c r="D423" s="25"/>
      <c r="E423" s="25"/>
      <c r="F423" s="25"/>
      <c r="G423" s="25"/>
      <c r="H423" s="25"/>
      <c r="I423" s="91"/>
      <c r="J423" s="91"/>
      <c r="K423" s="91"/>
      <c r="L423" s="68"/>
      <c r="M423" s="68"/>
      <c r="N423" s="74" t="str">
        <f aca="false">IF(A423="","",IF(ISNUMBER(K423),IF(AND(OR(I423="",K423&gt;=I423),OR(J423="",K423&lt;=J423)),"Conforme","Non conforme"),IF(M423="","En attente",M423)))</f>
        <v/>
      </c>
      <c r="O423" s="25"/>
      <c r="P423" s="25"/>
      <c r="Q423" s="69"/>
      <c r="R423" s="74" t="str">
        <f aca="false">IF(A423="","",IF(N423="Non conforme",IF(Q423="","NC ouverte","NC levée"),IF(N423="Réserve",IF(Q423="","Réserve ouverte","Réserve levée"),IF(N423="En attente","À contrôler","Clos"))))</f>
        <v/>
      </c>
      <c r="S423" s="25"/>
    </row>
    <row r="424" customFormat="false" ht="15" hidden="false" customHeight="false" outlineLevel="0" collapsed="false">
      <c r="A424" s="68"/>
      <c r="B424" s="69"/>
      <c r="C424" s="25"/>
      <c r="D424" s="25"/>
      <c r="E424" s="25"/>
      <c r="F424" s="25"/>
      <c r="G424" s="25"/>
      <c r="H424" s="25"/>
      <c r="I424" s="91"/>
      <c r="J424" s="91"/>
      <c r="K424" s="91"/>
      <c r="L424" s="68"/>
      <c r="M424" s="68"/>
      <c r="N424" s="74" t="str">
        <f aca="false">IF(A424="","",IF(ISNUMBER(K424),IF(AND(OR(I424="",K424&gt;=I424),OR(J424="",K424&lt;=J424)),"Conforme","Non conforme"),IF(M424="","En attente",M424)))</f>
        <v/>
      </c>
      <c r="O424" s="25"/>
      <c r="P424" s="25"/>
      <c r="Q424" s="69"/>
      <c r="R424" s="74" t="str">
        <f aca="false">IF(A424="","",IF(N424="Non conforme",IF(Q424="","NC ouverte","NC levée"),IF(N424="Réserve",IF(Q424="","Réserve ouverte","Réserve levée"),IF(N424="En attente","À contrôler","Clos"))))</f>
        <v/>
      </c>
      <c r="S424" s="25"/>
    </row>
    <row r="425" customFormat="false" ht="15" hidden="false" customHeight="false" outlineLevel="0" collapsed="false">
      <c r="A425" s="68"/>
      <c r="B425" s="69"/>
      <c r="C425" s="25"/>
      <c r="D425" s="25"/>
      <c r="E425" s="25"/>
      <c r="F425" s="25"/>
      <c r="G425" s="25"/>
      <c r="H425" s="25"/>
      <c r="I425" s="91"/>
      <c r="J425" s="91"/>
      <c r="K425" s="91"/>
      <c r="L425" s="68"/>
      <c r="M425" s="68"/>
      <c r="N425" s="74" t="str">
        <f aca="false">IF(A425="","",IF(ISNUMBER(K425),IF(AND(OR(I425="",K425&gt;=I425),OR(J425="",K425&lt;=J425)),"Conforme","Non conforme"),IF(M425="","En attente",M425)))</f>
        <v/>
      </c>
      <c r="O425" s="25"/>
      <c r="P425" s="25"/>
      <c r="Q425" s="69"/>
      <c r="R425" s="74" t="str">
        <f aca="false">IF(A425="","",IF(N425="Non conforme",IF(Q425="","NC ouverte","NC levée"),IF(N425="Réserve",IF(Q425="","Réserve ouverte","Réserve levée"),IF(N425="En attente","À contrôler","Clos"))))</f>
        <v/>
      </c>
      <c r="S425" s="25"/>
    </row>
    <row r="426" customFormat="false" ht="15" hidden="false" customHeight="false" outlineLevel="0" collapsed="false">
      <c r="A426" s="68"/>
      <c r="B426" s="69"/>
      <c r="C426" s="25"/>
      <c r="D426" s="25"/>
      <c r="E426" s="25"/>
      <c r="F426" s="25"/>
      <c r="G426" s="25"/>
      <c r="H426" s="25"/>
      <c r="I426" s="91"/>
      <c r="J426" s="91"/>
      <c r="K426" s="91"/>
      <c r="L426" s="68"/>
      <c r="M426" s="68"/>
      <c r="N426" s="74" t="str">
        <f aca="false">IF(A426="","",IF(ISNUMBER(K426),IF(AND(OR(I426="",K426&gt;=I426),OR(J426="",K426&lt;=J426)),"Conforme","Non conforme"),IF(M426="","En attente",M426)))</f>
        <v/>
      </c>
      <c r="O426" s="25"/>
      <c r="P426" s="25"/>
      <c r="Q426" s="69"/>
      <c r="R426" s="74" t="str">
        <f aca="false">IF(A426="","",IF(N426="Non conforme",IF(Q426="","NC ouverte","NC levée"),IF(N426="Réserve",IF(Q426="","Réserve ouverte","Réserve levée"),IF(N426="En attente","À contrôler","Clos"))))</f>
        <v/>
      </c>
      <c r="S426" s="25"/>
    </row>
    <row r="427" customFormat="false" ht="15" hidden="false" customHeight="false" outlineLevel="0" collapsed="false">
      <c r="A427" s="68"/>
      <c r="B427" s="69"/>
      <c r="C427" s="25"/>
      <c r="D427" s="25"/>
      <c r="E427" s="25"/>
      <c r="F427" s="25"/>
      <c r="G427" s="25"/>
      <c r="H427" s="25"/>
      <c r="I427" s="91"/>
      <c r="J427" s="91"/>
      <c r="K427" s="91"/>
      <c r="L427" s="68"/>
      <c r="M427" s="68"/>
      <c r="N427" s="74" t="str">
        <f aca="false">IF(A427="","",IF(ISNUMBER(K427),IF(AND(OR(I427="",K427&gt;=I427),OR(J427="",K427&lt;=J427)),"Conforme","Non conforme"),IF(M427="","En attente",M427)))</f>
        <v/>
      </c>
      <c r="O427" s="25"/>
      <c r="P427" s="25"/>
      <c r="Q427" s="69"/>
      <c r="R427" s="74" t="str">
        <f aca="false">IF(A427="","",IF(N427="Non conforme",IF(Q427="","NC ouverte","NC levée"),IF(N427="Réserve",IF(Q427="","Réserve ouverte","Réserve levée"),IF(N427="En attente","À contrôler","Clos"))))</f>
        <v/>
      </c>
      <c r="S427" s="25"/>
    </row>
    <row r="428" customFormat="false" ht="15" hidden="false" customHeight="false" outlineLevel="0" collapsed="false">
      <c r="A428" s="68"/>
      <c r="B428" s="69"/>
      <c r="C428" s="25"/>
      <c r="D428" s="25"/>
      <c r="E428" s="25"/>
      <c r="F428" s="25"/>
      <c r="G428" s="25"/>
      <c r="H428" s="25"/>
      <c r="I428" s="91"/>
      <c r="J428" s="91"/>
      <c r="K428" s="91"/>
      <c r="L428" s="68"/>
      <c r="M428" s="68"/>
      <c r="N428" s="74" t="str">
        <f aca="false">IF(A428="","",IF(ISNUMBER(K428),IF(AND(OR(I428="",K428&gt;=I428),OR(J428="",K428&lt;=J428)),"Conforme","Non conforme"),IF(M428="","En attente",M428)))</f>
        <v/>
      </c>
      <c r="O428" s="25"/>
      <c r="P428" s="25"/>
      <c r="Q428" s="69"/>
      <c r="R428" s="74" t="str">
        <f aca="false">IF(A428="","",IF(N428="Non conforme",IF(Q428="","NC ouverte","NC levée"),IF(N428="Réserve",IF(Q428="","Réserve ouverte","Réserve levée"),IF(N428="En attente","À contrôler","Clos"))))</f>
        <v/>
      </c>
      <c r="S428" s="25"/>
    </row>
    <row r="429" customFormat="false" ht="15" hidden="false" customHeight="false" outlineLevel="0" collapsed="false">
      <c r="A429" s="68"/>
      <c r="B429" s="69"/>
      <c r="C429" s="25"/>
      <c r="D429" s="25"/>
      <c r="E429" s="25"/>
      <c r="F429" s="25"/>
      <c r="G429" s="25"/>
      <c r="H429" s="25"/>
      <c r="I429" s="91"/>
      <c r="J429" s="91"/>
      <c r="K429" s="91"/>
      <c r="L429" s="68"/>
      <c r="M429" s="68"/>
      <c r="N429" s="74" t="str">
        <f aca="false">IF(A429="","",IF(ISNUMBER(K429),IF(AND(OR(I429="",K429&gt;=I429),OR(J429="",K429&lt;=J429)),"Conforme","Non conforme"),IF(M429="","En attente",M429)))</f>
        <v/>
      </c>
      <c r="O429" s="25"/>
      <c r="P429" s="25"/>
      <c r="Q429" s="69"/>
      <c r="R429" s="74" t="str">
        <f aca="false">IF(A429="","",IF(N429="Non conforme",IF(Q429="","NC ouverte","NC levée"),IF(N429="Réserve",IF(Q429="","Réserve ouverte","Réserve levée"),IF(N429="En attente","À contrôler","Clos"))))</f>
        <v/>
      </c>
      <c r="S429" s="25"/>
    </row>
    <row r="430" customFormat="false" ht="15" hidden="false" customHeight="false" outlineLevel="0" collapsed="false">
      <c r="A430" s="68"/>
      <c r="B430" s="69"/>
      <c r="C430" s="25"/>
      <c r="D430" s="25"/>
      <c r="E430" s="25"/>
      <c r="F430" s="25"/>
      <c r="G430" s="25"/>
      <c r="H430" s="25"/>
      <c r="I430" s="91"/>
      <c r="J430" s="91"/>
      <c r="K430" s="91"/>
      <c r="L430" s="68"/>
      <c r="M430" s="68"/>
      <c r="N430" s="74" t="str">
        <f aca="false">IF(A430="","",IF(ISNUMBER(K430),IF(AND(OR(I430="",K430&gt;=I430),OR(J430="",K430&lt;=J430)),"Conforme","Non conforme"),IF(M430="","En attente",M430)))</f>
        <v/>
      </c>
      <c r="O430" s="25"/>
      <c r="P430" s="25"/>
      <c r="Q430" s="69"/>
      <c r="R430" s="74" t="str">
        <f aca="false">IF(A430="","",IF(N430="Non conforme",IF(Q430="","NC ouverte","NC levée"),IF(N430="Réserve",IF(Q430="","Réserve ouverte","Réserve levée"),IF(N430="En attente","À contrôler","Clos"))))</f>
        <v/>
      </c>
      <c r="S430" s="25"/>
    </row>
    <row r="431" customFormat="false" ht="15" hidden="false" customHeight="false" outlineLevel="0" collapsed="false">
      <c r="A431" s="68"/>
      <c r="B431" s="69"/>
      <c r="C431" s="25"/>
      <c r="D431" s="25"/>
      <c r="E431" s="25"/>
      <c r="F431" s="25"/>
      <c r="G431" s="25"/>
      <c r="H431" s="25"/>
      <c r="I431" s="91"/>
      <c r="J431" s="91"/>
      <c r="K431" s="91"/>
      <c r="L431" s="68"/>
      <c r="M431" s="68"/>
      <c r="N431" s="74" t="str">
        <f aca="false">IF(A431="","",IF(ISNUMBER(K431),IF(AND(OR(I431="",K431&gt;=I431),OR(J431="",K431&lt;=J431)),"Conforme","Non conforme"),IF(M431="","En attente",M431)))</f>
        <v/>
      </c>
      <c r="O431" s="25"/>
      <c r="P431" s="25"/>
      <c r="Q431" s="69"/>
      <c r="R431" s="74" t="str">
        <f aca="false">IF(A431="","",IF(N431="Non conforme",IF(Q431="","NC ouverte","NC levée"),IF(N431="Réserve",IF(Q431="","Réserve ouverte","Réserve levée"),IF(N431="En attente","À contrôler","Clos"))))</f>
        <v/>
      </c>
      <c r="S431" s="25"/>
    </row>
    <row r="432" customFormat="false" ht="15" hidden="false" customHeight="false" outlineLevel="0" collapsed="false">
      <c r="A432" s="68"/>
      <c r="B432" s="69"/>
      <c r="C432" s="25"/>
      <c r="D432" s="25"/>
      <c r="E432" s="25"/>
      <c r="F432" s="25"/>
      <c r="G432" s="25"/>
      <c r="H432" s="25"/>
      <c r="I432" s="91"/>
      <c r="J432" s="91"/>
      <c r="K432" s="91"/>
      <c r="L432" s="68"/>
      <c r="M432" s="68"/>
      <c r="N432" s="74" t="str">
        <f aca="false">IF(A432="","",IF(ISNUMBER(K432),IF(AND(OR(I432="",K432&gt;=I432),OR(J432="",K432&lt;=J432)),"Conforme","Non conforme"),IF(M432="","En attente",M432)))</f>
        <v/>
      </c>
      <c r="O432" s="25"/>
      <c r="P432" s="25"/>
      <c r="Q432" s="69"/>
      <c r="R432" s="74" t="str">
        <f aca="false">IF(A432="","",IF(N432="Non conforme",IF(Q432="","NC ouverte","NC levée"),IF(N432="Réserve",IF(Q432="","Réserve ouverte","Réserve levée"),IF(N432="En attente","À contrôler","Clos"))))</f>
        <v/>
      </c>
      <c r="S432" s="25"/>
    </row>
    <row r="433" customFormat="false" ht="15" hidden="false" customHeight="false" outlineLevel="0" collapsed="false">
      <c r="A433" s="68"/>
      <c r="B433" s="69"/>
      <c r="C433" s="25"/>
      <c r="D433" s="25"/>
      <c r="E433" s="25"/>
      <c r="F433" s="25"/>
      <c r="G433" s="25"/>
      <c r="H433" s="25"/>
      <c r="I433" s="91"/>
      <c r="J433" s="91"/>
      <c r="K433" s="91"/>
      <c r="L433" s="68"/>
      <c r="M433" s="68"/>
      <c r="N433" s="74" t="str">
        <f aca="false">IF(A433="","",IF(ISNUMBER(K433),IF(AND(OR(I433="",K433&gt;=I433),OR(J433="",K433&lt;=J433)),"Conforme","Non conforme"),IF(M433="","En attente",M433)))</f>
        <v/>
      </c>
      <c r="O433" s="25"/>
      <c r="P433" s="25"/>
      <c r="Q433" s="69"/>
      <c r="R433" s="74" t="str">
        <f aca="false">IF(A433="","",IF(N433="Non conforme",IF(Q433="","NC ouverte","NC levée"),IF(N433="Réserve",IF(Q433="","Réserve ouverte","Réserve levée"),IF(N433="En attente","À contrôler","Clos"))))</f>
        <v/>
      </c>
      <c r="S433" s="25"/>
    </row>
    <row r="434" customFormat="false" ht="15" hidden="false" customHeight="false" outlineLevel="0" collapsed="false">
      <c r="A434" s="68"/>
      <c r="B434" s="69"/>
      <c r="C434" s="25"/>
      <c r="D434" s="25"/>
      <c r="E434" s="25"/>
      <c r="F434" s="25"/>
      <c r="G434" s="25"/>
      <c r="H434" s="25"/>
      <c r="I434" s="91"/>
      <c r="J434" s="91"/>
      <c r="K434" s="91"/>
      <c r="L434" s="68"/>
      <c r="M434" s="68"/>
      <c r="N434" s="74" t="str">
        <f aca="false">IF(A434="","",IF(ISNUMBER(K434),IF(AND(OR(I434="",K434&gt;=I434),OR(J434="",K434&lt;=J434)),"Conforme","Non conforme"),IF(M434="","En attente",M434)))</f>
        <v/>
      </c>
      <c r="O434" s="25"/>
      <c r="P434" s="25"/>
      <c r="Q434" s="69"/>
      <c r="R434" s="74" t="str">
        <f aca="false">IF(A434="","",IF(N434="Non conforme",IF(Q434="","NC ouverte","NC levée"),IF(N434="Réserve",IF(Q434="","Réserve ouverte","Réserve levée"),IF(N434="En attente","À contrôler","Clos"))))</f>
        <v/>
      </c>
      <c r="S434" s="25"/>
    </row>
    <row r="435" customFormat="false" ht="15" hidden="false" customHeight="false" outlineLevel="0" collapsed="false">
      <c r="A435" s="68"/>
      <c r="B435" s="69"/>
      <c r="C435" s="25"/>
      <c r="D435" s="25"/>
      <c r="E435" s="25"/>
      <c r="F435" s="25"/>
      <c r="G435" s="25"/>
      <c r="H435" s="25"/>
      <c r="I435" s="91"/>
      <c r="J435" s="91"/>
      <c r="K435" s="91"/>
      <c r="L435" s="68"/>
      <c r="M435" s="68"/>
      <c r="N435" s="74" t="str">
        <f aca="false">IF(A435="","",IF(ISNUMBER(K435),IF(AND(OR(I435="",K435&gt;=I435),OR(J435="",K435&lt;=J435)),"Conforme","Non conforme"),IF(M435="","En attente",M435)))</f>
        <v/>
      </c>
      <c r="O435" s="25"/>
      <c r="P435" s="25"/>
      <c r="Q435" s="69"/>
      <c r="R435" s="74" t="str">
        <f aca="false">IF(A435="","",IF(N435="Non conforme",IF(Q435="","NC ouverte","NC levée"),IF(N435="Réserve",IF(Q435="","Réserve ouverte","Réserve levée"),IF(N435="En attente","À contrôler","Clos"))))</f>
        <v/>
      </c>
      <c r="S435" s="25"/>
    </row>
    <row r="436" customFormat="false" ht="15" hidden="false" customHeight="false" outlineLevel="0" collapsed="false">
      <c r="A436" s="68"/>
      <c r="B436" s="69"/>
      <c r="C436" s="25"/>
      <c r="D436" s="25"/>
      <c r="E436" s="25"/>
      <c r="F436" s="25"/>
      <c r="G436" s="25"/>
      <c r="H436" s="25"/>
      <c r="I436" s="91"/>
      <c r="J436" s="91"/>
      <c r="K436" s="91"/>
      <c r="L436" s="68"/>
      <c r="M436" s="68"/>
      <c r="N436" s="74" t="str">
        <f aca="false">IF(A436="","",IF(ISNUMBER(K436),IF(AND(OR(I436="",K436&gt;=I436),OR(J436="",K436&lt;=J436)),"Conforme","Non conforme"),IF(M436="","En attente",M436)))</f>
        <v/>
      </c>
      <c r="O436" s="25"/>
      <c r="P436" s="25"/>
      <c r="Q436" s="69"/>
      <c r="R436" s="74" t="str">
        <f aca="false">IF(A436="","",IF(N436="Non conforme",IF(Q436="","NC ouverte","NC levée"),IF(N436="Réserve",IF(Q436="","Réserve ouverte","Réserve levée"),IF(N436="En attente","À contrôler","Clos"))))</f>
        <v/>
      </c>
      <c r="S436" s="25"/>
    </row>
    <row r="437" customFormat="false" ht="15" hidden="false" customHeight="false" outlineLevel="0" collapsed="false">
      <c r="A437" s="68"/>
      <c r="B437" s="69"/>
      <c r="C437" s="25"/>
      <c r="D437" s="25"/>
      <c r="E437" s="25"/>
      <c r="F437" s="25"/>
      <c r="G437" s="25"/>
      <c r="H437" s="25"/>
      <c r="I437" s="91"/>
      <c r="J437" s="91"/>
      <c r="K437" s="91"/>
      <c r="L437" s="68"/>
      <c r="M437" s="68"/>
      <c r="N437" s="74" t="str">
        <f aca="false">IF(A437="","",IF(ISNUMBER(K437),IF(AND(OR(I437="",K437&gt;=I437),OR(J437="",K437&lt;=J437)),"Conforme","Non conforme"),IF(M437="","En attente",M437)))</f>
        <v/>
      </c>
      <c r="O437" s="25"/>
      <c r="P437" s="25"/>
      <c r="Q437" s="69"/>
      <c r="R437" s="74" t="str">
        <f aca="false">IF(A437="","",IF(N437="Non conforme",IF(Q437="","NC ouverte","NC levée"),IF(N437="Réserve",IF(Q437="","Réserve ouverte","Réserve levée"),IF(N437="En attente","À contrôler","Clos"))))</f>
        <v/>
      </c>
      <c r="S437" s="25"/>
    </row>
    <row r="438" customFormat="false" ht="15" hidden="false" customHeight="false" outlineLevel="0" collapsed="false">
      <c r="A438" s="68"/>
      <c r="B438" s="69"/>
      <c r="C438" s="25"/>
      <c r="D438" s="25"/>
      <c r="E438" s="25"/>
      <c r="F438" s="25"/>
      <c r="G438" s="25"/>
      <c r="H438" s="25"/>
      <c r="I438" s="91"/>
      <c r="J438" s="91"/>
      <c r="K438" s="91"/>
      <c r="L438" s="68"/>
      <c r="M438" s="68"/>
      <c r="N438" s="74" t="str">
        <f aca="false">IF(A438="","",IF(ISNUMBER(K438),IF(AND(OR(I438="",K438&gt;=I438),OR(J438="",K438&lt;=J438)),"Conforme","Non conforme"),IF(M438="","En attente",M438)))</f>
        <v/>
      </c>
      <c r="O438" s="25"/>
      <c r="P438" s="25"/>
      <c r="Q438" s="69"/>
      <c r="R438" s="74" t="str">
        <f aca="false">IF(A438="","",IF(N438="Non conforme",IF(Q438="","NC ouverte","NC levée"),IF(N438="Réserve",IF(Q438="","Réserve ouverte","Réserve levée"),IF(N438="En attente","À contrôler","Clos"))))</f>
        <v/>
      </c>
      <c r="S438" s="25"/>
    </row>
    <row r="439" customFormat="false" ht="15" hidden="false" customHeight="false" outlineLevel="0" collapsed="false">
      <c r="A439" s="68"/>
      <c r="B439" s="69"/>
      <c r="C439" s="25"/>
      <c r="D439" s="25"/>
      <c r="E439" s="25"/>
      <c r="F439" s="25"/>
      <c r="G439" s="25"/>
      <c r="H439" s="25"/>
      <c r="I439" s="91"/>
      <c r="J439" s="91"/>
      <c r="K439" s="91"/>
      <c r="L439" s="68"/>
      <c r="M439" s="68"/>
      <c r="N439" s="74" t="str">
        <f aca="false">IF(A439="","",IF(ISNUMBER(K439),IF(AND(OR(I439="",K439&gt;=I439),OR(J439="",K439&lt;=J439)),"Conforme","Non conforme"),IF(M439="","En attente",M439)))</f>
        <v/>
      </c>
      <c r="O439" s="25"/>
      <c r="P439" s="25"/>
      <c r="Q439" s="69"/>
      <c r="R439" s="74" t="str">
        <f aca="false">IF(A439="","",IF(N439="Non conforme",IF(Q439="","NC ouverte","NC levée"),IF(N439="Réserve",IF(Q439="","Réserve ouverte","Réserve levée"),IF(N439="En attente","À contrôler","Clos"))))</f>
        <v/>
      </c>
      <c r="S439" s="25"/>
    </row>
    <row r="440" customFormat="false" ht="15" hidden="false" customHeight="false" outlineLevel="0" collapsed="false">
      <c r="A440" s="68"/>
      <c r="B440" s="69"/>
      <c r="C440" s="25"/>
      <c r="D440" s="25"/>
      <c r="E440" s="25"/>
      <c r="F440" s="25"/>
      <c r="G440" s="25"/>
      <c r="H440" s="25"/>
      <c r="I440" s="91"/>
      <c r="J440" s="91"/>
      <c r="K440" s="91"/>
      <c r="L440" s="68"/>
      <c r="M440" s="68"/>
      <c r="N440" s="74" t="str">
        <f aca="false">IF(A440="","",IF(ISNUMBER(K440),IF(AND(OR(I440="",K440&gt;=I440),OR(J440="",K440&lt;=J440)),"Conforme","Non conforme"),IF(M440="","En attente",M440)))</f>
        <v/>
      </c>
      <c r="O440" s="25"/>
      <c r="P440" s="25"/>
      <c r="Q440" s="69"/>
      <c r="R440" s="74" t="str">
        <f aca="false">IF(A440="","",IF(N440="Non conforme",IF(Q440="","NC ouverte","NC levée"),IF(N440="Réserve",IF(Q440="","Réserve ouverte","Réserve levée"),IF(N440="En attente","À contrôler","Clos"))))</f>
        <v/>
      </c>
      <c r="S440" s="25"/>
    </row>
    <row r="441" customFormat="false" ht="15" hidden="false" customHeight="false" outlineLevel="0" collapsed="false">
      <c r="A441" s="68"/>
      <c r="B441" s="69"/>
      <c r="C441" s="25"/>
      <c r="D441" s="25"/>
      <c r="E441" s="25"/>
      <c r="F441" s="25"/>
      <c r="G441" s="25"/>
      <c r="H441" s="25"/>
      <c r="I441" s="91"/>
      <c r="J441" s="91"/>
      <c r="K441" s="91"/>
      <c r="L441" s="68"/>
      <c r="M441" s="68"/>
      <c r="N441" s="74" t="str">
        <f aca="false">IF(A441="","",IF(ISNUMBER(K441),IF(AND(OR(I441="",K441&gt;=I441),OR(J441="",K441&lt;=J441)),"Conforme","Non conforme"),IF(M441="","En attente",M441)))</f>
        <v/>
      </c>
      <c r="O441" s="25"/>
      <c r="P441" s="25"/>
      <c r="Q441" s="69"/>
      <c r="R441" s="74" t="str">
        <f aca="false">IF(A441="","",IF(N441="Non conforme",IF(Q441="","NC ouverte","NC levée"),IF(N441="Réserve",IF(Q441="","Réserve ouverte","Réserve levée"),IF(N441="En attente","À contrôler","Clos"))))</f>
        <v/>
      </c>
      <c r="S441" s="25"/>
    </row>
    <row r="442" customFormat="false" ht="15" hidden="false" customHeight="false" outlineLevel="0" collapsed="false">
      <c r="A442" s="68"/>
      <c r="B442" s="69"/>
      <c r="C442" s="25"/>
      <c r="D442" s="25"/>
      <c r="E442" s="25"/>
      <c r="F442" s="25"/>
      <c r="G442" s="25"/>
      <c r="H442" s="25"/>
      <c r="I442" s="91"/>
      <c r="J442" s="91"/>
      <c r="K442" s="91"/>
      <c r="L442" s="68"/>
      <c r="M442" s="68"/>
      <c r="N442" s="74" t="str">
        <f aca="false">IF(A442="","",IF(ISNUMBER(K442),IF(AND(OR(I442="",K442&gt;=I442),OR(J442="",K442&lt;=J442)),"Conforme","Non conforme"),IF(M442="","En attente",M442)))</f>
        <v/>
      </c>
      <c r="O442" s="25"/>
      <c r="P442" s="25"/>
      <c r="Q442" s="69"/>
      <c r="R442" s="74" t="str">
        <f aca="false">IF(A442="","",IF(N442="Non conforme",IF(Q442="","NC ouverte","NC levée"),IF(N442="Réserve",IF(Q442="","Réserve ouverte","Réserve levée"),IF(N442="En attente","À contrôler","Clos"))))</f>
        <v/>
      </c>
      <c r="S442" s="25"/>
    </row>
    <row r="443" customFormat="false" ht="15" hidden="false" customHeight="false" outlineLevel="0" collapsed="false">
      <c r="A443" s="68"/>
      <c r="B443" s="69"/>
      <c r="C443" s="25"/>
      <c r="D443" s="25"/>
      <c r="E443" s="25"/>
      <c r="F443" s="25"/>
      <c r="G443" s="25"/>
      <c r="H443" s="25"/>
      <c r="I443" s="91"/>
      <c r="J443" s="91"/>
      <c r="K443" s="91"/>
      <c r="L443" s="68"/>
      <c r="M443" s="68"/>
      <c r="N443" s="74" t="str">
        <f aca="false">IF(A443="","",IF(ISNUMBER(K443),IF(AND(OR(I443="",K443&gt;=I443),OR(J443="",K443&lt;=J443)),"Conforme","Non conforme"),IF(M443="","En attente",M443)))</f>
        <v/>
      </c>
      <c r="O443" s="25"/>
      <c r="P443" s="25"/>
      <c r="Q443" s="69"/>
      <c r="R443" s="74" t="str">
        <f aca="false">IF(A443="","",IF(N443="Non conforme",IF(Q443="","NC ouverte","NC levée"),IF(N443="Réserve",IF(Q443="","Réserve ouverte","Réserve levée"),IF(N443="En attente","À contrôler","Clos"))))</f>
        <v/>
      </c>
      <c r="S443" s="25"/>
    </row>
    <row r="444" customFormat="false" ht="15" hidden="false" customHeight="false" outlineLevel="0" collapsed="false">
      <c r="A444" s="68"/>
      <c r="B444" s="69"/>
      <c r="C444" s="25"/>
      <c r="D444" s="25"/>
      <c r="E444" s="25"/>
      <c r="F444" s="25"/>
      <c r="G444" s="25"/>
      <c r="H444" s="25"/>
      <c r="I444" s="91"/>
      <c r="J444" s="91"/>
      <c r="K444" s="91"/>
      <c r="L444" s="68"/>
      <c r="M444" s="68"/>
      <c r="N444" s="74" t="str">
        <f aca="false">IF(A444="","",IF(ISNUMBER(K444),IF(AND(OR(I444="",K444&gt;=I444),OR(J444="",K444&lt;=J444)),"Conforme","Non conforme"),IF(M444="","En attente",M444)))</f>
        <v/>
      </c>
      <c r="O444" s="25"/>
      <c r="P444" s="25"/>
      <c r="Q444" s="69"/>
      <c r="R444" s="74" t="str">
        <f aca="false">IF(A444="","",IF(N444="Non conforme",IF(Q444="","NC ouverte","NC levée"),IF(N444="Réserve",IF(Q444="","Réserve ouverte","Réserve levée"),IF(N444="En attente","À contrôler","Clos"))))</f>
        <v/>
      </c>
      <c r="S444" s="25"/>
    </row>
    <row r="445" customFormat="false" ht="15" hidden="false" customHeight="false" outlineLevel="0" collapsed="false">
      <c r="A445" s="68"/>
      <c r="B445" s="69"/>
      <c r="C445" s="25"/>
      <c r="D445" s="25"/>
      <c r="E445" s="25"/>
      <c r="F445" s="25"/>
      <c r="G445" s="25"/>
      <c r="H445" s="25"/>
      <c r="I445" s="91"/>
      <c r="J445" s="91"/>
      <c r="K445" s="91"/>
      <c r="L445" s="68"/>
      <c r="M445" s="68"/>
      <c r="N445" s="74" t="str">
        <f aca="false">IF(A445="","",IF(ISNUMBER(K445),IF(AND(OR(I445="",K445&gt;=I445),OR(J445="",K445&lt;=J445)),"Conforme","Non conforme"),IF(M445="","En attente",M445)))</f>
        <v/>
      </c>
      <c r="O445" s="25"/>
      <c r="P445" s="25"/>
      <c r="Q445" s="69"/>
      <c r="R445" s="74" t="str">
        <f aca="false">IF(A445="","",IF(N445="Non conforme",IF(Q445="","NC ouverte","NC levée"),IF(N445="Réserve",IF(Q445="","Réserve ouverte","Réserve levée"),IF(N445="En attente","À contrôler","Clos"))))</f>
        <v/>
      </c>
      <c r="S445" s="25"/>
    </row>
    <row r="446" customFormat="false" ht="15" hidden="false" customHeight="false" outlineLevel="0" collapsed="false">
      <c r="A446" s="68"/>
      <c r="B446" s="69"/>
      <c r="C446" s="25"/>
      <c r="D446" s="25"/>
      <c r="E446" s="25"/>
      <c r="F446" s="25"/>
      <c r="G446" s="25"/>
      <c r="H446" s="25"/>
      <c r="I446" s="91"/>
      <c r="J446" s="91"/>
      <c r="K446" s="91"/>
      <c r="L446" s="68"/>
      <c r="M446" s="68"/>
      <c r="N446" s="74" t="str">
        <f aca="false">IF(A446="","",IF(ISNUMBER(K446),IF(AND(OR(I446="",K446&gt;=I446),OR(J446="",K446&lt;=J446)),"Conforme","Non conforme"),IF(M446="","En attente",M446)))</f>
        <v/>
      </c>
      <c r="O446" s="25"/>
      <c r="P446" s="25"/>
      <c r="Q446" s="69"/>
      <c r="R446" s="74" t="str">
        <f aca="false">IF(A446="","",IF(N446="Non conforme",IF(Q446="","NC ouverte","NC levée"),IF(N446="Réserve",IF(Q446="","Réserve ouverte","Réserve levée"),IF(N446="En attente","À contrôler","Clos"))))</f>
        <v/>
      </c>
      <c r="S446" s="25"/>
    </row>
    <row r="447" customFormat="false" ht="15" hidden="false" customHeight="false" outlineLevel="0" collapsed="false">
      <c r="A447" s="68"/>
      <c r="B447" s="69"/>
      <c r="C447" s="25"/>
      <c r="D447" s="25"/>
      <c r="E447" s="25"/>
      <c r="F447" s="25"/>
      <c r="G447" s="25"/>
      <c r="H447" s="25"/>
      <c r="I447" s="91"/>
      <c r="J447" s="91"/>
      <c r="K447" s="91"/>
      <c r="L447" s="68"/>
      <c r="M447" s="68"/>
      <c r="N447" s="74" t="str">
        <f aca="false">IF(A447="","",IF(ISNUMBER(K447),IF(AND(OR(I447="",K447&gt;=I447),OR(J447="",K447&lt;=J447)),"Conforme","Non conforme"),IF(M447="","En attente",M447)))</f>
        <v/>
      </c>
      <c r="O447" s="25"/>
      <c r="P447" s="25"/>
      <c r="Q447" s="69"/>
      <c r="R447" s="74" t="str">
        <f aca="false">IF(A447="","",IF(N447="Non conforme",IF(Q447="","NC ouverte","NC levée"),IF(N447="Réserve",IF(Q447="","Réserve ouverte","Réserve levée"),IF(N447="En attente","À contrôler","Clos"))))</f>
        <v/>
      </c>
      <c r="S447" s="25"/>
    </row>
    <row r="448" customFormat="false" ht="15" hidden="false" customHeight="false" outlineLevel="0" collapsed="false">
      <c r="A448" s="68"/>
      <c r="B448" s="69"/>
      <c r="C448" s="25"/>
      <c r="D448" s="25"/>
      <c r="E448" s="25"/>
      <c r="F448" s="25"/>
      <c r="G448" s="25"/>
      <c r="H448" s="25"/>
      <c r="I448" s="91"/>
      <c r="J448" s="91"/>
      <c r="K448" s="91"/>
      <c r="L448" s="68"/>
      <c r="M448" s="68"/>
      <c r="N448" s="74" t="str">
        <f aca="false">IF(A448="","",IF(ISNUMBER(K448),IF(AND(OR(I448="",K448&gt;=I448),OR(J448="",K448&lt;=J448)),"Conforme","Non conforme"),IF(M448="","En attente",M448)))</f>
        <v/>
      </c>
      <c r="O448" s="25"/>
      <c r="P448" s="25"/>
      <c r="Q448" s="69"/>
      <c r="R448" s="74" t="str">
        <f aca="false">IF(A448="","",IF(N448="Non conforme",IF(Q448="","NC ouverte","NC levée"),IF(N448="Réserve",IF(Q448="","Réserve ouverte","Réserve levée"),IF(N448="En attente","À contrôler","Clos"))))</f>
        <v/>
      </c>
      <c r="S448" s="25"/>
    </row>
    <row r="449" customFormat="false" ht="15" hidden="false" customHeight="false" outlineLevel="0" collapsed="false">
      <c r="A449" s="68"/>
      <c r="B449" s="69"/>
      <c r="C449" s="25"/>
      <c r="D449" s="25"/>
      <c r="E449" s="25"/>
      <c r="F449" s="25"/>
      <c r="G449" s="25"/>
      <c r="H449" s="25"/>
      <c r="I449" s="91"/>
      <c r="J449" s="91"/>
      <c r="K449" s="91"/>
      <c r="L449" s="68"/>
      <c r="M449" s="68"/>
      <c r="N449" s="74" t="str">
        <f aca="false">IF(A449="","",IF(ISNUMBER(K449),IF(AND(OR(I449="",K449&gt;=I449),OR(J449="",K449&lt;=J449)),"Conforme","Non conforme"),IF(M449="","En attente",M449)))</f>
        <v/>
      </c>
      <c r="O449" s="25"/>
      <c r="P449" s="25"/>
      <c r="Q449" s="69"/>
      <c r="R449" s="74" t="str">
        <f aca="false">IF(A449="","",IF(N449="Non conforme",IF(Q449="","NC ouverte","NC levée"),IF(N449="Réserve",IF(Q449="","Réserve ouverte","Réserve levée"),IF(N449="En attente","À contrôler","Clos"))))</f>
        <v/>
      </c>
      <c r="S449" s="25"/>
    </row>
    <row r="450" customFormat="false" ht="15" hidden="false" customHeight="false" outlineLevel="0" collapsed="false">
      <c r="A450" s="68"/>
      <c r="B450" s="69"/>
      <c r="C450" s="25"/>
      <c r="D450" s="25"/>
      <c r="E450" s="25"/>
      <c r="F450" s="25"/>
      <c r="G450" s="25"/>
      <c r="H450" s="25"/>
      <c r="I450" s="91"/>
      <c r="J450" s="91"/>
      <c r="K450" s="91"/>
      <c r="L450" s="68"/>
      <c r="M450" s="68"/>
      <c r="N450" s="74" t="str">
        <f aca="false">IF(A450="","",IF(ISNUMBER(K450),IF(AND(OR(I450="",K450&gt;=I450),OR(J450="",K450&lt;=J450)),"Conforme","Non conforme"),IF(M450="","En attente",M450)))</f>
        <v/>
      </c>
      <c r="O450" s="25"/>
      <c r="P450" s="25"/>
      <c r="Q450" s="69"/>
      <c r="R450" s="74" t="str">
        <f aca="false">IF(A450="","",IF(N450="Non conforme",IF(Q450="","NC ouverte","NC levée"),IF(N450="Réserve",IF(Q450="","Réserve ouverte","Réserve levée"),IF(N450="En attente","À contrôler","Clos"))))</f>
        <v/>
      </c>
      <c r="S450" s="25"/>
    </row>
    <row r="451" customFormat="false" ht="15" hidden="false" customHeight="false" outlineLevel="0" collapsed="false">
      <c r="A451" s="68"/>
      <c r="B451" s="69"/>
      <c r="C451" s="25"/>
      <c r="D451" s="25"/>
      <c r="E451" s="25"/>
      <c r="F451" s="25"/>
      <c r="G451" s="25"/>
      <c r="H451" s="25"/>
      <c r="I451" s="91"/>
      <c r="J451" s="91"/>
      <c r="K451" s="91"/>
      <c r="L451" s="68"/>
      <c r="M451" s="68"/>
      <c r="N451" s="74" t="str">
        <f aca="false">IF(A451="","",IF(ISNUMBER(K451),IF(AND(OR(I451="",K451&gt;=I451),OR(J451="",K451&lt;=J451)),"Conforme","Non conforme"),IF(M451="","En attente",M451)))</f>
        <v/>
      </c>
      <c r="O451" s="25"/>
      <c r="P451" s="25"/>
      <c r="Q451" s="69"/>
      <c r="R451" s="74" t="str">
        <f aca="false">IF(A451="","",IF(N451="Non conforme",IF(Q451="","NC ouverte","NC levée"),IF(N451="Réserve",IF(Q451="","Réserve ouverte","Réserve levée"),IF(N451="En attente","À contrôler","Clos"))))</f>
        <v/>
      </c>
      <c r="S451" s="25"/>
    </row>
    <row r="452" customFormat="false" ht="15" hidden="false" customHeight="false" outlineLevel="0" collapsed="false">
      <c r="A452" s="68"/>
      <c r="B452" s="69"/>
      <c r="C452" s="25"/>
      <c r="D452" s="25"/>
      <c r="E452" s="25"/>
      <c r="F452" s="25"/>
      <c r="G452" s="25"/>
      <c r="H452" s="25"/>
      <c r="I452" s="91"/>
      <c r="J452" s="91"/>
      <c r="K452" s="91"/>
      <c r="L452" s="68"/>
      <c r="M452" s="68"/>
      <c r="N452" s="74" t="str">
        <f aca="false">IF(A452="","",IF(ISNUMBER(K452),IF(AND(OR(I452="",K452&gt;=I452),OR(J452="",K452&lt;=J452)),"Conforme","Non conforme"),IF(M452="","En attente",M452)))</f>
        <v/>
      </c>
      <c r="O452" s="25"/>
      <c r="P452" s="25"/>
      <c r="Q452" s="69"/>
      <c r="R452" s="74" t="str">
        <f aca="false">IF(A452="","",IF(N452="Non conforme",IF(Q452="","NC ouverte","NC levée"),IF(N452="Réserve",IF(Q452="","Réserve ouverte","Réserve levée"),IF(N452="En attente","À contrôler","Clos"))))</f>
        <v/>
      </c>
      <c r="S452" s="25"/>
    </row>
    <row r="453" customFormat="false" ht="15" hidden="false" customHeight="false" outlineLevel="0" collapsed="false">
      <c r="A453" s="68"/>
      <c r="B453" s="69"/>
      <c r="C453" s="25"/>
      <c r="D453" s="25"/>
      <c r="E453" s="25"/>
      <c r="F453" s="25"/>
      <c r="G453" s="25"/>
      <c r="H453" s="25"/>
      <c r="I453" s="91"/>
      <c r="J453" s="91"/>
      <c r="K453" s="91"/>
      <c r="L453" s="68"/>
      <c r="M453" s="68"/>
      <c r="N453" s="74" t="str">
        <f aca="false">IF(A453="","",IF(ISNUMBER(K453),IF(AND(OR(I453="",K453&gt;=I453),OR(J453="",K453&lt;=J453)),"Conforme","Non conforme"),IF(M453="","En attente",M453)))</f>
        <v/>
      </c>
      <c r="O453" s="25"/>
      <c r="P453" s="25"/>
      <c r="Q453" s="69"/>
      <c r="R453" s="74" t="str">
        <f aca="false">IF(A453="","",IF(N453="Non conforme",IF(Q453="","NC ouverte","NC levée"),IF(N453="Réserve",IF(Q453="","Réserve ouverte","Réserve levée"),IF(N453="En attente","À contrôler","Clos"))))</f>
        <v/>
      </c>
      <c r="S453" s="25"/>
    </row>
    <row r="454" customFormat="false" ht="15" hidden="false" customHeight="false" outlineLevel="0" collapsed="false">
      <c r="A454" s="68"/>
      <c r="B454" s="69"/>
      <c r="C454" s="25"/>
      <c r="D454" s="25"/>
      <c r="E454" s="25"/>
      <c r="F454" s="25"/>
      <c r="G454" s="25"/>
      <c r="H454" s="25"/>
      <c r="I454" s="91"/>
      <c r="J454" s="91"/>
      <c r="K454" s="91"/>
      <c r="L454" s="68"/>
      <c r="M454" s="68"/>
      <c r="N454" s="74" t="str">
        <f aca="false">IF(A454="","",IF(ISNUMBER(K454),IF(AND(OR(I454="",K454&gt;=I454),OR(J454="",K454&lt;=J454)),"Conforme","Non conforme"),IF(M454="","En attente",M454)))</f>
        <v/>
      </c>
      <c r="O454" s="25"/>
      <c r="P454" s="25"/>
      <c r="Q454" s="69"/>
      <c r="R454" s="74" t="str">
        <f aca="false">IF(A454="","",IF(N454="Non conforme",IF(Q454="","NC ouverte","NC levée"),IF(N454="Réserve",IF(Q454="","Réserve ouverte","Réserve levée"),IF(N454="En attente","À contrôler","Clos"))))</f>
        <v/>
      </c>
      <c r="S454" s="25"/>
    </row>
    <row r="455" customFormat="false" ht="15" hidden="false" customHeight="false" outlineLevel="0" collapsed="false">
      <c r="A455" s="68"/>
      <c r="B455" s="69"/>
      <c r="C455" s="25"/>
      <c r="D455" s="25"/>
      <c r="E455" s="25"/>
      <c r="F455" s="25"/>
      <c r="G455" s="25"/>
      <c r="H455" s="25"/>
      <c r="I455" s="91"/>
      <c r="J455" s="91"/>
      <c r="K455" s="91"/>
      <c r="L455" s="68"/>
      <c r="M455" s="68"/>
      <c r="N455" s="74" t="str">
        <f aca="false">IF(A455="","",IF(ISNUMBER(K455),IF(AND(OR(I455="",K455&gt;=I455),OR(J455="",K455&lt;=J455)),"Conforme","Non conforme"),IF(M455="","En attente",M455)))</f>
        <v/>
      </c>
      <c r="O455" s="25"/>
      <c r="P455" s="25"/>
      <c r="Q455" s="69"/>
      <c r="R455" s="74" t="str">
        <f aca="false">IF(A455="","",IF(N455="Non conforme",IF(Q455="","NC ouverte","NC levée"),IF(N455="Réserve",IF(Q455="","Réserve ouverte","Réserve levée"),IF(N455="En attente","À contrôler","Clos"))))</f>
        <v/>
      </c>
      <c r="S455" s="25"/>
    </row>
    <row r="456" customFormat="false" ht="15" hidden="false" customHeight="false" outlineLevel="0" collapsed="false">
      <c r="A456" s="68"/>
      <c r="B456" s="69"/>
      <c r="C456" s="25"/>
      <c r="D456" s="25"/>
      <c r="E456" s="25"/>
      <c r="F456" s="25"/>
      <c r="G456" s="25"/>
      <c r="H456" s="25"/>
      <c r="I456" s="91"/>
      <c r="J456" s="91"/>
      <c r="K456" s="91"/>
      <c r="L456" s="68"/>
      <c r="M456" s="68"/>
      <c r="N456" s="74" t="str">
        <f aca="false">IF(A456="","",IF(ISNUMBER(K456),IF(AND(OR(I456="",K456&gt;=I456),OR(J456="",K456&lt;=J456)),"Conforme","Non conforme"),IF(M456="","En attente",M456)))</f>
        <v/>
      </c>
      <c r="O456" s="25"/>
      <c r="P456" s="25"/>
      <c r="Q456" s="69"/>
      <c r="R456" s="74" t="str">
        <f aca="false">IF(A456="","",IF(N456="Non conforme",IF(Q456="","NC ouverte","NC levée"),IF(N456="Réserve",IF(Q456="","Réserve ouverte","Réserve levée"),IF(N456="En attente","À contrôler","Clos"))))</f>
        <v/>
      </c>
      <c r="S456" s="25"/>
    </row>
    <row r="457" customFormat="false" ht="15" hidden="false" customHeight="false" outlineLevel="0" collapsed="false">
      <c r="A457" s="68"/>
      <c r="B457" s="69"/>
      <c r="C457" s="25"/>
      <c r="D457" s="25"/>
      <c r="E457" s="25"/>
      <c r="F457" s="25"/>
      <c r="G457" s="25"/>
      <c r="H457" s="25"/>
      <c r="I457" s="91"/>
      <c r="J457" s="91"/>
      <c r="K457" s="91"/>
      <c r="L457" s="68"/>
      <c r="M457" s="68"/>
      <c r="N457" s="74" t="str">
        <f aca="false">IF(A457="","",IF(ISNUMBER(K457),IF(AND(OR(I457="",K457&gt;=I457),OR(J457="",K457&lt;=J457)),"Conforme","Non conforme"),IF(M457="","En attente",M457)))</f>
        <v/>
      </c>
      <c r="O457" s="25"/>
      <c r="P457" s="25"/>
      <c r="Q457" s="69"/>
      <c r="R457" s="74" t="str">
        <f aca="false">IF(A457="","",IF(N457="Non conforme",IF(Q457="","NC ouverte","NC levée"),IF(N457="Réserve",IF(Q457="","Réserve ouverte","Réserve levée"),IF(N457="En attente","À contrôler","Clos"))))</f>
        <v/>
      </c>
      <c r="S457" s="25"/>
    </row>
    <row r="458" customFormat="false" ht="15" hidden="false" customHeight="false" outlineLevel="0" collapsed="false">
      <c r="A458" s="68"/>
      <c r="B458" s="69"/>
      <c r="C458" s="25"/>
      <c r="D458" s="25"/>
      <c r="E458" s="25"/>
      <c r="F458" s="25"/>
      <c r="G458" s="25"/>
      <c r="H458" s="25"/>
      <c r="I458" s="91"/>
      <c r="J458" s="91"/>
      <c r="K458" s="91"/>
      <c r="L458" s="68"/>
      <c r="M458" s="68"/>
      <c r="N458" s="74" t="str">
        <f aca="false">IF(A458="","",IF(ISNUMBER(K458),IF(AND(OR(I458="",K458&gt;=I458),OR(J458="",K458&lt;=J458)),"Conforme","Non conforme"),IF(M458="","En attente",M458)))</f>
        <v/>
      </c>
      <c r="O458" s="25"/>
      <c r="P458" s="25"/>
      <c r="Q458" s="69"/>
      <c r="R458" s="74" t="str">
        <f aca="false">IF(A458="","",IF(N458="Non conforme",IF(Q458="","NC ouverte","NC levée"),IF(N458="Réserve",IF(Q458="","Réserve ouverte","Réserve levée"),IF(N458="En attente","À contrôler","Clos"))))</f>
        <v/>
      </c>
      <c r="S458" s="25"/>
    </row>
    <row r="459" customFormat="false" ht="15" hidden="false" customHeight="false" outlineLevel="0" collapsed="false">
      <c r="A459" s="68"/>
      <c r="B459" s="69"/>
      <c r="C459" s="25"/>
      <c r="D459" s="25"/>
      <c r="E459" s="25"/>
      <c r="F459" s="25"/>
      <c r="G459" s="25"/>
      <c r="H459" s="25"/>
      <c r="I459" s="91"/>
      <c r="J459" s="91"/>
      <c r="K459" s="91"/>
      <c r="L459" s="68"/>
      <c r="M459" s="68"/>
      <c r="N459" s="74" t="str">
        <f aca="false">IF(A459="","",IF(ISNUMBER(K459),IF(AND(OR(I459="",K459&gt;=I459),OR(J459="",K459&lt;=J459)),"Conforme","Non conforme"),IF(M459="","En attente",M459)))</f>
        <v/>
      </c>
      <c r="O459" s="25"/>
      <c r="P459" s="25"/>
      <c r="Q459" s="69"/>
      <c r="R459" s="74" t="str">
        <f aca="false">IF(A459="","",IF(N459="Non conforme",IF(Q459="","NC ouverte","NC levée"),IF(N459="Réserve",IF(Q459="","Réserve ouverte","Réserve levée"),IF(N459="En attente","À contrôler","Clos"))))</f>
        <v/>
      </c>
      <c r="S459" s="25"/>
    </row>
    <row r="460" customFormat="false" ht="15" hidden="false" customHeight="false" outlineLevel="0" collapsed="false">
      <c r="A460" s="68"/>
      <c r="B460" s="69"/>
      <c r="C460" s="25"/>
      <c r="D460" s="25"/>
      <c r="E460" s="25"/>
      <c r="F460" s="25"/>
      <c r="G460" s="25"/>
      <c r="H460" s="25"/>
      <c r="I460" s="91"/>
      <c r="J460" s="91"/>
      <c r="K460" s="91"/>
      <c r="L460" s="68"/>
      <c r="M460" s="68"/>
      <c r="N460" s="74" t="str">
        <f aca="false">IF(A460="","",IF(ISNUMBER(K460),IF(AND(OR(I460="",K460&gt;=I460),OR(J460="",K460&lt;=J460)),"Conforme","Non conforme"),IF(M460="","En attente",M460)))</f>
        <v/>
      </c>
      <c r="O460" s="25"/>
      <c r="P460" s="25"/>
      <c r="Q460" s="69"/>
      <c r="R460" s="74" t="str">
        <f aca="false">IF(A460="","",IF(N460="Non conforme",IF(Q460="","NC ouverte","NC levée"),IF(N460="Réserve",IF(Q460="","Réserve ouverte","Réserve levée"),IF(N460="En attente","À contrôler","Clos"))))</f>
        <v/>
      </c>
      <c r="S460" s="25"/>
    </row>
    <row r="461" customFormat="false" ht="15" hidden="false" customHeight="false" outlineLevel="0" collapsed="false">
      <c r="A461" s="68"/>
      <c r="B461" s="69"/>
      <c r="C461" s="25"/>
      <c r="D461" s="25"/>
      <c r="E461" s="25"/>
      <c r="F461" s="25"/>
      <c r="G461" s="25"/>
      <c r="H461" s="25"/>
      <c r="I461" s="91"/>
      <c r="J461" s="91"/>
      <c r="K461" s="91"/>
      <c r="L461" s="68"/>
      <c r="M461" s="68"/>
      <c r="N461" s="74" t="str">
        <f aca="false">IF(A461="","",IF(ISNUMBER(K461),IF(AND(OR(I461="",K461&gt;=I461),OR(J461="",K461&lt;=J461)),"Conforme","Non conforme"),IF(M461="","En attente",M461)))</f>
        <v/>
      </c>
      <c r="O461" s="25"/>
      <c r="P461" s="25"/>
      <c r="Q461" s="69"/>
      <c r="R461" s="74" t="str">
        <f aca="false">IF(A461="","",IF(N461="Non conforme",IF(Q461="","NC ouverte","NC levée"),IF(N461="Réserve",IF(Q461="","Réserve ouverte","Réserve levée"),IF(N461="En attente","À contrôler","Clos"))))</f>
        <v/>
      </c>
      <c r="S461" s="25"/>
    </row>
    <row r="462" customFormat="false" ht="15" hidden="false" customHeight="false" outlineLevel="0" collapsed="false">
      <c r="A462" s="68"/>
      <c r="B462" s="69"/>
      <c r="C462" s="25"/>
      <c r="D462" s="25"/>
      <c r="E462" s="25"/>
      <c r="F462" s="25"/>
      <c r="G462" s="25"/>
      <c r="H462" s="25"/>
      <c r="I462" s="91"/>
      <c r="J462" s="91"/>
      <c r="K462" s="91"/>
      <c r="L462" s="68"/>
      <c r="M462" s="68"/>
      <c r="N462" s="74" t="str">
        <f aca="false">IF(A462="","",IF(ISNUMBER(K462),IF(AND(OR(I462="",K462&gt;=I462),OR(J462="",K462&lt;=J462)),"Conforme","Non conforme"),IF(M462="","En attente",M462)))</f>
        <v/>
      </c>
      <c r="O462" s="25"/>
      <c r="P462" s="25"/>
      <c r="Q462" s="69"/>
      <c r="R462" s="74" t="str">
        <f aca="false">IF(A462="","",IF(N462="Non conforme",IF(Q462="","NC ouverte","NC levée"),IF(N462="Réserve",IF(Q462="","Réserve ouverte","Réserve levée"),IF(N462="En attente","À contrôler","Clos"))))</f>
        <v/>
      </c>
      <c r="S462" s="25"/>
    </row>
    <row r="463" customFormat="false" ht="15" hidden="false" customHeight="false" outlineLevel="0" collapsed="false">
      <c r="A463" s="68"/>
      <c r="B463" s="69"/>
      <c r="C463" s="25"/>
      <c r="D463" s="25"/>
      <c r="E463" s="25"/>
      <c r="F463" s="25"/>
      <c r="G463" s="25"/>
      <c r="H463" s="25"/>
      <c r="I463" s="91"/>
      <c r="J463" s="91"/>
      <c r="K463" s="91"/>
      <c r="L463" s="68"/>
      <c r="M463" s="68"/>
      <c r="N463" s="74" t="str">
        <f aca="false">IF(A463="","",IF(ISNUMBER(K463),IF(AND(OR(I463="",K463&gt;=I463),OR(J463="",K463&lt;=J463)),"Conforme","Non conforme"),IF(M463="","En attente",M463)))</f>
        <v/>
      </c>
      <c r="O463" s="25"/>
      <c r="P463" s="25"/>
      <c r="Q463" s="69"/>
      <c r="R463" s="74" t="str">
        <f aca="false">IF(A463="","",IF(N463="Non conforme",IF(Q463="","NC ouverte","NC levée"),IF(N463="Réserve",IF(Q463="","Réserve ouverte","Réserve levée"),IF(N463="En attente","À contrôler","Clos"))))</f>
        <v/>
      </c>
      <c r="S463" s="25"/>
    </row>
    <row r="464" customFormat="false" ht="15" hidden="false" customHeight="false" outlineLevel="0" collapsed="false">
      <c r="A464" s="68"/>
      <c r="B464" s="69"/>
      <c r="C464" s="25"/>
      <c r="D464" s="25"/>
      <c r="E464" s="25"/>
      <c r="F464" s="25"/>
      <c r="G464" s="25"/>
      <c r="H464" s="25"/>
      <c r="I464" s="91"/>
      <c r="J464" s="91"/>
      <c r="K464" s="91"/>
      <c r="L464" s="68"/>
      <c r="M464" s="68"/>
      <c r="N464" s="74" t="str">
        <f aca="false">IF(A464="","",IF(ISNUMBER(K464),IF(AND(OR(I464="",K464&gt;=I464),OR(J464="",K464&lt;=J464)),"Conforme","Non conforme"),IF(M464="","En attente",M464)))</f>
        <v/>
      </c>
      <c r="O464" s="25"/>
      <c r="P464" s="25"/>
      <c r="Q464" s="69"/>
      <c r="R464" s="74" t="str">
        <f aca="false">IF(A464="","",IF(N464="Non conforme",IF(Q464="","NC ouverte","NC levée"),IF(N464="Réserve",IF(Q464="","Réserve ouverte","Réserve levée"),IF(N464="En attente","À contrôler","Clos"))))</f>
        <v/>
      </c>
      <c r="S464" s="25"/>
    </row>
    <row r="465" customFormat="false" ht="15" hidden="false" customHeight="false" outlineLevel="0" collapsed="false">
      <c r="A465" s="68"/>
      <c r="B465" s="69"/>
      <c r="C465" s="25"/>
      <c r="D465" s="25"/>
      <c r="E465" s="25"/>
      <c r="F465" s="25"/>
      <c r="G465" s="25"/>
      <c r="H465" s="25"/>
      <c r="I465" s="91"/>
      <c r="J465" s="91"/>
      <c r="K465" s="91"/>
      <c r="L465" s="68"/>
      <c r="M465" s="68"/>
      <c r="N465" s="74" t="str">
        <f aca="false">IF(A465="","",IF(ISNUMBER(K465),IF(AND(OR(I465="",K465&gt;=I465),OR(J465="",K465&lt;=J465)),"Conforme","Non conforme"),IF(M465="","En attente",M465)))</f>
        <v/>
      </c>
      <c r="O465" s="25"/>
      <c r="P465" s="25"/>
      <c r="Q465" s="69"/>
      <c r="R465" s="74" t="str">
        <f aca="false">IF(A465="","",IF(N465="Non conforme",IF(Q465="","NC ouverte","NC levée"),IF(N465="Réserve",IF(Q465="","Réserve ouverte","Réserve levée"),IF(N465="En attente","À contrôler","Clos"))))</f>
        <v/>
      </c>
      <c r="S465" s="25"/>
    </row>
    <row r="466" customFormat="false" ht="15" hidden="false" customHeight="false" outlineLevel="0" collapsed="false">
      <c r="A466" s="68"/>
      <c r="B466" s="69"/>
      <c r="C466" s="25"/>
      <c r="D466" s="25"/>
      <c r="E466" s="25"/>
      <c r="F466" s="25"/>
      <c r="G466" s="25"/>
      <c r="H466" s="25"/>
      <c r="I466" s="91"/>
      <c r="J466" s="91"/>
      <c r="K466" s="91"/>
      <c r="L466" s="68"/>
      <c r="M466" s="68"/>
      <c r="N466" s="74" t="str">
        <f aca="false">IF(A466="","",IF(ISNUMBER(K466),IF(AND(OR(I466="",K466&gt;=I466),OR(J466="",K466&lt;=J466)),"Conforme","Non conforme"),IF(M466="","En attente",M466)))</f>
        <v/>
      </c>
      <c r="O466" s="25"/>
      <c r="P466" s="25"/>
      <c r="Q466" s="69"/>
      <c r="R466" s="74" t="str">
        <f aca="false">IF(A466="","",IF(N466="Non conforme",IF(Q466="","NC ouverte","NC levée"),IF(N466="Réserve",IF(Q466="","Réserve ouverte","Réserve levée"),IF(N466="En attente","À contrôler","Clos"))))</f>
        <v/>
      </c>
      <c r="S466" s="25"/>
    </row>
    <row r="467" customFormat="false" ht="15" hidden="false" customHeight="false" outlineLevel="0" collapsed="false">
      <c r="A467" s="68"/>
      <c r="B467" s="69"/>
      <c r="C467" s="25"/>
      <c r="D467" s="25"/>
      <c r="E467" s="25"/>
      <c r="F467" s="25"/>
      <c r="G467" s="25"/>
      <c r="H467" s="25"/>
      <c r="I467" s="91"/>
      <c r="J467" s="91"/>
      <c r="K467" s="91"/>
      <c r="L467" s="68"/>
      <c r="M467" s="68"/>
      <c r="N467" s="74" t="str">
        <f aca="false">IF(A467="","",IF(ISNUMBER(K467),IF(AND(OR(I467="",K467&gt;=I467),OR(J467="",K467&lt;=J467)),"Conforme","Non conforme"),IF(M467="","En attente",M467)))</f>
        <v/>
      </c>
      <c r="O467" s="25"/>
      <c r="P467" s="25"/>
      <c r="Q467" s="69"/>
      <c r="R467" s="74" t="str">
        <f aca="false">IF(A467="","",IF(N467="Non conforme",IF(Q467="","NC ouverte","NC levée"),IF(N467="Réserve",IF(Q467="","Réserve ouverte","Réserve levée"),IF(N467="En attente","À contrôler","Clos"))))</f>
        <v/>
      </c>
      <c r="S467" s="25"/>
    </row>
    <row r="468" customFormat="false" ht="15" hidden="false" customHeight="false" outlineLevel="0" collapsed="false">
      <c r="A468" s="68"/>
      <c r="B468" s="69"/>
      <c r="C468" s="25"/>
      <c r="D468" s="25"/>
      <c r="E468" s="25"/>
      <c r="F468" s="25"/>
      <c r="G468" s="25"/>
      <c r="H468" s="25"/>
      <c r="I468" s="91"/>
      <c r="J468" s="91"/>
      <c r="K468" s="91"/>
      <c r="L468" s="68"/>
      <c r="M468" s="68"/>
      <c r="N468" s="74" t="str">
        <f aca="false">IF(A468="","",IF(ISNUMBER(K468),IF(AND(OR(I468="",K468&gt;=I468),OR(J468="",K468&lt;=J468)),"Conforme","Non conforme"),IF(M468="","En attente",M468)))</f>
        <v/>
      </c>
      <c r="O468" s="25"/>
      <c r="P468" s="25"/>
      <c r="Q468" s="69"/>
      <c r="R468" s="74" t="str">
        <f aca="false">IF(A468="","",IF(N468="Non conforme",IF(Q468="","NC ouverte","NC levée"),IF(N468="Réserve",IF(Q468="","Réserve ouverte","Réserve levée"),IF(N468="En attente","À contrôler","Clos"))))</f>
        <v/>
      </c>
      <c r="S468" s="25"/>
    </row>
    <row r="469" customFormat="false" ht="15" hidden="false" customHeight="false" outlineLevel="0" collapsed="false">
      <c r="A469" s="68"/>
      <c r="B469" s="69"/>
      <c r="C469" s="25"/>
      <c r="D469" s="25"/>
      <c r="E469" s="25"/>
      <c r="F469" s="25"/>
      <c r="G469" s="25"/>
      <c r="H469" s="25"/>
      <c r="I469" s="91"/>
      <c r="J469" s="91"/>
      <c r="K469" s="91"/>
      <c r="L469" s="68"/>
      <c r="M469" s="68"/>
      <c r="N469" s="74" t="str">
        <f aca="false">IF(A469="","",IF(ISNUMBER(K469),IF(AND(OR(I469="",K469&gt;=I469),OR(J469="",K469&lt;=J469)),"Conforme","Non conforme"),IF(M469="","En attente",M469)))</f>
        <v/>
      </c>
      <c r="O469" s="25"/>
      <c r="P469" s="25"/>
      <c r="Q469" s="69"/>
      <c r="R469" s="74" t="str">
        <f aca="false">IF(A469="","",IF(N469="Non conforme",IF(Q469="","NC ouverte","NC levée"),IF(N469="Réserve",IF(Q469="","Réserve ouverte","Réserve levée"),IF(N469="En attente","À contrôler","Clos"))))</f>
        <v/>
      </c>
      <c r="S469" s="25"/>
    </row>
    <row r="470" customFormat="false" ht="15" hidden="false" customHeight="false" outlineLevel="0" collapsed="false">
      <c r="A470" s="68"/>
      <c r="B470" s="69"/>
      <c r="C470" s="25"/>
      <c r="D470" s="25"/>
      <c r="E470" s="25"/>
      <c r="F470" s="25"/>
      <c r="G470" s="25"/>
      <c r="H470" s="25"/>
      <c r="I470" s="91"/>
      <c r="J470" s="91"/>
      <c r="K470" s="91"/>
      <c r="L470" s="68"/>
      <c r="M470" s="68"/>
      <c r="N470" s="74" t="str">
        <f aca="false">IF(A470="","",IF(ISNUMBER(K470),IF(AND(OR(I470="",K470&gt;=I470),OR(J470="",K470&lt;=J470)),"Conforme","Non conforme"),IF(M470="","En attente",M470)))</f>
        <v/>
      </c>
      <c r="O470" s="25"/>
      <c r="P470" s="25"/>
      <c r="Q470" s="69"/>
      <c r="R470" s="74" t="str">
        <f aca="false">IF(A470="","",IF(N470="Non conforme",IF(Q470="","NC ouverte","NC levée"),IF(N470="Réserve",IF(Q470="","Réserve ouverte","Réserve levée"),IF(N470="En attente","À contrôler","Clos"))))</f>
        <v/>
      </c>
      <c r="S470" s="25"/>
    </row>
    <row r="471" customFormat="false" ht="15" hidden="false" customHeight="false" outlineLevel="0" collapsed="false">
      <c r="A471" s="68"/>
      <c r="B471" s="69"/>
      <c r="C471" s="25"/>
      <c r="D471" s="25"/>
      <c r="E471" s="25"/>
      <c r="F471" s="25"/>
      <c r="G471" s="25"/>
      <c r="H471" s="25"/>
      <c r="I471" s="91"/>
      <c r="J471" s="91"/>
      <c r="K471" s="91"/>
      <c r="L471" s="68"/>
      <c r="M471" s="68"/>
      <c r="N471" s="74" t="str">
        <f aca="false">IF(A471="","",IF(ISNUMBER(K471),IF(AND(OR(I471="",K471&gt;=I471),OR(J471="",K471&lt;=J471)),"Conforme","Non conforme"),IF(M471="","En attente",M471)))</f>
        <v/>
      </c>
      <c r="O471" s="25"/>
      <c r="P471" s="25"/>
      <c r="Q471" s="69"/>
      <c r="R471" s="74" t="str">
        <f aca="false">IF(A471="","",IF(N471="Non conforme",IF(Q471="","NC ouverte","NC levée"),IF(N471="Réserve",IF(Q471="","Réserve ouverte","Réserve levée"),IF(N471="En attente","À contrôler","Clos"))))</f>
        <v/>
      </c>
      <c r="S471" s="25"/>
    </row>
    <row r="472" customFormat="false" ht="15" hidden="false" customHeight="false" outlineLevel="0" collapsed="false">
      <c r="A472" s="68"/>
      <c r="B472" s="69"/>
      <c r="C472" s="25"/>
      <c r="D472" s="25"/>
      <c r="E472" s="25"/>
      <c r="F472" s="25"/>
      <c r="G472" s="25"/>
      <c r="H472" s="25"/>
      <c r="I472" s="91"/>
      <c r="J472" s="91"/>
      <c r="K472" s="91"/>
      <c r="L472" s="68"/>
      <c r="M472" s="68"/>
      <c r="N472" s="74" t="str">
        <f aca="false">IF(A472="","",IF(ISNUMBER(K472),IF(AND(OR(I472="",K472&gt;=I472),OR(J472="",K472&lt;=J472)),"Conforme","Non conforme"),IF(M472="","En attente",M472)))</f>
        <v/>
      </c>
      <c r="O472" s="25"/>
      <c r="P472" s="25"/>
      <c r="Q472" s="69"/>
      <c r="R472" s="74" t="str">
        <f aca="false">IF(A472="","",IF(N472="Non conforme",IF(Q472="","NC ouverte","NC levée"),IF(N472="Réserve",IF(Q472="","Réserve ouverte","Réserve levée"),IF(N472="En attente","À contrôler","Clos"))))</f>
        <v/>
      </c>
      <c r="S472" s="25"/>
    </row>
    <row r="473" customFormat="false" ht="15" hidden="false" customHeight="false" outlineLevel="0" collapsed="false">
      <c r="A473" s="68"/>
      <c r="B473" s="69"/>
      <c r="C473" s="25"/>
      <c r="D473" s="25"/>
      <c r="E473" s="25"/>
      <c r="F473" s="25"/>
      <c r="G473" s="25"/>
      <c r="H473" s="25"/>
      <c r="I473" s="91"/>
      <c r="J473" s="91"/>
      <c r="K473" s="91"/>
      <c r="L473" s="68"/>
      <c r="M473" s="68"/>
      <c r="N473" s="74" t="str">
        <f aca="false">IF(A473="","",IF(ISNUMBER(K473),IF(AND(OR(I473="",K473&gt;=I473),OR(J473="",K473&lt;=J473)),"Conforme","Non conforme"),IF(M473="","En attente",M473)))</f>
        <v/>
      </c>
      <c r="O473" s="25"/>
      <c r="P473" s="25"/>
      <c r="Q473" s="69"/>
      <c r="R473" s="74" t="str">
        <f aca="false">IF(A473="","",IF(N473="Non conforme",IF(Q473="","NC ouverte","NC levée"),IF(N473="Réserve",IF(Q473="","Réserve ouverte","Réserve levée"),IF(N473="En attente","À contrôler","Clos"))))</f>
        <v/>
      </c>
      <c r="S473" s="25"/>
    </row>
    <row r="474" customFormat="false" ht="15" hidden="false" customHeight="false" outlineLevel="0" collapsed="false">
      <c r="A474" s="68"/>
      <c r="B474" s="69"/>
      <c r="C474" s="25"/>
      <c r="D474" s="25"/>
      <c r="E474" s="25"/>
      <c r="F474" s="25"/>
      <c r="G474" s="25"/>
      <c r="H474" s="25"/>
      <c r="I474" s="91"/>
      <c r="J474" s="91"/>
      <c r="K474" s="91"/>
      <c r="L474" s="68"/>
      <c r="M474" s="68"/>
      <c r="N474" s="74" t="str">
        <f aca="false">IF(A474="","",IF(ISNUMBER(K474),IF(AND(OR(I474="",K474&gt;=I474),OR(J474="",K474&lt;=J474)),"Conforme","Non conforme"),IF(M474="","En attente",M474)))</f>
        <v/>
      </c>
      <c r="O474" s="25"/>
      <c r="P474" s="25"/>
      <c r="Q474" s="69"/>
      <c r="R474" s="74" t="str">
        <f aca="false">IF(A474="","",IF(N474="Non conforme",IF(Q474="","NC ouverte","NC levée"),IF(N474="Réserve",IF(Q474="","Réserve ouverte","Réserve levée"),IF(N474="En attente","À contrôler","Clos"))))</f>
        <v/>
      </c>
      <c r="S474" s="25"/>
    </row>
    <row r="475" customFormat="false" ht="15" hidden="false" customHeight="false" outlineLevel="0" collapsed="false">
      <c r="A475" s="68"/>
      <c r="B475" s="69"/>
      <c r="C475" s="25"/>
      <c r="D475" s="25"/>
      <c r="E475" s="25"/>
      <c r="F475" s="25"/>
      <c r="G475" s="25"/>
      <c r="H475" s="25"/>
      <c r="I475" s="91"/>
      <c r="J475" s="91"/>
      <c r="K475" s="91"/>
      <c r="L475" s="68"/>
      <c r="M475" s="68"/>
      <c r="N475" s="74" t="str">
        <f aca="false">IF(A475="","",IF(ISNUMBER(K475),IF(AND(OR(I475="",K475&gt;=I475),OR(J475="",K475&lt;=J475)),"Conforme","Non conforme"),IF(M475="","En attente",M475)))</f>
        <v/>
      </c>
      <c r="O475" s="25"/>
      <c r="P475" s="25"/>
      <c r="Q475" s="69"/>
      <c r="R475" s="74" t="str">
        <f aca="false">IF(A475="","",IF(N475="Non conforme",IF(Q475="","NC ouverte","NC levée"),IF(N475="Réserve",IF(Q475="","Réserve ouverte","Réserve levée"),IF(N475="En attente","À contrôler","Clos"))))</f>
        <v/>
      </c>
      <c r="S475" s="25"/>
    </row>
    <row r="476" customFormat="false" ht="15" hidden="false" customHeight="false" outlineLevel="0" collapsed="false">
      <c r="A476" s="68"/>
      <c r="B476" s="69"/>
      <c r="C476" s="25"/>
      <c r="D476" s="25"/>
      <c r="E476" s="25"/>
      <c r="F476" s="25"/>
      <c r="G476" s="25"/>
      <c r="H476" s="25"/>
      <c r="I476" s="91"/>
      <c r="J476" s="91"/>
      <c r="K476" s="91"/>
      <c r="L476" s="68"/>
      <c r="M476" s="68"/>
      <c r="N476" s="74" t="str">
        <f aca="false">IF(A476="","",IF(ISNUMBER(K476),IF(AND(OR(I476="",K476&gt;=I476),OR(J476="",K476&lt;=J476)),"Conforme","Non conforme"),IF(M476="","En attente",M476)))</f>
        <v/>
      </c>
      <c r="O476" s="25"/>
      <c r="P476" s="25"/>
      <c r="Q476" s="69"/>
      <c r="R476" s="74" t="str">
        <f aca="false">IF(A476="","",IF(N476="Non conforme",IF(Q476="","NC ouverte","NC levée"),IF(N476="Réserve",IF(Q476="","Réserve ouverte","Réserve levée"),IF(N476="En attente","À contrôler","Clos"))))</f>
        <v/>
      </c>
      <c r="S476" s="25"/>
    </row>
    <row r="477" customFormat="false" ht="15" hidden="false" customHeight="false" outlineLevel="0" collapsed="false">
      <c r="A477" s="68"/>
      <c r="B477" s="69"/>
      <c r="C477" s="25"/>
      <c r="D477" s="25"/>
      <c r="E477" s="25"/>
      <c r="F477" s="25"/>
      <c r="G477" s="25"/>
      <c r="H477" s="25"/>
      <c r="I477" s="91"/>
      <c r="J477" s="91"/>
      <c r="K477" s="91"/>
      <c r="L477" s="68"/>
      <c r="M477" s="68"/>
      <c r="N477" s="74" t="str">
        <f aca="false">IF(A477="","",IF(ISNUMBER(K477),IF(AND(OR(I477="",K477&gt;=I477),OR(J477="",K477&lt;=J477)),"Conforme","Non conforme"),IF(M477="","En attente",M477)))</f>
        <v/>
      </c>
      <c r="O477" s="25"/>
      <c r="P477" s="25"/>
      <c r="Q477" s="69"/>
      <c r="R477" s="74" t="str">
        <f aca="false">IF(A477="","",IF(N477="Non conforme",IF(Q477="","NC ouverte","NC levée"),IF(N477="Réserve",IF(Q477="","Réserve ouverte","Réserve levée"),IF(N477="En attente","À contrôler","Clos"))))</f>
        <v/>
      </c>
      <c r="S477" s="25"/>
    </row>
    <row r="478" customFormat="false" ht="15" hidden="false" customHeight="false" outlineLevel="0" collapsed="false">
      <c r="A478" s="68"/>
      <c r="B478" s="69"/>
      <c r="C478" s="25"/>
      <c r="D478" s="25"/>
      <c r="E478" s="25"/>
      <c r="F478" s="25"/>
      <c r="G478" s="25"/>
      <c r="H478" s="25"/>
      <c r="I478" s="91"/>
      <c r="J478" s="91"/>
      <c r="K478" s="91"/>
      <c r="L478" s="68"/>
      <c r="M478" s="68"/>
      <c r="N478" s="74" t="str">
        <f aca="false">IF(A478="","",IF(ISNUMBER(K478),IF(AND(OR(I478="",K478&gt;=I478),OR(J478="",K478&lt;=J478)),"Conforme","Non conforme"),IF(M478="","En attente",M478)))</f>
        <v/>
      </c>
      <c r="O478" s="25"/>
      <c r="P478" s="25"/>
      <c r="Q478" s="69"/>
      <c r="R478" s="74" t="str">
        <f aca="false">IF(A478="","",IF(N478="Non conforme",IF(Q478="","NC ouverte","NC levée"),IF(N478="Réserve",IF(Q478="","Réserve ouverte","Réserve levée"),IF(N478="En attente","À contrôler","Clos"))))</f>
        <v/>
      </c>
      <c r="S478" s="25"/>
    </row>
    <row r="479" customFormat="false" ht="15" hidden="false" customHeight="false" outlineLevel="0" collapsed="false">
      <c r="A479" s="68"/>
      <c r="B479" s="69"/>
      <c r="C479" s="25"/>
      <c r="D479" s="25"/>
      <c r="E479" s="25"/>
      <c r="F479" s="25"/>
      <c r="G479" s="25"/>
      <c r="H479" s="25"/>
      <c r="I479" s="91"/>
      <c r="J479" s="91"/>
      <c r="K479" s="91"/>
      <c r="L479" s="68"/>
      <c r="M479" s="68"/>
      <c r="N479" s="74" t="str">
        <f aca="false">IF(A479="","",IF(ISNUMBER(K479),IF(AND(OR(I479="",K479&gt;=I479),OR(J479="",K479&lt;=J479)),"Conforme","Non conforme"),IF(M479="","En attente",M479)))</f>
        <v/>
      </c>
      <c r="O479" s="25"/>
      <c r="P479" s="25"/>
      <c r="Q479" s="69"/>
      <c r="R479" s="74" t="str">
        <f aca="false">IF(A479="","",IF(N479="Non conforme",IF(Q479="","NC ouverte","NC levée"),IF(N479="Réserve",IF(Q479="","Réserve ouverte","Réserve levée"),IF(N479="En attente","À contrôler","Clos"))))</f>
        <v/>
      </c>
      <c r="S479" s="25"/>
    </row>
    <row r="480" customFormat="false" ht="15" hidden="false" customHeight="false" outlineLevel="0" collapsed="false">
      <c r="A480" s="68"/>
      <c r="B480" s="69"/>
      <c r="C480" s="25"/>
      <c r="D480" s="25"/>
      <c r="E480" s="25"/>
      <c r="F480" s="25"/>
      <c r="G480" s="25"/>
      <c r="H480" s="25"/>
      <c r="I480" s="91"/>
      <c r="J480" s="91"/>
      <c r="K480" s="91"/>
      <c r="L480" s="68"/>
      <c r="M480" s="68"/>
      <c r="N480" s="74" t="str">
        <f aca="false">IF(A480="","",IF(ISNUMBER(K480),IF(AND(OR(I480="",K480&gt;=I480),OR(J480="",K480&lt;=J480)),"Conforme","Non conforme"),IF(M480="","En attente",M480)))</f>
        <v/>
      </c>
      <c r="O480" s="25"/>
      <c r="P480" s="25"/>
      <c r="Q480" s="69"/>
      <c r="R480" s="74" t="str">
        <f aca="false">IF(A480="","",IF(N480="Non conforme",IF(Q480="","NC ouverte","NC levée"),IF(N480="Réserve",IF(Q480="","Réserve ouverte","Réserve levée"),IF(N480="En attente","À contrôler","Clos"))))</f>
        <v/>
      </c>
      <c r="S480" s="25"/>
    </row>
    <row r="481" customFormat="false" ht="15" hidden="false" customHeight="false" outlineLevel="0" collapsed="false">
      <c r="A481" s="68"/>
      <c r="B481" s="69"/>
      <c r="C481" s="25"/>
      <c r="D481" s="25"/>
      <c r="E481" s="25"/>
      <c r="F481" s="25"/>
      <c r="G481" s="25"/>
      <c r="H481" s="25"/>
      <c r="I481" s="91"/>
      <c r="J481" s="91"/>
      <c r="K481" s="91"/>
      <c r="L481" s="68"/>
      <c r="M481" s="68"/>
      <c r="N481" s="74" t="str">
        <f aca="false">IF(A481="","",IF(ISNUMBER(K481),IF(AND(OR(I481="",K481&gt;=I481),OR(J481="",K481&lt;=J481)),"Conforme","Non conforme"),IF(M481="","En attente",M481)))</f>
        <v/>
      </c>
      <c r="O481" s="25"/>
      <c r="P481" s="25"/>
      <c r="Q481" s="69"/>
      <c r="R481" s="74" t="str">
        <f aca="false">IF(A481="","",IF(N481="Non conforme",IF(Q481="","NC ouverte","NC levée"),IF(N481="Réserve",IF(Q481="","Réserve ouverte","Réserve levée"),IF(N481="En attente","À contrôler","Clos"))))</f>
        <v/>
      </c>
      <c r="S481" s="25"/>
    </row>
    <row r="482" customFormat="false" ht="15" hidden="false" customHeight="false" outlineLevel="0" collapsed="false">
      <c r="A482" s="68"/>
      <c r="B482" s="69"/>
      <c r="C482" s="25"/>
      <c r="D482" s="25"/>
      <c r="E482" s="25"/>
      <c r="F482" s="25"/>
      <c r="G482" s="25"/>
      <c r="H482" s="25"/>
      <c r="I482" s="91"/>
      <c r="J482" s="91"/>
      <c r="K482" s="91"/>
      <c r="L482" s="68"/>
      <c r="M482" s="68"/>
      <c r="N482" s="74" t="str">
        <f aca="false">IF(A482="","",IF(ISNUMBER(K482),IF(AND(OR(I482="",K482&gt;=I482),OR(J482="",K482&lt;=J482)),"Conforme","Non conforme"),IF(M482="","En attente",M482)))</f>
        <v/>
      </c>
      <c r="O482" s="25"/>
      <c r="P482" s="25"/>
      <c r="Q482" s="69"/>
      <c r="R482" s="74" t="str">
        <f aca="false">IF(A482="","",IF(N482="Non conforme",IF(Q482="","NC ouverte","NC levée"),IF(N482="Réserve",IF(Q482="","Réserve ouverte","Réserve levée"),IF(N482="En attente","À contrôler","Clos"))))</f>
        <v/>
      </c>
      <c r="S482" s="25"/>
    </row>
    <row r="483" customFormat="false" ht="15" hidden="false" customHeight="false" outlineLevel="0" collapsed="false">
      <c r="A483" s="68"/>
      <c r="B483" s="69"/>
      <c r="C483" s="25"/>
      <c r="D483" s="25"/>
      <c r="E483" s="25"/>
      <c r="F483" s="25"/>
      <c r="G483" s="25"/>
      <c r="H483" s="25"/>
      <c r="I483" s="91"/>
      <c r="J483" s="91"/>
      <c r="K483" s="91"/>
      <c r="L483" s="68"/>
      <c r="M483" s="68"/>
      <c r="N483" s="74" t="str">
        <f aca="false">IF(A483="","",IF(ISNUMBER(K483),IF(AND(OR(I483="",K483&gt;=I483),OR(J483="",K483&lt;=J483)),"Conforme","Non conforme"),IF(M483="","En attente",M483)))</f>
        <v/>
      </c>
      <c r="O483" s="25"/>
      <c r="P483" s="25"/>
      <c r="Q483" s="69"/>
      <c r="R483" s="74" t="str">
        <f aca="false">IF(A483="","",IF(N483="Non conforme",IF(Q483="","NC ouverte","NC levée"),IF(N483="Réserve",IF(Q483="","Réserve ouverte","Réserve levée"),IF(N483="En attente","À contrôler","Clos"))))</f>
        <v/>
      </c>
      <c r="S483" s="25"/>
    </row>
    <row r="484" customFormat="false" ht="15" hidden="false" customHeight="false" outlineLevel="0" collapsed="false">
      <c r="A484" s="68"/>
      <c r="B484" s="69"/>
      <c r="C484" s="25"/>
      <c r="D484" s="25"/>
      <c r="E484" s="25"/>
      <c r="F484" s="25"/>
      <c r="G484" s="25"/>
      <c r="H484" s="25"/>
      <c r="I484" s="91"/>
      <c r="J484" s="91"/>
      <c r="K484" s="91"/>
      <c r="L484" s="68"/>
      <c r="M484" s="68"/>
      <c r="N484" s="74" t="str">
        <f aca="false">IF(A484="","",IF(ISNUMBER(K484),IF(AND(OR(I484="",K484&gt;=I484),OR(J484="",K484&lt;=J484)),"Conforme","Non conforme"),IF(M484="","En attente",M484)))</f>
        <v/>
      </c>
      <c r="O484" s="25"/>
      <c r="P484" s="25"/>
      <c r="Q484" s="69"/>
      <c r="R484" s="74" t="str">
        <f aca="false">IF(A484="","",IF(N484="Non conforme",IF(Q484="","NC ouverte","NC levée"),IF(N484="Réserve",IF(Q484="","Réserve ouverte","Réserve levée"),IF(N484="En attente","À contrôler","Clos"))))</f>
        <v/>
      </c>
      <c r="S484" s="25"/>
    </row>
    <row r="485" customFormat="false" ht="15" hidden="false" customHeight="false" outlineLevel="0" collapsed="false">
      <c r="A485" s="68"/>
      <c r="B485" s="69"/>
      <c r="C485" s="25"/>
      <c r="D485" s="25"/>
      <c r="E485" s="25"/>
      <c r="F485" s="25"/>
      <c r="G485" s="25"/>
      <c r="H485" s="25"/>
      <c r="I485" s="91"/>
      <c r="J485" s="91"/>
      <c r="K485" s="91"/>
      <c r="L485" s="68"/>
      <c r="M485" s="68"/>
      <c r="N485" s="74" t="str">
        <f aca="false">IF(A485="","",IF(ISNUMBER(K485),IF(AND(OR(I485="",K485&gt;=I485),OR(J485="",K485&lt;=J485)),"Conforme","Non conforme"),IF(M485="","En attente",M485)))</f>
        <v/>
      </c>
      <c r="O485" s="25"/>
      <c r="P485" s="25"/>
      <c r="Q485" s="69"/>
      <c r="R485" s="74" t="str">
        <f aca="false">IF(A485="","",IF(N485="Non conforme",IF(Q485="","NC ouverte","NC levée"),IF(N485="Réserve",IF(Q485="","Réserve ouverte","Réserve levée"),IF(N485="En attente","À contrôler","Clos"))))</f>
        <v/>
      </c>
      <c r="S485" s="25"/>
    </row>
    <row r="486" customFormat="false" ht="15" hidden="false" customHeight="false" outlineLevel="0" collapsed="false">
      <c r="A486" s="68"/>
      <c r="B486" s="69"/>
      <c r="C486" s="25"/>
      <c r="D486" s="25"/>
      <c r="E486" s="25"/>
      <c r="F486" s="25"/>
      <c r="G486" s="25"/>
      <c r="H486" s="25"/>
      <c r="I486" s="91"/>
      <c r="J486" s="91"/>
      <c r="K486" s="91"/>
      <c r="L486" s="68"/>
      <c r="M486" s="68"/>
      <c r="N486" s="74" t="str">
        <f aca="false">IF(A486="","",IF(ISNUMBER(K486),IF(AND(OR(I486="",K486&gt;=I486),OR(J486="",K486&lt;=J486)),"Conforme","Non conforme"),IF(M486="","En attente",M486)))</f>
        <v/>
      </c>
      <c r="O486" s="25"/>
      <c r="P486" s="25"/>
      <c r="Q486" s="69"/>
      <c r="R486" s="74" t="str">
        <f aca="false">IF(A486="","",IF(N486="Non conforme",IF(Q486="","NC ouverte","NC levée"),IF(N486="Réserve",IF(Q486="","Réserve ouverte","Réserve levée"),IF(N486="En attente","À contrôler","Clos"))))</f>
        <v/>
      </c>
      <c r="S486" s="25"/>
    </row>
    <row r="487" customFormat="false" ht="15" hidden="false" customHeight="false" outlineLevel="0" collapsed="false">
      <c r="A487" s="68"/>
      <c r="B487" s="69"/>
      <c r="C487" s="25"/>
      <c r="D487" s="25"/>
      <c r="E487" s="25"/>
      <c r="F487" s="25"/>
      <c r="G487" s="25"/>
      <c r="H487" s="25"/>
      <c r="I487" s="91"/>
      <c r="J487" s="91"/>
      <c r="K487" s="91"/>
      <c r="L487" s="68"/>
      <c r="M487" s="68"/>
      <c r="N487" s="74" t="str">
        <f aca="false">IF(A487="","",IF(ISNUMBER(K487),IF(AND(OR(I487="",K487&gt;=I487),OR(J487="",K487&lt;=J487)),"Conforme","Non conforme"),IF(M487="","En attente",M487)))</f>
        <v/>
      </c>
      <c r="O487" s="25"/>
      <c r="P487" s="25"/>
      <c r="Q487" s="69"/>
      <c r="R487" s="74" t="str">
        <f aca="false">IF(A487="","",IF(N487="Non conforme",IF(Q487="","NC ouverte","NC levée"),IF(N487="Réserve",IF(Q487="","Réserve ouverte","Réserve levée"),IF(N487="En attente","À contrôler","Clos"))))</f>
        <v/>
      </c>
      <c r="S487" s="25"/>
    </row>
    <row r="488" customFormat="false" ht="15" hidden="false" customHeight="false" outlineLevel="0" collapsed="false">
      <c r="A488" s="68"/>
      <c r="B488" s="69"/>
      <c r="C488" s="25"/>
      <c r="D488" s="25"/>
      <c r="E488" s="25"/>
      <c r="F488" s="25"/>
      <c r="G488" s="25"/>
      <c r="H488" s="25"/>
      <c r="I488" s="91"/>
      <c r="J488" s="91"/>
      <c r="K488" s="91"/>
      <c r="L488" s="68"/>
      <c r="M488" s="68"/>
      <c r="N488" s="74" t="str">
        <f aca="false">IF(A488="","",IF(ISNUMBER(K488),IF(AND(OR(I488="",K488&gt;=I488),OR(J488="",K488&lt;=J488)),"Conforme","Non conforme"),IF(M488="","En attente",M488)))</f>
        <v/>
      </c>
      <c r="O488" s="25"/>
      <c r="P488" s="25"/>
      <c r="Q488" s="69"/>
      <c r="R488" s="74" t="str">
        <f aca="false">IF(A488="","",IF(N488="Non conforme",IF(Q488="","NC ouverte","NC levée"),IF(N488="Réserve",IF(Q488="","Réserve ouverte","Réserve levée"),IF(N488="En attente","À contrôler","Clos"))))</f>
        <v/>
      </c>
      <c r="S488" s="25"/>
    </row>
    <row r="489" customFormat="false" ht="15" hidden="false" customHeight="false" outlineLevel="0" collapsed="false">
      <c r="A489" s="68"/>
      <c r="B489" s="69"/>
      <c r="C489" s="25"/>
      <c r="D489" s="25"/>
      <c r="E489" s="25"/>
      <c r="F489" s="25"/>
      <c r="G489" s="25"/>
      <c r="H489" s="25"/>
      <c r="I489" s="91"/>
      <c r="J489" s="91"/>
      <c r="K489" s="91"/>
      <c r="L489" s="68"/>
      <c r="M489" s="68"/>
      <c r="N489" s="74" t="str">
        <f aca="false">IF(A489="","",IF(ISNUMBER(K489),IF(AND(OR(I489="",K489&gt;=I489),OR(J489="",K489&lt;=J489)),"Conforme","Non conforme"),IF(M489="","En attente",M489)))</f>
        <v/>
      </c>
      <c r="O489" s="25"/>
      <c r="P489" s="25"/>
      <c r="Q489" s="69"/>
      <c r="R489" s="74" t="str">
        <f aca="false">IF(A489="","",IF(N489="Non conforme",IF(Q489="","NC ouverte","NC levée"),IF(N489="Réserve",IF(Q489="","Réserve ouverte","Réserve levée"),IF(N489="En attente","À contrôler","Clos"))))</f>
        <v/>
      </c>
      <c r="S489" s="25"/>
    </row>
    <row r="490" customFormat="false" ht="15" hidden="false" customHeight="false" outlineLevel="0" collapsed="false">
      <c r="A490" s="68"/>
      <c r="B490" s="69"/>
      <c r="C490" s="25"/>
      <c r="D490" s="25"/>
      <c r="E490" s="25"/>
      <c r="F490" s="25"/>
      <c r="G490" s="25"/>
      <c r="H490" s="25"/>
      <c r="I490" s="91"/>
      <c r="J490" s="91"/>
      <c r="K490" s="91"/>
      <c r="L490" s="68"/>
      <c r="M490" s="68"/>
      <c r="N490" s="74" t="str">
        <f aca="false">IF(A490="","",IF(ISNUMBER(K490),IF(AND(OR(I490="",K490&gt;=I490),OR(J490="",K490&lt;=J490)),"Conforme","Non conforme"),IF(M490="","En attente",M490)))</f>
        <v/>
      </c>
      <c r="O490" s="25"/>
      <c r="P490" s="25"/>
      <c r="Q490" s="69"/>
      <c r="R490" s="74" t="str">
        <f aca="false">IF(A490="","",IF(N490="Non conforme",IF(Q490="","NC ouverte","NC levée"),IF(N490="Réserve",IF(Q490="","Réserve ouverte","Réserve levée"),IF(N490="En attente","À contrôler","Clos"))))</f>
        <v/>
      </c>
      <c r="S490" s="25"/>
    </row>
    <row r="491" customFormat="false" ht="15" hidden="false" customHeight="false" outlineLevel="0" collapsed="false">
      <c r="A491" s="68"/>
      <c r="B491" s="69"/>
      <c r="C491" s="25"/>
      <c r="D491" s="25"/>
      <c r="E491" s="25"/>
      <c r="F491" s="25"/>
      <c r="G491" s="25"/>
      <c r="H491" s="25"/>
      <c r="I491" s="91"/>
      <c r="J491" s="91"/>
      <c r="K491" s="91"/>
      <c r="L491" s="68"/>
      <c r="M491" s="68"/>
      <c r="N491" s="74" t="str">
        <f aca="false">IF(A491="","",IF(ISNUMBER(K491),IF(AND(OR(I491="",K491&gt;=I491),OR(J491="",K491&lt;=J491)),"Conforme","Non conforme"),IF(M491="","En attente",M491)))</f>
        <v/>
      </c>
      <c r="O491" s="25"/>
      <c r="P491" s="25"/>
      <c r="Q491" s="69"/>
      <c r="R491" s="74" t="str">
        <f aca="false">IF(A491="","",IF(N491="Non conforme",IF(Q491="","NC ouverte","NC levée"),IF(N491="Réserve",IF(Q491="","Réserve ouverte","Réserve levée"),IF(N491="En attente","À contrôler","Clos"))))</f>
        <v/>
      </c>
      <c r="S491" s="25"/>
    </row>
    <row r="492" customFormat="false" ht="15" hidden="false" customHeight="false" outlineLevel="0" collapsed="false">
      <c r="A492" s="68"/>
      <c r="B492" s="69"/>
      <c r="C492" s="25"/>
      <c r="D492" s="25"/>
      <c r="E492" s="25"/>
      <c r="F492" s="25"/>
      <c r="G492" s="25"/>
      <c r="H492" s="25"/>
      <c r="I492" s="91"/>
      <c r="J492" s="91"/>
      <c r="K492" s="91"/>
      <c r="L492" s="68"/>
      <c r="M492" s="68"/>
      <c r="N492" s="74" t="str">
        <f aca="false">IF(A492="","",IF(ISNUMBER(K492),IF(AND(OR(I492="",K492&gt;=I492),OR(J492="",K492&lt;=J492)),"Conforme","Non conforme"),IF(M492="","En attente",M492)))</f>
        <v/>
      </c>
      <c r="O492" s="25"/>
      <c r="P492" s="25"/>
      <c r="Q492" s="69"/>
      <c r="R492" s="74" t="str">
        <f aca="false">IF(A492="","",IF(N492="Non conforme",IF(Q492="","NC ouverte","NC levée"),IF(N492="Réserve",IF(Q492="","Réserve ouverte","Réserve levée"),IF(N492="En attente","À contrôler","Clos"))))</f>
        <v/>
      </c>
      <c r="S492" s="25"/>
    </row>
    <row r="493" customFormat="false" ht="15" hidden="false" customHeight="false" outlineLevel="0" collapsed="false">
      <c r="A493" s="68"/>
      <c r="B493" s="69"/>
      <c r="C493" s="25"/>
      <c r="D493" s="25"/>
      <c r="E493" s="25"/>
      <c r="F493" s="25"/>
      <c r="G493" s="25"/>
      <c r="H493" s="25"/>
      <c r="I493" s="91"/>
      <c r="J493" s="91"/>
      <c r="K493" s="91"/>
      <c r="L493" s="68"/>
      <c r="M493" s="68"/>
      <c r="N493" s="74" t="str">
        <f aca="false">IF(A493="","",IF(ISNUMBER(K493),IF(AND(OR(I493="",K493&gt;=I493),OR(J493="",K493&lt;=J493)),"Conforme","Non conforme"),IF(M493="","En attente",M493)))</f>
        <v/>
      </c>
      <c r="O493" s="25"/>
      <c r="P493" s="25"/>
      <c r="Q493" s="69"/>
      <c r="R493" s="74" t="str">
        <f aca="false">IF(A493="","",IF(N493="Non conforme",IF(Q493="","NC ouverte","NC levée"),IF(N493="Réserve",IF(Q493="","Réserve ouverte","Réserve levée"),IF(N493="En attente","À contrôler","Clos"))))</f>
        <v/>
      </c>
      <c r="S493" s="25"/>
    </row>
    <row r="494" customFormat="false" ht="15" hidden="false" customHeight="false" outlineLevel="0" collapsed="false">
      <c r="A494" s="68"/>
      <c r="B494" s="69"/>
      <c r="C494" s="25"/>
      <c r="D494" s="25"/>
      <c r="E494" s="25"/>
      <c r="F494" s="25"/>
      <c r="G494" s="25"/>
      <c r="H494" s="25"/>
      <c r="I494" s="91"/>
      <c r="J494" s="91"/>
      <c r="K494" s="91"/>
      <c r="L494" s="68"/>
      <c r="M494" s="68"/>
      <c r="N494" s="74" t="str">
        <f aca="false">IF(A494="","",IF(ISNUMBER(K494),IF(AND(OR(I494="",K494&gt;=I494),OR(J494="",K494&lt;=J494)),"Conforme","Non conforme"),IF(M494="","En attente",M494)))</f>
        <v/>
      </c>
      <c r="O494" s="25"/>
      <c r="P494" s="25"/>
      <c r="Q494" s="69"/>
      <c r="R494" s="74" t="str">
        <f aca="false">IF(A494="","",IF(N494="Non conforme",IF(Q494="","NC ouverte","NC levée"),IF(N494="Réserve",IF(Q494="","Réserve ouverte","Réserve levée"),IF(N494="En attente","À contrôler","Clos"))))</f>
        <v/>
      </c>
      <c r="S494" s="25"/>
    </row>
    <row r="495" customFormat="false" ht="15" hidden="false" customHeight="false" outlineLevel="0" collapsed="false">
      <c r="A495" s="68"/>
      <c r="B495" s="69"/>
      <c r="C495" s="25"/>
      <c r="D495" s="25"/>
      <c r="E495" s="25"/>
      <c r="F495" s="25"/>
      <c r="G495" s="25"/>
      <c r="H495" s="25"/>
      <c r="I495" s="91"/>
      <c r="J495" s="91"/>
      <c r="K495" s="91"/>
      <c r="L495" s="68"/>
      <c r="M495" s="68"/>
      <c r="N495" s="74" t="str">
        <f aca="false">IF(A495="","",IF(ISNUMBER(K495),IF(AND(OR(I495="",K495&gt;=I495),OR(J495="",K495&lt;=J495)),"Conforme","Non conforme"),IF(M495="","En attente",M495)))</f>
        <v/>
      </c>
      <c r="O495" s="25"/>
      <c r="P495" s="25"/>
      <c r="Q495" s="69"/>
      <c r="R495" s="74" t="str">
        <f aca="false">IF(A495="","",IF(N495="Non conforme",IF(Q495="","NC ouverte","NC levée"),IF(N495="Réserve",IF(Q495="","Réserve ouverte","Réserve levée"),IF(N495="En attente","À contrôler","Clos"))))</f>
        <v/>
      </c>
      <c r="S495" s="25"/>
    </row>
    <row r="496" customFormat="false" ht="15" hidden="false" customHeight="false" outlineLevel="0" collapsed="false">
      <c r="A496" s="68"/>
      <c r="B496" s="69"/>
      <c r="C496" s="25"/>
      <c r="D496" s="25"/>
      <c r="E496" s="25"/>
      <c r="F496" s="25"/>
      <c r="G496" s="25"/>
      <c r="H496" s="25"/>
      <c r="I496" s="91"/>
      <c r="J496" s="91"/>
      <c r="K496" s="91"/>
      <c r="L496" s="68"/>
      <c r="M496" s="68"/>
      <c r="N496" s="74" t="str">
        <f aca="false">IF(A496="","",IF(ISNUMBER(K496),IF(AND(OR(I496="",K496&gt;=I496),OR(J496="",K496&lt;=J496)),"Conforme","Non conforme"),IF(M496="","En attente",M496)))</f>
        <v/>
      </c>
      <c r="O496" s="25"/>
      <c r="P496" s="25"/>
      <c r="Q496" s="69"/>
      <c r="R496" s="74" t="str">
        <f aca="false">IF(A496="","",IF(N496="Non conforme",IF(Q496="","NC ouverte","NC levée"),IF(N496="Réserve",IF(Q496="","Réserve ouverte","Réserve levée"),IF(N496="En attente","À contrôler","Clos"))))</f>
        <v/>
      </c>
      <c r="S496" s="25"/>
    </row>
    <row r="497" customFormat="false" ht="15" hidden="false" customHeight="false" outlineLevel="0" collapsed="false">
      <c r="A497" s="68"/>
      <c r="B497" s="69"/>
      <c r="C497" s="25"/>
      <c r="D497" s="25"/>
      <c r="E497" s="25"/>
      <c r="F497" s="25"/>
      <c r="G497" s="25"/>
      <c r="H497" s="25"/>
      <c r="I497" s="91"/>
      <c r="J497" s="91"/>
      <c r="K497" s="91"/>
      <c r="L497" s="68"/>
      <c r="M497" s="68"/>
      <c r="N497" s="74" t="str">
        <f aca="false">IF(A497="","",IF(ISNUMBER(K497),IF(AND(OR(I497="",K497&gt;=I497),OR(J497="",K497&lt;=J497)),"Conforme","Non conforme"),IF(M497="","En attente",M497)))</f>
        <v/>
      </c>
      <c r="O497" s="25"/>
      <c r="P497" s="25"/>
      <c r="Q497" s="69"/>
      <c r="R497" s="74" t="str">
        <f aca="false">IF(A497="","",IF(N497="Non conforme",IF(Q497="","NC ouverte","NC levée"),IF(N497="Réserve",IF(Q497="","Réserve ouverte","Réserve levée"),IF(N497="En attente","À contrôler","Clos"))))</f>
        <v/>
      </c>
      <c r="S497" s="25"/>
    </row>
    <row r="498" customFormat="false" ht="15" hidden="false" customHeight="false" outlineLevel="0" collapsed="false">
      <c r="A498" s="68"/>
      <c r="B498" s="69"/>
      <c r="C498" s="25"/>
      <c r="D498" s="25"/>
      <c r="E498" s="25"/>
      <c r="F498" s="25"/>
      <c r="G498" s="25"/>
      <c r="H498" s="25"/>
      <c r="I498" s="91"/>
      <c r="J498" s="91"/>
      <c r="K498" s="91"/>
      <c r="L498" s="68"/>
      <c r="M498" s="68"/>
      <c r="N498" s="74" t="str">
        <f aca="false">IF(A498="","",IF(ISNUMBER(K498),IF(AND(OR(I498="",K498&gt;=I498),OR(J498="",K498&lt;=J498)),"Conforme","Non conforme"),IF(M498="","En attente",M498)))</f>
        <v/>
      </c>
      <c r="O498" s="25"/>
      <c r="P498" s="25"/>
      <c r="Q498" s="69"/>
      <c r="R498" s="74" t="str">
        <f aca="false">IF(A498="","",IF(N498="Non conforme",IF(Q498="","NC ouverte","NC levée"),IF(N498="Réserve",IF(Q498="","Réserve ouverte","Réserve levée"),IF(N498="En attente","À contrôler","Clos"))))</f>
        <v/>
      </c>
      <c r="S498" s="25"/>
    </row>
    <row r="499" customFormat="false" ht="15" hidden="false" customHeight="false" outlineLevel="0" collapsed="false">
      <c r="A499" s="68"/>
      <c r="B499" s="69"/>
      <c r="C499" s="25"/>
      <c r="D499" s="25"/>
      <c r="E499" s="25"/>
      <c r="F499" s="25"/>
      <c r="G499" s="25"/>
      <c r="H499" s="25"/>
      <c r="I499" s="91"/>
      <c r="J499" s="91"/>
      <c r="K499" s="91"/>
      <c r="L499" s="68"/>
      <c r="M499" s="68"/>
      <c r="N499" s="74" t="str">
        <f aca="false">IF(A499="","",IF(ISNUMBER(K499),IF(AND(OR(I499="",K499&gt;=I499),OR(J499="",K499&lt;=J499)),"Conforme","Non conforme"),IF(M499="","En attente",M499)))</f>
        <v/>
      </c>
      <c r="O499" s="25"/>
      <c r="P499" s="25"/>
      <c r="Q499" s="69"/>
      <c r="R499" s="74" t="str">
        <f aca="false">IF(A499="","",IF(N499="Non conforme",IF(Q499="","NC ouverte","NC levée"),IF(N499="Réserve",IF(Q499="","Réserve ouverte","Réserve levée"),IF(N499="En attente","À contrôler","Clos"))))</f>
        <v/>
      </c>
      <c r="S499" s="25"/>
    </row>
    <row r="500" customFormat="false" ht="15" hidden="false" customHeight="false" outlineLevel="0" collapsed="false">
      <c r="A500" s="68"/>
      <c r="B500" s="69"/>
      <c r="C500" s="25"/>
      <c r="D500" s="25"/>
      <c r="E500" s="25"/>
      <c r="F500" s="25"/>
      <c r="G500" s="25"/>
      <c r="H500" s="25"/>
      <c r="I500" s="91"/>
      <c r="J500" s="91"/>
      <c r="K500" s="91"/>
      <c r="L500" s="68"/>
      <c r="M500" s="68"/>
      <c r="N500" s="74" t="str">
        <f aca="false">IF(A500="","",IF(ISNUMBER(K500),IF(AND(OR(I500="",K500&gt;=I500),OR(J500="",K500&lt;=J500)),"Conforme","Non conforme"),IF(M500="","En attente",M500)))</f>
        <v/>
      </c>
      <c r="O500" s="25"/>
      <c r="P500" s="25"/>
      <c r="Q500" s="69"/>
      <c r="R500" s="74" t="str">
        <f aca="false">IF(A500="","",IF(N500="Non conforme",IF(Q500="","NC ouverte","NC levée"),IF(N500="Réserve",IF(Q500="","Réserve ouverte","Réserve levée"),IF(N500="En attente","À contrôler","Clos"))))</f>
        <v/>
      </c>
      <c r="S500" s="25"/>
    </row>
    <row r="501" customFormat="false" ht="15" hidden="false" customHeight="false" outlineLevel="0" collapsed="false">
      <c r="A501" s="68"/>
      <c r="B501" s="69"/>
      <c r="C501" s="25"/>
      <c r="D501" s="25"/>
      <c r="E501" s="25"/>
      <c r="F501" s="25"/>
      <c r="G501" s="25"/>
      <c r="H501" s="25"/>
      <c r="I501" s="91"/>
      <c r="J501" s="91"/>
      <c r="K501" s="91"/>
      <c r="L501" s="68"/>
      <c r="M501" s="68"/>
      <c r="N501" s="74" t="str">
        <f aca="false">IF(A501="","",IF(ISNUMBER(K501),IF(AND(OR(I501="",K501&gt;=I501),OR(J501="",K501&lt;=J501)),"Conforme","Non conforme"),IF(M501="","En attente",M501)))</f>
        <v/>
      </c>
      <c r="O501" s="25"/>
      <c r="P501" s="25"/>
      <c r="Q501" s="69"/>
      <c r="R501" s="74" t="str">
        <f aca="false">IF(A501="","",IF(N501="Non conforme",IF(Q501="","NC ouverte","NC levée"),IF(N501="Réserve",IF(Q501="","Réserve ouverte","Réserve levée"),IF(N501="En attente","À contrôler","Clos"))))</f>
        <v/>
      </c>
      <c r="S501" s="25"/>
    </row>
    <row r="502" customFormat="false" ht="15" hidden="false" customHeight="false" outlineLevel="0" collapsed="false">
      <c r="A502" s="68"/>
      <c r="B502" s="69"/>
      <c r="C502" s="25"/>
      <c r="D502" s="25"/>
      <c r="E502" s="25"/>
      <c r="F502" s="25"/>
      <c r="G502" s="25"/>
      <c r="H502" s="25"/>
      <c r="I502" s="91"/>
      <c r="J502" s="91"/>
      <c r="K502" s="91"/>
      <c r="L502" s="68"/>
      <c r="M502" s="68"/>
      <c r="N502" s="74" t="str">
        <f aca="false">IF(A502="","",IF(ISNUMBER(K502),IF(AND(OR(I502="",K502&gt;=I502),OR(J502="",K502&lt;=J502)),"Conforme","Non conforme"),IF(M502="","En attente",M502)))</f>
        <v/>
      </c>
      <c r="O502" s="25"/>
      <c r="P502" s="25"/>
      <c r="Q502" s="69"/>
      <c r="R502" s="74" t="str">
        <f aca="false">IF(A502="","",IF(N502="Non conforme",IF(Q502="","NC ouverte","NC levée"),IF(N502="Réserve",IF(Q502="","Réserve ouverte","Réserve levée"),IF(N502="En attente","À contrôler","Clos"))))</f>
        <v/>
      </c>
      <c r="S502" s="25"/>
    </row>
    <row r="503" customFormat="false" ht="15" hidden="false" customHeight="false" outlineLevel="0" collapsed="false">
      <c r="A503" s="68"/>
      <c r="B503" s="69"/>
      <c r="C503" s="25"/>
      <c r="D503" s="25"/>
      <c r="E503" s="25"/>
      <c r="F503" s="25"/>
      <c r="G503" s="25"/>
      <c r="H503" s="25"/>
      <c r="I503" s="91"/>
      <c r="J503" s="91"/>
      <c r="K503" s="91"/>
      <c r="L503" s="68"/>
      <c r="M503" s="68"/>
      <c r="N503" s="74" t="str">
        <f aca="false">IF(A503="","",IF(ISNUMBER(K503),IF(AND(OR(I503="",K503&gt;=I503),OR(J503="",K503&lt;=J503)),"Conforme","Non conforme"),IF(M503="","En attente",M503)))</f>
        <v/>
      </c>
      <c r="O503" s="25"/>
      <c r="P503" s="25"/>
      <c r="Q503" s="69"/>
      <c r="R503" s="74" t="str">
        <f aca="false">IF(A503="","",IF(N503="Non conforme",IF(Q503="","NC ouverte","NC levée"),IF(N503="Réserve",IF(Q503="","Réserve ouverte","Réserve levée"),IF(N503="En attente","À contrôler","Clos"))))</f>
        <v/>
      </c>
      <c r="S503" s="25"/>
    </row>
    <row r="504" customFormat="false" ht="15" hidden="false" customHeight="false" outlineLevel="0" collapsed="false">
      <c r="A504" s="68"/>
      <c r="B504" s="69"/>
      <c r="C504" s="25"/>
      <c r="D504" s="25"/>
      <c r="E504" s="25"/>
      <c r="F504" s="25"/>
      <c r="G504" s="25"/>
      <c r="H504" s="25"/>
      <c r="I504" s="91"/>
      <c r="J504" s="91"/>
      <c r="K504" s="91"/>
      <c r="L504" s="68"/>
      <c r="M504" s="68"/>
      <c r="N504" s="74" t="str">
        <f aca="false">IF(A504="","",IF(ISNUMBER(K504),IF(AND(OR(I504="",K504&gt;=I504),OR(J504="",K504&lt;=J504)),"Conforme","Non conforme"),IF(M504="","En attente",M504)))</f>
        <v/>
      </c>
      <c r="O504" s="25"/>
      <c r="P504" s="25"/>
      <c r="Q504" s="69"/>
      <c r="R504" s="74" t="str">
        <f aca="false">IF(A504="","",IF(N504="Non conforme",IF(Q504="","NC ouverte","NC levée"),IF(N504="Réserve",IF(Q504="","Réserve ouverte","Réserve levée"),IF(N504="En attente","À contrôler","Clos"))))</f>
        <v/>
      </c>
      <c r="S504" s="25"/>
    </row>
    <row r="505" customFormat="false" ht="15" hidden="false" customHeight="false" outlineLevel="0" collapsed="false">
      <c r="A505" s="68"/>
      <c r="B505" s="69"/>
      <c r="C505" s="25"/>
      <c r="D505" s="25"/>
      <c r="E505" s="25"/>
      <c r="F505" s="25"/>
      <c r="G505" s="25"/>
      <c r="H505" s="25"/>
      <c r="I505" s="91"/>
      <c r="J505" s="91"/>
      <c r="K505" s="91"/>
      <c r="L505" s="68"/>
      <c r="M505" s="68"/>
      <c r="N505" s="74" t="str">
        <f aca="false">IF(A505="","",IF(ISNUMBER(K505),IF(AND(OR(I505="",K505&gt;=I505),OR(J505="",K505&lt;=J505)),"Conforme","Non conforme"),IF(M505="","En attente",M505)))</f>
        <v/>
      </c>
      <c r="O505" s="25"/>
      <c r="P505" s="25"/>
      <c r="Q505" s="69"/>
      <c r="R505" s="74" t="str">
        <f aca="false">IF(A505="","",IF(N505="Non conforme",IF(Q505="","NC ouverte","NC levée"),IF(N505="Réserve",IF(Q505="","Réserve ouverte","Réserve levée"),IF(N505="En attente","À contrôler","Clos"))))</f>
        <v/>
      </c>
      <c r="S505" s="25"/>
    </row>
    <row r="506" customFormat="false" ht="15" hidden="false" customHeight="false" outlineLevel="0" collapsed="false">
      <c r="A506" s="68"/>
      <c r="B506" s="69"/>
      <c r="C506" s="25"/>
      <c r="D506" s="25"/>
      <c r="E506" s="25"/>
      <c r="F506" s="25"/>
      <c r="G506" s="25"/>
      <c r="H506" s="25"/>
      <c r="I506" s="91"/>
      <c r="J506" s="91"/>
      <c r="K506" s="91"/>
      <c r="L506" s="68"/>
      <c r="M506" s="68"/>
      <c r="N506" s="74" t="str">
        <f aca="false">IF(A506="","",IF(ISNUMBER(K506),IF(AND(OR(I506="",K506&gt;=I506),OR(J506="",K506&lt;=J506)),"Conforme","Non conforme"),IF(M506="","En attente",M506)))</f>
        <v/>
      </c>
      <c r="O506" s="25"/>
      <c r="P506" s="25"/>
      <c r="Q506" s="69"/>
      <c r="R506" s="74" t="str">
        <f aca="false">IF(A506="","",IF(N506="Non conforme",IF(Q506="","NC ouverte","NC levée"),IF(N506="Réserve",IF(Q506="","Réserve ouverte","Réserve levée"),IF(N506="En attente","À contrôler","Clos"))))</f>
        <v/>
      </c>
      <c r="S506" s="25"/>
    </row>
  </sheetData>
  <autoFilter ref="A6:S506"/>
  <mergeCells count="4">
    <mergeCell ref="A1:S1"/>
    <mergeCell ref="A2:S2"/>
    <mergeCell ref="A3:S3"/>
    <mergeCell ref="A4:S4"/>
  </mergeCells>
  <conditionalFormatting sqref="N7:N506">
    <cfRule type="cellIs" priority="2" operator="equal" aboveAverage="0" equalAverage="0" bottom="0" percent="0" rank="0" text="" dxfId="3">
      <formula>"Non conforme"</formula>
    </cfRule>
    <cfRule type="cellIs" priority="3" operator="equal" aboveAverage="0" equalAverage="0" bottom="0" percent="0" rank="0" text="" dxfId="2">
      <formula>"Réserve"</formula>
    </cfRule>
    <cfRule type="cellIs" priority="4" operator="equal" aboveAverage="0" equalAverage="0" bottom="0" percent="0" rank="0" text="" dxfId="1">
      <formula>"Conforme"</formula>
    </cfRule>
    <cfRule type="cellIs" priority="5" operator="equal" aboveAverage="0" equalAverage="0" bottom="0" percent="0" rank="0" text="" dxfId="5">
      <formula>"En attente"</formula>
    </cfRule>
  </conditionalFormatting>
  <conditionalFormatting sqref="R7:R506">
    <cfRule type="cellIs" priority="6" operator="equal" aboveAverage="0" equalAverage="0" bottom="0" percent="0" rank="0" text="" dxfId="3">
      <formula>"NC ouverte"</formula>
    </cfRule>
    <cfRule type="cellIs" priority="7" operator="equal" aboveAverage="0" equalAverage="0" bottom="0" percent="0" rank="0" text="" dxfId="2">
      <formula>"Réserve ouverte"</formula>
    </cfRule>
    <cfRule type="cellIs" priority="8" operator="equal" aboveAverage="0" equalAverage="0" bottom="0" percent="0" rank="0" text="" dxfId="2">
      <formula>"À contrôler"</formula>
    </cfRule>
    <cfRule type="cellIs" priority="9" operator="equal" aboveAverage="0" equalAverage="0" bottom="0" percent="0" rank="0" text="" dxfId="1">
      <formula>"Clos"</formula>
    </cfRule>
    <cfRule type="cellIs" priority="10" operator="equal" aboveAverage="0" equalAverage="0" bottom="0" percent="0" rank="0" text="" dxfId="1">
      <formula>"NC levée"</formula>
    </cfRule>
    <cfRule type="cellIs" priority="11" operator="equal" aboveAverage="0" equalAverage="0" bottom="0" percent="0" rank="0" text="" dxfId="1">
      <formula>"Réserve levée"</formula>
    </cfRule>
  </conditionalFormatting>
  <dataValidations count="5">
    <dataValidation allowBlank="true" errorStyle="stop" operator="between" showDropDown="false" showErrorMessage="true" showInputMessage="false" sqref="C7:C506" type="list">
      <formula1>L_Compos</formula1>
      <formula2>0</formula2>
    </dataValidation>
    <dataValidation allowBlank="true" errorStyle="stop" operator="between" showDropDown="false" showErrorMessage="false" showInputMessage="false" sqref="E7:E506" type="list">
      <formula1>PCT_Oper</formula1>
      <formula2>0</formula2>
    </dataValidation>
    <dataValidation allowBlank="true" errorStyle="stop" operator="between" showDropDown="false" showErrorMessage="true" showInputMessage="false" sqref="F7:F506" type="list">
      <formula1>L_TypeCtrl</formula1>
      <formula2>0</formula2>
    </dataValidation>
    <dataValidation allowBlank="true" errorStyle="stop" operator="between" showDropDown="false" showErrorMessage="true" showInputMessage="false" sqref="G7:G506" type="list">
      <formula1>L_Interv</formula1>
      <formula2>0</formula2>
    </dataValidation>
    <dataValidation allowBlank="true" errorStyle="stop" operator="between" showDropDown="false" showErrorMessage="true" showInputMessage="false" sqref="M7:M506" type="list">
      <formula1>L_Verdict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true"/>
  </sheetPr>
  <dimension ref="A1:V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9"/>
    <col collapsed="false" customWidth="true" hidden="false" outlineLevel="0" max="5" min="4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15" min="9" style="0" width="11"/>
    <col collapsed="false" customWidth="true" hidden="false" outlineLevel="0" max="16" min="16" style="0" width="12"/>
    <col collapsed="false" customWidth="true" hidden="false" outlineLevel="0" max="18" min="17" style="0" width="9"/>
    <col collapsed="false" customWidth="true" hidden="false" outlineLevel="0" max="19" min="19" style="0" width="7"/>
    <col collapsed="false" customWidth="true" hidden="false" outlineLevel="0" max="20" min="20" style="0" width="8"/>
    <col collapsed="false" customWidth="true" hidden="false" outlineLevel="0" max="21" min="21" style="0" width="13"/>
    <col collapsed="false" customWidth="true" hidden="false" outlineLevel="0" max="22" min="22" style="0" width="24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customFormat="false" ht="19.5" hidden="false" customHeight="true" outlineLevel="0" collapsed="false">
      <c r="A2" s="20" t="s">
        <v>823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30" hidden="false" customHeight="true" outlineLevel="0" collapsed="false">
      <c r="A4" s="21" t="s">
        <v>824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 customFormat="false" ht="15" hidden="false" customHeight="false" outlineLevel="0" collapsed="false">
      <c r="A5" s="92" t="s">
        <v>825</v>
      </c>
      <c r="B5" s="92"/>
      <c r="C5" s="93" t="n">
        <f aca="false">IFERROR(SUMPRODUCT($D$8:$D$87,$O$8:$O$87)/SUM($D$8:$D$87),0)</f>
        <v>0.42325</v>
      </c>
      <c r="D5" s="80" t="s">
        <v>826</v>
      </c>
    </row>
    <row r="6" customFormat="false" ht="15" hidden="false" customHeight="false" outlineLevel="0" collapsed="false">
      <c r="H6" s="94" t="s">
        <v>827</v>
      </c>
      <c r="I6" s="95" t="n">
        <v>0.05</v>
      </c>
      <c r="J6" s="95" t="n">
        <v>0.1</v>
      </c>
      <c r="K6" s="95" t="n">
        <v>0.2</v>
      </c>
      <c r="L6" s="95" t="n">
        <v>0.35</v>
      </c>
      <c r="M6" s="95" t="n">
        <v>0.2</v>
      </c>
      <c r="N6" s="95" t="n">
        <v>0.1</v>
      </c>
      <c r="O6" s="96" t="n">
        <f aca="false">SUM($I$6:$N$6)</f>
        <v>1</v>
      </c>
    </row>
    <row r="7" customFormat="false" ht="45.75" hidden="false" customHeight="true" outlineLevel="0" collapsed="false">
      <c r="A7" s="23" t="s">
        <v>828</v>
      </c>
      <c r="B7" s="23" t="s">
        <v>829</v>
      </c>
      <c r="C7" s="23" t="s">
        <v>830</v>
      </c>
      <c r="D7" s="23" t="s">
        <v>831</v>
      </c>
      <c r="E7" s="23" t="s">
        <v>832</v>
      </c>
      <c r="F7" s="23" t="s">
        <v>833</v>
      </c>
      <c r="G7" s="23" t="s">
        <v>834</v>
      </c>
      <c r="H7" s="23" t="s">
        <v>835</v>
      </c>
      <c r="I7" s="23" t="s">
        <v>836</v>
      </c>
      <c r="J7" s="23" t="s">
        <v>837</v>
      </c>
      <c r="K7" s="23" t="s">
        <v>838</v>
      </c>
      <c r="L7" s="23" t="s">
        <v>789</v>
      </c>
      <c r="M7" s="23" t="s">
        <v>783</v>
      </c>
      <c r="N7" s="23" t="s">
        <v>839</v>
      </c>
      <c r="O7" s="23" t="s">
        <v>840</v>
      </c>
      <c r="P7" s="23" t="s">
        <v>306</v>
      </c>
      <c r="Q7" s="23" t="s">
        <v>841</v>
      </c>
      <c r="R7" s="23" t="s">
        <v>842</v>
      </c>
      <c r="S7" s="23" t="s">
        <v>843</v>
      </c>
      <c r="T7" s="23" t="s">
        <v>844</v>
      </c>
      <c r="U7" s="23" t="s">
        <v>845</v>
      </c>
      <c r="V7" s="23" t="s">
        <v>579</v>
      </c>
    </row>
    <row r="8" customFormat="false" ht="15" hidden="false" customHeight="false" outlineLevel="0" collapsed="false">
      <c r="A8" s="68" t="s">
        <v>846</v>
      </c>
      <c r="B8" s="97" t="n">
        <v>0</v>
      </c>
      <c r="C8" s="97" t="n">
        <v>1000</v>
      </c>
      <c r="D8" s="98" t="n">
        <f aca="false">IF(OR(B8="",C8=""),"",(C8-B8)/1000)</f>
        <v>1</v>
      </c>
      <c r="E8" s="82" t="n">
        <v>5</v>
      </c>
      <c r="F8" s="33" t="n">
        <v>0.2</v>
      </c>
      <c r="G8" s="31" t="n">
        <f aca="false">IF(D8="","",D8*1000*N(E8)*N(F8))</f>
        <v>1000</v>
      </c>
      <c r="H8" s="28" t="n">
        <v>1000</v>
      </c>
      <c r="I8" s="72" t="n">
        <v>1</v>
      </c>
      <c r="J8" s="72" t="n">
        <v>1</v>
      </c>
      <c r="K8" s="72" t="n">
        <v>1</v>
      </c>
      <c r="L8" s="72" t="n">
        <v>1</v>
      </c>
      <c r="M8" s="72" t="n">
        <v>1</v>
      </c>
      <c r="N8" s="72" t="n">
        <v>1</v>
      </c>
      <c r="O8" s="73" t="n">
        <f aca="false">IF(A8="","",IFERROR(SUMPRODUCT($I$6:$N$6,I8:N8)/SUMPRODUCT($I$6:$N$6*(I8:N8&lt;&gt;"n/a")),0))</f>
        <v>1</v>
      </c>
      <c r="P8" s="74" t="str">
        <f aca="false">IF(A8="","",IF(O8&gt;=1,"Terminé",IF(O8&gt;0,"En cours","Non démarré")))</f>
        <v>Terminé</v>
      </c>
      <c r="Q8" s="98" t="n">
        <f aca="false">IF(O8="","",D8*O8)</f>
        <v>1</v>
      </c>
      <c r="R8" s="72" t="n">
        <v>0.962</v>
      </c>
      <c r="S8" s="70" t="n">
        <v>38</v>
      </c>
      <c r="T8" s="33" t="n">
        <v>0.2</v>
      </c>
      <c r="U8" s="74" t="str">
        <f aca="false">IF(AND(R8="",S8="",T8=""),"",IF(AND(OR(R8="",R8&gt;=P_Compacite),OR(S8="",S8&gt;=P_CBR),OR(T8="",T8&gt;=N(F8)-P_TolEp)),"Conforme","Non conforme"))</f>
        <v>Conforme</v>
      </c>
      <c r="V8" s="25"/>
    </row>
    <row r="9" customFormat="false" ht="15" hidden="false" customHeight="false" outlineLevel="0" collapsed="false">
      <c r="A9" s="68" t="s">
        <v>847</v>
      </c>
      <c r="B9" s="97" t="n">
        <v>1000</v>
      </c>
      <c r="C9" s="97" t="n">
        <v>2000</v>
      </c>
      <c r="D9" s="98" t="n">
        <f aca="false">IF(OR(B9="",C9=""),"",(C9-B9)/1000)</f>
        <v>1</v>
      </c>
      <c r="E9" s="82" t="n">
        <v>5</v>
      </c>
      <c r="F9" s="33" t="n">
        <v>0.2</v>
      </c>
      <c r="G9" s="31" t="n">
        <f aca="false">IF(D9="","",D9*1000*N(E9)*N(F9))</f>
        <v>1000</v>
      </c>
      <c r="H9" s="28" t="n">
        <v>1000</v>
      </c>
      <c r="I9" s="72" t="n">
        <v>1</v>
      </c>
      <c r="J9" s="72" t="n">
        <v>1</v>
      </c>
      <c r="K9" s="72" t="n">
        <v>1</v>
      </c>
      <c r="L9" s="72" t="n">
        <v>1</v>
      </c>
      <c r="M9" s="72" t="n">
        <v>1</v>
      </c>
      <c r="N9" s="72" t="n">
        <v>1</v>
      </c>
      <c r="O9" s="73" t="n">
        <f aca="false">IF(A9="","",IFERROR(SUMPRODUCT($I$6:$N$6,I9:N9)/SUMPRODUCT($I$6:$N$6*(I9:N9&lt;&gt;"n/a")),0))</f>
        <v>1</v>
      </c>
      <c r="P9" s="74" t="str">
        <f aca="false">IF(A9="","",IF(O9&gt;=1,"Terminé",IF(O9&gt;0,"En cours","Non démarré")))</f>
        <v>Terminé</v>
      </c>
      <c r="Q9" s="98" t="n">
        <f aca="false">IF(O9="","",D9*O9)</f>
        <v>1</v>
      </c>
      <c r="R9" s="72" t="n">
        <v>0.965</v>
      </c>
      <c r="S9" s="70" t="n">
        <v>39</v>
      </c>
      <c r="T9" s="33" t="n">
        <v>0.2</v>
      </c>
      <c r="U9" s="74" t="str">
        <f aca="false">IF(AND(R9="",S9="",T9=""),"",IF(AND(OR(R9="",R9&gt;=P_Compacite),OR(S9="",S9&gt;=P_CBR),OR(T9="",T9&gt;=N(F9)-P_TolEp)),"Conforme","Non conforme"))</f>
        <v>Conforme</v>
      </c>
      <c r="V9" s="25"/>
    </row>
    <row r="10" customFormat="false" ht="15" hidden="false" customHeight="false" outlineLevel="0" collapsed="false">
      <c r="A10" s="68" t="s">
        <v>848</v>
      </c>
      <c r="B10" s="97" t="n">
        <v>2000</v>
      </c>
      <c r="C10" s="97" t="n">
        <v>3000</v>
      </c>
      <c r="D10" s="98" t="n">
        <f aca="false">IF(OR(B10="",C10=""),"",(C10-B10)/1000)</f>
        <v>1</v>
      </c>
      <c r="E10" s="82" t="n">
        <v>5</v>
      </c>
      <c r="F10" s="33" t="n">
        <v>0.2</v>
      </c>
      <c r="G10" s="31" t="n">
        <f aca="false">IF(D10="","",D10*1000*N(E10)*N(F10))</f>
        <v>1000</v>
      </c>
      <c r="H10" s="28" t="n">
        <v>1000</v>
      </c>
      <c r="I10" s="72" t="n">
        <v>1</v>
      </c>
      <c r="J10" s="72" t="n">
        <v>1</v>
      </c>
      <c r="K10" s="72" t="n">
        <v>1</v>
      </c>
      <c r="L10" s="72" t="n">
        <v>1</v>
      </c>
      <c r="M10" s="72" t="n">
        <v>1</v>
      </c>
      <c r="N10" s="72" t="n">
        <v>1</v>
      </c>
      <c r="O10" s="73" t="n">
        <f aca="false">IF(A10="","",IFERROR(SUMPRODUCT($I$6:$N$6,I10:N10)/SUMPRODUCT($I$6:$N$6*(I10:N10&lt;&gt;"n/a")),0))</f>
        <v>1</v>
      </c>
      <c r="P10" s="74" t="str">
        <f aca="false">IF(A10="","",IF(O10&gt;=1,"Terminé",IF(O10&gt;0,"En cours","Non démarré")))</f>
        <v>Terminé</v>
      </c>
      <c r="Q10" s="98" t="n">
        <f aca="false">IF(O10="","",D10*O10)</f>
        <v>1</v>
      </c>
      <c r="R10" s="72" t="n">
        <v>0.968</v>
      </c>
      <c r="S10" s="70" t="n">
        <v>40</v>
      </c>
      <c r="T10" s="33" t="n">
        <v>0.2</v>
      </c>
      <c r="U10" s="74" t="str">
        <f aca="false">IF(AND(R10="",S10="",T10=""),"",IF(AND(OR(R10="",R10&gt;=P_Compacite),OR(S10="",S10&gt;=P_CBR),OR(T10="",T10&gt;=N(F10)-P_TolEp)),"Conforme","Non conforme"))</f>
        <v>Conforme</v>
      </c>
      <c r="V10" s="25"/>
    </row>
    <row r="11" customFormat="false" ht="15" hidden="false" customHeight="false" outlineLevel="0" collapsed="false">
      <c r="A11" s="68" t="s">
        <v>849</v>
      </c>
      <c r="B11" s="97" t="n">
        <v>3000</v>
      </c>
      <c r="C11" s="97" t="n">
        <v>4000</v>
      </c>
      <c r="D11" s="98" t="n">
        <f aca="false">IF(OR(B11="",C11=""),"",(C11-B11)/1000)</f>
        <v>1</v>
      </c>
      <c r="E11" s="82" t="n">
        <v>5</v>
      </c>
      <c r="F11" s="33" t="n">
        <v>0.2</v>
      </c>
      <c r="G11" s="31" t="n">
        <f aca="false">IF(D11="","",D11*1000*N(E11)*N(F11))</f>
        <v>1000</v>
      </c>
      <c r="H11" s="28" t="n">
        <v>1000</v>
      </c>
      <c r="I11" s="72" t="n">
        <v>1</v>
      </c>
      <c r="J11" s="72" t="n">
        <v>1</v>
      </c>
      <c r="K11" s="72" t="n">
        <v>1</v>
      </c>
      <c r="L11" s="72" t="n">
        <v>1</v>
      </c>
      <c r="M11" s="72" t="n">
        <v>1</v>
      </c>
      <c r="N11" s="72" t="n">
        <v>1</v>
      </c>
      <c r="O11" s="73" t="n">
        <f aca="false">IF(A11="","",IFERROR(SUMPRODUCT($I$6:$N$6,I11:N11)/SUMPRODUCT($I$6:$N$6*(I11:N11&lt;&gt;"n/a")),0))</f>
        <v>1</v>
      </c>
      <c r="P11" s="74" t="str">
        <f aca="false">IF(A11="","",IF(O11&gt;=1,"Terminé",IF(O11&gt;0,"En cours","Non démarré")))</f>
        <v>Terminé</v>
      </c>
      <c r="Q11" s="98" t="n">
        <f aca="false">IF(O11="","",D11*O11)</f>
        <v>1</v>
      </c>
      <c r="R11" s="72" t="n">
        <v>0.971</v>
      </c>
      <c r="S11" s="70" t="n">
        <v>41</v>
      </c>
      <c r="T11" s="33" t="n">
        <v>0.2</v>
      </c>
      <c r="U11" s="74" t="str">
        <f aca="false">IF(AND(R11="",S11="",T11=""),"",IF(AND(OR(R11="",R11&gt;=P_Compacite),OR(S11="",S11&gt;=P_CBR),OR(T11="",T11&gt;=N(F11)-P_TolEp)),"Conforme","Non conforme"))</f>
        <v>Conforme</v>
      </c>
      <c r="V11" s="25"/>
    </row>
    <row r="12" customFormat="false" ht="15" hidden="false" customHeight="false" outlineLevel="0" collapsed="false">
      <c r="A12" s="68" t="s">
        <v>850</v>
      </c>
      <c r="B12" s="97" t="n">
        <v>4000</v>
      </c>
      <c r="C12" s="97" t="n">
        <v>5000</v>
      </c>
      <c r="D12" s="98" t="n">
        <f aca="false">IF(OR(B12="",C12=""),"",(C12-B12)/1000)</f>
        <v>1</v>
      </c>
      <c r="E12" s="82" t="n">
        <v>5</v>
      </c>
      <c r="F12" s="33" t="n">
        <v>0.2</v>
      </c>
      <c r="G12" s="31" t="n">
        <f aca="false">IF(D12="","",D12*1000*N(E12)*N(F12))</f>
        <v>1000</v>
      </c>
      <c r="H12" s="28" t="n">
        <v>1000</v>
      </c>
      <c r="I12" s="72" t="n">
        <v>1</v>
      </c>
      <c r="J12" s="72" t="n">
        <v>1</v>
      </c>
      <c r="K12" s="72" t="n">
        <v>1</v>
      </c>
      <c r="L12" s="72" t="n">
        <v>1</v>
      </c>
      <c r="M12" s="72" t="n">
        <v>1</v>
      </c>
      <c r="N12" s="72" t="n">
        <v>1</v>
      </c>
      <c r="O12" s="73" t="n">
        <f aca="false">IF(A12="","",IFERROR(SUMPRODUCT($I$6:$N$6,I12:N12)/SUMPRODUCT($I$6:$N$6*(I12:N12&lt;&gt;"n/a")),0))</f>
        <v>1</v>
      </c>
      <c r="P12" s="74" t="str">
        <f aca="false">IF(A12="","",IF(O12&gt;=1,"Terminé",IF(O12&gt;0,"En cours","Non démarré")))</f>
        <v>Terminé</v>
      </c>
      <c r="Q12" s="98" t="n">
        <f aca="false">IF(O12="","",D12*O12)</f>
        <v>1</v>
      </c>
      <c r="R12" s="72" t="n">
        <v>0.974</v>
      </c>
      <c r="S12" s="70" t="n">
        <v>42</v>
      </c>
      <c r="T12" s="33" t="n">
        <v>0.2</v>
      </c>
      <c r="U12" s="74" t="str">
        <f aca="false">IF(AND(R12="",S12="",T12=""),"",IF(AND(OR(R12="",R12&gt;=P_Compacite),OR(S12="",S12&gt;=P_CBR),OR(T12="",T12&gt;=N(F12)-P_TolEp)),"Conforme","Non conforme"))</f>
        <v>Conforme</v>
      </c>
      <c r="V12" s="25"/>
    </row>
    <row r="13" customFormat="false" ht="15" hidden="false" customHeight="false" outlineLevel="0" collapsed="false">
      <c r="A13" s="68" t="s">
        <v>851</v>
      </c>
      <c r="B13" s="97" t="n">
        <v>5000</v>
      </c>
      <c r="C13" s="97" t="n">
        <v>6000</v>
      </c>
      <c r="D13" s="98" t="n">
        <f aca="false">IF(OR(B13="",C13=""),"",(C13-B13)/1000)</f>
        <v>1</v>
      </c>
      <c r="E13" s="82" t="n">
        <v>5</v>
      </c>
      <c r="F13" s="33" t="n">
        <v>0.2</v>
      </c>
      <c r="G13" s="31" t="n">
        <f aca="false">IF(D13="","",D13*1000*N(E13)*N(F13))</f>
        <v>1000</v>
      </c>
      <c r="H13" s="28" t="n">
        <v>1000</v>
      </c>
      <c r="I13" s="72" t="n">
        <v>1</v>
      </c>
      <c r="J13" s="72" t="n">
        <v>1</v>
      </c>
      <c r="K13" s="72" t="n">
        <v>1</v>
      </c>
      <c r="L13" s="72" t="n">
        <v>1</v>
      </c>
      <c r="M13" s="72" t="n">
        <v>1</v>
      </c>
      <c r="N13" s="72" t="n">
        <v>0.5</v>
      </c>
      <c r="O13" s="73" t="n">
        <f aca="false">IF(A13="","",IFERROR(SUMPRODUCT($I$6:$N$6,I13:N13)/SUMPRODUCT($I$6:$N$6*(I13:N13&lt;&gt;"n/a")),0))</f>
        <v>0.95</v>
      </c>
      <c r="P13" s="74" t="str">
        <f aca="false">IF(A13="","",IF(O13&gt;=1,"Terminé",IF(O13&gt;0,"En cours","Non démarré")))</f>
        <v>En cours</v>
      </c>
      <c r="Q13" s="98" t="n">
        <f aca="false">IF(O13="","",D13*O13)</f>
        <v>0.95</v>
      </c>
      <c r="R13" s="72" t="n">
        <v>0.958</v>
      </c>
      <c r="S13" s="70" t="n">
        <v>35</v>
      </c>
      <c r="T13" s="33" t="n">
        <v>0.19</v>
      </c>
      <c r="U13" s="74" t="str">
        <f aca="false">IF(AND(R13="",S13="",T13=""),"",IF(AND(OR(R13="",R13&gt;=P_Compacite),OR(S13="",S13&gt;=P_CBR),OR(T13="",T13&gt;=N(F13)-P_TolEp)),"Conforme","Non conforme"))</f>
        <v>Conforme</v>
      </c>
      <c r="V13" s="25"/>
    </row>
    <row r="14" customFormat="false" ht="15" hidden="false" customHeight="false" outlineLevel="0" collapsed="false">
      <c r="A14" s="68" t="s">
        <v>852</v>
      </c>
      <c r="B14" s="97" t="n">
        <v>6000</v>
      </c>
      <c r="C14" s="97" t="n">
        <v>7000</v>
      </c>
      <c r="D14" s="98" t="n">
        <f aca="false">IF(OR(B14="",C14=""),"",(C14-B14)/1000)</f>
        <v>1</v>
      </c>
      <c r="E14" s="82" t="n">
        <v>5</v>
      </c>
      <c r="F14" s="33" t="n">
        <v>0.2</v>
      </c>
      <c r="G14" s="31" t="n">
        <f aca="false">IF(D14="","",D14*1000*N(E14)*N(F14))</f>
        <v>1000</v>
      </c>
      <c r="H14" s="28" t="n">
        <v>1000</v>
      </c>
      <c r="I14" s="72" t="n">
        <v>1</v>
      </c>
      <c r="J14" s="72" t="n">
        <v>1</v>
      </c>
      <c r="K14" s="72" t="n">
        <v>1</v>
      </c>
      <c r="L14" s="72" t="n">
        <v>1</v>
      </c>
      <c r="M14" s="72" t="n">
        <v>1</v>
      </c>
      <c r="N14" s="72" t="n">
        <v>0</v>
      </c>
      <c r="O14" s="73" t="n">
        <f aca="false">IF(A14="","",IFERROR(SUMPRODUCT($I$6:$N$6,I14:N14)/SUMPRODUCT($I$6:$N$6*(I14:N14&lt;&gt;"n/a")),0))</f>
        <v>0.9</v>
      </c>
      <c r="P14" s="74" t="str">
        <f aca="false">IF(A14="","",IF(O14&gt;=1,"Terminé",IF(O14&gt;0,"En cours","Non démarré")))</f>
        <v>En cours</v>
      </c>
      <c r="Q14" s="98" t="n">
        <f aca="false">IF(O14="","",D14*O14)</f>
        <v>0.9</v>
      </c>
      <c r="R14" s="72" t="n">
        <v>0.964</v>
      </c>
      <c r="S14" s="70" t="n">
        <v>41</v>
      </c>
      <c r="T14" s="33" t="n">
        <v>0.19</v>
      </c>
      <c r="U14" s="74" t="str">
        <f aca="false">IF(AND(R14="",S14="",T14=""),"",IF(AND(OR(R14="",R14&gt;=P_Compacite),OR(S14="",S14&gt;=P_CBR),OR(T14="",T14&gt;=N(F14)-P_TolEp)),"Conforme","Non conforme"))</f>
        <v>Conforme</v>
      </c>
      <c r="V14" s="25"/>
    </row>
    <row r="15" customFormat="false" ht="15" hidden="false" customHeight="false" outlineLevel="0" collapsed="false">
      <c r="A15" s="68" t="s">
        <v>853</v>
      </c>
      <c r="B15" s="97" t="n">
        <v>7000</v>
      </c>
      <c r="C15" s="97" t="n">
        <v>8000</v>
      </c>
      <c r="D15" s="98" t="n">
        <f aca="false">IF(OR(B15="",C15=""),"",(C15-B15)/1000)</f>
        <v>1</v>
      </c>
      <c r="E15" s="82" t="n">
        <v>5</v>
      </c>
      <c r="F15" s="33" t="n">
        <v>0.2</v>
      </c>
      <c r="G15" s="31" t="n">
        <f aca="false">IF(D15="","",D15*1000*N(E15)*N(F15))</f>
        <v>1000</v>
      </c>
      <c r="H15" s="28" t="n">
        <v>800</v>
      </c>
      <c r="I15" s="72" t="n">
        <v>1</v>
      </c>
      <c r="J15" s="72" t="n">
        <v>1</v>
      </c>
      <c r="K15" s="72" t="n">
        <v>1</v>
      </c>
      <c r="L15" s="72" t="n">
        <v>0.8</v>
      </c>
      <c r="M15" s="72" t="n">
        <v>0.5</v>
      </c>
      <c r="N15" s="72" t="n">
        <v>0</v>
      </c>
      <c r="O15" s="73" t="n">
        <f aca="false">IF(A15="","",IFERROR(SUMPRODUCT($I$6:$N$6,I15:N15)/SUMPRODUCT($I$6:$N$6*(I15:N15&lt;&gt;"n/a")),0))</f>
        <v>0.73</v>
      </c>
      <c r="P15" s="74" t="str">
        <f aca="false">IF(A15="","",IF(O15&gt;=1,"Terminé",IF(O15&gt;0,"En cours","Non démarré")))</f>
        <v>En cours</v>
      </c>
      <c r="Q15" s="98" t="n">
        <f aca="false">IF(O15="","",D15*O15)</f>
        <v>0.73</v>
      </c>
      <c r="R15" s="72" t="n">
        <v>0.935</v>
      </c>
      <c r="S15" s="70" t="n">
        <v>36</v>
      </c>
      <c r="T15" s="33" t="n">
        <v>0.2</v>
      </c>
      <c r="U15" s="74" t="str">
        <f aca="false">IF(AND(R15="",S15="",T15=""),"",IF(AND(OR(R15="",R15&gt;=P_Compacite),OR(S15="",S15&gt;=P_CBR),OR(T15="",T15&gt;=N(F15)-P_TolEp)),"Conforme","Non conforme"))</f>
        <v>Non conforme</v>
      </c>
      <c r="V15" s="25"/>
    </row>
    <row r="16" customFormat="false" ht="15" hidden="false" customHeight="false" outlineLevel="0" collapsed="false">
      <c r="A16" s="68" t="s">
        <v>854</v>
      </c>
      <c r="B16" s="97" t="n">
        <v>8000</v>
      </c>
      <c r="C16" s="97" t="n">
        <v>9000</v>
      </c>
      <c r="D16" s="98" t="n">
        <f aca="false">IF(OR(B16="",C16=""),"",(C16-B16)/1000)</f>
        <v>1</v>
      </c>
      <c r="E16" s="82" t="n">
        <v>5</v>
      </c>
      <c r="F16" s="33" t="n">
        <v>0.2</v>
      </c>
      <c r="G16" s="31" t="n">
        <f aca="false">IF(D16="","",D16*1000*N(E16)*N(F16))</f>
        <v>1000</v>
      </c>
      <c r="H16" s="28"/>
      <c r="I16" s="72" t="n">
        <v>1</v>
      </c>
      <c r="J16" s="72" t="n">
        <v>1</v>
      </c>
      <c r="K16" s="72" t="n">
        <v>0.6</v>
      </c>
      <c r="L16" s="72" t="n">
        <v>0</v>
      </c>
      <c r="M16" s="72" t="n">
        <v>0</v>
      </c>
      <c r="N16" s="72" t="n">
        <v>0</v>
      </c>
      <c r="O16" s="73" t="n">
        <f aca="false">IF(A16="","",IFERROR(SUMPRODUCT($I$6:$N$6,I16:N16)/SUMPRODUCT($I$6:$N$6*(I16:N16&lt;&gt;"n/a")),0))</f>
        <v>0.27</v>
      </c>
      <c r="P16" s="74" t="str">
        <f aca="false">IF(A16="","",IF(O16&gt;=1,"Terminé",IF(O16&gt;0,"En cours","Non démarré")))</f>
        <v>En cours</v>
      </c>
      <c r="Q16" s="98" t="n">
        <f aca="false">IF(O16="","",D16*O16)</f>
        <v>0.27</v>
      </c>
      <c r="R16" s="72"/>
      <c r="S16" s="70"/>
      <c r="T16" s="33"/>
      <c r="U16" s="74" t="str">
        <f aca="false">IF(AND(R16="",S16="",T16=""),"",IF(AND(OR(R16="",R16&gt;=P_Compacite),OR(S16="",S16&gt;=P_CBR),OR(T16="",T16&gt;=N(F16)-P_TolEp)),"Conforme","Non conforme"))</f>
        <v/>
      </c>
      <c r="V16" s="25"/>
    </row>
    <row r="17" customFormat="false" ht="15" hidden="false" customHeight="false" outlineLevel="0" collapsed="false">
      <c r="A17" s="68" t="s">
        <v>855</v>
      </c>
      <c r="B17" s="97" t="n">
        <v>9000</v>
      </c>
      <c r="C17" s="97" t="n">
        <v>10000</v>
      </c>
      <c r="D17" s="98" t="n">
        <f aca="false">IF(OR(B17="",C17=""),"",(C17-B17)/1000)</f>
        <v>1</v>
      </c>
      <c r="E17" s="82" t="n">
        <v>5</v>
      </c>
      <c r="F17" s="33" t="n">
        <v>0.2</v>
      </c>
      <c r="G17" s="31" t="n">
        <f aca="false">IF(D17="","",D17*1000*N(E17)*N(F17))</f>
        <v>1000</v>
      </c>
      <c r="H17" s="28"/>
      <c r="I17" s="72" t="n">
        <v>1</v>
      </c>
      <c r="J17" s="72" t="n">
        <v>0.8</v>
      </c>
      <c r="K17" s="72" t="n">
        <v>0.3</v>
      </c>
      <c r="L17" s="72" t="n">
        <v>0</v>
      </c>
      <c r="M17" s="72" t="n">
        <v>0</v>
      </c>
      <c r="N17" s="72" t="n">
        <v>0</v>
      </c>
      <c r="O17" s="73" t="n">
        <f aca="false">IF(A17="","",IFERROR(SUMPRODUCT($I$6:$N$6,I17:N17)/SUMPRODUCT($I$6:$N$6*(I17:N17&lt;&gt;"n/a")),0))</f>
        <v>0.19</v>
      </c>
      <c r="P17" s="74" t="str">
        <f aca="false">IF(A17="","",IF(O17&gt;=1,"Terminé",IF(O17&gt;0,"En cours","Non démarré")))</f>
        <v>En cours</v>
      </c>
      <c r="Q17" s="98" t="n">
        <f aca="false">IF(O17="","",D17*O17)</f>
        <v>0.19</v>
      </c>
      <c r="R17" s="72"/>
      <c r="S17" s="70"/>
      <c r="T17" s="33"/>
      <c r="U17" s="74" t="str">
        <f aca="false">IF(AND(R17="",S17="",T17=""),"",IF(AND(OR(R17="",R17&gt;=P_Compacite),OR(S17="",S17&gt;=P_CBR),OR(T17="",T17&gt;=N(F17)-P_TolEp)),"Conforme","Non conforme"))</f>
        <v/>
      </c>
      <c r="V17" s="25"/>
    </row>
    <row r="18" customFormat="false" ht="15" hidden="false" customHeight="false" outlineLevel="0" collapsed="false">
      <c r="A18" s="68" t="s">
        <v>856</v>
      </c>
      <c r="B18" s="97" t="n">
        <v>10000</v>
      </c>
      <c r="C18" s="97" t="n">
        <v>11000</v>
      </c>
      <c r="D18" s="98" t="n">
        <f aca="false">IF(OR(B18="",C18=""),"",(C18-B18)/1000)</f>
        <v>1</v>
      </c>
      <c r="E18" s="82" t="n">
        <v>5</v>
      </c>
      <c r="F18" s="33" t="n">
        <v>0.2</v>
      </c>
      <c r="G18" s="31" t="n">
        <f aca="false">IF(D18="","",D18*1000*N(E18)*N(F18))</f>
        <v>1000</v>
      </c>
      <c r="H18" s="28"/>
      <c r="I18" s="72" t="n">
        <v>1</v>
      </c>
      <c r="J18" s="72" t="n">
        <v>0</v>
      </c>
      <c r="K18" s="72" t="n">
        <v>0</v>
      </c>
      <c r="L18" s="72" t="n">
        <v>0</v>
      </c>
      <c r="M18" s="72" t="n">
        <v>0</v>
      </c>
      <c r="N18" s="72" t="n">
        <v>0</v>
      </c>
      <c r="O18" s="73" t="n">
        <f aca="false">IF(A18="","",IFERROR(SUMPRODUCT($I$6:$N$6,I18:N18)/SUMPRODUCT($I$6:$N$6*(I18:N18&lt;&gt;"n/a")),0))</f>
        <v>0.05</v>
      </c>
      <c r="P18" s="74" t="str">
        <f aca="false">IF(A18="","",IF(O18&gt;=1,"Terminé",IF(O18&gt;0,"En cours","Non démarré")))</f>
        <v>En cours</v>
      </c>
      <c r="Q18" s="98" t="n">
        <f aca="false">IF(O18="","",D18*O18)</f>
        <v>0.05</v>
      </c>
      <c r="R18" s="72"/>
      <c r="S18" s="70"/>
      <c r="T18" s="33"/>
      <c r="U18" s="74" t="str">
        <f aca="false">IF(AND(R18="",S18="",T18=""),"",IF(AND(OR(R18="",R18&gt;=P_Compacite),OR(S18="",S18&gt;=P_CBR),OR(T18="",T18&gt;=N(F18)-P_TolEp)),"Conforme","Non conforme"))</f>
        <v/>
      </c>
      <c r="V18" s="25"/>
    </row>
    <row r="19" customFormat="false" ht="15" hidden="false" customHeight="false" outlineLevel="0" collapsed="false">
      <c r="A19" s="68" t="s">
        <v>857</v>
      </c>
      <c r="B19" s="97" t="n">
        <v>11000</v>
      </c>
      <c r="C19" s="97" t="n">
        <v>12000</v>
      </c>
      <c r="D19" s="98" t="n">
        <f aca="false">IF(OR(B19="",C19=""),"",(C19-B19)/1000)</f>
        <v>1</v>
      </c>
      <c r="E19" s="82" t="n">
        <v>5</v>
      </c>
      <c r="F19" s="33" t="n">
        <v>0.2</v>
      </c>
      <c r="G19" s="31" t="n">
        <f aca="false">IF(D19="","",D19*1000*N(E19)*N(F19))</f>
        <v>1000</v>
      </c>
      <c r="H19" s="28"/>
      <c r="I19" s="72" t="n">
        <v>1</v>
      </c>
      <c r="J19" s="72" t="n">
        <v>0</v>
      </c>
      <c r="K19" s="72" t="n">
        <v>0</v>
      </c>
      <c r="L19" s="72" t="n">
        <v>0</v>
      </c>
      <c r="M19" s="72" t="n">
        <v>0</v>
      </c>
      <c r="N19" s="72" t="n">
        <v>0</v>
      </c>
      <c r="O19" s="73" t="n">
        <f aca="false">IF(A19="","",IFERROR(SUMPRODUCT($I$6:$N$6,I19:N19)/SUMPRODUCT($I$6:$N$6*(I19:N19&lt;&gt;"n/a")),0))</f>
        <v>0.05</v>
      </c>
      <c r="P19" s="74" t="str">
        <f aca="false">IF(A19="","",IF(O19&gt;=1,"Terminé",IF(O19&gt;0,"En cours","Non démarré")))</f>
        <v>En cours</v>
      </c>
      <c r="Q19" s="98" t="n">
        <f aca="false">IF(O19="","",D19*O19)</f>
        <v>0.05</v>
      </c>
      <c r="R19" s="72"/>
      <c r="S19" s="70"/>
      <c r="T19" s="33"/>
      <c r="U19" s="74" t="str">
        <f aca="false">IF(AND(R19="",S19="",T19=""),"",IF(AND(OR(R19="",R19&gt;=P_Compacite),OR(S19="",S19&gt;=P_CBR),OR(T19="",T19&gt;=N(F19)-P_TolEp)),"Conforme","Non conforme"))</f>
        <v/>
      </c>
      <c r="V19" s="25"/>
    </row>
    <row r="20" customFormat="false" ht="15" hidden="false" customHeight="false" outlineLevel="0" collapsed="false">
      <c r="A20" s="68" t="s">
        <v>858</v>
      </c>
      <c r="B20" s="97" t="n">
        <v>12000</v>
      </c>
      <c r="C20" s="97" t="n">
        <v>13000</v>
      </c>
      <c r="D20" s="98" t="n">
        <f aca="false">IF(OR(B20="",C20=""),"",(C20-B20)/1000)</f>
        <v>1</v>
      </c>
      <c r="E20" s="82" t="n">
        <v>5</v>
      </c>
      <c r="F20" s="33" t="n">
        <v>0.2</v>
      </c>
      <c r="G20" s="31" t="n">
        <f aca="false">IF(D20="","",D20*1000*N(E20)*N(F20))</f>
        <v>1000</v>
      </c>
      <c r="H20" s="28"/>
      <c r="I20" s="72" t="n">
        <v>1</v>
      </c>
      <c r="J20" s="72" t="n">
        <v>0</v>
      </c>
      <c r="K20" s="72" t="n">
        <v>0</v>
      </c>
      <c r="L20" s="72" t="n">
        <v>0</v>
      </c>
      <c r="M20" s="72" t="n">
        <v>0</v>
      </c>
      <c r="N20" s="72" t="n">
        <v>0</v>
      </c>
      <c r="O20" s="73" t="n">
        <f aca="false">IF(A20="","",IFERROR(SUMPRODUCT($I$6:$N$6,I20:N20)/SUMPRODUCT($I$6:$N$6*(I20:N20&lt;&gt;"n/a")),0))</f>
        <v>0.05</v>
      </c>
      <c r="P20" s="74" t="str">
        <f aca="false">IF(A20="","",IF(O20&gt;=1,"Terminé",IF(O20&gt;0,"En cours","Non démarré")))</f>
        <v>En cours</v>
      </c>
      <c r="Q20" s="98" t="n">
        <f aca="false">IF(O20="","",D20*O20)</f>
        <v>0.05</v>
      </c>
      <c r="R20" s="72"/>
      <c r="S20" s="70"/>
      <c r="T20" s="33"/>
      <c r="U20" s="74" t="str">
        <f aca="false">IF(AND(R20="",S20="",T20=""),"",IF(AND(OR(R20="",R20&gt;=P_Compacite),OR(S20="",S20&gt;=P_CBR),OR(T20="",T20&gt;=N(F20)-P_TolEp)),"Conforme","Non conforme"))</f>
        <v/>
      </c>
      <c r="V20" s="25"/>
    </row>
    <row r="21" customFormat="false" ht="15" hidden="false" customHeight="false" outlineLevel="0" collapsed="false">
      <c r="A21" s="68" t="s">
        <v>859</v>
      </c>
      <c r="B21" s="97" t="n">
        <v>13000</v>
      </c>
      <c r="C21" s="97" t="n">
        <v>14000</v>
      </c>
      <c r="D21" s="98" t="n">
        <f aca="false">IF(OR(B21="",C21=""),"",(C21-B21)/1000)</f>
        <v>1</v>
      </c>
      <c r="E21" s="82" t="n">
        <v>5</v>
      </c>
      <c r="F21" s="33" t="n">
        <v>0.2</v>
      </c>
      <c r="G21" s="31" t="n">
        <f aca="false">IF(D21="","",D21*1000*N(E21)*N(F21))</f>
        <v>1000</v>
      </c>
      <c r="H21" s="28"/>
      <c r="I21" s="72" t="n">
        <v>1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3" t="n">
        <f aca="false">IF(A21="","",IFERROR(SUMPRODUCT($I$6:$N$6,I21:N21)/SUMPRODUCT($I$6:$N$6*(I21:N21&lt;&gt;"n/a")),0))</f>
        <v>0.05</v>
      </c>
      <c r="P21" s="74" t="str">
        <f aca="false">IF(A21="","",IF(O21&gt;=1,"Terminé",IF(O21&gt;0,"En cours","Non démarré")))</f>
        <v>En cours</v>
      </c>
      <c r="Q21" s="98" t="n">
        <f aca="false">IF(O21="","",D21*O21)</f>
        <v>0.05</v>
      </c>
      <c r="R21" s="72"/>
      <c r="S21" s="70"/>
      <c r="T21" s="33"/>
      <c r="U21" s="74" t="str">
        <f aca="false">IF(AND(R21="",S21="",T21=""),"",IF(AND(OR(R21="",R21&gt;=P_Compacite),OR(S21="",S21&gt;=P_CBR),OR(T21="",T21&gt;=N(F21)-P_TolEp)),"Conforme","Non conforme"))</f>
        <v/>
      </c>
      <c r="V21" s="25"/>
    </row>
    <row r="22" customFormat="false" ht="15" hidden="false" customHeight="false" outlineLevel="0" collapsed="false">
      <c r="A22" s="68" t="s">
        <v>860</v>
      </c>
      <c r="B22" s="97" t="n">
        <v>14000</v>
      </c>
      <c r="C22" s="97" t="n">
        <v>15000</v>
      </c>
      <c r="D22" s="98" t="n">
        <f aca="false">IF(OR(B22="",C22=""),"",(C22-B22)/1000)</f>
        <v>1</v>
      </c>
      <c r="E22" s="82" t="n">
        <v>5</v>
      </c>
      <c r="F22" s="33" t="n">
        <v>0.2</v>
      </c>
      <c r="G22" s="31" t="n">
        <f aca="false">IF(D22="","",D22*1000*N(E22)*N(F22))</f>
        <v>1000</v>
      </c>
      <c r="H22" s="28"/>
      <c r="I22" s="72" t="n">
        <v>1</v>
      </c>
      <c r="J22" s="72" t="n">
        <v>0</v>
      </c>
      <c r="K22" s="72" t="n">
        <v>0</v>
      </c>
      <c r="L22" s="72" t="n">
        <v>0</v>
      </c>
      <c r="M22" s="72" t="n">
        <v>0</v>
      </c>
      <c r="N22" s="72" t="n">
        <v>0</v>
      </c>
      <c r="O22" s="73" t="n">
        <f aca="false">IF(A22="","",IFERROR(SUMPRODUCT($I$6:$N$6,I22:N22)/SUMPRODUCT($I$6:$N$6*(I22:N22&lt;&gt;"n/a")),0))</f>
        <v>0.05</v>
      </c>
      <c r="P22" s="74" t="str">
        <f aca="false">IF(A22="","",IF(O22&gt;=1,"Terminé",IF(O22&gt;0,"En cours","Non démarré")))</f>
        <v>En cours</v>
      </c>
      <c r="Q22" s="98" t="n">
        <f aca="false">IF(O22="","",D22*O22)</f>
        <v>0.05</v>
      </c>
      <c r="R22" s="72"/>
      <c r="S22" s="70"/>
      <c r="T22" s="33"/>
      <c r="U22" s="74" t="str">
        <f aca="false">IF(AND(R22="",S22="",T22=""),"",IF(AND(OR(R22="",R22&gt;=P_Compacite),OR(S22="",S22&gt;=P_CBR),OR(T22="",T22&gt;=N(F22)-P_TolEp)),"Conforme","Non conforme"))</f>
        <v/>
      </c>
      <c r="V22" s="25"/>
    </row>
    <row r="23" customFormat="false" ht="15" hidden="false" customHeight="false" outlineLevel="0" collapsed="false">
      <c r="A23" s="68" t="s">
        <v>861</v>
      </c>
      <c r="B23" s="97" t="n">
        <v>15000</v>
      </c>
      <c r="C23" s="97" t="n">
        <v>16000</v>
      </c>
      <c r="D23" s="98" t="n">
        <f aca="false">IF(OR(B23="",C23=""),"",(C23-B23)/1000)</f>
        <v>1</v>
      </c>
      <c r="E23" s="82" t="n">
        <v>5</v>
      </c>
      <c r="F23" s="33" t="n">
        <v>0.2</v>
      </c>
      <c r="G23" s="31" t="n">
        <f aca="false">IF(D23="","",D23*1000*N(E23)*N(F23))</f>
        <v>1000</v>
      </c>
      <c r="H23" s="28"/>
      <c r="I23" s="72" t="n">
        <v>1</v>
      </c>
      <c r="J23" s="72" t="n">
        <v>0</v>
      </c>
      <c r="K23" s="72" t="n">
        <v>0</v>
      </c>
      <c r="L23" s="72" t="n">
        <v>0</v>
      </c>
      <c r="M23" s="72" t="n">
        <v>0</v>
      </c>
      <c r="N23" s="72" t="n">
        <v>0</v>
      </c>
      <c r="O23" s="73" t="n">
        <f aca="false">IF(A23="","",IFERROR(SUMPRODUCT($I$6:$N$6,I23:N23)/SUMPRODUCT($I$6:$N$6*(I23:N23&lt;&gt;"n/a")),0))</f>
        <v>0.05</v>
      </c>
      <c r="P23" s="74" t="str">
        <f aca="false">IF(A23="","",IF(O23&gt;=1,"Terminé",IF(O23&gt;0,"En cours","Non démarré")))</f>
        <v>En cours</v>
      </c>
      <c r="Q23" s="98" t="n">
        <f aca="false">IF(O23="","",D23*O23)</f>
        <v>0.05</v>
      </c>
      <c r="R23" s="72"/>
      <c r="S23" s="70"/>
      <c r="T23" s="33"/>
      <c r="U23" s="74" t="str">
        <f aca="false">IF(AND(R23="",S23="",T23=""),"",IF(AND(OR(R23="",R23&gt;=P_Compacite),OR(S23="",S23&gt;=P_CBR),OR(T23="",T23&gt;=N(F23)-P_TolEp)),"Conforme","Non conforme"))</f>
        <v/>
      </c>
      <c r="V23" s="25"/>
    </row>
    <row r="24" customFormat="false" ht="15" hidden="false" customHeight="false" outlineLevel="0" collapsed="false">
      <c r="A24" s="68" t="s">
        <v>862</v>
      </c>
      <c r="B24" s="97" t="n">
        <v>16000</v>
      </c>
      <c r="C24" s="97" t="n">
        <v>17000</v>
      </c>
      <c r="D24" s="98" t="n">
        <f aca="false">IF(OR(B24="",C24=""),"",(C24-B24)/1000)</f>
        <v>1</v>
      </c>
      <c r="E24" s="82" t="n">
        <v>5</v>
      </c>
      <c r="F24" s="33" t="n">
        <v>0.2</v>
      </c>
      <c r="G24" s="31" t="n">
        <f aca="false">IF(D24="","",D24*1000*N(E24)*N(F24))</f>
        <v>1000</v>
      </c>
      <c r="H24" s="28"/>
      <c r="I24" s="72" t="n">
        <v>1</v>
      </c>
      <c r="J24" s="72" t="n">
        <v>0</v>
      </c>
      <c r="K24" s="72" t="n">
        <v>0</v>
      </c>
      <c r="L24" s="72" t="n">
        <v>0</v>
      </c>
      <c r="M24" s="72" t="n">
        <v>0</v>
      </c>
      <c r="N24" s="72" t="n">
        <v>0</v>
      </c>
      <c r="O24" s="73" t="n">
        <f aca="false">IF(A24="","",IFERROR(SUMPRODUCT($I$6:$N$6,I24:N24)/SUMPRODUCT($I$6:$N$6*(I24:N24&lt;&gt;"n/a")),0))</f>
        <v>0.05</v>
      </c>
      <c r="P24" s="74" t="str">
        <f aca="false">IF(A24="","",IF(O24&gt;=1,"Terminé",IF(O24&gt;0,"En cours","Non démarré")))</f>
        <v>En cours</v>
      </c>
      <c r="Q24" s="98" t="n">
        <f aca="false">IF(O24="","",D24*O24)</f>
        <v>0.05</v>
      </c>
      <c r="R24" s="72"/>
      <c r="S24" s="70"/>
      <c r="T24" s="33"/>
      <c r="U24" s="74" t="str">
        <f aca="false">IF(AND(R24="",S24="",T24=""),"",IF(AND(OR(R24="",R24&gt;=P_Compacite),OR(S24="",S24&gt;=P_CBR),OR(T24="",T24&gt;=N(F24)-P_TolEp)),"Conforme","Non conforme"))</f>
        <v/>
      </c>
      <c r="V24" s="25"/>
    </row>
    <row r="25" customFormat="false" ht="15" hidden="false" customHeight="false" outlineLevel="0" collapsed="false">
      <c r="A25" s="68" t="s">
        <v>863</v>
      </c>
      <c r="B25" s="97" t="n">
        <v>17000</v>
      </c>
      <c r="C25" s="97" t="n">
        <v>18000</v>
      </c>
      <c r="D25" s="98" t="n">
        <f aca="false">IF(OR(B25="",C25=""),"",(C25-B25)/1000)</f>
        <v>1</v>
      </c>
      <c r="E25" s="82" t="n">
        <v>5</v>
      </c>
      <c r="F25" s="33" t="n">
        <v>0.2</v>
      </c>
      <c r="G25" s="31" t="n">
        <f aca="false">IF(D25="","",D25*1000*N(E25)*N(F25))</f>
        <v>1000</v>
      </c>
      <c r="H25" s="28"/>
      <c r="I25" s="72" t="n">
        <v>1</v>
      </c>
      <c r="J25" s="72" t="n">
        <v>0</v>
      </c>
      <c r="K25" s="72" t="n">
        <v>0</v>
      </c>
      <c r="L25" s="72" t="n">
        <v>0</v>
      </c>
      <c r="M25" s="72" t="n">
        <v>0</v>
      </c>
      <c r="N25" s="72" t="n">
        <v>0</v>
      </c>
      <c r="O25" s="73" t="n">
        <f aca="false">IF(A25="","",IFERROR(SUMPRODUCT($I$6:$N$6,I25:N25)/SUMPRODUCT($I$6:$N$6*(I25:N25&lt;&gt;"n/a")),0))</f>
        <v>0.05</v>
      </c>
      <c r="P25" s="74" t="str">
        <f aca="false">IF(A25="","",IF(O25&gt;=1,"Terminé",IF(O25&gt;0,"En cours","Non démarré")))</f>
        <v>En cours</v>
      </c>
      <c r="Q25" s="98" t="n">
        <f aca="false">IF(O25="","",D25*O25)</f>
        <v>0.05</v>
      </c>
      <c r="R25" s="72"/>
      <c r="S25" s="70"/>
      <c r="T25" s="33"/>
      <c r="U25" s="74" t="str">
        <f aca="false">IF(AND(R25="",S25="",T25=""),"",IF(AND(OR(R25="",R25&gt;=P_Compacite),OR(S25="",S25&gt;=P_CBR),OR(T25="",T25&gt;=N(F25)-P_TolEp)),"Conforme","Non conforme"))</f>
        <v/>
      </c>
      <c r="V25" s="25"/>
    </row>
    <row r="26" customFormat="false" ht="15" hidden="false" customHeight="false" outlineLevel="0" collapsed="false">
      <c r="A26" s="68" t="s">
        <v>864</v>
      </c>
      <c r="B26" s="97" t="n">
        <v>18000</v>
      </c>
      <c r="C26" s="97" t="n">
        <v>19000</v>
      </c>
      <c r="D26" s="98" t="n">
        <f aca="false">IF(OR(B26="",C26=""),"",(C26-B26)/1000)</f>
        <v>1</v>
      </c>
      <c r="E26" s="82" t="n">
        <v>5</v>
      </c>
      <c r="F26" s="33" t="n">
        <v>0.2</v>
      </c>
      <c r="G26" s="31" t="n">
        <f aca="false">IF(D26="","",D26*1000*N(E26)*N(F26))</f>
        <v>1000</v>
      </c>
      <c r="H26" s="28"/>
      <c r="I26" s="72" t="n">
        <v>0.5</v>
      </c>
      <c r="J26" s="72" t="n">
        <v>0</v>
      </c>
      <c r="K26" s="72" t="n">
        <v>0</v>
      </c>
      <c r="L26" s="72" t="n">
        <v>0</v>
      </c>
      <c r="M26" s="72" t="n">
        <v>0</v>
      </c>
      <c r="N26" s="72" t="n">
        <v>0</v>
      </c>
      <c r="O26" s="73" t="n">
        <f aca="false">IF(A26="","",IFERROR(SUMPRODUCT($I$6:$N$6,I26:N26)/SUMPRODUCT($I$6:$N$6*(I26:N26&lt;&gt;"n/a")),0))</f>
        <v>0.025</v>
      </c>
      <c r="P26" s="74" t="str">
        <f aca="false">IF(A26="","",IF(O26&gt;=1,"Terminé",IF(O26&gt;0,"En cours","Non démarré")))</f>
        <v>En cours</v>
      </c>
      <c r="Q26" s="98" t="n">
        <f aca="false">IF(O26="","",D26*O26)</f>
        <v>0.025</v>
      </c>
      <c r="R26" s="72"/>
      <c r="S26" s="70"/>
      <c r="T26" s="33"/>
      <c r="U26" s="74" t="str">
        <f aca="false">IF(AND(R26="",S26="",T26=""),"",IF(AND(OR(R26="",R26&gt;=P_Compacite),OR(S26="",S26&gt;=P_CBR),OR(T26="",T26&gt;=N(F26)-P_TolEp)),"Conforme","Non conforme"))</f>
        <v/>
      </c>
      <c r="V26" s="25"/>
    </row>
    <row r="27" customFormat="false" ht="15" hidden="false" customHeight="false" outlineLevel="0" collapsed="false">
      <c r="A27" s="68" t="s">
        <v>865</v>
      </c>
      <c r="B27" s="97" t="n">
        <v>19000</v>
      </c>
      <c r="C27" s="97" t="n">
        <v>20000</v>
      </c>
      <c r="D27" s="98" t="n">
        <f aca="false">IF(OR(B27="",C27=""),"",(C27-B27)/1000)</f>
        <v>1</v>
      </c>
      <c r="E27" s="82" t="n">
        <v>5</v>
      </c>
      <c r="F27" s="33" t="n">
        <v>0.2</v>
      </c>
      <c r="G27" s="31" t="n">
        <f aca="false">IF(D27="","",D27*1000*N(E27)*N(F27))</f>
        <v>1000</v>
      </c>
      <c r="H27" s="28"/>
      <c r="I27" s="72" t="n">
        <v>0</v>
      </c>
      <c r="J27" s="72" t="n">
        <v>0</v>
      </c>
      <c r="K27" s="72" t="n">
        <v>0</v>
      </c>
      <c r="L27" s="72" t="n">
        <v>0</v>
      </c>
      <c r="M27" s="72" t="n">
        <v>0</v>
      </c>
      <c r="N27" s="72" t="n">
        <v>0</v>
      </c>
      <c r="O27" s="73" t="n">
        <f aca="false">IF(A27="","",IFERROR(SUMPRODUCT($I$6:$N$6,I27:N27)/SUMPRODUCT($I$6:$N$6*(I27:N27&lt;&gt;"n/a")),0))</f>
        <v>0</v>
      </c>
      <c r="P27" s="74" t="str">
        <f aca="false">IF(A27="","",IF(O27&gt;=1,"Terminé",IF(O27&gt;0,"En cours","Non démarré")))</f>
        <v>Non démarré</v>
      </c>
      <c r="Q27" s="98" t="n">
        <f aca="false">IF(O27="","",D27*O27)</f>
        <v>0</v>
      </c>
      <c r="R27" s="72"/>
      <c r="S27" s="70"/>
      <c r="T27" s="33"/>
      <c r="U27" s="74" t="str">
        <f aca="false">IF(AND(R27="",S27="",T27=""),"",IF(AND(OR(R27="",R27&gt;=P_Compacite),OR(S27="",S27&gt;=P_CBR),OR(T27="",T27&gt;=N(F27)-P_TolEp)),"Conforme","Non conforme"))</f>
        <v/>
      </c>
      <c r="V27" s="25"/>
    </row>
    <row r="28" customFormat="false" ht="15" hidden="false" customHeight="false" outlineLevel="0" collapsed="false">
      <c r="A28" s="68"/>
      <c r="B28" s="97"/>
      <c r="C28" s="97"/>
      <c r="D28" s="98" t="str">
        <f aca="false">IF(OR(B28="",C28=""),"",(C28-B28)/1000)</f>
        <v/>
      </c>
      <c r="E28" s="82"/>
      <c r="F28" s="33"/>
      <c r="G28" s="31" t="str">
        <f aca="false">IF(D28="","",D28*1000*N(E28)*N(F28))</f>
        <v/>
      </c>
      <c r="H28" s="28"/>
      <c r="I28" s="72"/>
      <c r="J28" s="72"/>
      <c r="K28" s="72"/>
      <c r="L28" s="72"/>
      <c r="M28" s="72"/>
      <c r="N28" s="72"/>
      <c r="O28" s="73" t="str">
        <f aca="false">IF(A28="","",IFERROR(SUMPRODUCT($I$6:$N$6,I28:N28)/SUMPRODUCT($I$6:$N$6*(I28:N28&lt;&gt;"n/a")),0))</f>
        <v/>
      </c>
      <c r="P28" s="74" t="str">
        <f aca="false">IF(A28="","",IF(O28&gt;=1,"Terminé",IF(O28&gt;0,"En cours","Non démarré")))</f>
        <v/>
      </c>
      <c r="Q28" s="98" t="str">
        <f aca="false">IF(O28="","",D28*O28)</f>
        <v/>
      </c>
      <c r="R28" s="72"/>
      <c r="S28" s="70"/>
      <c r="T28" s="33"/>
      <c r="U28" s="74" t="str">
        <f aca="false">IF(AND(R28="",S28="",T28=""),"",IF(AND(OR(R28="",R28&gt;=P_Compacite),OR(S28="",S28&gt;=P_CBR),OR(T28="",T28&gt;=N(F28)-P_TolEp)),"Conforme","Non conforme"))</f>
        <v/>
      </c>
      <c r="V28" s="25"/>
    </row>
    <row r="29" customFormat="false" ht="15" hidden="false" customHeight="false" outlineLevel="0" collapsed="false">
      <c r="A29" s="68"/>
      <c r="B29" s="97"/>
      <c r="C29" s="97"/>
      <c r="D29" s="98" t="str">
        <f aca="false">IF(OR(B29="",C29=""),"",(C29-B29)/1000)</f>
        <v/>
      </c>
      <c r="E29" s="82"/>
      <c r="F29" s="33"/>
      <c r="G29" s="31" t="str">
        <f aca="false">IF(D29="","",D29*1000*N(E29)*N(F29))</f>
        <v/>
      </c>
      <c r="H29" s="28"/>
      <c r="I29" s="72"/>
      <c r="J29" s="72"/>
      <c r="K29" s="72"/>
      <c r="L29" s="72"/>
      <c r="M29" s="72"/>
      <c r="N29" s="72"/>
      <c r="O29" s="73" t="str">
        <f aca="false">IF(A29="","",IFERROR(SUMPRODUCT($I$6:$N$6,I29:N29)/SUMPRODUCT($I$6:$N$6*(I29:N29&lt;&gt;"n/a")),0))</f>
        <v/>
      </c>
      <c r="P29" s="74" t="str">
        <f aca="false">IF(A29="","",IF(O29&gt;=1,"Terminé",IF(O29&gt;0,"En cours","Non démarré")))</f>
        <v/>
      </c>
      <c r="Q29" s="98" t="str">
        <f aca="false">IF(O29="","",D29*O29)</f>
        <v/>
      </c>
      <c r="R29" s="72"/>
      <c r="S29" s="70"/>
      <c r="T29" s="33"/>
      <c r="U29" s="74" t="str">
        <f aca="false">IF(AND(R29="",S29="",T29=""),"",IF(AND(OR(R29="",R29&gt;=P_Compacite),OR(S29="",S29&gt;=P_CBR),OR(T29="",T29&gt;=N(F29)-P_TolEp)),"Conforme","Non conforme"))</f>
        <v/>
      </c>
      <c r="V29" s="25"/>
    </row>
    <row r="30" customFormat="false" ht="15" hidden="false" customHeight="false" outlineLevel="0" collapsed="false">
      <c r="A30" s="68"/>
      <c r="B30" s="97"/>
      <c r="C30" s="97"/>
      <c r="D30" s="98" t="str">
        <f aca="false">IF(OR(B30="",C30=""),"",(C30-B30)/1000)</f>
        <v/>
      </c>
      <c r="E30" s="82"/>
      <c r="F30" s="33"/>
      <c r="G30" s="31" t="str">
        <f aca="false">IF(D30="","",D30*1000*N(E30)*N(F30))</f>
        <v/>
      </c>
      <c r="H30" s="28"/>
      <c r="I30" s="72"/>
      <c r="J30" s="72"/>
      <c r="K30" s="72"/>
      <c r="L30" s="72"/>
      <c r="M30" s="72"/>
      <c r="N30" s="72"/>
      <c r="O30" s="73" t="str">
        <f aca="false">IF(A30="","",IFERROR(SUMPRODUCT($I$6:$N$6,I30:N30)/SUMPRODUCT($I$6:$N$6*(I30:N30&lt;&gt;"n/a")),0))</f>
        <v/>
      </c>
      <c r="P30" s="74" t="str">
        <f aca="false">IF(A30="","",IF(O30&gt;=1,"Terminé",IF(O30&gt;0,"En cours","Non démarré")))</f>
        <v/>
      </c>
      <c r="Q30" s="98" t="str">
        <f aca="false">IF(O30="","",D30*O30)</f>
        <v/>
      </c>
      <c r="R30" s="72"/>
      <c r="S30" s="70"/>
      <c r="T30" s="33"/>
      <c r="U30" s="74" t="str">
        <f aca="false">IF(AND(R30="",S30="",T30=""),"",IF(AND(OR(R30="",R30&gt;=P_Compacite),OR(S30="",S30&gt;=P_CBR),OR(T30="",T30&gt;=N(F30)-P_TolEp)),"Conforme","Non conforme"))</f>
        <v/>
      </c>
      <c r="V30" s="25"/>
    </row>
    <row r="31" customFormat="false" ht="15" hidden="false" customHeight="false" outlineLevel="0" collapsed="false">
      <c r="A31" s="68"/>
      <c r="B31" s="97"/>
      <c r="C31" s="97"/>
      <c r="D31" s="98" t="str">
        <f aca="false">IF(OR(B31="",C31=""),"",(C31-B31)/1000)</f>
        <v/>
      </c>
      <c r="E31" s="82"/>
      <c r="F31" s="33"/>
      <c r="G31" s="31" t="str">
        <f aca="false">IF(D31="","",D31*1000*N(E31)*N(F31))</f>
        <v/>
      </c>
      <c r="H31" s="28"/>
      <c r="I31" s="72"/>
      <c r="J31" s="72"/>
      <c r="K31" s="72"/>
      <c r="L31" s="72"/>
      <c r="M31" s="72"/>
      <c r="N31" s="72"/>
      <c r="O31" s="73" t="str">
        <f aca="false">IF(A31="","",IFERROR(SUMPRODUCT($I$6:$N$6,I31:N31)/SUMPRODUCT($I$6:$N$6*(I31:N31&lt;&gt;"n/a")),0))</f>
        <v/>
      </c>
      <c r="P31" s="74" t="str">
        <f aca="false">IF(A31="","",IF(O31&gt;=1,"Terminé",IF(O31&gt;0,"En cours","Non démarré")))</f>
        <v/>
      </c>
      <c r="Q31" s="98" t="str">
        <f aca="false">IF(O31="","",D31*O31)</f>
        <v/>
      </c>
      <c r="R31" s="72"/>
      <c r="S31" s="70"/>
      <c r="T31" s="33"/>
      <c r="U31" s="74" t="str">
        <f aca="false">IF(AND(R31="",S31="",T31=""),"",IF(AND(OR(R31="",R31&gt;=P_Compacite),OR(S31="",S31&gt;=P_CBR),OR(T31="",T31&gt;=N(F31)-P_TolEp)),"Conforme","Non conforme"))</f>
        <v/>
      </c>
      <c r="V31" s="25"/>
    </row>
    <row r="32" customFormat="false" ht="15" hidden="false" customHeight="false" outlineLevel="0" collapsed="false">
      <c r="A32" s="68"/>
      <c r="B32" s="97"/>
      <c r="C32" s="97"/>
      <c r="D32" s="98" t="str">
        <f aca="false">IF(OR(B32="",C32=""),"",(C32-B32)/1000)</f>
        <v/>
      </c>
      <c r="E32" s="82"/>
      <c r="F32" s="33"/>
      <c r="G32" s="31" t="str">
        <f aca="false">IF(D32="","",D32*1000*N(E32)*N(F32))</f>
        <v/>
      </c>
      <c r="H32" s="28"/>
      <c r="I32" s="72"/>
      <c r="J32" s="72"/>
      <c r="K32" s="72"/>
      <c r="L32" s="72"/>
      <c r="M32" s="72"/>
      <c r="N32" s="72"/>
      <c r="O32" s="73" t="str">
        <f aca="false">IF(A32="","",IFERROR(SUMPRODUCT($I$6:$N$6,I32:N32)/SUMPRODUCT($I$6:$N$6*(I32:N32&lt;&gt;"n/a")),0))</f>
        <v/>
      </c>
      <c r="P32" s="74" t="str">
        <f aca="false">IF(A32="","",IF(O32&gt;=1,"Terminé",IF(O32&gt;0,"En cours","Non démarré")))</f>
        <v/>
      </c>
      <c r="Q32" s="98" t="str">
        <f aca="false">IF(O32="","",D32*O32)</f>
        <v/>
      </c>
      <c r="R32" s="72"/>
      <c r="S32" s="70"/>
      <c r="T32" s="33"/>
      <c r="U32" s="74" t="str">
        <f aca="false">IF(AND(R32="",S32="",T32=""),"",IF(AND(OR(R32="",R32&gt;=P_Compacite),OR(S32="",S32&gt;=P_CBR),OR(T32="",T32&gt;=N(F32)-P_TolEp)),"Conforme","Non conforme"))</f>
        <v/>
      </c>
      <c r="V32" s="25"/>
    </row>
    <row r="33" customFormat="false" ht="15" hidden="false" customHeight="false" outlineLevel="0" collapsed="false">
      <c r="A33" s="68"/>
      <c r="B33" s="97"/>
      <c r="C33" s="97"/>
      <c r="D33" s="98" t="str">
        <f aca="false">IF(OR(B33="",C33=""),"",(C33-B33)/1000)</f>
        <v/>
      </c>
      <c r="E33" s="82"/>
      <c r="F33" s="33"/>
      <c r="G33" s="31" t="str">
        <f aca="false">IF(D33="","",D33*1000*N(E33)*N(F33))</f>
        <v/>
      </c>
      <c r="H33" s="28"/>
      <c r="I33" s="72"/>
      <c r="J33" s="72"/>
      <c r="K33" s="72"/>
      <c r="L33" s="72"/>
      <c r="M33" s="72"/>
      <c r="N33" s="72"/>
      <c r="O33" s="73" t="str">
        <f aca="false">IF(A33="","",IFERROR(SUMPRODUCT($I$6:$N$6,I33:N33)/SUMPRODUCT($I$6:$N$6*(I33:N33&lt;&gt;"n/a")),0))</f>
        <v/>
      </c>
      <c r="P33" s="74" t="str">
        <f aca="false">IF(A33="","",IF(O33&gt;=1,"Terminé",IF(O33&gt;0,"En cours","Non démarré")))</f>
        <v/>
      </c>
      <c r="Q33" s="98" t="str">
        <f aca="false">IF(O33="","",D33*O33)</f>
        <v/>
      </c>
      <c r="R33" s="72"/>
      <c r="S33" s="70"/>
      <c r="T33" s="33"/>
      <c r="U33" s="74" t="str">
        <f aca="false">IF(AND(R33="",S33="",T33=""),"",IF(AND(OR(R33="",R33&gt;=P_Compacite),OR(S33="",S33&gt;=P_CBR),OR(T33="",T33&gt;=N(F33)-P_TolEp)),"Conforme","Non conforme"))</f>
        <v/>
      </c>
      <c r="V33" s="25"/>
    </row>
    <row r="34" customFormat="false" ht="15" hidden="false" customHeight="false" outlineLevel="0" collapsed="false">
      <c r="A34" s="68"/>
      <c r="B34" s="97"/>
      <c r="C34" s="97"/>
      <c r="D34" s="98" t="str">
        <f aca="false">IF(OR(B34="",C34=""),"",(C34-B34)/1000)</f>
        <v/>
      </c>
      <c r="E34" s="82"/>
      <c r="F34" s="33"/>
      <c r="G34" s="31" t="str">
        <f aca="false">IF(D34="","",D34*1000*N(E34)*N(F34))</f>
        <v/>
      </c>
      <c r="H34" s="28"/>
      <c r="I34" s="72"/>
      <c r="J34" s="72"/>
      <c r="K34" s="72"/>
      <c r="L34" s="72"/>
      <c r="M34" s="72"/>
      <c r="N34" s="72"/>
      <c r="O34" s="73" t="str">
        <f aca="false">IF(A34="","",IFERROR(SUMPRODUCT($I$6:$N$6,I34:N34)/SUMPRODUCT($I$6:$N$6*(I34:N34&lt;&gt;"n/a")),0))</f>
        <v/>
      </c>
      <c r="P34" s="74" t="str">
        <f aca="false">IF(A34="","",IF(O34&gt;=1,"Terminé",IF(O34&gt;0,"En cours","Non démarré")))</f>
        <v/>
      </c>
      <c r="Q34" s="98" t="str">
        <f aca="false">IF(O34="","",D34*O34)</f>
        <v/>
      </c>
      <c r="R34" s="72"/>
      <c r="S34" s="70"/>
      <c r="T34" s="33"/>
      <c r="U34" s="74" t="str">
        <f aca="false">IF(AND(R34="",S34="",T34=""),"",IF(AND(OR(R34="",R34&gt;=P_Compacite),OR(S34="",S34&gt;=P_CBR),OR(T34="",T34&gt;=N(F34)-P_TolEp)),"Conforme","Non conforme"))</f>
        <v/>
      </c>
      <c r="V34" s="25"/>
    </row>
    <row r="35" customFormat="false" ht="15" hidden="false" customHeight="false" outlineLevel="0" collapsed="false">
      <c r="A35" s="68"/>
      <c r="B35" s="97"/>
      <c r="C35" s="97"/>
      <c r="D35" s="98" t="str">
        <f aca="false">IF(OR(B35="",C35=""),"",(C35-B35)/1000)</f>
        <v/>
      </c>
      <c r="E35" s="82"/>
      <c r="F35" s="33"/>
      <c r="G35" s="31" t="str">
        <f aca="false">IF(D35="","",D35*1000*N(E35)*N(F35))</f>
        <v/>
      </c>
      <c r="H35" s="28"/>
      <c r="I35" s="72"/>
      <c r="J35" s="72"/>
      <c r="K35" s="72"/>
      <c r="L35" s="72"/>
      <c r="M35" s="72"/>
      <c r="N35" s="72"/>
      <c r="O35" s="73" t="str">
        <f aca="false">IF(A35="","",IFERROR(SUMPRODUCT($I$6:$N$6,I35:N35)/SUMPRODUCT($I$6:$N$6*(I35:N35&lt;&gt;"n/a")),0))</f>
        <v/>
      </c>
      <c r="P35" s="74" t="str">
        <f aca="false">IF(A35="","",IF(O35&gt;=1,"Terminé",IF(O35&gt;0,"En cours","Non démarré")))</f>
        <v/>
      </c>
      <c r="Q35" s="98" t="str">
        <f aca="false">IF(O35="","",D35*O35)</f>
        <v/>
      </c>
      <c r="R35" s="72"/>
      <c r="S35" s="70"/>
      <c r="T35" s="33"/>
      <c r="U35" s="74" t="str">
        <f aca="false">IF(AND(R35="",S35="",T35=""),"",IF(AND(OR(R35="",R35&gt;=P_Compacite),OR(S35="",S35&gt;=P_CBR),OR(T35="",T35&gt;=N(F35)-P_TolEp)),"Conforme","Non conforme"))</f>
        <v/>
      </c>
      <c r="V35" s="25"/>
    </row>
    <row r="36" customFormat="false" ht="15" hidden="false" customHeight="false" outlineLevel="0" collapsed="false">
      <c r="A36" s="68"/>
      <c r="B36" s="97"/>
      <c r="C36" s="97"/>
      <c r="D36" s="98" t="str">
        <f aca="false">IF(OR(B36="",C36=""),"",(C36-B36)/1000)</f>
        <v/>
      </c>
      <c r="E36" s="82"/>
      <c r="F36" s="33"/>
      <c r="G36" s="31" t="str">
        <f aca="false">IF(D36="","",D36*1000*N(E36)*N(F36))</f>
        <v/>
      </c>
      <c r="H36" s="28"/>
      <c r="I36" s="72"/>
      <c r="J36" s="72"/>
      <c r="K36" s="72"/>
      <c r="L36" s="72"/>
      <c r="M36" s="72"/>
      <c r="N36" s="72"/>
      <c r="O36" s="73" t="str">
        <f aca="false">IF(A36="","",IFERROR(SUMPRODUCT($I$6:$N$6,I36:N36)/SUMPRODUCT($I$6:$N$6*(I36:N36&lt;&gt;"n/a")),0))</f>
        <v/>
      </c>
      <c r="P36" s="74" t="str">
        <f aca="false">IF(A36="","",IF(O36&gt;=1,"Terminé",IF(O36&gt;0,"En cours","Non démarré")))</f>
        <v/>
      </c>
      <c r="Q36" s="98" t="str">
        <f aca="false">IF(O36="","",D36*O36)</f>
        <v/>
      </c>
      <c r="R36" s="72"/>
      <c r="S36" s="70"/>
      <c r="T36" s="33"/>
      <c r="U36" s="74" t="str">
        <f aca="false">IF(AND(R36="",S36="",T36=""),"",IF(AND(OR(R36="",R36&gt;=P_Compacite),OR(S36="",S36&gt;=P_CBR),OR(T36="",T36&gt;=N(F36)-P_TolEp)),"Conforme","Non conforme"))</f>
        <v/>
      </c>
      <c r="V36" s="25"/>
    </row>
    <row r="37" customFormat="false" ht="15" hidden="false" customHeight="false" outlineLevel="0" collapsed="false">
      <c r="A37" s="68"/>
      <c r="B37" s="97"/>
      <c r="C37" s="97"/>
      <c r="D37" s="98" t="str">
        <f aca="false">IF(OR(B37="",C37=""),"",(C37-B37)/1000)</f>
        <v/>
      </c>
      <c r="E37" s="82"/>
      <c r="F37" s="33"/>
      <c r="G37" s="31" t="str">
        <f aca="false">IF(D37="","",D37*1000*N(E37)*N(F37))</f>
        <v/>
      </c>
      <c r="H37" s="28"/>
      <c r="I37" s="72"/>
      <c r="J37" s="72"/>
      <c r="K37" s="72"/>
      <c r="L37" s="72"/>
      <c r="M37" s="72"/>
      <c r="N37" s="72"/>
      <c r="O37" s="73" t="str">
        <f aca="false">IF(A37="","",IFERROR(SUMPRODUCT($I$6:$N$6,I37:N37)/SUMPRODUCT($I$6:$N$6*(I37:N37&lt;&gt;"n/a")),0))</f>
        <v/>
      </c>
      <c r="P37" s="74" t="str">
        <f aca="false">IF(A37="","",IF(O37&gt;=1,"Terminé",IF(O37&gt;0,"En cours","Non démarré")))</f>
        <v/>
      </c>
      <c r="Q37" s="98" t="str">
        <f aca="false">IF(O37="","",D37*O37)</f>
        <v/>
      </c>
      <c r="R37" s="72"/>
      <c r="S37" s="70"/>
      <c r="T37" s="33"/>
      <c r="U37" s="74" t="str">
        <f aca="false">IF(AND(R37="",S37="",T37=""),"",IF(AND(OR(R37="",R37&gt;=P_Compacite),OR(S37="",S37&gt;=P_CBR),OR(T37="",T37&gt;=N(F37)-P_TolEp)),"Conforme","Non conforme"))</f>
        <v/>
      </c>
      <c r="V37" s="25"/>
    </row>
    <row r="38" customFormat="false" ht="15" hidden="false" customHeight="false" outlineLevel="0" collapsed="false">
      <c r="A38" s="68"/>
      <c r="B38" s="97"/>
      <c r="C38" s="97"/>
      <c r="D38" s="98" t="str">
        <f aca="false">IF(OR(B38="",C38=""),"",(C38-B38)/1000)</f>
        <v/>
      </c>
      <c r="E38" s="82"/>
      <c r="F38" s="33"/>
      <c r="G38" s="31" t="str">
        <f aca="false">IF(D38="","",D38*1000*N(E38)*N(F38))</f>
        <v/>
      </c>
      <c r="H38" s="28"/>
      <c r="I38" s="72"/>
      <c r="J38" s="72"/>
      <c r="K38" s="72"/>
      <c r="L38" s="72"/>
      <c r="M38" s="72"/>
      <c r="N38" s="72"/>
      <c r="O38" s="73" t="str">
        <f aca="false">IF(A38="","",IFERROR(SUMPRODUCT($I$6:$N$6,I38:N38)/SUMPRODUCT($I$6:$N$6*(I38:N38&lt;&gt;"n/a")),0))</f>
        <v/>
      </c>
      <c r="P38" s="74" t="str">
        <f aca="false">IF(A38="","",IF(O38&gt;=1,"Terminé",IF(O38&gt;0,"En cours","Non démarré")))</f>
        <v/>
      </c>
      <c r="Q38" s="98" t="str">
        <f aca="false">IF(O38="","",D38*O38)</f>
        <v/>
      </c>
      <c r="R38" s="72"/>
      <c r="S38" s="70"/>
      <c r="T38" s="33"/>
      <c r="U38" s="74" t="str">
        <f aca="false">IF(AND(R38="",S38="",T38=""),"",IF(AND(OR(R38="",R38&gt;=P_Compacite),OR(S38="",S38&gt;=P_CBR),OR(T38="",T38&gt;=N(F38)-P_TolEp)),"Conforme","Non conforme"))</f>
        <v/>
      </c>
      <c r="V38" s="25"/>
    </row>
    <row r="39" customFormat="false" ht="15" hidden="false" customHeight="false" outlineLevel="0" collapsed="false">
      <c r="A39" s="68"/>
      <c r="B39" s="97"/>
      <c r="C39" s="97"/>
      <c r="D39" s="98" t="str">
        <f aca="false">IF(OR(B39="",C39=""),"",(C39-B39)/1000)</f>
        <v/>
      </c>
      <c r="E39" s="82"/>
      <c r="F39" s="33"/>
      <c r="G39" s="31" t="str">
        <f aca="false">IF(D39="","",D39*1000*N(E39)*N(F39))</f>
        <v/>
      </c>
      <c r="H39" s="28"/>
      <c r="I39" s="72"/>
      <c r="J39" s="72"/>
      <c r="K39" s="72"/>
      <c r="L39" s="72"/>
      <c r="M39" s="72"/>
      <c r="N39" s="72"/>
      <c r="O39" s="73" t="str">
        <f aca="false">IF(A39="","",IFERROR(SUMPRODUCT($I$6:$N$6,I39:N39)/SUMPRODUCT($I$6:$N$6*(I39:N39&lt;&gt;"n/a")),0))</f>
        <v/>
      </c>
      <c r="P39" s="74" t="str">
        <f aca="false">IF(A39="","",IF(O39&gt;=1,"Terminé",IF(O39&gt;0,"En cours","Non démarré")))</f>
        <v/>
      </c>
      <c r="Q39" s="98" t="str">
        <f aca="false">IF(O39="","",D39*O39)</f>
        <v/>
      </c>
      <c r="R39" s="72"/>
      <c r="S39" s="70"/>
      <c r="T39" s="33"/>
      <c r="U39" s="74" t="str">
        <f aca="false">IF(AND(R39="",S39="",T39=""),"",IF(AND(OR(R39="",R39&gt;=P_Compacite),OR(S39="",S39&gt;=P_CBR),OR(T39="",T39&gt;=N(F39)-P_TolEp)),"Conforme","Non conforme"))</f>
        <v/>
      </c>
      <c r="V39" s="25"/>
    </row>
    <row r="40" customFormat="false" ht="15" hidden="false" customHeight="false" outlineLevel="0" collapsed="false">
      <c r="A40" s="68"/>
      <c r="B40" s="97"/>
      <c r="C40" s="97"/>
      <c r="D40" s="98" t="str">
        <f aca="false">IF(OR(B40="",C40=""),"",(C40-B40)/1000)</f>
        <v/>
      </c>
      <c r="E40" s="82"/>
      <c r="F40" s="33"/>
      <c r="G40" s="31" t="str">
        <f aca="false">IF(D40="","",D40*1000*N(E40)*N(F40))</f>
        <v/>
      </c>
      <c r="H40" s="28"/>
      <c r="I40" s="72"/>
      <c r="J40" s="72"/>
      <c r="K40" s="72"/>
      <c r="L40" s="72"/>
      <c r="M40" s="72"/>
      <c r="N40" s="72"/>
      <c r="O40" s="73" t="str">
        <f aca="false">IF(A40="","",IFERROR(SUMPRODUCT($I$6:$N$6,I40:N40)/SUMPRODUCT($I$6:$N$6*(I40:N40&lt;&gt;"n/a")),0))</f>
        <v/>
      </c>
      <c r="P40" s="74" t="str">
        <f aca="false">IF(A40="","",IF(O40&gt;=1,"Terminé",IF(O40&gt;0,"En cours","Non démarré")))</f>
        <v/>
      </c>
      <c r="Q40" s="98" t="str">
        <f aca="false">IF(O40="","",D40*O40)</f>
        <v/>
      </c>
      <c r="R40" s="72"/>
      <c r="S40" s="70"/>
      <c r="T40" s="33"/>
      <c r="U40" s="74" t="str">
        <f aca="false">IF(AND(R40="",S40="",T40=""),"",IF(AND(OR(R40="",R40&gt;=P_Compacite),OR(S40="",S40&gt;=P_CBR),OR(T40="",T40&gt;=N(F40)-P_TolEp)),"Conforme","Non conforme"))</f>
        <v/>
      </c>
      <c r="V40" s="25"/>
    </row>
    <row r="41" customFormat="false" ht="15" hidden="false" customHeight="false" outlineLevel="0" collapsed="false">
      <c r="A41" s="68"/>
      <c r="B41" s="97"/>
      <c r="C41" s="97"/>
      <c r="D41" s="98" t="str">
        <f aca="false">IF(OR(B41="",C41=""),"",(C41-B41)/1000)</f>
        <v/>
      </c>
      <c r="E41" s="82"/>
      <c r="F41" s="33"/>
      <c r="G41" s="31" t="str">
        <f aca="false">IF(D41="","",D41*1000*N(E41)*N(F41))</f>
        <v/>
      </c>
      <c r="H41" s="28"/>
      <c r="I41" s="72"/>
      <c r="J41" s="72"/>
      <c r="K41" s="72"/>
      <c r="L41" s="72"/>
      <c r="M41" s="72"/>
      <c r="N41" s="72"/>
      <c r="O41" s="73" t="str">
        <f aca="false">IF(A41="","",IFERROR(SUMPRODUCT($I$6:$N$6,I41:N41)/SUMPRODUCT($I$6:$N$6*(I41:N41&lt;&gt;"n/a")),0))</f>
        <v/>
      </c>
      <c r="P41" s="74" t="str">
        <f aca="false">IF(A41="","",IF(O41&gt;=1,"Terminé",IF(O41&gt;0,"En cours","Non démarré")))</f>
        <v/>
      </c>
      <c r="Q41" s="98" t="str">
        <f aca="false">IF(O41="","",D41*O41)</f>
        <v/>
      </c>
      <c r="R41" s="72"/>
      <c r="S41" s="70"/>
      <c r="T41" s="33"/>
      <c r="U41" s="74" t="str">
        <f aca="false">IF(AND(R41="",S41="",T41=""),"",IF(AND(OR(R41="",R41&gt;=P_Compacite),OR(S41="",S41&gt;=P_CBR),OR(T41="",T41&gt;=N(F41)-P_TolEp)),"Conforme","Non conforme"))</f>
        <v/>
      </c>
      <c r="V41" s="25"/>
    </row>
    <row r="42" customFormat="false" ht="15" hidden="false" customHeight="false" outlineLevel="0" collapsed="false">
      <c r="A42" s="68"/>
      <c r="B42" s="97"/>
      <c r="C42" s="97"/>
      <c r="D42" s="98" t="str">
        <f aca="false">IF(OR(B42="",C42=""),"",(C42-B42)/1000)</f>
        <v/>
      </c>
      <c r="E42" s="82"/>
      <c r="F42" s="33"/>
      <c r="G42" s="31" t="str">
        <f aca="false">IF(D42="","",D42*1000*N(E42)*N(F42))</f>
        <v/>
      </c>
      <c r="H42" s="28"/>
      <c r="I42" s="72"/>
      <c r="J42" s="72"/>
      <c r="K42" s="72"/>
      <c r="L42" s="72"/>
      <c r="M42" s="72"/>
      <c r="N42" s="72"/>
      <c r="O42" s="73" t="str">
        <f aca="false">IF(A42="","",IFERROR(SUMPRODUCT($I$6:$N$6,I42:N42)/SUMPRODUCT($I$6:$N$6*(I42:N42&lt;&gt;"n/a")),0))</f>
        <v/>
      </c>
      <c r="P42" s="74" t="str">
        <f aca="false">IF(A42="","",IF(O42&gt;=1,"Terminé",IF(O42&gt;0,"En cours","Non démarré")))</f>
        <v/>
      </c>
      <c r="Q42" s="98" t="str">
        <f aca="false">IF(O42="","",D42*O42)</f>
        <v/>
      </c>
      <c r="R42" s="72"/>
      <c r="S42" s="70"/>
      <c r="T42" s="33"/>
      <c r="U42" s="74" t="str">
        <f aca="false">IF(AND(R42="",S42="",T42=""),"",IF(AND(OR(R42="",R42&gt;=P_Compacite),OR(S42="",S42&gt;=P_CBR),OR(T42="",T42&gt;=N(F42)-P_TolEp)),"Conforme","Non conforme"))</f>
        <v/>
      </c>
      <c r="V42" s="25"/>
    </row>
    <row r="43" customFormat="false" ht="15" hidden="false" customHeight="false" outlineLevel="0" collapsed="false">
      <c r="A43" s="68"/>
      <c r="B43" s="97"/>
      <c r="C43" s="97"/>
      <c r="D43" s="98" t="str">
        <f aca="false">IF(OR(B43="",C43=""),"",(C43-B43)/1000)</f>
        <v/>
      </c>
      <c r="E43" s="82"/>
      <c r="F43" s="33"/>
      <c r="G43" s="31" t="str">
        <f aca="false">IF(D43="","",D43*1000*N(E43)*N(F43))</f>
        <v/>
      </c>
      <c r="H43" s="28"/>
      <c r="I43" s="72"/>
      <c r="J43" s="72"/>
      <c r="K43" s="72"/>
      <c r="L43" s="72"/>
      <c r="M43" s="72"/>
      <c r="N43" s="72"/>
      <c r="O43" s="73" t="str">
        <f aca="false">IF(A43="","",IFERROR(SUMPRODUCT($I$6:$N$6,I43:N43)/SUMPRODUCT($I$6:$N$6*(I43:N43&lt;&gt;"n/a")),0))</f>
        <v/>
      </c>
      <c r="P43" s="74" t="str">
        <f aca="false">IF(A43="","",IF(O43&gt;=1,"Terminé",IF(O43&gt;0,"En cours","Non démarré")))</f>
        <v/>
      </c>
      <c r="Q43" s="98" t="str">
        <f aca="false">IF(O43="","",D43*O43)</f>
        <v/>
      </c>
      <c r="R43" s="72"/>
      <c r="S43" s="70"/>
      <c r="T43" s="33"/>
      <c r="U43" s="74" t="str">
        <f aca="false">IF(AND(R43="",S43="",T43=""),"",IF(AND(OR(R43="",R43&gt;=P_Compacite),OR(S43="",S43&gt;=P_CBR),OR(T43="",T43&gt;=N(F43)-P_TolEp)),"Conforme","Non conforme"))</f>
        <v/>
      </c>
      <c r="V43" s="25"/>
    </row>
    <row r="44" customFormat="false" ht="15" hidden="false" customHeight="false" outlineLevel="0" collapsed="false">
      <c r="A44" s="68"/>
      <c r="B44" s="97"/>
      <c r="C44" s="97"/>
      <c r="D44" s="98" t="str">
        <f aca="false">IF(OR(B44="",C44=""),"",(C44-B44)/1000)</f>
        <v/>
      </c>
      <c r="E44" s="82"/>
      <c r="F44" s="33"/>
      <c r="G44" s="31" t="str">
        <f aca="false">IF(D44="","",D44*1000*N(E44)*N(F44))</f>
        <v/>
      </c>
      <c r="H44" s="28"/>
      <c r="I44" s="72"/>
      <c r="J44" s="72"/>
      <c r="K44" s="72"/>
      <c r="L44" s="72"/>
      <c r="M44" s="72"/>
      <c r="N44" s="72"/>
      <c r="O44" s="73" t="str">
        <f aca="false">IF(A44="","",IFERROR(SUMPRODUCT($I$6:$N$6,I44:N44)/SUMPRODUCT($I$6:$N$6*(I44:N44&lt;&gt;"n/a")),0))</f>
        <v/>
      </c>
      <c r="P44" s="74" t="str">
        <f aca="false">IF(A44="","",IF(O44&gt;=1,"Terminé",IF(O44&gt;0,"En cours","Non démarré")))</f>
        <v/>
      </c>
      <c r="Q44" s="98" t="str">
        <f aca="false">IF(O44="","",D44*O44)</f>
        <v/>
      </c>
      <c r="R44" s="72"/>
      <c r="S44" s="70"/>
      <c r="T44" s="33"/>
      <c r="U44" s="74" t="str">
        <f aca="false">IF(AND(R44="",S44="",T44=""),"",IF(AND(OR(R44="",R44&gt;=P_Compacite),OR(S44="",S44&gt;=P_CBR),OR(T44="",T44&gt;=N(F44)-P_TolEp)),"Conforme","Non conforme"))</f>
        <v/>
      </c>
      <c r="V44" s="25"/>
    </row>
    <row r="45" customFormat="false" ht="15" hidden="false" customHeight="false" outlineLevel="0" collapsed="false">
      <c r="A45" s="68"/>
      <c r="B45" s="97"/>
      <c r="C45" s="97"/>
      <c r="D45" s="98" t="str">
        <f aca="false">IF(OR(B45="",C45=""),"",(C45-B45)/1000)</f>
        <v/>
      </c>
      <c r="E45" s="82"/>
      <c r="F45" s="33"/>
      <c r="G45" s="31" t="str">
        <f aca="false">IF(D45="","",D45*1000*N(E45)*N(F45))</f>
        <v/>
      </c>
      <c r="H45" s="28"/>
      <c r="I45" s="72"/>
      <c r="J45" s="72"/>
      <c r="K45" s="72"/>
      <c r="L45" s="72"/>
      <c r="M45" s="72"/>
      <c r="N45" s="72"/>
      <c r="O45" s="73" t="str">
        <f aca="false">IF(A45="","",IFERROR(SUMPRODUCT($I$6:$N$6,I45:N45)/SUMPRODUCT($I$6:$N$6*(I45:N45&lt;&gt;"n/a")),0))</f>
        <v/>
      </c>
      <c r="P45" s="74" t="str">
        <f aca="false">IF(A45="","",IF(O45&gt;=1,"Terminé",IF(O45&gt;0,"En cours","Non démarré")))</f>
        <v/>
      </c>
      <c r="Q45" s="98" t="str">
        <f aca="false">IF(O45="","",D45*O45)</f>
        <v/>
      </c>
      <c r="R45" s="72"/>
      <c r="S45" s="70"/>
      <c r="T45" s="33"/>
      <c r="U45" s="74" t="str">
        <f aca="false">IF(AND(R45="",S45="",T45=""),"",IF(AND(OR(R45="",R45&gt;=P_Compacite),OR(S45="",S45&gt;=P_CBR),OR(T45="",T45&gt;=N(F45)-P_TolEp)),"Conforme","Non conforme"))</f>
        <v/>
      </c>
      <c r="V45" s="25"/>
    </row>
    <row r="46" customFormat="false" ht="15" hidden="false" customHeight="false" outlineLevel="0" collapsed="false">
      <c r="A46" s="68"/>
      <c r="B46" s="97"/>
      <c r="C46" s="97"/>
      <c r="D46" s="98" t="str">
        <f aca="false">IF(OR(B46="",C46=""),"",(C46-B46)/1000)</f>
        <v/>
      </c>
      <c r="E46" s="82"/>
      <c r="F46" s="33"/>
      <c r="G46" s="31" t="str">
        <f aca="false">IF(D46="","",D46*1000*N(E46)*N(F46))</f>
        <v/>
      </c>
      <c r="H46" s="28"/>
      <c r="I46" s="72"/>
      <c r="J46" s="72"/>
      <c r="K46" s="72"/>
      <c r="L46" s="72"/>
      <c r="M46" s="72"/>
      <c r="N46" s="72"/>
      <c r="O46" s="73" t="str">
        <f aca="false">IF(A46="","",IFERROR(SUMPRODUCT($I$6:$N$6,I46:N46)/SUMPRODUCT($I$6:$N$6*(I46:N46&lt;&gt;"n/a")),0))</f>
        <v/>
      </c>
      <c r="P46" s="74" t="str">
        <f aca="false">IF(A46="","",IF(O46&gt;=1,"Terminé",IF(O46&gt;0,"En cours","Non démarré")))</f>
        <v/>
      </c>
      <c r="Q46" s="98" t="str">
        <f aca="false">IF(O46="","",D46*O46)</f>
        <v/>
      </c>
      <c r="R46" s="72"/>
      <c r="S46" s="70"/>
      <c r="T46" s="33"/>
      <c r="U46" s="74" t="str">
        <f aca="false">IF(AND(R46="",S46="",T46=""),"",IF(AND(OR(R46="",R46&gt;=P_Compacite),OR(S46="",S46&gt;=P_CBR),OR(T46="",T46&gt;=N(F46)-P_TolEp)),"Conforme","Non conforme"))</f>
        <v/>
      </c>
      <c r="V46" s="25"/>
    </row>
    <row r="47" customFormat="false" ht="15" hidden="false" customHeight="false" outlineLevel="0" collapsed="false">
      <c r="A47" s="68"/>
      <c r="B47" s="97"/>
      <c r="C47" s="97"/>
      <c r="D47" s="98" t="str">
        <f aca="false">IF(OR(B47="",C47=""),"",(C47-B47)/1000)</f>
        <v/>
      </c>
      <c r="E47" s="82"/>
      <c r="F47" s="33"/>
      <c r="G47" s="31" t="str">
        <f aca="false">IF(D47="","",D47*1000*N(E47)*N(F47))</f>
        <v/>
      </c>
      <c r="H47" s="28"/>
      <c r="I47" s="72"/>
      <c r="J47" s="72"/>
      <c r="K47" s="72"/>
      <c r="L47" s="72"/>
      <c r="M47" s="72"/>
      <c r="N47" s="72"/>
      <c r="O47" s="73" t="str">
        <f aca="false">IF(A47="","",IFERROR(SUMPRODUCT($I$6:$N$6,I47:N47)/SUMPRODUCT($I$6:$N$6*(I47:N47&lt;&gt;"n/a")),0))</f>
        <v/>
      </c>
      <c r="P47" s="74" t="str">
        <f aca="false">IF(A47="","",IF(O47&gt;=1,"Terminé",IF(O47&gt;0,"En cours","Non démarré")))</f>
        <v/>
      </c>
      <c r="Q47" s="98" t="str">
        <f aca="false">IF(O47="","",D47*O47)</f>
        <v/>
      </c>
      <c r="R47" s="72"/>
      <c r="S47" s="70"/>
      <c r="T47" s="33"/>
      <c r="U47" s="74" t="str">
        <f aca="false">IF(AND(R47="",S47="",T47=""),"",IF(AND(OR(R47="",R47&gt;=P_Compacite),OR(S47="",S47&gt;=P_CBR),OR(T47="",T47&gt;=N(F47)-P_TolEp)),"Conforme","Non conforme"))</f>
        <v/>
      </c>
      <c r="V47" s="25"/>
    </row>
    <row r="48" customFormat="false" ht="15" hidden="false" customHeight="false" outlineLevel="0" collapsed="false">
      <c r="A48" s="68"/>
      <c r="B48" s="97"/>
      <c r="C48" s="97"/>
      <c r="D48" s="98" t="str">
        <f aca="false">IF(OR(B48="",C48=""),"",(C48-B48)/1000)</f>
        <v/>
      </c>
      <c r="E48" s="82"/>
      <c r="F48" s="33"/>
      <c r="G48" s="31" t="str">
        <f aca="false">IF(D48="","",D48*1000*N(E48)*N(F48))</f>
        <v/>
      </c>
      <c r="H48" s="28"/>
      <c r="I48" s="72"/>
      <c r="J48" s="72"/>
      <c r="K48" s="72"/>
      <c r="L48" s="72"/>
      <c r="M48" s="72"/>
      <c r="N48" s="72"/>
      <c r="O48" s="73" t="str">
        <f aca="false">IF(A48="","",IFERROR(SUMPRODUCT($I$6:$N$6,I48:N48)/SUMPRODUCT($I$6:$N$6*(I48:N48&lt;&gt;"n/a")),0))</f>
        <v/>
      </c>
      <c r="P48" s="74" t="str">
        <f aca="false">IF(A48="","",IF(O48&gt;=1,"Terminé",IF(O48&gt;0,"En cours","Non démarré")))</f>
        <v/>
      </c>
      <c r="Q48" s="98" t="str">
        <f aca="false">IF(O48="","",D48*O48)</f>
        <v/>
      </c>
      <c r="R48" s="72"/>
      <c r="S48" s="70"/>
      <c r="T48" s="33"/>
      <c r="U48" s="74" t="str">
        <f aca="false">IF(AND(R48="",S48="",T48=""),"",IF(AND(OR(R48="",R48&gt;=P_Compacite),OR(S48="",S48&gt;=P_CBR),OR(T48="",T48&gt;=N(F48)-P_TolEp)),"Conforme","Non conforme"))</f>
        <v/>
      </c>
      <c r="V48" s="25"/>
    </row>
    <row r="49" customFormat="false" ht="15" hidden="false" customHeight="false" outlineLevel="0" collapsed="false">
      <c r="A49" s="68"/>
      <c r="B49" s="97"/>
      <c r="C49" s="97"/>
      <c r="D49" s="98" t="str">
        <f aca="false">IF(OR(B49="",C49=""),"",(C49-B49)/1000)</f>
        <v/>
      </c>
      <c r="E49" s="82"/>
      <c r="F49" s="33"/>
      <c r="G49" s="31" t="str">
        <f aca="false">IF(D49="","",D49*1000*N(E49)*N(F49))</f>
        <v/>
      </c>
      <c r="H49" s="28"/>
      <c r="I49" s="72"/>
      <c r="J49" s="72"/>
      <c r="K49" s="72"/>
      <c r="L49" s="72"/>
      <c r="M49" s="72"/>
      <c r="N49" s="72"/>
      <c r="O49" s="73" t="str">
        <f aca="false">IF(A49="","",IFERROR(SUMPRODUCT($I$6:$N$6,I49:N49)/SUMPRODUCT($I$6:$N$6*(I49:N49&lt;&gt;"n/a")),0))</f>
        <v/>
      </c>
      <c r="P49" s="74" t="str">
        <f aca="false">IF(A49="","",IF(O49&gt;=1,"Terminé",IF(O49&gt;0,"En cours","Non démarré")))</f>
        <v/>
      </c>
      <c r="Q49" s="98" t="str">
        <f aca="false">IF(O49="","",D49*O49)</f>
        <v/>
      </c>
      <c r="R49" s="72"/>
      <c r="S49" s="70"/>
      <c r="T49" s="33"/>
      <c r="U49" s="74" t="str">
        <f aca="false">IF(AND(R49="",S49="",T49=""),"",IF(AND(OR(R49="",R49&gt;=P_Compacite),OR(S49="",S49&gt;=P_CBR),OR(T49="",T49&gt;=N(F49)-P_TolEp)),"Conforme","Non conforme"))</f>
        <v/>
      </c>
      <c r="V49" s="25"/>
    </row>
    <row r="50" customFormat="false" ht="15" hidden="false" customHeight="false" outlineLevel="0" collapsed="false">
      <c r="A50" s="68"/>
      <c r="B50" s="97"/>
      <c r="C50" s="97"/>
      <c r="D50" s="98" t="str">
        <f aca="false">IF(OR(B50="",C50=""),"",(C50-B50)/1000)</f>
        <v/>
      </c>
      <c r="E50" s="82"/>
      <c r="F50" s="33"/>
      <c r="G50" s="31" t="str">
        <f aca="false">IF(D50="","",D50*1000*N(E50)*N(F50))</f>
        <v/>
      </c>
      <c r="H50" s="28"/>
      <c r="I50" s="72"/>
      <c r="J50" s="72"/>
      <c r="K50" s="72"/>
      <c r="L50" s="72"/>
      <c r="M50" s="72"/>
      <c r="N50" s="72"/>
      <c r="O50" s="73" t="str">
        <f aca="false">IF(A50="","",IFERROR(SUMPRODUCT($I$6:$N$6,I50:N50)/SUMPRODUCT($I$6:$N$6*(I50:N50&lt;&gt;"n/a")),0))</f>
        <v/>
      </c>
      <c r="P50" s="74" t="str">
        <f aca="false">IF(A50="","",IF(O50&gt;=1,"Terminé",IF(O50&gt;0,"En cours","Non démarré")))</f>
        <v/>
      </c>
      <c r="Q50" s="98" t="str">
        <f aca="false">IF(O50="","",D50*O50)</f>
        <v/>
      </c>
      <c r="R50" s="72"/>
      <c r="S50" s="70"/>
      <c r="T50" s="33"/>
      <c r="U50" s="74" t="str">
        <f aca="false">IF(AND(R50="",S50="",T50=""),"",IF(AND(OR(R50="",R50&gt;=P_Compacite),OR(S50="",S50&gt;=P_CBR),OR(T50="",T50&gt;=N(F50)-P_TolEp)),"Conforme","Non conforme"))</f>
        <v/>
      </c>
      <c r="V50" s="25"/>
    </row>
    <row r="51" customFormat="false" ht="15" hidden="false" customHeight="false" outlineLevel="0" collapsed="false">
      <c r="A51" s="68"/>
      <c r="B51" s="97"/>
      <c r="C51" s="97"/>
      <c r="D51" s="98" t="str">
        <f aca="false">IF(OR(B51="",C51=""),"",(C51-B51)/1000)</f>
        <v/>
      </c>
      <c r="E51" s="82"/>
      <c r="F51" s="33"/>
      <c r="G51" s="31" t="str">
        <f aca="false">IF(D51="","",D51*1000*N(E51)*N(F51))</f>
        <v/>
      </c>
      <c r="H51" s="28"/>
      <c r="I51" s="72"/>
      <c r="J51" s="72"/>
      <c r="K51" s="72"/>
      <c r="L51" s="72"/>
      <c r="M51" s="72"/>
      <c r="N51" s="72"/>
      <c r="O51" s="73" t="str">
        <f aca="false">IF(A51="","",IFERROR(SUMPRODUCT($I$6:$N$6,I51:N51)/SUMPRODUCT($I$6:$N$6*(I51:N51&lt;&gt;"n/a")),0))</f>
        <v/>
      </c>
      <c r="P51" s="74" t="str">
        <f aca="false">IF(A51="","",IF(O51&gt;=1,"Terminé",IF(O51&gt;0,"En cours","Non démarré")))</f>
        <v/>
      </c>
      <c r="Q51" s="98" t="str">
        <f aca="false">IF(O51="","",D51*O51)</f>
        <v/>
      </c>
      <c r="R51" s="72"/>
      <c r="S51" s="70"/>
      <c r="T51" s="33"/>
      <c r="U51" s="74" t="str">
        <f aca="false">IF(AND(R51="",S51="",T51=""),"",IF(AND(OR(R51="",R51&gt;=P_Compacite),OR(S51="",S51&gt;=P_CBR),OR(T51="",T51&gt;=N(F51)-P_TolEp)),"Conforme","Non conforme"))</f>
        <v/>
      </c>
      <c r="V51" s="25"/>
    </row>
    <row r="52" customFormat="false" ht="15" hidden="false" customHeight="false" outlineLevel="0" collapsed="false">
      <c r="A52" s="68"/>
      <c r="B52" s="97"/>
      <c r="C52" s="97"/>
      <c r="D52" s="98" t="str">
        <f aca="false">IF(OR(B52="",C52=""),"",(C52-B52)/1000)</f>
        <v/>
      </c>
      <c r="E52" s="82"/>
      <c r="F52" s="33"/>
      <c r="G52" s="31" t="str">
        <f aca="false">IF(D52="","",D52*1000*N(E52)*N(F52))</f>
        <v/>
      </c>
      <c r="H52" s="28"/>
      <c r="I52" s="72"/>
      <c r="J52" s="72"/>
      <c r="K52" s="72"/>
      <c r="L52" s="72"/>
      <c r="M52" s="72"/>
      <c r="N52" s="72"/>
      <c r="O52" s="73" t="str">
        <f aca="false">IF(A52="","",IFERROR(SUMPRODUCT($I$6:$N$6,I52:N52)/SUMPRODUCT($I$6:$N$6*(I52:N52&lt;&gt;"n/a")),0))</f>
        <v/>
      </c>
      <c r="P52" s="74" t="str">
        <f aca="false">IF(A52="","",IF(O52&gt;=1,"Terminé",IF(O52&gt;0,"En cours","Non démarré")))</f>
        <v/>
      </c>
      <c r="Q52" s="98" t="str">
        <f aca="false">IF(O52="","",D52*O52)</f>
        <v/>
      </c>
      <c r="R52" s="72"/>
      <c r="S52" s="70"/>
      <c r="T52" s="33"/>
      <c r="U52" s="74" t="str">
        <f aca="false">IF(AND(R52="",S52="",T52=""),"",IF(AND(OR(R52="",R52&gt;=P_Compacite),OR(S52="",S52&gt;=P_CBR),OR(T52="",T52&gt;=N(F52)-P_TolEp)),"Conforme","Non conforme"))</f>
        <v/>
      </c>
      <c r="V52" s="25"/>
    </row>
    <row r="53" customFormat="false" ht="15" hidden="false" customHeight="false" outlineLevel="0" collapsed="false">
      <c r="A53" s="68"/>
      <c r="B53" s="97"/>
      <c r="C53" s="97"/>
      <c r="D53" s="98" t="str">
        <f aca="false">IF(OR(B53="",C53=""),"",(C53-B53)/1000)</f>
        <v/>
      </c>
      <c r="E53" s="82"/>
      <c r="F53" s="33"/>
      <c r="G53" s="31" t="str">
        <f aca="false">IF(D53="","",D53*1000*N(E53)*N(F53))</f>
        <v/>
      </c>
      <c r="H53" s="28"/>
      <c r="I53" s="72"/>
      <c r="J53" s="72"/>
      <c r="K53" s="72"/>
      <c r="L53" s="72"/>
      <c r="M53" s="72"/>
      <c r="N53" s="72"/>
      <c r="O53" s="73" t="str">
        <f aca="false">IF(A53="","",IFERROR(SUMPRODUCT($I$6:$N$6,I53:N53)/SUMPRODUCT($I$6:$N$6*(I53:N53&lt;&gt;"n/a")),0))</f>
        <v/>
      </c>
      <c r="P53" s="74" t="str">
        <f aca="false">IF(A53="","",IF(O53&gt;=1,"Terminé",IF(O53&gt;0,"En cours","Non démarré")))</f>
        <v/>
      </c>
      <c r="Q53" s="98" t="str">
        <f aca="false">IF(O53="","",D53*O53)</f>
        <v/>
      </c>
      <c r="R53" s="72"/>
      <c r="S53" s="70"/>
      <c r="T53" s="33"/>
      <c r="U53" s="74" t="str">
        <f aca="false">IF(AND(R53="",S53="",T53=""),"",IF(AND(OR(R53="",R53&gt;=P_Compacite),OR(S53="",S53&gt;=P_CBR),OR(T53="",T53&gt;=N(F53)-P_TolEp)),"Conforme","Non conforme"))</f>
        <v/>
      </c>
      <c r="V53" s="25"/>
    </row>
    <row r="54" customFormat="false" ht="15" hidden="false" customHeight="false" outlineLevel="0" collapsed="false">
      <c r="A54" s="68"/>
      <c r="B54" s="97"/>
      <c r="C54" s="97"/>
      <c r="D54" s="98" t="str">
        <f aca="false">IF(OR(B54="",C54=""),"",(C54-B54)/1000)</f>
        <v/>
      </c>
      <c r="E54" s="82"/>
      <c r="F54" s="33"/>
      <c r="G54" s="31" t="str">
        <f aca="false">IF(D54="","",D54*1000*N(E54)*N(F54))</f>
        <v/>
      </c>
      <c r="H54" s="28"/>
      <c r="I54" s="72"/>
      <c r="J54" s="72"/>
      <c r="K54" s="72"/>
      <c r="L54" s="72"/>
      <c r="M54" s="72"/>
      <c r="N54" s="72"/>
      <c r="O54" s="73" t="str">
        <f aca="false">IF(A54="","",IFERROR(SUMPRODUCT($I$6:$N$6,I54:N54)/SUMPRODUCT($I$6:$N$6*(I54:N54&lt;&gt;"n/a")),0))</f>
        <v/>
      </c>
      <c r="P54" s="74" t="str">
        <f aca="false">IF(A54="","",IF(O54&gt;=1,"Terminé",IF(O54&gt;0,"En cours","Non démarré")))</f>
        <v/>
      </c>
      <c r="Q54" s="98" t="str">
        <f aca="false">IF(O54="","",D54*O54)</f>
        <v/>
      </c>
      <c r="R54" s="72"/>
      <c r="S54" s="70"/>
      <c r="T54" s="33"/>
      <c r="U54" s="74" t="str">
        <f aca="false">IF(AND(R54="",S54="",T54=""),"",IF(AND(OR(R54="",R54&gt;=P_Compacite),OR(S54="",S54&gt;=P_CBR),OR(T54="",T54&gt;=N(F54)-P_TolEp)),"Conforme","Non conforme"))</f>
        <v/>
      </c>
      <c r="V54" s="25"/>
    </row>
    <row r="55" customFormat="false" ht="15" hidden="false" customHeight="false" outlineLevel="0" collapsed="false">
      <c r="A55" s="68"/>
      <c r="B55" s="97"/>
      <c r="C55" s="97"/>
      <c r="D55" s="98" t="str">
        <f aca="false">IF(OR(B55="",C55=""),"",(C55-B55)/1000)</f>
        <v/>
      </c>
      <c r="E55" s="82"/>
      <c r="F55" s="33"/>
      <c r="G55" s="31" t="str">
        <f aca="false">IF(D55="","",D55*1000*N(E55)*N(F55))</f>
        <v/>
      </c>
      <c r="H55" s="28"/>
      <c r="I55" s="72"/>
      <c r="J55" s="72"/>
      <c r="K55" s="72"/>
      <c r="L55" s="72"/>
      <c r="M55" s="72"/>
      <c r="N55" s="72"/>
      <c r="O55" s="73" t="str">
        <f aca="false">IF(A55="","",IFERROR(SUMPRODUCT($I$6:$N$6,I55:N55)/SUMPRODUCT($I$6:$N$6*(I55:N55&lt;&gt;"n/a")),0))</f>
        <v/>
      </c>
      <c r="P55" s="74" t="str">
        <f aca="false">IF(A55="","",IF(O55&gt;=1,"Terminé",IF(O55&gt;0,"En cours","Non démarré")))</f>
        <v/>
      </c>
      <c r="Q55" s="98" t="str">
        <f aca="false">IF(O55="","",D55*O55)</f>
        <v/>
      </c>
      <c r="R55" s="72"/>
      <c r="S55" s="70"/>
      <c r="T55" s="33"/>
      <c r="U55" s="74" t="str">
        <f aca="false">IF(AND(R55="",S55="",T55=""),"",IF(AND(OR(R55="",R55&gt;=P_Compacite),OR(S55="",S55&gt;=P_CBR),OR(T55="",T55&gt;=N(F55)-P_TolEp)),"Conforme","Non conforme"))</f>
        <v/>
      </c>
      <c r="V55" s="25"/>
    </row>
    <row r="56" customFormat="false" ht="15" hidden="false" customHeight="false" outlineLevel="0" collapsed="false">
      <c r="A56" s="68"/>
      <c r="B56" s="97"/>
      <c r="C56" s="97"/>
      <c r="D56" s="98" t="str">
        <f aca="false">IF(OR(B56="",C56=""),"",(C56-B56)/1000)</f>
        <v/>
      </c>
      <c r="E56" s="82"/>
      <c r="F56" s="33"/>
      <c r="G56" s="31" t="str">
        <f aca="false">IF(D56="","",D56*1000*N(E56)*N(F56))</f>
        <v/>
      </c>
      <c r="H56" s="28"/>
      <c r="I56" s="72"/>
      <c r="J56" s="72"/>
      <c r="K56" s="72"/>
      <c r="L56" s="72"/>
      <c r="M56" s="72"/>
      <c r="N56" s="72"/>
      <c r="O56" s="73" t="str">
        <f aca="false">IF(A56="","",IFERROR(SUMPRODUCT($I$6:$N$6,I56:N56)/SUMPRODUCT($I$6:$N$6*(I56:N56&lt;&gt;"n/a")),0))</f>
        <v/>
      </c>
      <c r="P56" s="74" t="str">
        <f aca="false">IF(A56="","",IF(O56&gt;=1,"Terminé",IF(O56&gt;0,"En cours","Non démarré")))</f>
        <v/>
      </c>
      <c r="Q56" s="98" t="str">
        <f aca="false">IF(O56="","",D56*O56)</f>
        <v/>
      </c>
      <c r="R56" s="72"/>
      <c r="S56" s="70"/>
      <c r="T56" s="33"/>
      <c r="U56" s="74" t="str">
        <f aca="false">IF(AND(R56="",S56="",T56=""),"",IF(AND(OR(R56="",R56&gt;=P_Compacite),OR(S56="",S56&gt;=P_CBR),OR(T56="",T56&gt;=N(F56)-P_TolEp)),"Conforme","Non conforme"))</f>
        <v/>
      </c>
      <c r="V56" s="25"/>
    </row>
    <row r="57" customFormat="false" ht="15" hidden="false" customHeight="false" outlineLevel="0" collapsed="false">
      <c r="A57" s="68"/>
      <c r="B57" s="97"/>
      <c r="C57" s="97"/>
      <c r="D57" s="98" t="str">
        <f aca="false">IF(OR(B57="",C57=""),"",(C57-B57)/1000)</f>
        <v/>
      </c>
      <c r="E57" s="82"/>
      <c r="F57" s="33"/>
      <c r="G57" s="31" t="str">
        <f aca="false">IF(D57="","",D57*1000*N(E57)*N(F57))</f>
        <v/>
      </c>
      <c r="H57" s="28"/>
      <c r="I57" s="72"/>
      <c r="J57" s="72"/>
      <c r="K57" s="72"/>
      <c r="L57" s="72"/>
      <c r="M57" s="72"/>
      <c r="N57" s="72"/>
      <c r="O57" s="73" t="str">
        <f aca="false">IF(A57="","",IFERROR(SUMPRODUCT($I$6:$N$6,I57:N57)/SUMPRODUCT($I$6:$N$6*(I57:N57&lt;&gt;"n/a")),0))</f>
        <v/>
      </c>
      <c r="P57" s="74" t="str">
        <f aca="false">IF(A57="","",IF(O57&gt;=1,"Terminé",IF(O57&gt;0,"En cours","Non démarré")))</f>
        <v/>
      </c>
      <c r="Q57" s="98" t="str">
        <f aca="false">IF(O57="","",D57*O57)</f>
        <v/>
      </c>
      <c r="R57" s="72"/>
      <c r="S57" s="70"/>
      <c r="T57" s="33"/>
      <c r="U57" s="74" t="str">
        <f aca="false">IF(AND(R57="",S57="",T57=""),"",IF(AND(OR(R57="",R57&gt;=P_Compacite),OR(S57="",S57&gt;=P_CBR),OR(T57="",T57&gt;=N(F57)-P_TolEp)),"Conforme","Non conforme"))</f>
        <v/>
      </c>
      <c r="V57" s="25"/>
    </row>
    <row r="58" customFormat="false" ht="15" hidden="false" customHeight="false" outlineLevel="0" collapsed="false">
      <c r="A58" s="68"/>
      <c r="B58" s="97"/>
      <c r="C58" s="97"/>
      <c r="D58" s="98" t="str">
        <f aca="false">IF(OR(B58="",C58=""),"",(C58-B58)/1000)</f>
        <v/>
      </c>
      <c r="E58" s="82"/>
      <c r="F58" s="33"/>
      <c r="G58" s="31" t="str">
        <f aca="false">IF(D58="","",D58*1000*N(E58)*N(F58))</f>
        <v/>
      </c>
      <c r="H58" s="28"/>
      <c r="I58" s="72"/>
      <c r="J58" s="72"/>
      <c r="K58" s="72"/>
      <c r="L58" s="72"/>
      <c r="M58" s="72"/>
      <c r="N58" s="72"/>
      <c r="O58" s="73" t="str">
        <f aca="false">IF(A58="","",IFERROR(SUMPRODUCT($I$6:$N$6,I58:N58)/SUMPRODUCT($I$6:$N$6*(I58:N58&lt;&gt;"n/a")),0))</f>
        <v/>
      </c>
      <c r="P58" s="74" t="str">
        <f aca="false">IF(A58="","",IF(O58&gt;=1,"Terminé",IF(O58&gt;0,"En cours","Non démarré")))</f>
        <v/>
      </c>
      <c r="Q58" s="98" t="str">
        <f aca="false">IF(O58="","",D58*O58)</f>
        <v/>
      </c>
      <c r="R58" s="72"/>
      <c r="S58" s="70"/>
      <c r="T58" s="33"/>
      <c r="U58" s="74" t="str">
        <f aca="false">IF(AND(R58="",S58="",T58=""),"",IF(AND(OR(R58="",R58&gt;=P_Compacite),OR(S58="",S58&gt;=P_CBR),OR(T58="",T58&gt;=N(F58)-P_TolEp)),"Conforme","Non conforme"))</f>
        <v/>
      </c>
      <c r="V58" s="25"/>
    </row>
    <row r="59" customFormat="false" ht="15" hidden="false" customHeight="false" outlineLevel="0" collapsed="false">
      <c r="A59" s="68"/>
      <c r="B59" s="97"/>
      <c r="C59" s="97"/>
      <c r="D59" s="98" t="str">
        <f aca="false">IF(OR(B59="",C59=""),"",(C59-B59)/1000)</f>
        <v/>
      </c>
      <c r="E59" s="82"/>
      <c r="F59" s="33"/>
      <c r="G59" s="31" t="str">
        <f aca="false">IF(D59="","",D59*1000*N(E59)*N(F59))</f>
        <v/>
      </c>
      <c r="H59" s="28"/>
      <c r="I59" s="72"/>
      <c r="J59" s="72"/>
      <c r="K59" s="72"/>
      <c r="L59" s="72"/>
      <c r="M59" s="72"/>
      <c r="N59" s="72"/>
      <c r="O59" s="73" t="str">
        <f aca="false">IF(A59="","",IFERROR(SUMPRODUCT($I$6:$N$6,I59:N59)/SUMPRODUCT($I$6:$N$6*(I59:N59&lt;&gt;"n/a")),0))</f>
        <v/>
      </c>
      <c r="P59" s="74" t="str">
        <f aca="false">IF(A59="","",IF(O59&gt;=1,"Terminé",IF(O59&gt;0,"En cours","Non démarré")))</f>
        <v/>
      </c>
      <c r="Q59" s="98" t="str">
        <f aca="false">IF(O59="","",D59*O59)</f>
        <v/>
      </c>
      <c r="R59" s="72"/>
      <c r="S59" s="70"/>
      <c r="T59" s="33"/>
      <c r="U59" s="74" t="str">
        <f aca="false">IF(AND(R59="",S59="",T59=""),"",IF(AND(OR(R59="",R59&gt;=P_Compacite),OR(S59="",S59&gt;=P_CBR),OR(T59="",T59&gt;=N(F59)-P_TolEp)),"Conforme","Non conforme"))</f>
        <v/>
      </c>
      <c r="V59" s="25"/>
    </row>
    <row r="60" customFormat="false" ht="15" hidden="false" customHeight="false" outlineLevel="0" collapsed="false">
      <c r="A60" s="68"/>
      <c r="B60" s="97"/>
      <c r="C60" s="97"/>
      <c r="D60" s="98" t="str">
        <f aca="false">IF(OR(B60="",C60=""),"",(C60-B60)/1000)</f>
        <v/>
      </c>
      <c r="E60" s="82"/>
      <c r="F60" s="33"/>
      <c r="G60" s="31" t="str">
        <f aca="false">IF(D60="","",D60*1000*N(E60)*N(F60))</f>
        <v/>
      </c>
      <c r="H60" s="28"/>
      <c r="I60" s="72"/>
      <c r="J60" s="72"/>
      <c r="K60" s="72"/>
      <c r="L60" s="72"/>
      <c r="M60" s="72"/>
      <c r="N60" s="72"/>
      <c r="O60" s="73" t="str">
        <f aca="false">IF(A60="","",IFERROR(SUMPRODUCT($I$6:$N$6,I60:N60)/SUMPRODUCT($I$6:$N$6*(I60:N60&lt;&gt;"n/a")),0))</f>
        <v/>
      </c>
      <c r="P60" s="74" t="str">
        <f aca="false">IF(A60="","",IF(O60&gt;=1,"Terminé",IF(O60&gt;0,"En cours","Non démarré")))</f>
        <v/>
      </c>
      <c r="Q60" s="98" t="str">
        <f aca="false">IF(O60="","",D60*O60)</f>
        <v/>
      </c>
      <c r="R60" s="72"/>
      <c r="S60" s="70"/>
      <c r="T60" s="33"/>
      <c r="U60" s="74" t="str">
        <f aca="false">IF(AND(R60="",S60="",T60=""),"",IF(AND(OR(R60="",R60&gt;=P_Compacite),OR(S60="",S60&gt;=P_CBR),OR(T60="",T60&gt;=N(F60)-P_TolEp)),"Conforme","Non conforme"))</f>
        <v/>
      </c>
      <c r="V60" s="25"/>
    </row>
    <row r="61" customFormat="false" ht="15" hidden="false" customHeight="false" outlineLevel="0" collapsed="false">
      <c r="A61" s="68"/>
      <c r="B61" s="97"/>
      <c r="C61" s="97"/>
      <c r="D61" s="98" t="str">
        <f aca="false">IF(OR(B61="",C61=""),"",(C61-B61)/1000)</f>
        <v/>
      </c>
      <c r="E61" s="82"/>
      <c r="F61" s="33"/>
      <c r="G61" s="31" t="str">
        <f aca="false">IF(D61="","",D61*1000*N(E61)*N(F61))</f>
        <v/>
      </c>
      <c r="H61" s="28"/>
      <c r="I61" s="72"/>
      <c r="J61" s="72"/>
      <c r="K61" s="72"/>
      <c r="L61" s="72"/>
      <c r="M61" s="72"/>
      <c r="N61" s="72"/>
      <c r="O61" s="73" t="str">
        <f aca="false">IF(A61="","",IFERROR(SUMPRODUCT($I$6:$N$6,I61:N61)/SUMPRODUCT($I$6:$N$6*(I61:N61&lt;&gt;"n/a")),0))</f>
        <v/>
      </c>
      <c r="P61" s="74" t="str">
        <f aca="false">IF(A61="","",IF(O61&gt;=1,"Terminé",IF(O61&gt;0,"En cours","Non démarré")))</f>
        <v/>
      </c>
      <c r="Q61" s="98" t="str">
        <f aca="false">IF(O61="","",D61*O61)</f>
        <v/>
      </c>
      <c r="R61" s="72"/>
      <c r="S61" s="70"/>
      <c r="T61" s="33"/>
      <c r="U61" s="74" t="str">
        <f aca="false">IF(AND(R61="",S61="",T61=""),"",IF(AND(OR(R61="",R61&gt;=P_Compacite),OR(S61="",S61&gt;=P_CBR),OR(T61="",T61&gt;=N(F61)-P_TolEp)),"Conforme","Non conforme"))</f>
        <v/>
      </c>
      <c r="V61" s="25"/>
    </row>
    <row r="62" customFormat="false" ht="15" hidden="false" customHeight="false" outlineLevel="0" collapsed="false">
      <c r="A62" s="68"/>
      <c r="B62" s="97"/>
      <c r="C62" s="97"/>
      <c r="D62" s="98" t="str">
        <f aca="false">IF(OR(B62="",C62=""),"",(C62-B62)/1000)</f>
        <v/>
      </c>
      <c r="E62" s="82"/>
      <c r="F62" s="33"/>
      <c r="G62" s="31" t="str">
        <f aca="false">IF(D62="","",D62*1000*N(E62)*N(F62))</f>
        <v/>
      </c>
      <c r="H62" s="28"/>
      <c r="I62" s="72"/>
      <c r="J62" s="72"/>
      <c r="K62" s="72"/>
      <c r="L62" s="72"/>
      <c r="M62" s="72"/>
      <c r="N62" s="72"/>
      <c r="O62" s="73" t="str">
        <f aca="false">IF(A62="","",IFERROR(SUMPRODUCT($I$6:$N$6,I62:N62)/SUMPRODUCT($I$6:$N$6*(I62:N62&lt;&gt;"n/a")),0))</f>
        <v/>
      </c>
      <c r="P62" s="74" t="str">
        <f aca="false">IF(A62="","",IF(O62&gt;=1,"Terminé",IF(O62&gt;0,"En cours","Non démarré")))</f>
        <v/>
      </c>
      <c r="Q62" s="98" t="str">
        <f aca="false">IF(O62="","",D62*O62)</f>
        <v/>
      </c>
      <c r="R62" s="72"/>
      <c r="S62" s="70"/>
      <c r="T62" s="33"/>
      <c r="U62" s="74" t="str">
        <f aca="false">IF(AND(R62="",S62="",T62=""),"",IF(AND(OR(R62="",R62&gt;=P_Compacite),OR(S62="",S62&gt;=P_CBR),OR(T62="",T62&gt;=N(F62)-P_TolEp)),"Conforme","Non conforme"))</f>
        <v/>
      </c>
      <c r="V62" s="25"/>
    </row>
    <row r="63" customFormat="false" ht="15" hidden="false" customHeight="false" outlineLevel="0" collapsed="false">
      <c r="A63" s="68"/>
      <c r="B63" s="97"/>
      <c r="C63" s="97"/>
      <c r="D63" s="98" t="str">
        <f aca="false">IF(OR(B63="",C63=""),"",(C63-B63)/1000)</f>
        <v/>
      </c>
      <c r="E63" s="82"/>
      <c r="F63" s="33"/>
      <c r="G63" s="31" t="str">
        <f aca="false">IF(D63="","",D63*1000*N(E63)*N(F63))</f>
        <v/>
      </c>
      <c r="H63" s="28"/>
      <c r="I63" s="72"/>
      <c r="J63" s="72"/>
      <c r="K63" s="72"/>
      <c r="L63" s="72"/>
      <c r="M63" s="72"/>
      <c r="N63" s="72"/>
      <c r="O63" s="73" t="str">
        <f aca="false">IF(A63="","",IFERROR(SUMPRODUCT($I$6:$N$6,I63:N63)/SUMPRODUCT($I$6:$N$6*(I63:N63&lt;&gt;"n/a")),0))</f>
        <v/>
      </c>
      <c r="P63" s="74" t="str">
        <f aca="false">IF(A63="","",IF(O63&gt;=1,"Terminé",IF(O63&gt;0,"En cours","Non démarré")))</f>
        <v/>
      </c>
      <c r="Q63" s="98" t="str">
        <f aca="false">IF(O63="","",D63*O63)</f>
        <v/>
      </c>
      <c r="R63" s="72"/>
      <c r="S63" s="70"/>
      <c r="T63" s="33"/>
      <c r="U63" s="74" t="str">
        <f aca="false">IF(AND(R63="",S63="",T63=""),"",IF(AND(OR(R63="",R63&gt;=P_Compacite),OR(S63="",S63&gt;=P_CBR),OR(T63="",T63&gt;=N(F63)-P_TolEp)),"Conforme","Non conforme"))</f>
        <v/>
      </c>
      <c r="V63" s="25"/>
    </row>
    <row r="64" customFormat="false" ht="15" hidden="false" customHeight="false" outlineLevel="0" collapsed="false">
      <c r="A64" s="68"/>
      <c r="B64" s="97"/>
      <c r="C64" s="97"/>
      <c r="D64" s="98" t="str">
        <f aca="false">IF(OR(B64="",C64=""),"",(C64-B64)/1000)</f>
        <v/>
      </c>
      <c r="E64" s="82"/>
      <c r="F64" s="33"/>
      <c r="G64" s="31" t="str">
        <f aca="false">IF(D64="","",D64*1000*N(E64)*N(F64))</f>
        <v/>
      </c>
      <c r="H64" s="28"/>
      <c r="I64" s="72"/>
      <c r="J64" s="72"/>
      <c r="K64" s="72"/>
      <c r="L64" s="72"/>
      <c r="M64" s="72"/>
      <c r="N64" s="72"/>
      <c r="O64" s="73" t="str">
        <f aca="false">IF(A64="","",IFERROR(SUMPRODUCT($I$6:$N$6,I64:N64)/SUMPRODUCT($I$6:$N$6*(I64:N64&lt;&gt;"n/a")),0))</f>
        <v/>
      </c>
      <c r="P64" s="74" t="str">
        <f aca="false">IF(A64="","",IF(O64&gt;=1,"Terminé",IF(O64&gt;0,"En cours","Non démarré")))</f>
        <v/>
      </c>
      <c r="Q64" s="98" t="str">
        <f aca="false">IF(O64="","",D64*O64)</f>
        <v/>
      </c>
      <c r="R64" s="72"/>
      <c r="S64" s="70"/>
      <c r="T64" s="33"/>
      <c r="U64" s="74" t="str">
        <f aca="false">IF(AND(R64="",S64="",T64=""),"",IF(AND(OR(R64="",R64&gt;=P_Compacite),OR(S64="",S64&gt;=P_CBR),OR(T64="",T64&gt;=N(F64)-P_TolEp)),"Conforme","Non conforme"))</f>
        <v/>
      </c>
      <c r="V64" s="25"/>
    </row>
    <row r="65" customFormat="false" ht="15" hidden="false" customHeight="false" outlineLevel="0" collapsed="false">
      <c r="A65" s="68"/>
      <c r="B65" s="97"/>
      <c r="C65" s="97"/>
      <c r="D65" s="98" t="str">
        <f aca="false">IF(OR(B65="",C65=""),"",(C65-B65)/1000)</f>
        <v/>
      </c>
      <c r="E65" s="82"/>
      <c r="F65" s="33"/>
      <c r="G65" s="31" t="str">
        <f aca="false">IF(D65="","",D65*1000*N(E65)*N(F65))</f>
        <v/>
      </c>
      <c r="H65" s="28"/>
      <c r="I65" s="72"/>
      <c r="J65" s="72"/>
      <c r="K65" s="72"/>
      <c r="L65" s="72"/>
      <c r="M65" s="72"/>
      <c r="N65" s="72"/>
      <c r="O65" s="73" t="str">
        <f aca="false">IF(A65="","",IFERROR(SUMPRODUCT($I$6:$N$6,I65:N65)/SUMPRODUCT($I$6:$N$6*(I65:N65&lt;&gt;"n/a")),0))</f>
        <v/>
      </c>
      <c r="P65" s="74" t="str">
        <f aca="false">IF(A65="","",IF(O65&gt;=1,"Terminé",IF(O65&gt;0,"En cours","Non démarré")))</f>
        <v/>
      </c>
      <c r="Q65" s="98" t="str">
        <f aca="false">IF(O65="","",D65*O65)</f>
        <v/>
      </c>
      <c r="R65" s="72"/>
      <c r="S65" s="70"/>
      <c r="T65" s="33"/>
      <c r="U65" s="74" t="str">
        <f aca="false">IF(AND(R65="",S65="",T65=""),"",IF(AND(OR(R65="",R65&gt;=P_Compacite),OR(S65="",S65&gt;=P_CBR),OR(T65="",T65&gt;=N(F65)-P_TolEp)),"Conforme","Non conforme"))</f>
        <v/>
      </c>
      <c r="V65" s="25"/>
    </row>
    <row r="66" customFormat="false" ht="15" hidden="false" customHeight="false" outlineLevel="0" collapsed="false">
      <c r="A66" s="68"/>
      <c r="B66" s="97"/>
      <c r="C66" s="97"/>
      <c r="D66" s="98" t="str">
        <f aca="false">IF(OR(B66="",C66=""),"",(C66-B66)/1000)</f>
        <v/>
      </c>
      <c r="E66" s="82"/>
      <c r="F66" s="33"/>
      <c r="G66" s="31" t="str">
        <f aca="false">IF(D66="","",D66*1000*N(E66)*N(F66))</f>
        <v/>
      </c>
      <c r="H66" s="28"/>
      <c r="I66" s="72"/>
      <c r="J66" s="72"/>
      <c r="K66" s="72"/>
      <c r="L66" s="72"/>
      <c r="M66" s="72"/>
      <c r="N66" s="72"/>
      <c r="O66" s="73" t="str">
        <f aca="false">IF(A66="","",IFERROR(SUMPRODUCT($I$6:$N$6,I66:N66)/SUMPRODUCT($I$6:$N$6*(I66:N66&lt;&gt;"n/a")),0))</f>
        <v/>
      </c>
      <c r="P66" s="74" t="str">
        <f aca="false">IF(A66="","",IF(O66&gt;=1,"Terminé",IF(O66&gt;0,"En cours","Non démarré")))</f>
        <v/>
      </c>
      <c r="Q66" s="98" t="str">
        <f aca="false">IF(O66="","",D66*O66)</f>
        <v/>
      </c>
      <c r="R66" s="72"/>
      <c r="S66" s="70"/>
      <c r="T66" s="33"/>
      <c r="U66" s="74" t="str">
        <f aca="false">IF(AND(R66="",S66="",T66=""),"",IF(AND(OR(R66="",R66&gt;=P_Compacite),OR(S66="",S66&gt;=P_CBR),OR(T66="",T66&gt;=N(F66)-P_TolEp)),"Conforme","Non conforme"))</f>
        <v/>
      </c>
      <c r="V66" s="25"/>
    </row>
    <row r="67" customFormat="false" ht="15" hidden="false" customHeight="false" outlineLevel="0" collapsed="false">
      <c r="A67" s="68"/>
      <c r="B67" s="97"/>
      <c r="C67" s="97"/>
      <c r="D67" s="98" t="str">
        <f aca="false">IF(OR(B67="",C67=""),"",(C67-B67)/1000)</f>
        <v/>
      </c>
      <c r="E67" s="82"/>
      <c r="F67" s="33"/>
      <c r="G67" s="31" t="str">
        <f aca="false">IF(D67="","",D67*1000*N(E67)*N(F67))</f>
        <v/>
      </c>
      <c r="H67" s="28"/>
      <c r="I67" s="72"/>
      <c r="J67" s="72"/>
      <c r="K67" s="72"/>
      <c r="L67" s="72"/>
      <c r="M67" s="72"/>
      <c r="N67" s="72"/>
      <c r="O67" s="73" t="str">
        <f aca="false">IF(A67="","",IFERROR(SUMPRODUCT($I$6:$N$6,I67:N67)/SUMPRODUCT($I$6:$N$6*(I67:N67&lt;&gt;"n/a")),0))</f>
        <v/>
      </c>
      <c r="P67" s="74" t="str">
        <f aca="false">IF(A67="","",IF(O67&gt;=1,"Terminé",IF(O67&gt;0,"En cours","Non démarré")))</f>
        <v/>
      </c>
      <c r="Q67" s="98" t="str">
        <f aca="false">IF(O67="","",D67*O67)</f>
        <v/>
      </c>
      <c r="R67" s="72"/>
      <c r="S67" s="70"/>
      <c r="T67" s="33"/>
      <c r="U67" s="74" t="str">
        <f aca="false">IF(AND(R67="",S67="",T67=""),"",IF(AND(OR(R67="",R67&gt;=P_Compacite),OR(S67="",S67&gt;=P_CBR),OR(T67="",T67&gt;=N(F67)-P_TolEp)),"Conforme","Non conforme"))</f>
        <v/>
      </c>
      <c r="V67" s="25"/>
    </row>
    <row r="68" customFormat="false" ht="15" hidden="false" customHeight="false" outlineLevel="0" collapsed="false">
      <c r="A68" s="68"/>
      <c r="B68" s="97"/>
      <c r="C68" s="97"/>
      <c r="D68" s="98" t="str">
        <f aca="false">IF(OR(B68="",C68=""),"",(C68-B68)/1000)</f>
        <v/>
      </c>
      <c r="E68" s="82"/>
      <c r="F68" s="33"/>
      <c r="G68" s="31" t="str">
        <f aca="false">IF(D68="","",D68*1000*N(E68)*N(F68))</f>
        <v/>
      </c>
      <c r="H68" s="28"/>
      <c r="I68" s="72"/>
      <c r="J68" s="72"/>
      <c r="K68" s="72"/>
      <c r="L68" s="72"/>
      <c r="M68" s="72"/>
      <c r="N68" s="72"/>
      <c r="O68" s="73" t="str">
        <f aca="false">IF(A68="","",IFERROR(SUMPRODUCT($I$6:$N$6,I68:N68)/SUMPRODUCT($I$6:$N$6*(I68:N68&lt;&gt;"n/a")),0))</f>
        <v/>
      </c>
      <c r="P68" s="74" t="str">
        <f aca="false">IF(A68="","",IF(O68&gt;=1,"Terminé",IF(O68&gt;0,"En cours","Non démarré")))</f>
        <v/>
      </c>
      <c r="Q68" s="98" t="str">
        <f aca="false">IF(O68="","",D68*O68)</f>
        <v/>
      </c>
      <c r="R68" s="72"/>
      <c r="S68" s="70"/>
      <c r="T68" s="33"/>
      <c r="U68" s="74" t="str">
        <f aca="false">IF(AND(R68="",S68="",T68=""),"",IF(AND(OR(R68="",R68&gt;=P_Compacite),OR(S68="",S68&gt;=P_CBR),OR(T68="",T68&gt;=N(F68)-P_TolEp)),"Conforme","Non conforme"))</f>
        <v/>
      </c>
      <c r="V68" s="25"/>
    </row>
    <row r="69" customFormat="false" ht="15" hidden="false" customHeight="false" outlineLevel="0" collapsed="false">
      <c r="A69" s="68"/>
      <c r="B69" s="97"/>
      <c r="C69" s="97"/>
      <c r="D69" s="98" t="str">
        <f aca="false">IF(OR(B69="",C69=""),"",(C69-B69)/1000)</f>
        <v/>
      </c>
      <c r="E69" s="82"/>
      <c r="F69" s="33"/>
      <c r="G69" s="31" t="str">
        <f aca="false">IF(D69="","",D69*1000*N(E69)*N(F69))</f>
        <v/>
      </c>
      <c r="H69" s="28"/>
      <c r="I69" s="72"/>
      <c r="J69" s="72"/>
      <c r="K69" s="72"/>
      <c r="L69" s="72"/>
      <c r="M69" s="72"/>
      <c r="N69" s="72"/>
      <c r="O69" s="73" t="str">
        <f aca="false">IF(A69="","",IFERROR(SUMPRODUCT($I$6:$N$6,I69:N69)/SUMPRODUCT($I$6:$N$6*(I69:N69&lt;&gt;"n/a")),0))</f>
        <v/>
      </c>
      <c r="P69" s="74" t="str">
        <f aca="false">IF(A69="","",IF(O69&gt;=1,"Terminé",IF(O69&gt;0,"En cours","Non démarré")))</f>
        <v/>
      </c>
      <c r="Q69" s="98" t="str">
        <f aca="false">IF(O69="","",D69*O69)</f>
        <v/>
      </c>
      <c r="R69" s="72"/>
      <c r="S69" s="70"/>
      <c r="T69" s="33"/>
      <c r="U69" s="74" t="str">
        <f aca="false">IF(AND(R69="",S69="",T69=""),"",IF(AND(OR(R69="",R69&gt;=P_Compacite),OR(S69="",S69&gt;=P_CBR),OR(T69="",T69&gt;=N(F69)-P_TolEp)),"Conforme","Non conforme"))</f>
        <v/>
      </c>
      <c r="V69" s="25"/>
    </row>
    <row r="70" customFormat="false" ht="15" hidden="false" customHeight="false" outlineLevel="0" collapsed="false">
      <c r="A70" s="68"/>
      <c r="B70" s="97"/>
      <c r="C70" s="97"/>
      <c r="D70" s="98" t="str">
        <f aca="false">IF(OR(B70="",C70=""),"",(C70-B70)/1000)</f>
        <v/>
      </c>
      <c r="E70" s="82"/>
      <c r="F70" s="33"/>
      <c r="G70" s="31" t="str">
        <f aca="false">IF(D70="","",D70*1000*N(E70)*N(F70))</f>
        <v/>
      </c>
      <c r="H70" s="28"/>
      <c r="I70" s="72"/>
      <c r="J70" s="72"/>
      <c r="K70" s="72"/>
      <c r="L70" s="72"/>
      <c r="M70" s="72"/>
      <c r="N70" s="72"/>
      <c r="O70" s="73" t="str">
        <f aca="false">IF(A70="","",IFERROR(SUMPRODUCT($I$6:$N$6,I70:N70)/SUMPRODUCT($I$6:$N$6*(I70:N70&lt;&gt;"n/a")),0))</f>
        <v/>
      </c>
      <c r="P70" s="74" t="str">
        <f aca="false">IF(A70="","",IF(O70&gt;=1,"Terminé",IF(O70&gt;0,"En cours","Non démarré")))</f>
        <v/>
      </c>
      <c r="Q70" s="98" t="str">
        <f aca="false">IF(O70="","",D70*O70)</f>
        <v/>
      </c>
      <c r="R70" s="72"/>
      <c r="S70" s="70"/>
      <c r="T70" s="33"/>
      <c r="U70" s="74" t="str">
        <f aca="false">IF(AND(R70="",S70="",T70=""),"",IF(AND(OR(R70="",R70&gt;=P_Compacite),OR(S70="",S70&gt;=P_CBR),OR(T70="",T70&gt;=N(F70)-P_TolEp)),"Conforme","Non conforme"))</f>
        <v/>
      </c>
      <c r="V70" s="25"/>
    </row>
    <row r="71" customFormat="false" ht="15" hidden="false" customHeight="false" outlineLevel="0" collapsed="false">
      <c r="A71" s="68"/>
      <c r="B71" s="97"/>
      <c r="C71" s="97"/>
      <c r="D71" s="98" t="str">
        <f aca="false">IF(OR(B71="",C71=""),"",(C71-B71)/1000)</f>
        <v/>
      </c>
      <c r="E71" s="82"/>
      <c r="F71" s="33"/>
      <c r="G71" s="31" t="str">
        <f aca="false">IF(D71="","",D71*1000*N(E71)*N(F71))</f>
        <v/>
      </c>
      <c r="H71" s="28"/>
      <c r="I71" s="72"/>
      <c r="J71" s="72"/>
      <c r="K71" s="72"/>
      <c r="L71" s="72"/>
      <c r="M71" s="72"/>
      <c r="N71" s="72"/>
      <c r="O71" s="73" t="str">
        <f aca="false">IF(A71="","",IFERROR(SUMPRODUCT($I$6:$N$6,I71:N71)/SUMPRODUCT($I$6:$N$6*(I71:N71&lt;&gt;"n/a")),0))</f>
        <v/>
      </c>
      <c r="P71" s="74" t="str">
        <f aca="false">IF(A71="","",IF(O71&gt;=1,"Terminé",IF(O71&gt;0,"En cours","Non démarré")))</f>
        <v/>
      </c>
      <c r="Q71" s="98" t="str">
        <f aca="false">IF(O71="","",D71*O71)</f>
        <v/>
      </c>
      <c r="R71" s="72"/>
      <c r="S71" s="70"/>
      <c r="T71" s="33"/>
      <c r="U71" s="74" t="str">
        <f aca="false">IF(AND(R71="",S71="",T71=""),"",IF(AND(OR(R71="",R71&gt;=P_Compacite),OR(S71="",S71&gt;=P_CBR),OR(T71="",T71&gt;=N(F71)-P_TolEp)),"Conforme","Non conforme"))</f>
        <v/>
      </c>
      <c r="V71" s="25"/>
    </row>
    <row r="72" customFormat="false" ht="15" hidden="false" customHeight="false" outlineLevel="0" collapsed="false">
      <c r="A72" s="68"/>
      <c r="B72" s="97"/>
      <c r="C72" s="97"/>
      <c r="D72" s="98" t="str">
        <f aca="false">IF(OR(B72="",C72=""),"",(C72-B72)/1000)</f>
        <v/>
      </c>
      <c r="E72" s="82"/>
      <c r="F72" s="33"/>
      <c r="G72" s="31" t="str">
        <f aca="false">IF(D72="","",D72*1000*N(E72)*N(F72))</f>
        <v/>
      </c>
      <c r="H72" s="28"/>
      <c r="I72" s="72"/>
      <c r="J72" s="72"/>
      <c r="K72" s="72"/>
      <c r="L72" s="72"/>
      <c r="M72" s="72"/>
      <c r="N72" s="72"/>
      <c r="O72" s="73" t="str">
        <f aca="false">IF(A72="","",IFERROR(SUMPRODUCT($I$6:$N$6,I72:N72)/SUMPRODUCT($I$6:$N$6*(I72:N72&lt;&gt;"n/a")),0))</f>
        <v/>
      </c>
      <c r="P72" s="74" t="str">
        <f aca="false">IF(A72="","",IF(O72&gt;=1,"Terminé",IF(O72&gt;0,"En cours","Non démarré")))</f>
        <v/>
      </c>
      <c r="Q72" s="98" t="str">
        <f aca="false">IF(O72="","",D72*O72)</f>
        <v/>
      </c>
      <c r="R72" s="72"/>
      <c r="S72" s="70"/>
      <c r="T72" s="33"/>
      <c r="U72" s="74" t="str">
        <f aca="false">IF(AND(R72="",S72="",T72=""),"",IF(AND(OR(R72="",R72&gt;=P_Compacite),OR(S72="",S72&gt;=P_CBR),OR(T72="",T72&gt;=N(F72)-P_TolEp)),"Conforme","Non conforme"))</f>
        <v/>
      </c>
      <c r="V72" s="25"/>
    </row>
    <row r="73" customFormat="false" ht="15" hidden="false" customHeight="false" outlineLevel="0" collapsed="false">
      <c r="A73" s="68"/>
      <c r="B73" s="97"/>
      <c r="C73" s="97"/>
      <c r="D73" s="98" t="str">
        <f aca="false">IF(OR(B73="",C73=""),"",(C73-B73)/1000)</f>
        <v/>
      </c>
      <c r="E73" s="82"/>
      <c r="F73" s="33"/>
      <c r="G73" s="31" t="str">
        <f aca="false">IF(D73="","",D73*1000*N(E73)*N(F73))</f>
        <v/>
      </c>
      <c r="H73" s="28"/>
      <c r="I73" s="72"/>
      <c r="J73" s="72"/>
      <c r="K73" s="72"/>
      <c r="L73" s="72"/>
      <c r="M73" s="72"/>
      <c r="N73" s="72"/>
      <c r="O73" s="73" t="str">
        <f aca="false">IF(A73="","",IFERROR(SUMPRODUCT($I$6:$N$6,I73:N73)/SUMPRODUCT($I$6:$N$6*(I73:N73&lt;&gt;"n/a")),0))</f>
        <v/>
      </c>
      <c r="P73" s="74" t="str">
        <f aca="false">IF(A73="","",IF(O73&gt;=1,"Terminé",IF(O73&gt;0,"En cours","Non démarré")))</f>
        <v/>
      </c>
      <c r="Q73" s="98" t="str">
        <f aca="false">IF(O73="","",D73*O73)</f>
        <v/>
      </c>
      <c r="R73" s="72"/>
      <c r="S73" s="70"/>
      <c r="T73" s="33"/>
      <c r="U73" s="74" t="str">
        <f aca="false">IF(AND(R73="",S73="",T73=""),"",IF(AND(OR(R73="",R73&gt;=P_Compacite),OR(S73="",S73&gt;=P_CBR),OR(T73="",T73&gt;=N(F73)-P_TolEp)),"Conforme","Non conforme"))</f>
        <v/>
      </c>
      <c r="V73" s="25"/>
    </row>
    <row r="74" customFormat="false" ht="15" hidden="false" customHeight="false" outlineLevel="0" collapsed="false">
      <c r="A74" s="68"/>
      <c r="B74" s="97"/>
      <c r="C74" s="97"/>
      <c r="D74" s="98" t="str">
        <f aca="false">IF(OR(B74="",C74=""),"",(C74-B74)/1000)</f>
        <v/>
      </c>
      <c r="E74" s="82"/>
      <c r="F74" s="33"/>
      <c r="G74" s="31" t="str">
        <f aca="false">IF(D74="","",D74*1000*N(E74)*N(F74))</f>
        <v/>
      </c>
      <c r="H74" s="28"/>
      <c r="I74" s="72"/>
      <c r="J74" s="72"/>
      <c r="K74" s="72"/>
      <c r="L74" s="72"/>
      <c r="M74" s="72"/>
      <c r="N74" s="72"/>
      <c r="O74" s="73" t="str">
        <f aca="false">IF(A74="","",IFERROR(SUMPRODUCT($I$6:$N$6,I74:N74)/SUMPRODUCT($I$6:$N$6*(I74:N74&lt;&gt;"n/a")),0))</f>
        <v/>
      </c>
      <c r="P74" s="74" t="str">
        <f aca="false">IF(A74="","",IF(O74&gt;=1,"Terminé",IF(O74&gt;0,"En cours","Non démarré")))</f>
        <v/>
      </c>
      <c r="Q74" s="98" t="str">
        <f aca="false">IF(O74="","",D74*O74)</f>
        <v/>
      </c>
      <c r="R74" s="72"/>
      <c r="S74" s="70"/>
      <c r="T74" s="33"/>
      <c r="U74" s="74" t="str">
        <f aca="false">IF(AND(R74="",S74="",T74=""),"",IF(AND(OR(R74="",R74&gt;=P_Compacite),OR(S74="",S74&gt;=P_CBR),OR(T74="",T74&gt;=N(F74)-P_TolEp)),"Conforme","Non conforme"))</f>
        <v/>
      </c>
      <c r="V74" s="25"/>
    </row>
    <row r="75" customFormat="false" ht="15" hidden="false" customHeight="false" outlineLevel="0" collapsed="false">
      <c r="A75" s="68"/>
      <c r="B75" s="97"/>
      <c r="C75" s="97"/>
      <c r="D75" s="98" t="str">
        <f aca="false">IF(OR(B75="",C75=""),"",(C75-B75)/1000)</f>
        <v/>
      </c>
      <c r="E75" s="82"/>
      <c r="F75" s="33"/>
      <c r="G75" s="31" t="str">
        <f aca="false">IF(D75="","",D75*1000*N(E75)*N(F75))</f>
        <v/>
      </c>
      <c r="H75" s="28"/>
      <c r="I75" s="72"/>
      <c r="J75" s="72"/>
      <c r="K75" s="72"/>
      <c r="L75" s="72"/>
      <c r="M75" s="72"/>
      <c r="N75" s="72"/>
      <c r="O75" s="73" t="str">
        <f aca="false">IF(A75="","",IFERROR(SUMPRODUCT($I$6:$N$6,I75:N75)/SUMPRODUCT($I$6:$N$6*(I75:N75&lt;&gt;"n/a")),0))</f>
        <v/>
      </c>
      <c r="P75" s="74" t="str">
        <f aca="false">IF(A75="","",IF(O75&gt;=1,"Terminé",IF(O75&gt;0,"En cours","Non démarré")))</f>
        <v/>
      </c>
      <c r="Q75" s="98" t="str">
        <f aca="false">IF(O75="","",D75*O75)</f>
        <v/>
      </c>
      <c r="R75" s="72"/>
      <c r="S75" s="70"/>
      <c r="T75" s="33"/>
      <c r="U75" s="74" t="str">
        <f aca="false">IF(AND(R75="",S75="",T75=""),"",IF(AND(OR(R75="",R75&gt;=P_Compacite),OR(S75="",S75&gt;=P_CBR),OR(T75="",T75&gt;=N(F75)-P_TolEp)),"Conforme","Non conforme"))</f>
        <v/>
      </c>
      <c r="V75" s="25"/>
    </row>
    <row r="76" customFormat="false" ht="15" hidden="false" customHeight="false" outlineLevel="0" collapsed="false">
      <c r="A76" s="68"/>
      <c r="B76" s="97"/>
      <c r="C76" s="97"/>
      <c r="D76" s="98" t="str">
        <f aca="false">IF(OR(B76="",C76=""),"",(C76-B76)/1000)</f>
        <v/>
      </c>
      <c r="E76" s="82"/>
      <c r="F76" s="33"/>
      <c r="G76" s="31" t="str">
        <f aca="false">IF(D76="","",D76*1000*N(E76)*N(F76))</f>
        <v/>
      </c>
      <c r="H76" s="28"/>
      <c r="I76" s="72"/>
      <c r="J76" s="72"/>
      <c r="K76" s="72"/>
      <c r="L76" s="72"/>
      <c r="M76" s="72"/>
      <c r="N76" s="72"/>
      <c r="O76" s="73" t="str">
        <f aca="false">IF(A76="","",IFERROR(SUMPRODUCT($I$6:$N$6,I76:N76)/SUMPRODUCT($I$6:$N$6*(I76:N76&lt;&gt;"n/a")),0))</f>
        <v/>
      </c>
      <c r="P76" s="74" t="str">
        <f aca="false">IF(A76="","",IF(O76&gt;=1,"Terminé",IF(O76&gt;0,"En cours","Non démarré")))</f>
        <v/>
      </c>
      <c r="Q76" s="98" t="str">
        <f aca="false">IF(O76="","",D76*O76)</f>
        <v/>
      </c>
      <c r="R76" s="72"/>
      <c r="S76" s="70"/>
      <c r="T76" s="33"/>
      <c r="U76" s="74" t="str">
        <f aca="false">IF(AND(R76="",S76="",T76=""),"",IF(AND(OR(R76="",R76&gt;=P_Compacite),OR(S76="",S76&gt;=P_CBR),OR(T76="",T76&gt;=N(F76)-P_TolEp)),"Conforme","Non conforme"))</f>
        <v/>
      </c>
      <c r="V76" s="25"/>
    </row>
    <row r="77" customFormat="false" ht="15" hidden="false" customHeight="false" outlineLevel="0" collapsed="false">
      <c r="A77" s="68"/>
      <c r="B77" s="97"/>
      <c r="C77" s="97"/>
      <c r="D77" s="98" t="str">
        <f aca="false">IF(OR(B77="",C77=""),"",(C77-B77)/1000)</f>
        <v/>
      </c>
      <c r="E77" s="82"/>
      <c r="F77" s="33"/>
      <c r="G77" s="31" t="str">
        <f aca="false">IF(D77="","",D77*1000*N(E77)*N(F77))</f>
        <v/>
      </c>
      <c r="H77" s="28"/>
      <c r="I77" s="72"/>
      <c r="J77" s="72"/>
      <c r="K77" s="72"/>
      <c r="L77" s="72"/>
      <c r="M77" s="72"/>
      <c r="N77" s="72"/>
      <c r="O77" s="73" t="str">
        <f aca="false">IF(A77="","",IFERROR(SUMPRODUCT($I$6:$N$6,I77:N77)/SUMPRODUCT($I$6:$N$6*(I77:N77&lt;&gt;"n/a")),0))</f>
        <v/>
      </c>
      <c r="P77" s="74" t="str">
        <f aca="false">IF(A77="","",IF(O77&gt;=1,"Terminé",IF(O77&gt;0,"En cours","Non démarré")))</f>
        <v/>
      </c>
      <c r="Q77" s="98" t="str">
        <f aca="false">IF(O77="","",D77*O77)</f>
        <v/>
      </c>
      <c r="R77" s="72"/>
      <c r="S77" s="70"/>
      <c r="T77" s="33"/>
      <c r="U77" s="74" t="str">
        <f aca="false">IF(AND(R77="",S77="",T77=""),"",IF(AND(OR(R77="",R77&gt;=P_Compacite),OR(S77="",S77&gt;=P_CBR),OR(T77="",T77&gt;=N(F77)-P_TolEp)),"Conforme","Non conforme"))</f>
        <v/>
      </c>
      <c r="V77" s="25"/>
    </row>
    <row r="78" customFormat="false" ht="15" hidden="false" customHeight="false" outlineLevel="0" collapsed="false">
      <c r="A78" s="68"/>
      <c r="B78" s="97"/>
      <c r="C78" s="97"/>
      <c r="D78" s="98" t="str">
        <f aca="false">IF(OR(B78="",C78=""),"",(C78-B78)/1000)</f>
        <v/>
      </c>
      <c r="E78" s="82"/>
      <c r="F78" s="33"/>
      <c r="G78" s="31" t="str">
        <f aca="false">IF(D78="","",D78*1000*N(E78)*N(F78))</f>
        <v/>
      </c>
      <c r="H78" s="28"/>
      <c r="I78" s="72"/>
      <c r="J78" s="72"/>
      <c r="K78" s="72"/>
      <c r="L78" s="72"/>
      <c r="M78" s="72"/>
      <c r="N78" s="72"/>
      <c r="O78" s="73" t="str">
        <f aca="false">IF(A78="","",IFERROR(SUMPRODUCT($I$6:$N$6,I78:N78)/SUMPRODUCT($I$6:$N$6*(I78:N78&lt;&gt;"n/a")),0))</f>
        <v/>
      </c>
      <c r="P78" s="74" t="str">
        <f aca="false">IF(A78="","",IF(O78&gt;=1,"Terminé",IF(O78&gt;0,"En cours","Non démarré")))</f>
        <v/>
      </c>
      <c r="Q78" s="98" t="str">
        <f aca="false">IF(O78="","",D78*O78)</f>
        <v/>
      </c>
      <c r="R78" s="72"/>
      <c r="S78" s="70"/>
      <c r="T78" s="33"/>
      <c r="U78" s="74" t="str">
        <f aca="false">IF(AND(R78="",S78="",T78=""),"",IF(AND(OR(R78="",R78&gt;=P_Compacite),OR(S78="",S78&gt;=P_CBR),OR(T78="",T78&gt;=N(F78)-P_TolEp)),"Conforme","Non conforme"))</f>
        <v/>
      </c>
      <c r="V78" s="25"/>
    </row>
    <row r="79" customFormat="false" ht="15" hidden="false" customHeight="false" outlineLevel="0" collapsed="false">
      <c r="A79" s="68"/>
      <c r="B79" s="97"/>
      <c r="C79" s="97"/>
      <c r="D79" s="98" t="str">
        <f aca="false">IF(OR(B79="",C79=""),"",(C79-B79)/1000)</f>
        <v/>
      </c>
      <c r="E79" s="82"/>
      <c r="F79" s="33"/>
      <c r="G79" s="31" t="str">
        <f aca="false">IF(D79="","",D79*1000*N(E79)*N(F79))</f>
        <v/>
      </c>
      <c r="H79" s="28"/>
      <c r="I79" s="72"/>
      <c r="J79" s="72"/>
      <c r="K79" s="72"/>
      <c r="L79" s="72"/>
      <c r="M79" s="72"/>
      <c r="N79" s="72"/>
      <c r="O79" s="73" t="str">
        <f aca="false">IF(A79="","",IFERROR(SUMPRODUCT($I$6:$N$6,I79:N79)/SUMPRODUCT($I$6:$N$6*(I79:N79&lt;&gt;"n/a")),0))</f>
        <v/>
      </c>
      <c r="P79" s="74" t="str">
        <f aca="false">IF(A79="","",IF(O79&gt;=1,"Terminé",IF(O79&gt;0,"En cours","Non démarré")))</f>
        <v/>
      </c>
      <c r="Q79" s="98" t="str">
        <f aca="false">IF(O79="","",D79*O79)</f>
        <v/>
      </c>
      <c r="R79" s="72"/>
      <c r="S79" s="70"/>
      <c r="T79" s="33"/>
      <c r="U79" s="74" t="str">
        <f aca="false">IF(AND(R79="",S79="",T79=""),"",IF(AND(OR(R79="",R79&gt;=P_Compacite),OR(S79="",S79&gt;=P_CBR),OR(T79="",T79&gt;=N(F79)-P_TolEp)),"Conforme","Non conforme"))</f>
        <v/>
      </c>
      <c r="V79" s="25"/>
    </row>
    <row r="80" customFormat="false" ht="15" hidden="false" customHeight="false" outlineLevel="0" collapsed="false">
      <c r="A80" s="68"/>
      <c r="B80" s="97"/>
      <c r="C80" s="97"/>
      <c r="D80" s="98" t="str">
        <f aca="false">IF(OR(B80="",C80=""),"",(C80-B80)/1000)</f>
        <v/>
      </c>
      <c r="E80" s="82"/>
      <c r="F80" s="33"/>
      <c r="G80" s="31" t="str">
        <f aca="false">IF(D80="","",D80*1000*N(E80)*N(F80))</f>
        <v/>
      </c>
      <c r="H80" s="28"/>
      <c r="I80" s="72"/>
      <c r="J80" s="72"/>
      <c r="K80" s="72"/>
      <c r="L80" s="72"/>
      <c r="M80" s="72"/>
      <c r="N80" s="72"/>
      <c r="O80" s="73" t="str">
        <f aca="false">IF(A80="","",IFERROR(SUMPRODUCT($I$6:$N$6,I80:N80)/SUMPRODUCT($I$6:$N$6*(I80:N80&lt;&gt;"n/a")),0))</f>
        <v/>
      </c>
      <c r="P80" s="74" t="str">
        <f aca="false">IF(A80="","",IF(O80&gt;=1,"Terminé",IF(O80&gt;0,"En cours","Non démarré")))</f>
        <v/>
      </c>
      <c r="Q80" s="98" t="str">
        <f aca="false">IF(O80="","",D80*O80)</f>
        <v/>
      </c>
      <c r="R80" s="72"/>
      <c r="S80" s="70"/>
      <c r="T80" s="33"/>
      <c r="U80" s="74" t="str">
        <f aca="false">IF(AND(R80="",S80="",T80=""),"",IF(AND(OR(R80="",R80&gt;=P_Compacite),OR(S80="",S80&gt;=P_CBR),OR(T80="",T80&gt;=N(F80)-P_TolEp)),"Conforme","Non conforme"))</f>
        <v/>
      </c>
      <c r="V80" s="25"/>
    </row>
    <row r="81" customFormat="false" ht="15" hidden="false" customHeight="false" outlineLevel="0" collapsed="false">
      <c r="A81" s="68"/>
      <c r="B81" s="97"/>
      <c r="C81" s="97"/>
      <c r="D81" s="98" t="str">
        <f aca="false">IF(OR(B81="",C81=""),"",(C81-B81)/1000)</f>
        <v/>
      </c>
      <c r="E81" s="82"/>
      <c r="F81" s="33"/>
      <c r="G81" s="31" t="str">
        <f aca="false">IF(D81="","",D81*1000*N(E81)*N(F81))</f>
        <v/>
      </c>
      <c r="H81" s="28"/>
      <c r="I81" s="72"/>
      <c r="J81" s="72"/>
      <c r="K81" s="72"/>
      <c r="L81" s="72"/>
      <c r="M81" s="72"/>
      <c r="N81" s="72"/>
      <c r="O81" s="73" t="str">
        <f aca="false">IF(A81="","",IFERROR(SUMPRODUCT($I$6:$N$6,I81:N81)/SUMPRODUCT($I$6:$N$6*(I81:N81&lt;&gt;"n/a")),0))</f>
        <v/>
      </c>
      <c r="P81" s="74" t="str">
        <f aca="false">IF(A81="","",IF(O81&gt;=1,"Terminé",IF(O81&gt;0,"En cours","Non démarré")))</f>
        <v/>
      </c>
      <c r="Q81" s="98" t="str">
        <f aca="false">IF(O81="","",D81*O81)</f>
        <v/>
      </c>
      <c r="R81" s="72"/>
      <c r="S81" s="70"/>
      <c r="T81" s="33"/>
      <c r="U81" s="74" t="str">
        <f aca="false">IF(AND(R81="",S81="",T81=""),"",IF(AND(OR(R81="",R81&gt;=P_Compacite),OR(S81="",S81&gt;=P_CBR),OR(T81="",T81&gt;=N(F81)-P_TolEp)),"Conforme","Non conforme"))</f>
        <v/>
      </c>
      <c r="V81" s="25"/>
    </row>
    <row r="82" customFormat="false" ht="15" hidden="false" customHeight="false" outlineLevel="0" collapsed="false">
      <c r="A82" s="68"/>
      <c r="B82" s="97"/>
      <c r="C82" s="97"/>
      <c r="D82" s="98" t="str">
        <f aca="false">IF(OR(B82="",C82=""),"",(C82-B82)/1000)</f>
        <v/>
      </c>
      <c r="E82" s="82"/>
      <c r="F82" s="33"/>
      <c r="G82" s="31" t="str">
        <f aca="false">IF(D82="","",D82*1000*N(E82)*N(F82))</f>
        <v/>
      </c>
      <c r="H82" s="28"/>
      <c r="I82" s="72"/>
      <c r="J82" s="72"/>
      <c r="K82" s="72"/>
      <c r="L82" s="72"/>
      <c r="M82" s="72"/>
      <c r="N82" s="72"/>
      <c r="O82" s="73" t="str">
        <f aca="false">IF(A82="","",IFERROR(SUMPRODUCT($I$6:$N$6,I82:N82)/SUMPRODUCT($I$6:$N$6*(I82:N82&lt;&gt;"n/a")),0))</f>
        <v/>
      </c>
      <c r="P82" s="74" t="str">
        <f aca="false">IF(A82="","",IF(O82&gt;=1,"Terminé",IF(O82&gt;0,"En cours","Non démarré")))</f>
        <v/>
      </c>
      <c r="Q82" s="98" t="str">
        <f aca="false">IF(O82="","",D82*O82)</f>
        <v/>
      </c>
      <c r="R82" s="72"/>
      <c r="S82" s="70"/>
      <c r="T82" s="33"/>
      <c r="U82" s="74" t="str">
        <f aca="false">IF(AND(R82="",S82="",T82=""),"",IF(AND(OR(R82="",R82&gt;=P_Compacite),OR(S82="",S82&gt;=P_CBR),OR(T82="",T82&gt;=N(F82)-P_TolEp)),"Conforme","Non conforme"))</f>
        <v/>
      </c>
      <c r="V82" s="25"/>
    </row>
    <row r="83" customFormat="false" ht="15" hidden="false" customHeight="false" outlineLevel="0" collapsed="false">
      <c r="A83" s="68"/>
      <c r="B83" s="97"/>
      <c r="C83" s="97"/>
      <c r="D83" s="98" t="str">
        <f aca="false">IF(OR(B83="",C83=""),"",(C83-B83)/1000)</f>
        <v/>
      </c>
      <c r="E83" s="82"/>
      <c r="F83" s="33"/>
      <c r="G83" s="31" t="str">
        <f aca="false">IF(D83="","",D83*1000*N(E83)*N(F83))</f>
        <v/>
      </c>
      <c r="H83" s="28"/>
      <c r="I83" s="72"/>
      <c r="J83" s="72"/>
      <c r="K83" s="72"/>
      <c r="L83" s="72"/>
      <c r="M83" s="72"/>
      <c r="N83" s="72"/>
      <c r="O83" s="73" t="str">
        <f aca="false">IF(A83="","",IFERROR(SUMPRODUCT($I$6:$N$6,I83:N83)/SUMPRODUCT($I$6:$N$6*(I83:N83&lt;&gt;"n/a")),0))</f>
        <v/>
      </c>
      <c r="P83" s="74" t="str">
        <f aca="false">IF(A83="","",IF(O83&gt;=1,"Terminé",IF(O83&gt;0,"En cours","Non démarré")))</f>
        <v/>
      </c>
      <c r="Q83" s="98" t="str">
        <f aca="false">IF(O83="","",D83*O83)</f>
        <v/>
      </c>
      <c r="R83" s="72"/>
      <c r="S83" s="70"/>
      <c r="T83" s="33"/>
      <c r="U83" s="74" t="str">
        <f aca="false">IF(AND(R83="",S83="",T83=""),"",IF(AND(OR(R83="",R83&gt;=P_Compacite),OR(S83="",S83&gt;=P_CBR),OR(T83="",T83&gt;=N(F83)-P_TolEp)),"Conforme","Non conforme"))</f>
        <v/>
      </c>
      <c r="V83" s="25"/>
    </row>
    <row r="84" customFormat="false" ht="15" hidden="false" customHeight="false" outlineLevel="0" collapsed="false">
      <c r="A84" s="68"/>
      <c r="B84" s="97"/>
      <c r="C84" s="97"/>
      <c r="D84" s="98" t="str">
        <f aca="false">IF(OR(B84="",C84=""),"",(C84-B84)/1000)</f>
        <v/>
      </c>
      <c r="E84" s="82"/>
      <c r="F84" s="33"/>
      <c r="G84" s="31" t="str">
        <f aca="false">IF(D84="","",D84*1000*N(E84)*N(F84))</f>
        <v/>
      </c>
      <c r="H84" s="28"/>
      <c r="I84" s="72"/>
      <c r="J84" s="72"/>
      <c r="K84" s="72"/>
      <c r="L84" s="72"/>
      <c r="M84" s="72"/>
      <c r="N84" s="72"/>
      <c r="O84" s="73" t="str">
        <f aca="false">IF(A84="","",IFERROR(SUMPRODUCT($I$6:$N$6,I84:N84)/SUMPRODUCT($I$6:$N$6*(I84:N84&lt;&gt;"n/a")),0))</f>
        <v/>
      </c>
      <c r="P84" s="74" t="str">
        <f aca="false">IF(A84="","",IF(O84&gt;=1,"Terminé",IF(O84&gt;0,"En cours","Non démarré")))</f>
        <v/>
      </c>
      <c r="Q84" s="98" t="str">
        <f aca="false">IF(O84="","",D84*O84)</f>
        <v/>
      </c>
      <c r="R84" s="72"/>
      <c r="S84" s="70"/>
      <c r="T84" s="33"/>
      <c r="U84" s="74" t="str">
        <f aca="false">IF(AND(R84="",S84="",T84=""),"",IF(AND(OR(R84="",R84&gt;=P_Compacite),OR(S84="",S84&gt;=P_CBR),OR(T84="",T84&gt;=N(F84)-P_TolEp)),"Conforme","Non conforme"))</f>
        <v/>
      </c>
      <c r="V84" s="25"/>
    </row>
    <row r="85" customFormat="false" ht="15" hidden="false" customHeight="false" outlineLevel="0" collapsed="false">
      <c r="A85" s="68"/>
      <c r="B85" s="97"/>
      <c r="C85" s="97"/>
      <c r="D85" s="98" t="str">
        <f aca="false">IF(OR(B85="",C85=""),"",(C85-B85)/1000)</f>
        <v/>
      </c>
      <c r="E85" s="82"/>
      <c r="F85" s="33"/>
      <c r="G85" s="31" t="str">
        <f aca="false">IF(D85="","",D85*1000*N(E85)*N(F85))</f>
        <v/>
      </c>
      <c r="H85" s="28"/>
      <c r="I85" s="72"/>
      <c r="J85" s="72"/>
      <c r="K85" s="72"/>
      <c r="L85" s="72"/>
      <c r="M85" s="72"/>
      <c r="N85" s="72"/>
      <c r="O85" s="73" t="str">
        <f aca="false">IF(A85="","",IFERROR(SUMPRODUCT($I$6:$N$6,I85:N85)/SUMPRODUCT($I$6:$N$6*(I85:N85&lt;&gt;"n/a")),0))</f>
        <v/>
      </c>
      <c r="P85" s="74" t="str">
        <f aca="false">IF(A85="","",IF(O85&gt;=1,"Terminé",IF(O85&gt;0,"En cours","Non démarré")))</f>
        <v/>
      </c>
      <c r="Q85" s="98" t="str">
        <f aca="false">IF(O85="","",D85*O85)</f>
        <v/>
      </c>
      <c r="R85" s="72"/>
      <c r="S85" s="70"/>
      <c r="T85" s="33"/>
      <c r="U85" s="74" t="str">
        <f aca="false">IF(AND(R85="",S85="",T85=""),"",IF(AND(OR(R85="",R85&gt;=P_Compacite),OR(S85="",S85&gt;=P_CBR),OR(T85="",T85&gt;=N(F85)-P_TolEp)),"Conforme","Non conforme"))</f>
        <v/>
      </c>
      <c r="V85" s="25"/>
    </row>
    <row r="86" customFormat="false" ht="15" hidden="false" customHeight="false" outlineLevel="0" collapsed="false">
      <c r="A86" s="68"/>
      <c r="B86" s="97"/>
      <c r="C86" s="97"/>
      <c r="D86" s="98" t="str">
        <f aca="false">IF(OR(B86="",C86=""),"",(C86-B86)/1000)</f>
        <v/>
      </c>
      <c r="E86" s="82"/>
      <c r="F86" s="33"/>
      <c r="G86" s="31" t="str">
        <f aca="false">IF(D86="","",D86*1000*N(E86)*N(F86))</f>
        <v/>
      </c>
      <c r="H86" s="28"/>
      <c r="I86" s="72"/>
      <c r="J86" s="72"/>
      <c r="K86" s="72"/>
      <c r="L86" s="72"/>
      <c r="M86" s="72"/>
      <c r="N86" s="72"/>
      <c r="O86" s="73" t="str">
        <f aca="false">IF(A86="","",IFERROR(SUMPRODUCT($I$6:$N$6,I86:N86)/SUMPRODUCT($I$6:$N$6*(I86:N86&lt;&gt;"n/a")),0))</f>
        <v/>
      </c>
      <c r="P86" s="74" t="str">
        <f aca="false">IF(A86="","",IF(O86&gt;=1,"Terminé",IF(O86&gt;0,"En cours","Non démarré")))</f>
        <v/>
      </c>
      <c r="Q86" s="98" t="str">
        <f aca="false">IF(O86="","",D86*O86)</f>
        <v/>
      </c>
      <c r="R86" s="72"/>
      <c r="S86" s="70"/>
      <c r="T86" s="33"/>
      <c r="U86" s="74" t="str">
        <f aca="false">IF(AND(R86="",S86="",T86=""),"",IF(AND(OR(R86="",R86&gt;=P_Compacite),OR(S86="",S86&gt;=P_CBR),OR(T86="",T86&gt;=N(F86)-P_TolEp)),"Conforme","Non conforme"))</f>
        <v/>
      </c>
      <c r="V86" s="25"/>
    </row>
    <row r="87" customFormat="false" ht="15" hidden="false" customHeight="false" outlineLevel="0" collapsed="false">
      <c r="A87" s="68"/>
      <c r="B87" s="97"/>
      <c r="C87" s="97"/>
      <c r="D87" s="98" t="str">
        <f aca="false">IF(OR(B87="",C87=""),"",(C87-B87)/1000)</f>
        <v/>
      </c>
      <c r="E87" s="82"/>
      <c r="F87" s="33"/>
      <c r="G87" s="31" t="str">
        <f aca="false">IF(D87="","",D87*1000*N(E87)*N(F87))</f>
        <v/>
      </c>
      <c r="H87" s="28"/>
      <c r="I87" s="72"/>
      <c r="J87" s="72"/>
      <c r="K87" s="72"/>
      <c r="L87" s="72"/>
      <c r="M87" s="72"/>
      <c r="N87" s="72"/>
      <c r="O87" s="73" t="str">
        <f aca="false">IF(A87="","",IFERROR(SUMPRODUCT($I$6:$N$6,I87:N87)/SUMPRODUCT($I$6:$N$6*(I87:N87&lt;&gt;"n/a")),0))</f>
        <v/>
      </c>
      <c r="P87" s="74" t="str">
        <f aca="false">IF(A87="","",IF(O87&gt;=1,"Terminé",IF(O87&gt;0,"En cours","Non démarré")))</f>
        <v/>
      </c>
      <c r="Q87" s="98" t="str">
        <f aca="false">IF(O87="","",D87*O87)</f>
        <v/>
      </c>
      <c r="R87" s="72"/>
      <c r="S87" s="70"/>
      <c r="T87" s="33"/>
      <c r="U87" s="74" t="str">
        <f aca="false">IF(AND(R87="",S87="",T87=""),"",IF(AND(OR(R87="",R87&gt;=P_Compacite),OR(S87="",S87&gt;=P_CBR),OR(T87="",T87&gt;=N(F87)-P_TolEp)),"Conforme","Non conforme"))</f>
        <v/>
      </c>
      <c r="V87" s="25"/>
    </row>
  </sheetData>
  <autoFilter ref="A7:V87"/>
  <mergeCells count="5">
    <mergeCell ref="A1:V1"/>
    <mergeCell ref="A2:V2"/>
    <mergeCell ref="A3:V3"/>
    <mergeCell ref="A4:V4"/>
    <mergeCell ref="A5:B5"/>
  </mergeCells>
  <conditionalFormatting sqref="O6">
    <cfRule type="expression" priority="2" aboveAverage="0" equalAverage="0" bottom="0" percent="0" rank="0" text="" dxfId="16">
      <formula>ROUND(O6,4)&lt;&gt;1</formula>
    </cfRule>
  </conditionalFormatting>
  <conditionalFormatting sqref="I8:N87">
    <cfRule type="cellIs" priority="3" operator="equal" aboveAverage="0" equalAverage="0" bottom="0" percent="0" rank="0" text="" dxfId="27">
      <formula>"n/a"</formula>
    </cfRule>
    <cfRule type="colorScale" priority="4">
      <colorScale>
        <cfvo type="num" val="0"/>
        <cfvo type="num" val="1"/>
        <color rgb="FFFFFFFF"/>
        <color rgb="FF81C784"/>
      </colorScale>
    </cfRule>
  </conditionalFormatting>
  <conditionalFormatting sqref="O8:O87">
    <cfRule type="dataBar" priority="5">
      <dataBar showValue="1" minLength="10" maxLength="90">
        <cfvo type="num" val="0"/>
        <cfvo type="num" val="1"/>
        <color rgb="FF43A047"/>
      </dataBar>
      <extLst>
        <ext xmlns:x14="http://schemas.microsoft.com/office/spreadsheetml/2009/9/main" uri="{B025F937-C7B1-47D3-B67F-A62EFF666E3E}">
          <x14:id>{24938C5B-C886-4E59-ACAA-12C662F84F86}</x14:id>
        </ext>
      </extLst>
    </cfRule>
  </conditionalFormatting>
  <conditionalFormatting sqref="P8:P87">
    <cfRule type="cellIs" priority="6" operator="equal" aboveAverage="0" equalAverage="0" bottom="0" percent="0" rank="0" text="" dxfId="2">
      <formula>"En cours"</formula>
    </cfRule>
    <cfRule type="cellIs" priority="7" operator="equal" aboveAverage="0" equalAverage="0" bottom="0" percent="0" rank="0" text="" dxfId="1">
      <formula>"Terminé"</formula>
    </cfRule>
    <cfRule type="cellIs" priority="8" operator="equal" aboveAverage="0" equalAverage="0" bottom="0" percent="0" rank="0" text="" dxfId="5">
      <formula>"Non démarré"</formula>
    </cfRule>
  </conditionalFormatting>
  <conditionalFormatting sqref="U8:U87">
    <cfRule type="cellIs" priority="9" operator="equal" aboveAverage="0" equalAverage="0" bottom="0" percent="0" rank="0" text="" dxfId="3">
      <formula>"Non conforme"</formula>
    </cfRule>
    <cfRule type="cellIs" priority="10" operator="equal" aboveAverage="0" equalAverage="0" bottom="0" percent="0" rank="0" text="" dxfId="1">
      <formula>"Conforme"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938C5B-C886-4E59-ACAA-12C662F84F8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3A047"/>
              <x14:axisColor rgb="FF000000"/>
            </x14:dataBar>
          </x14:cfRule>
          <xm:sqref>O8:O87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true"/>
  </sheetPr>
  <dimension ref="A1:V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3"/>
    <col collapsed="false" customWidth="true" hidden="false" outlineLevel="0" max="19" min="13" style="0" width="11"/>
    <col collapsed="false" customWidth="true" hidden="false" outlineLevel="0" max="21" min="20" style="0" width="12"/>
    <col collapsed="false" customWidth="true" hidden="false" outlineLevel="0" max="22" min="22" style="0" width="24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customFormat="false" ht="19.5" hidden="false" customHeight="true" outlineLevel="0" collapsed="false">
      <c r="A2" s="20" t="s">
        <v>866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30" hidden="false" customHeight="true" outlineLevel="0" collapsed="false">
      <c r="A4" s="21" t="s">
        <v>867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 customFormat="false" ht="15" hidden="false" customHeight="false" outlineLevel="0" collapsed="false">
      <c r="A5" s="92" t="s">
        <v>825</v>
      </c>
      <c r="B5" s="92"/>
      <c r="C5" s="93" t="n">
        <f aca="false">IFERROR(SUMPRODUCT($L$8:$L$67,$S$8:$S$67)/SUM($L$8:$L$67),0)</f>
        <v>0.462228796844182</v>
      </c>
      <c r="D5" s="80" t="s">
        <v>868</v>
      </c>
      <c r="M5" s="5" t="s">
        <v>869</v>
      </c>
      <c r="O5" s="99" t="str">
        <f aca="false">SUMIFS(PC_MlPose,PC_Diam,"Ø800")&amp;" / "&amp;SUMIFS(PC_MlPrev,PC_Diam,"Ø800")</f>
        <v>12 / 48</v>
      </c>
      <c r="P5" s="5" t="s">
        <v>870</v>
      </c>
      <c r="R5" s="99" t="str">
        <f aca="false">SUMIFS(PC_MlPose,PC_Diam,"Ø1000")&amp;" / "&amp;SUMIFS(PC_MlPrev,PC_Diam,"Ø1000")</f>
        <v>24 / 60</v>
      </c>
    </row>
    <row r="6" customFormat="false" ht="15" hidden="false" customHeight="false" outlineLevel="0" collapsed="false">
      <c r="L6" s="94" t="s">
        <v>827</v>
      </c>
      <c r="M6" s="95" t="n">
        <v>0.2</v>
      </c>
      <c r="N6" s="95" t="n">
        <v>0.25</v>
      </c>
      <c r="O6" s="95" t="n">
        <v>0.1</v>
      </c>
      <c r="P6" s="95" t="n">
        <v>0.2</v>
      </c>
      <c r="Q6" s="95" t="n">
        <v>0.1</v>
      </c>
      <c r="R6" s="95" t="n">
        <v>0.15</v>
      </c>
      <c r="S6" s="96" t="n">
        <f aca="false">SUM($M$6:$R$6)</f>
        <v>1</v>
      </c>
    </row>
    <row r="7" customFormat="false" ht="45.75" hidden="false" customHeight="true" outlineLevel="0" collapsed="false">
      <c r="A7" s="23" t="s">
        <v>871</v>
      </c>
      <c r="B7" s="23" t="s">
        <v>872</v>
      </c>
      <c r="C7" s="23" t="s">
        <v>873</v>
      </c>
      <c r="D7" s="23" t="s">
        <v>874</v>
      </c>
      <c r="E7" s="23" t="s">
        <v>875</v>
      </c>
      <c r="F7" s="23" t="s">
        <v>876</v>
      </c>
      <c r="G7" s="23" t="s">
        <v>877</v>
      </c>
      <c r="H7" s="23" t="s">
        <v>878</v>
      </c>
      <c r="I7" s="23" t="s">
        <v>879</v>
      </c>
      <c r="J7" s="23" t="s">
        <v>880</v>
      </c>
      <c r="K7" s="23" t="s">
        <v>881</v>
      </c>
      <c r="L7" s="23" t="s">
        <v>882</v>
      </c>
      <c r="M7" s="23" t="s">
        <v>883</v>
      </c>
      <c r="N7" s="23" t="s">
        <v>884</v>
      </c>
      <c r="O7" s="23" t="s">
        <v>885</v>
      </c>
      <c r="P7" s="23" t="s">
        <v>886</v>
      </c>
      <c r="Q7" s="23" t="s">
        <v>802</v>
      </c>
      <c r="R7" s="23" t="s">
        <v>887</v>
      </c>
      <c r="S7" s="23" t="s">
        <v>840</v>
      </c>
      <c r="T7" s="23" t="s">
        <v>306</v>
      </c>
      <c r="U7" s="23" t="s">
        <v>888</v>
      </c>
      <c r="V7" s="23" t="s">
        <v>579</v>
      </c>
    </row>
    <row r="8" customFormat="false" ht="23.85" hidden="false" customHeight="false" outlineLevel="0" collapsed="false">
      <c r="A8" s="68" t="s">
        <v>889</v>
      </c>
      <c r="B8" s="97" t="n">
        <v>2350</v>
      </c>
      <c r="C8" s="25" t="s">
        <v>890</v>
      </c>
      <c r="D8" s="25" t="s">
        <v>139</v>
      </c>
      <c r="E8" s="28" t="n">
        <v>120</v>
      </c>
      <c r="F8" s="68"/>
      <c r="G8" s="70"/>
      <c r="H8" s="82"/>
      <c r="I8" s="83" t="str">
        <f aca="false">IF(F8="","",N(G8)*N(H8))</f>
        <v/>
      </c>
      <c r="J8" s="82"/>
      <c r="K8" s="70"/>
      <c r="L8" s="28" t="n">
        <v>9000000</v>
      </c>
      <c r="M8" s="72" t="n">
        <v>1</v>
      </c>
      <c r="N8" s="72" t="n">
        <v>1</v>
      </c>
      <c r="O8" s="72" t="s">
        <v>891</v>
      </c>
      <c r="P8" s="72" t="s">
        <v>891</v>
      </c>
      <c r="Q8" s="72" t="s">
        <v>891</v>
      </c>
      <c r="R8" s="72" t="s">
        <v>891</v>
      </c>
      <c r="S8" s="73" t="n">
        <f aca="false">IF(A8="","",IFERROR(SUMPRODUCT($M$6:$R$6,M8:R8)/SUMPRODUCT($M$6:$R$6*(M8:R8&lt;&gt;"n/a")),0))</f>
        <v>1</v>
      </c>
      <c r="T8" s="74" t="str">
        <f aca="false">IF(A8="","",IF(S8&gt;=1,"Terminé",IF(S8&gt;0,"En cours","Non démarré")))</f>
        <v>Terminé</v>
      </c>
      <c r="U8" s="68" t="s">
        <v>137</v>
      </c>
      <c r="V8" s="25"/>
    </row>
    <row r="9" customFormat="false" ht="15" hidden="false" customHeight="false" outlineLevel="0" collapsed="false">
      <c r="A9" s="68" t="s">
        <v>892</v>
      </c>
      <c r="B9" s="97" t="n">
        <v>4800</v>
      </c>
      <c r="C9" s="25" t="s">
        <v>893</v>
      </c>
      <c r="D9" s="25" t="s">
        <v>181</v>
      </c>
      <c r="E9" s="28" t="n">
        <v>60</v>
      </c>
      <c r="F9" s="68" t="s">
        <v>159</v>
      </c>
      <c r="G9" s="70" t="n">
        <v>2</v>
      </c>
      <c r="H9" s="82" t="n">
        <v>12</v>
      </c>
      <c r="I9" s="83" t="n">
        <f aca="false">IF(F9="","",N(G9)*N(H9))</f>
        <v>24</v>
      </c>
      <c r="J9" s="82" t="n">
        <v>24</v>
      </c>
      <c r="K9" s="70" t="n">
        <v>2</v>
      </c>
      <c r="L9" s="28" t="n">
        <v>14000000</v>
      </c>
      <c r="M9" s="72" t="n">
        <v>1</v>
      </c>
      <c r="N9" s="72" t="n">
        <v>1</v>
      </c>
      <c r="O9" s="72" t="n">
        <v>1</v>
      </c>
      <c r="P9" s="72" t="n">
        <v>1</v>
      </c>
      <c r="Q9" s="72" t="n">
        <v>1</v>
      </c>
      <c r="R9" s="72" t="n">
        <v>0.3</v>
      </c>
      <c r="S9" s="73" t="n">
        <f aca="false">IF(A9="","",IFERROR(SUMPRODUCT($M$6:$R$6,M9:R9)/SUMPRODUCT($M$6:$R$6*(M9:R9&lt;&gt;"n/a")),0))</f>
        <v>0.895</v>
      </c>
      <c r="T9" s="74" t="str">
        <f aca="false">IF(A9="","",IF(S9&gt;=1,"Terminé",IF(S9&gt;0,"En cours","Non démarré")))</f>
        <v>En cours</v>
      </c>
      <c r="U9" s="68" t="s">
        <v>137</v>
      </c>
      <c r="V9" s="25"/>
    </row>
    <row r="10" customFormat="false" ht="15" hidden="false" customHeight="false" outlineLevel="0" collapsed="false">
      <c r="A10" s="68" t="s">
        <v>894</v>
      </c>
      <c r="B10" s="97" t="n">
        <v>6100</v>
      </c>
      <c r="C10" s="25" t="s">
        <v>895</v>
      </c>
      <c r="D10" s="25" t="s">
        <v>181</v>
      </c>
      <c r="E10" s="28" t="n">
        <v>30</v>
      </c>
      <c r="F10" s="68" t="s">
        <v>138</v>
      </c>
      <c r="G10" s="70" t="n">
        <v>1</v>
      </c>
      <c r="H10" s="82" t="n">
        <v>12</v>
      </c>
      <c r="I10" s="83" t="n">
        <f aca="false">IF(F10="","",N(G10)*N(H10))</f>
        <v>12</v>
      </c>
      <c r="J10" s="82" t="n">
        <v>12</v>
      </c>
      <c r="K10" s="70" t="n">
        <v>2</v>
      </c>
      <c r="L10" s="28" t="n">
        <v>6500000</v>
      </c>
      <c r="M10" s="72" t="n">
        <v>1</v>
      </c>
      <c r="N10" s="72" t="n">
        <v>1</v>
      </c>
      <c r="O10" s="72" t="n">
        <v>1</v>
      </c>
      <c r="P10" s="72" t="n">
        <v>1</v>
      </c>
      <c r="Q10" s="72" t="n">
        <v>1</v>
      </c>
      <c r="R10" s="72" t="n">
        <v>1</v>
      </c>
      <c r="S10" s="73" t="n">
        <f aca="false">IF(A10="","",IFERROR(SUMPRODUCT($M$6:$R$6,M10:R10)/SUMPRODUCT($M$6:$R$6*(M10:R10&lt;&gt;"n/a")),0))</f>
        <v>1</v>
      </c>
      <c r="T10" s="74" t="str">
        <f aca="false">IF(A10="","",IF(S10&gt;=1,"Terminé",IF(S10&gt;0,"En cours","Non démarré")))</f>
        <v>Terminé</v>
      </c>
      <c r="U10" s="68" t="s">
        <v>137</v>
      </c>
      <c r="V10" s="25"/>
    </row>
    <row r="11" customFormat="false" ht="23.85" hidden="false" customHeight="false" outlineLevel="0" collapsed="false">
      <c r="A11" s="68" t="s">
        <v>896</v>
      </c>
      <c r="B11" s="97" t="n">
        <v>8400</v>
      </c>
      <c r="C11" s="25" t="s">
        <v>897</v>
      </c>
      <c r="D11" s="25" t="s">
        <v>181</v>
      </c>
      <c r="E11" s="28" t="n">
        <v>40</v>
      </c>
      <c r="F11" s="68" t="s">
        <v>138</v>
      </c>
      <c r="G11" s="70" t="n">
        <v>2</v>
      </c>
      <c r="H11" s="82" t="n">
        <v>12</v>
      </c>
      <c r="I11" s="83" t="n">
        <f aca="false">IF(F11="","",N(G11)*N(H11))</f>
        <v>24</v>
      </c>
      <c r="J11" s="82" t="n">
        <v>0</v>
      </c>
      <c r="K11" s="70" t="n">
        <v>2</v>
      </c>
      <c r="L11" s="28" t="n">
        <v>9000000</v>
      </c>
      <c r="M11" s="72" t="n">
        <v>1</v>
      </c>
      <c r="N11" s="72" t="n">
        <v>0.5</v>
      </c>
      <c r="O11" s="72" t="n">
        <v>0.3</v>
      </c>
      <c r="P11" s="72" t="n">
        <v>0</v>
      </c>
      <c r="Q11" s="72" t="n">
        <v>0</v>
      </c>
      <c r="R11" s="72" t="n">
        <v>0</v>
      </c>
      <c r="S11" s="73" t="n">
        <f aca="false">IF(A11="","",IFERROR(SUMPRODUCT($M$6:$R$6,M11:R11)/SUMPRODUCT($M$6:$R$6*(M11:R11&lt;&gt;"n/a")),0))</f>
        <v>0.355</v>
      </c>
      <c r="T11" s="74" t="str">
        <f aca="false">IF(A11="","",IF(S11&gt;=1,"Terminé",IF(S11&gt;0,"En cours","Non démarré")))</f>
        <v>En cours</v>
      </c>
      <c r="U11" s="68" t="s">
        <v>898</v>
      </c>
      <c r="V11" s="25"/>
    </row>
    <row r="12" customFormat="false" ht="15" hidden="false" customHeight="false" outlineLevel="0" collapsed="false">
      <c r="A12" s="68" t="s">
        <v>899</v>
      </c>
      <c r="B12" s="97" t="n">
        <v>11200</v>
      </c>
      <c r="C12" s="25" t="s">
        <v>900</v>
      </c>
      <c r="D12" s="25" t="s">
        <v>139</v>
      </c>
      <c r="E12" s="28" t="n">
        <v>250</v>
      </c>
      <c r="F12" s="68"/>
      <c r="G12" s="70"/>
      <c r="H12" s="82"/>
      <c r="I12" s="83" t="str">
        <f aca="false">IF(F12="","",N(G12)*N(H12))</f>
        <v/>
      </c>
      <c r="J12" s="82"/>
      <c r="K12" s="70"/>
      <c r="L12" s="28" t="n">
        <v>16000000</v>
      </c>
      <c r="M12" s="72" t="n">
        <v>0.6</v>
      </c>
      <c r="N12" s="72" t="n">
        <v>0.3</v>
      </c>
      <c r="O12" s="72" t="s">
        <v>891</v>
      </c>
      <c r="P12" s="72" t="s">
        <v>891</v>
      </c>
      <c r="Q12" s="72" t="s">
        <v>891</v>
      </c>
      <c r="R12" s="72" t="s">
        <v>891</v>
      </c>
      <c r="S12" s="73" t="n">
        <f aca="false">IF(A12="","",IFERROR(SUMPRODUCT($M$6:$R$6,M12:R12)/SUMPRODUCT($M$6:$R$6*(M12:R12&lt;&gt;"n/a")),0))</f>
        <v>0.433333333333333</v>
      </c>
      <c r="T12" s="74" t="str">
        <f aca="false">IF(A12="","",IF(S12&gt;=1,"Terminé",IF(S12&gt;0,"En cours","Non démarré")))</f>
        <v>En cours</v>
      </c>
      <c r="U12" s="68" t="s">
        <v>898</v>
      </c>
      <c r="V12" s="25"/>
    </row>
    <row r="13" customFormat="false" ht="23.85" hidden="false" customHeight="false" outlineLevel="0" collapsed="false">
      <c r="A13" s="68" t="s">
        <v>901</v>
      </c>
      <c r="B13" s="97" t="n">
        <v>13650</v>
      </c>
      <c r="C13" s="25" t="s">
        <v>902</v>
      </c>
      <c r="D13" s="25" t="s">
        <v>181</v>
      </c>
      <c r="E13" s="28" t="n">
        <v>50</v>
      </c>
      <c r="F13" s="68" t="s">
        <v>159</v>
      </c>
      <c r="G13" s="70" t="n">
        <v>3</v>
      </c>
      <c r="H13" s="82" t="n">
        <v>12</v>
      </c>
      <c r="I13" s="83" t="n">
        <f aca="false">IF(F13="","",N(G13)*N(H13))</f>
        <v>36</v>
      </c>
      <c r="J13" s="82" t="n">
        <v>0</v>
      </c>
      <c r="K13" s="70" t="n">
        <v>2</v>
      </c>
      <c r="L13" s="28" t="n">
        <v>15000000</v>
      </c>
      <c r="M13" s="72" t="n">
        <v>0.3</v>
      </c>
      <c r="N13" s="72" t="n">
        <v>0</v>
      </c>
      <c r="O13" s="72" t="n">
        <v>0</v>
      </c>
      <c r="P13" s="72" t="n">
        <v>0</v>
      </c>
      <c r="Q13" s="72" t="n">
        <v>0</v>
      </c>
      <c r="R13" s="72" t="n">
        <v>0</v>
      </c>
      <c r="S13" s="73" t="n">
        <f aca="false">IF(A13="","",IFERROR(SUMPRODUCT($M$6:$R$6,M13:R13)/SUMPRODUCT($M$6:$R$6*(M13:R13&lt;&gt;"n/a")),0))</f>
        <v>0.06</v>
      </c>
      <c r="T13" s="74" t="str">
        <f aca="false">IF(A13="","",IF(S13&gt;=1,"Terminé",IF(S13&gt;0,"En cours","Non démarré")))</f>
        <v>En cours</v>
      </c>
      <c r="U13" s="68"/>
      <c r="V13" s="25"/>
    </row>
    <row r="14" customFormat="false" ht="15" hidden="false" customHeight="false" outlineLevel="0" collapsed="false">
      <c r="A14" s="68" t="s">
        <v>903</v>
      </c>
      <c r="B14" s="97" t="n">
        <v>15900</v>
      </c>
      <c r="C14" s="25" t="s">
        <v>895</v>
      </c>
      <c r="D14" s="25" t="s">
        <v>181</v>
      </c>
      <c r="E14" s="28" t="n">
        <v>30</v>
      </c>
      <c r="F14" s="68" t="s">
        <v>138</v>
      </c>
      <c r="G14" s="70" t="n">
        <v>1</v>
      </c>
      <c r="H14" s="82" t="n">
        <v>12</v>
      </c>
      <c r="I14" s="83" t="n">
        <f aca="false">IF(F14="","",N(G14)*N(H14))</f>
        <v>12</v>
      </c>
      <c r="J14" s="82" t="n">
        <v>0</v>
      </c>
      <c r="K14" s="70" t="n">
        <v>2</v>
      </c>
      <c r="L14" s="28" t="n">
        <v>5000000</v>
      </c>
      <c r="M14" s="72" t="n">
        <v>0</v>
      </c>
      <c r="N14" s="72" t="n">
        <v>0</v>
      </c>
      <c r="O14" s="72" t="n">
        <v>0</v>
      </c>
      <c r="P14" s="72" t="n">
        <v>0</v>
      </c>
      <c r="Q14" s="72" t="n">
        <v>0</v>
      </c>
      <c r="R14" s="72" t="n">
        <v>0</v>
      </c>
      <c r="S14" s="73" t="n">
        <f aca="false">IF(A14="","",IFERROR(SUMPRODUCT($M$6:$R$6,M14:R14)/SUMPRODUCT($M$6:$R$6*(M14:R14&lt;&gt;"n/a")),0))</f>
        <v>0</v>
      </c>
      <c r="T14" s="74" t="str">
        <f aca="false">IF(A14="","",IF(S14&gt;=1,"Terminé",IF(S14&gt;0,"En cours","Non démarré")))</f>
        <v>Non démarré</v>
      </c>
      <c r="U14" s="68"/>
      <c r="V14" s="25"/>
    </row>
    <row r="15" customFormat="false" ht="15" hidden="false" customHeight="false" outlineLevel="0" collapsed="false">
      <c r="A15" s="68" t="s">
        <v>904</v>
      </c>
      <c r="B15" s="97" t="n">
        <v>18300</v>
      </c>
      <c r="C15" s="25" t="s">
        <v>905</v>
      </c>
      <c r="D15" s="25" t="s">
        <v>139</v>
      </c>
      <c r="E15" s="28" t="n">
        <v>150</v>
      </c>
      <c r="F15" s="68"/>
      <c r="G15" s="70"/>
      <c r="H15" s="82"/>
      <c r="I15" s="83" t="str">
        <f aca="false">IF(F15="","",N(G15)*N(H15))</f>
        <v/>
      </c>
      <c r="J15" s="82"/>
      <c r="K15" s="70"/>
      <c r="L15" s="28" t="n">
        <v>10000000</v>
      </c>
      <c r="M15" s="72" t="n">
        <v>0</v>
      </c>
      <c r="N15" s="72" t="n">
        <v>0</v>
      </c>
      <c r="O15" s="72" t="s">
        <v>891</v>
      </c>
      <c r="P15" s="72" t="s">
        <v>891</v>
      </c>
      <c r="Q15" s="72" t="s">
        <v>891</v>
      </c>
      <c r="R15" s="72" t="s">
        <v>891</v>
      </c>
      <c r="S15" s="73" t="n">
        <f aca="false">IF(A15="","",IFERROR(SUMPRODUCT($M$6:$R$6,M15:R15)/SUMPRODUCT($M$6:$R$6*(M15:R15&lt;&gt;"n/a")),0))</f>
        <v>0</v>
      </c>
      <c r="T15" s="74" t="str">
        <f aca="false">IF(A15="","",IF(S15&gt;=1,"Terminé",IF(S15&gt;0,"En cours","Non démarré")))</f>
        <v>Non démarré</v>
      </c>
      <c r="U15" s="68"/>
      <c r="V15" s="25"/>
    </row>
    <row r="16" customFormat="false" ht="15" hidden="false" customHeight="false" outlineLevel="0" collapsed="false">
      <c r="A16" s="68"/>
      <c r="B16" s="97"/>
      <c r="C16" s="25"/>
      <c r="D16" s="25"/>
      <c r="E16" s="28"/>
      <c r="F16" s="68"/>
      <c r="G16" s="70"/>
      <c r="H16" s="82"/>
      <c r="I16" s="83" t="str">
        <f aca="false">IF(F16="","",N(G16)*N(H16))</f>
        <v/>
      </c>
      <c r="J16" s="82"/>
      <c r="K16" s="70"/>
      <c r="L16" s="28"/>
      <c r="M16" s="72"/>
      <c r="N16" s="72"/>
      <c r="O16" s="72"/>
      <c r="P16" s="72"/>
      <c r="Q16" s="72"/>
      <c r="R16" s="72"/>
      <c r="S16" s="73" t="str">
        <f aca="false">IF(A16="","",IFERROR(SUMPRODUCT($M$6:$R$6,M16:R16)/SUMPRODUCT($M$6:$R$6*(M16:R16&lt;&gt;"n/a")),0))</f>
        <v/>
      </c>
      <c r="T16" s="74" t="str">
        <f aca="false">IF(A16="","",IF(S16&gt;=1,"Terminé",IF(S16&gt;0,"En cours","Non démarré")))</f>
        <v/>
      </c>
      <c r="U16" s="68"/>
      <c r="V16" s="25"/>
    </row>
    <row r="17" customFormat="false" ht="15" hidden="false" customHeight="false" outlineLevel="0" collapsed="false">
      <c r="A17" s="68"/>
      <c r="B17" s="97"/>
      <c r="C17" s="25"/>
      <c r="D17" s="25"/>
      <c r="E17" s="28"/>
      <c r="F17" s="68"/>
      <c r="G17" s="70"/>
      <c r="H17" s="82"/>
      <c r="I17" s="83" t="str">
        <f aca="false">IF(F17="","",N(G17)*N(H17))</f>
        <v/>
      </c>
      <c r="J17" s="82"/>
      <c r="K17" s="70"/>
      <c r="L17" s="28"/>
      <c r="M17" s="72"/>
      <c r="N17" s="72"/>
      <c r="O17" s="72"/>
      <c r="P17" s="72"/>
      <c r="Q17" s="72"/>
      <c r="R17" s="72"/>
      <c r="S17" s="73" t="str">
        <f aca="false">IF(A17="","",IFERROR(SUMPRODUCT($M$6:$R$6,M17:R17)/SUMPRODUCT($M$6:$R$6*(M17:R17&lt;&gt;"n/a")),0))</f>
        <v/>
      </c>
      <c r="T17" s="74" t="str">
        <f aca="false">IF(A17="","",IF(S17&gt;=1,"Terminé",IF(S17&gt;0,"En cours","Non démarré")))</f>
        <v/>
      </c>
      <c r="U17" s="68"/>
      <c r="V17" s="25"/>
    </row>
    <row r="18" customFormat="false" ht="15" hidden="false" customHeight="false" outlineLevel="0" collapsed="false">
      <c r="A18" s="68"/>
      <c r="B18" s="97"/>
      <c r="C18" s="25"/>
      <c r="D18" s="25"/>
      <c r="E18" s="28"/>
      <c r="F18" s="68"/>
      <c r="G18" s="70"/>
      <c r="H18" s="82"/>
      <c r="I18" s="83" t="str">
        <f aca="false">IF(F18="","",N(G18)*N(H18))</f>
        <v/>
      </c>
      <c r="J18" s="82"/>
      <c r="K18" s="70"/>
      <c r="L18" s="28"/>
      <c r="M18" s="72"/>
      <c r="N18" s="72"/>
      <c r="O18" s="72"/>
      <c r="P18" s="72"/>
      <c r="Q18" s="72"/>
      <c r="R18" s="72"/>
      <c r="S18" s="73" t="str">
        <f aca="false">IF(A18="","",IFERROR(SUMPRODUCT($M$6:$R$6,M18:R18)/SUMPRODUCT($M$6:$R$6*(M18:R18&lt;&gt;"n/a")),0))</f>
        <v/>
      </c>
      <c r="T18" s="74" t="str">
        <f aca="false">IF(A18="","",IF(S18&gt;=1,"Terminé",IF(S18&gt;0,"En cours","Non démarré")))</f>
        <v/>
      </c>
      <c r="U18" s="68"/>
      <c r="V18" s="25"/>
    </row>
    <row r="19" customFormat="false" ht="15" hidden="false" customHeight="false" outlineLevel="0" collapsed="false">
      <c r="A19" s="68"/>
      <c r="B19" s="97"/>
      <c r="C19" s="25"/>
      <c r="D19" s="25"/>
      <c r="E19" s="28"/>
      <c r="F19" s="68"/>
      <c r="G19" s="70"/>
      <c r="H19" s="82"/>
      <c r="I19" s="83" t="str">
        <f aca="false">IF(F19="","",N(G19)*N(H19))</f>
        <v/>
      </c>
      <c r="J19" s="82"/>
      <c r="K19" s="70"/>
      <c r="L19" s="28"/>
      <c r="M19" s="72"/>
      <c r="N19" s="72"/>
      <c r="O19" s="72"/>
      <c r="P19" s="72"/>
      <c r="Q19" s="72"/>
      <c r="R19" s="72"/>
      <c r="S19" s="73" t="str">
        <f aca="false">IF(A19="","",IFERROR(SUMPRODUCT($M$6:$R$6,M19:R19)/SUMPRODUCT($M$6:$R$6*(M19:R19&lt;&gt;"n/a")),0))</f>
        <v/>
      </c>
      <c r="T19" s="74" t="str">
        <f aca="false">IF(A19="","",IF(S19&gt;=1,"Terminé",IF(S19&gt;0,"En cours","Non démarré")))</f>
        <v/>
      </c>
      <c r="U19" s="68"/>
      <c r="V19" s="25"/>
    </row>
    <row r="20" customFormat="false" ht="15" hidden="false" customHeight="false" outlineLevel="0" collapsed="false">
      <c r="A20" s="68"/>
      <c r="B20" s="97"/>
      <c r="C20" s="25"/>
      <c r="D20" s="25"/>
      <c r="E20" s="28"/>
      <c r="F20" s="68"/>
      <c r="G20" s="70"/>
      <c r="H20" s="82"/>
      <c r="I20" s="83" t="str">
        <f aca="false">IF(F20="","",N(G20)*N(H20))</f>
        <v/>
      </c>
      <c r="J20" s="82"/>
      <c r="K20" s="70"/>
      <c r="L20" s="28"/>
      <c r="M20" s="72"/>
      <c r="N20" s="72"/>
      <c r="O20" s="72"/>
      <c r="P20" s="72"/>
      <c r="Q20" s="72"/>
      <c r="R20" s="72"/>
      <c r="S20" s="73" t="str">
        <f aca="false">IF(A20="","",IFERROR(SUMPRODUCT($M$6:$R$6,M20:R20)/SUMPRODUCT($M$6:$R$6*(M20:R20&lt;&gt;"n/a")),0))</f>
        <v/>
      </c>
      <c r="T20" s="74" t="str">
        <f aca="false">IF(A20="","",IF(S20&gt;=1,"Terminé",IF(S20&gt;0,"En cours","Non démarré")))</f>
        <v/>
      </c>
      <c r="U20" s="68"/>
      <c r="V20" s="25"/>
    </row>
    <row r="21" customFormat="false" ht="15" hidden="false" customHeight="false" outlineLevel="0" collapsed="false">
      <c r="A21" s="68"/>
      <c r="B21" s="97"/>
      <c r="C21" s="25"/>
      <c r="D21" s="25"/>
      <c r="E21" s="28"/>
      <c r="F21" s="68"/>
      <c r="G21" s="70"/>
      <c r="H21" s="82"/>
      <c r="I21" s="83" t="str">
        <f aca="false">IF(F21="","",N(G21)*N(H21))</f>
        <v/>
      </c>
      <c r="J21" s="82"/>
      <c r="K21" s="70"/>
      <c r="L21" s="28"/>
      <c r="M21" s="72"/>
      <c r="N21" s="72"/>
      <c r="O21" s="72"/>
      <c r="P21" s="72"/>
      <c r="Q21" s="72"/>
      <c r="R21" s="72"/>
      <c r="S21" s="73" t="str">
        <f aca="false">IF(A21="","",IFERROR(SUMPRODUCT($M$6:$R$6,M21:R21)/SUMPRODUCT($M$6:$R$6*(M21:R21&lt;&gt;"n/a")),0))</f>
        <v/>
      </c>
      <c r="T21" s="74" t="str">
        <f aca="false">IF(A21="","",IF(S21&gt;=1,"Terminé",IF(S21&gt;0,"En cours","Non démarré")))</f>
        <v/>
      </c>
      <c r="U21" s="68"/>
      <c r="V21" s="25"/>
    </row>
    <row r="22" customFormat="false" ht="15" hidden="false" customHeight="false" outlineLevel="0" collapsed="false">
      <c r="A22" s="68"/>
      <c r="B22" s="97"/>
      <c r="C22" s="25"/>
      <c r="D22" s="25"/>
      <c r="E22" s="28"/>
      <c r="F22" s="68"/>
      <c r="G22" s="70"/>
      <c r="H22" s="82"/>
      <c r="I22" s="83" t="str">
        <f aca="false">IF(F22="","",N(G22)*N(H22))</f>
        <v/>
      </c>
      <c r="J22" s="82"/>
      <c r="K22" s="70"/>
      <c r="L22" s="28"/>
      <c r="M22" s="72"/>
      <c r="N22" s="72"/>
      <c r="O22" s="72"/>
      <c r="P22" s="72"/>
      <c r="Q22" s="72"/>
      <c r="R22" s="72"/>
      <c r="S22" s="73" t="str">
        <f aca="false">IF(A22="","",IFERROR(SUMPRODUCT($M$6:$R$6,M22:R22)/SUMPRODUCT($M$6:$R$6*(M22:R22&lt;&gt;"n/a")),0))</f>
        <v/>
      </c>
      <c r="T22" s="74" t="str">
        <f aca="false">IF(A22="","",IF(S22&gt;=1,"Terminé",IF(S22&gt;0,"En cours","Non démarré")))</f>
        <v/>
      </c>
      <c r="U22" s="68"/>
      <c r="V22" s="25"/>
    </row>
    <row r="23" customFormat="false" ht="15" hidden="false" customHeight="false" outlineLevel="0" collapsed="false">
      <c r="A23" s="68"/>
      <c r="B23" s="97"/>
      <c r="C23" s="25"/>
      <c r="D23" s="25"/>
      <c r="E23" s="28"/>
      <c r="F23" s="68"/>
      <c r="G23" s="70"/>
      <c r="H23" s="82"/>
      <c r="I23" s="83" t="str">
        <f aca="false">IF(F23="","",N(G23)*N(H23))</f>
        <v/>
      </c>
      <c r="J23" s="82"/>
      <c r="K23" s="70"/>
      <c r="L23" s="28"/>
      <c r="M23" s="72"/>
      <c r="N23" s="72"/>
      <c r="O23" s="72"/>
      <c r="P23" s="72"/>
      <c r="Q23" s="72"/>
      <c r="R23" s="72"/>
      <c r="S23" s="73" t="str">
        <f aca="false">IF(A23="","",IFERROR(SUMPRODUCT($M$6:$R$6,M23:R23)/SUMPRODUCT($M$6:$R$6*(M23:R23&lt;&gt;"n/a")),0))</f>
        <v/>
      </c>
      <c r="T23" s="74" t="str">
        <f aca="false">IF(A23="","",IF(S23&gt;=1,"Terminé",IF(S23&gt;0,"En cours","Non démarré")))</f>
        <v/>
      </c>
      <c r="U23" s="68"/>
      <c r="V23" s="25"/>
    </row>
    <row r="24" customFormat="false" ht="15" hidden="false" customHeight="false" outlineLevel="0" collapsed="false">
      <c r="A24" s="68"/>
      <c r="B24" s="97"/>
      <c r="C24" s="25"/>
      <c r="D24" s="25"/>
      <c r="E24" s="28"/>
      <c r="F24" s="68"/>
      <c r="G24" s="70"/>
      <c r="H24" s="82"/>
      <c r="I24" s="83" t="str">
        <f aca="false">IF(F24="","",N(G24)*N(H24))</f>
        <v/>
      </c>
      <c r="J24" s="82"/>
      <c r="K24" s="70"/>
      <c r="L24" s="28"/>
      <c r="M24" s="72"/>
      <c r="N24" s="72"/>
      <c r="O24" s="72"/>
      <c r="P24" s="72"/>
      <c r="Q24" s="72"/>
      <c r="R24" s="72"/>
      <c r="S24" s="73" t="str">
        <f aca="false">IF(A24="","",IFERROR(SUMPRODUCT($M$6:$R$6,M24:R24)/SUMPRODUCT($M$6:$R$6*(M24:R24&lt;&gt;"n/a")),0))</f>
        <v/>
      </c>
      <c r="T24" s="74" t="str">
        <f aca="false">IF(A24="","",IF(S24&gt;=1,"Terminé",IF(S24&gt;0,"En cours","Non démarré")))</f>
        <v/>
      </c>
      <c r="U24" s="68"/>
      <c r="V24" s="25"/>
    </row>
    <row r="25" customFormat="false" ht="15" hidden="false" customHeight="false" outlineLevel="0" collapsed="false">
      <c r="A25" s="68"/>
      <c r="B25" s="97"/>
      <c r="C25" s="25"/>
      <c r="D25" s="25"/>
      <c r="E25" s="28"/>
      <c r="F25" s="68"/>
      <c r="G25" s="70"/>
      <c r="H25" s="82"/>
      <c r="I25" s="83" t="str">
        <f aca="false">IF(F25="","",N(G25)*N(H25))</f>
        <v/>
      </c>
      <c r="J25" s="82"/>
      <c r="K25" s="70"/>
      <c r="L25" s="28"/>
      <c r="M25" s="72"/>
      <c r="N25" s="72"/>
      <c r="O25" s="72"/>
      <c r="P25" s="72"/>
      <c r="Q25" s="72"/>
      <c r="R25" s="72"/>
      <c r="S25" s="73" t="str">
        <f aca="false">IF(A25="","",IFERROR(SUMPRODUCT($M$6:$R$6,M25:R25)/SUMPRODUCT($M$6:$R$6*(M25:R25&lt;&gt;"n/a")),0))</f>
        <v/>
      </c>
      <c r="T25" s="74" t="str">
        <f aca="false">IF(A25="","",IF(S25&gt;=1,"Terminé",IF(S25&gt;0,"En cours","Non démarré")))</f>
        <v/>
      </c>
      <c r="U25" s="68"/>
      <c r="V25" s="25"/>
    </row>
    <row r="26" customFormat="false" ht="15" hidden="false" customHeight="false" outlineLevel="0" collapsed="false">
      <c r="A26" s="68"/>
      <c r="B26" s="97"/>
      <c r="C26" s="25"/>
      <c r="D26" s="25"/>
      <c r="E26" s="28"/>
      <c r="F26" s="68"/>
      <c r="G26" s="70"/>
      <c r="H26" s="82"/>
      <c r="I26" s="83" t="str">
        <f aca="false">IF(F26="","",N(G26)*N(H26))</f>
        <v/>
      </c>
      <c r="J26" s="82"/>
      <c r="K26" s="70"/>
      <c r="L26" s="28"/>
      <c r="M26" s="72"/>
      <c r="N26" s="72"/>
      <c r="O26" s="72"/>
      <c r="P26" s="72"/>
      <c r="Q26" s="72"/>
      <c r="R26" s="72"/>
      <c r="S26" s="73" t="str">
        <f aca="false">IF(A26="","",IFERROR(SUMPRODUCT($M$6:$R$6,M26:R26)/SUMPRODUCT($M$6:$R$6*(M26:R26&lt;&gt;"n/a")),0))</f>
        <v/>
      </c>
      <c r="T26" s="74" t="str">
        <f aca="false">IF(A26="","",IF(S26&gt;=1,"Terminé",IF(S26&gt;0,"En cours","Non démarré")))</f>
        <v/>
      </c>
      <c r="U26" s="68"/>
      <c r="V26" s="25"/>
    </row>
    <row r="27" customFormat="false" ht="15" hidden="false" customHeight="false" outlineLevel="0" collapsed="false">
      <c r="A27" s="68"/>
      <c r="B27" s="97"/>
      <c r="C27" s="25"/>
      <c r="D27" s="25"/>
      <c r="E27" s="28"/>
      <c r="F27" s="68"/>
      <c r="G27" s="70"/>
      <c r="H27" s="82"/>
      <c r="I27" s="83" t="str">
        <f aca="false">IF(F27="","",N(G27)*N(H27))</f>
        <v/>
      </c>
      <c r="J27" s="82"/>
      <c r="K27" s="70"/>
      <c r="L27" s="28"/>
      <c r="M27" s="72"/>
      <c r="N27" s="72"/>
      <c r="O27" s="72"/>
      <c r="P27" s="72"/>
      <c r="Q27" s="72"/>
      <c r="R27" s="72"/>
      <c r="S27" s="73" t="str">
        <f aca="false">IF(A27="","",IFERROR(SUMPRODUCT($M$6:$R$6,M27:R27)/SUMPRODUCT($M$6:$R$6*(M27:R27&lt;&gt;"n/a")),0))</f>
        <v/>
      </c>
      <c r="T27" s="74" t="str">
        <f aca="false">IF(A27="","",IF(S27&gt;=1,"Terminé",IF(S27&gt;0,"En cours","Non démarré")))</f>
        <v/>
      </c>
      <c r="U27" s="68"/>
      <c r="V27" s="25"/>
    </row>
    <row r="28" customFormat="false" ht="15" hidden="false" customHeight="false" outlineLevel="0" collapsed="false">
      <c r="A28" s="68"/>
      <c r="B28" s="97"/>
      <c r="C28" s="25"/>
      <c r="D28" s="25"/>
      <c r="E28" s="28"/>
      <c r="F28" s="68"/>
      <c r="G28" s="70"/>
      <c r="H28" s="82"/>
      <c r="I28" s="83" t="str">
        <f aca="false">IF(F28="","",N(G28)*N(H28))</f>
        <v/>
      </c>
      <c r="J28" s="82"/>
      <c r="K28" s="70"/>
      <c r="L28" s="28"/>
      <c r="M28" s="72"/>
      <c r="N28" s="72"/>
      <c r="O28" s="72"/>
      <c r="P28" s="72"/>
      <c r="Q28" s="72"/>
      <c r="R28" s="72"/>
      <c r="S28" s="73" t="str">
        <f aca="false">IF(A28="","",IFERROR(SUMPRODUCT($M$6:$R$6,M28:R28)/SUMPRODUCT($M$6:$R$6*(M28:R28&lt;&gt;"n/a")),0))</f>
        <v/>
      </c>
      <c r="T28" s="74" t="str">
        <f aca="false">IF(A28="","",IF(S28&gt;=1,"Terminé",IF(S28&gt;0,"En cours","Non démarré")))</f>
        <v/>
      </c>
      <c r="U28" s="68"/>
      <c r="V28" s="25"/>
    </row>
    <row r="29" customFormat="false" ht="15" hidden="false" customHeight="false" outlineLevel="0" collapsed="false">
      <c r="A29" s="68"/>
      <c r="B29" s="97"/>
      <c r="C29" s="25"/>
      <c r="D29" s="25"/>
      <c r="E29" s="28"/>
      <c r="F29" s="68"/>
      <c r="G29" s="70"/>
      <c r="H29" s="82"/>
      <c r="I29" s="83" t="str">
        <f aca="false">IF(F29="","",N(G29)*N(H29))</f>
        <v/>
      </c>
      <c r="J29" s="82"/>
      <c r="K29" s="70"/>
      <c r="L29" s="28"/>
      <c r="M29" s="72"/>
      <c r="N29" s="72"/>
      <c r="O29" s="72"/>
      <c r="P29" s="72"/>
      <c r="Q29" s="72"/>
      <c r="R29" s="72"/>
      <c r="S29" s="73" t="str">
        <f aca="false">IF(A29="","",IFERROR(SUMPRODUCT($M$6:$R$6,M29:R29)/SUMPRODUCT($M$6:$R$6*(M29:R29&lt;&gt;"n/a")),0))</f>
        <v/>
      </c>
      <c r="T29" s="74" t="str">
        <f aca="false">IF(A29="","",IF(S29&gt;=1,"Terminé",IF(S29&gt;0,"En cours","Non démarré")))</f>
        <v/>
      </c>
      <c r="U29" s="68"/>
      <c r="V29" s="25"/>
    </row>
    <row r="30" customFormat="false" ht="15" hidden="false" customHeight="false" outlineLevel="0" collapsed="false">
      <c r="A30" s="68"/>
      <c r="B30" s="97"/>
      <c r="C30" s="25"/>
      <c r="D30" s="25"/>
      <c r="E30" s="28"/>
      <c r="F30" s="68"/>
      <c r="G30" s="70"/>
      <c r="H30" s="82"/>
      <c r="I30" s="83" t="str">
        <f aca="false">IF(F30="","",N(G30)*N(H30))</f>
        <v/>
      </c>
      <c r="J30" s="82"/>
      <c r="K30" s="70"/>
      <c r="L30" s="28"/>
      <c r="M30" s="72"/>
      <c r="N30" s="72"/>
      <c r="O30" s="72"/>
      <c r="P30" s="72"/>
      <c r="Q30" s="72"/>
      <c r="R30" s="72"/>
      <c r="S30" s="73" t="str">
        <f aca="false">IF(A30="","",IFERROR(SUMPRODUCT($M$6:$R$6,M30:R30)/SUMPRODUCT($M$6:$R$6*(M30:R30&lt;&gt;"n/a")),0))</f>
        <v/>
      </c>
      <c r="T30" s="74" t="str">
        <f aca="false">IF(A30="","",IF(S30&gt;=1,"Terminé",IF(S30&gt;0,"En cours","Non démarré")))</f>
        <v/>
      </c>
      <c r="U30" s="68"/>
      <c r="V30" s="25"/>
    </row>
    <row r="31" customFormat="false" ht="15" hidden="false" customHeight="false" outlineLevel="0" collapsed="false">
      <c r="A31" s="68"/>
      <c r="B31" s="97"/>
      <c r="C31" s="25"/>
      <c r="D31" s="25"/>
      <c r="E31" s="28"/>
      <c r="F31" s="68"/>
      <c r="G31" s="70"/>
      <c r="H31" s="82"/>
      <c r="I31" s="83" t="str">
        <f aca="false">IF(F31="","",N(G31)*N(H31))</f>
        <v/>
      </c>
      <c r="J31" s="82"/>
      <c r="K31" s="70"/>
      <c r="L31" s="28"/>
      <c r="M31" s="72"/>
      <c r="N31" s="72"/>
      <c r="O31" s="72"/>
      <c r="P31" s="72"/>
      <c r="Q31" s="72"/>
      <c r="R31" s="72"/>
      <c r="S31" s="73" t="str">
        <f aca="false">IF(A31="","",IFERROR(SUMPRODUCT($M$6:$R$6,M31:R31)/SUMPRODUCT($M$6:$R$6*(M31:R31&lt;&gt;"n/a")),0))</f>
        <v/>
      </c>
      <c r="T31" s="74" t="str">
        <f aca="false">IF(A31="","",IF(S31&gt;=1,"Terminé",IF(S31&gt;0,"En cours","Non démarré")))</f>
        <v/>
      </c>
      <c r="U31" s="68"/>
      <c r="V31" s="25"/>
    </row>
    <row r="32" customFormat="false" ht="15" hidden="false" customHeight="false" outlineLevel="0" collapsed="false">
      <c r="A32" s="68"/>
      <c r="B32" s="97"/>
      <c r="C32" s="25"/>
      <c r="D32" s="25"/>
      <c r="E32" s="28"/>
      <c r="F32" s="68"/>
      <c r="G32" s="70"/>
      <c r="H32" s="82"/>
      <c r="I32" s="83" t="str">
        <f aca="false">IF(F32="","",N(G32)*N(H32))</f>
        <v/>
      </c>
      <c r="J32" s="82"/>
      <c r="K32" s="70"/>
      <c r="L32" s="28"/>
      <c r="M32" s="72"/>
      <c r="N32" s="72"/>
      <c r="O32" s="72"/>
      <c r="P32" s="72"/>
      <c r="Q32" s="72"/>
      <c r="R32" s="72"/>
      <c r="S32" s="73" t="str">
        <f aca="false">IF(A32="","",IFERROR(SUMPRODUCT($M$6:$R$6,M32:R32)/SUMPRODUCT($M$6:$R$6*(M32:R32&lt;&gt;"n/a")),0))</f>
        <v/>
      </c>
      <c r="T32" s="74" t="str">
        <f aca="false">IF(A32="","",IF(S32&gt;=1,"Terminé",IF(S32&gt;0,"En cours","Non démarré")))</f>
        <v/>
      </c>
      <c r="U32" s="68"/>
      <c r="V32" s="25"/>
    </row>
    <row r="33" customFormat="false" ht="15" hidden="false" customHeight="false" outlineLevel="0" collapsed="false">
      <c r="A33" s="68"/>
      <c r="B33" s="97"/>
      <c r="C33" s="25"/>
      <c r="D33" s="25"/>
      <c r="E33" s="28"/>
      <c r="F33" s="68"/>
      <c r="G33" s="70"/>
      <c r="H33" s="82"/>
      <c r="I33" s="83" t="str">
        <f aca="false">IF(F33="","",N(G33)*N(H33))</f>
        <v/>
      </c>
      <c r="J33" s="82"/>
      <c r="K33" s="70"/>
      <c r="L33" s="28"/>
      <c r="M33" s="72"/>
      <c r="N33" s="72"/>
      <c r="O33" s="72"/>
      <c r="P33" s="72"/>
      <c r="Q33" s="72"/>
      <c r="R33" s="72"/>
      <c r="S33" s="73" t="str">
        <f aca="false">IF(A33="","",IFERROR(SUMPRODUCT($M$6:$R$6,M33:R33)/SUMPRODUCT($M$6:$R$6*(M33:R33&lt;&gt;"n/a")),0))</f>
        <v/>
      </c>
      <c r="T33" s="74" t="str">
        <f aca="false">IF(A33="","",IF(S33&gt;=1,"Terminé",IF(S33&gt;0,"En cours","Non démarré")))</f>
        <v/>
      </c>
      <c r="U33" s="68"/>
      <c r="V33" s="25"/>
    </row>
    <row r="34" customFormat="false" ht="15" hidden="false" customHeight="false" outlineLevel="0" collapsed="false">
      <c r="A34" s="68"/>
      <c r="B34" s="97"/>
      <c r="C34" s="25"/>
      <c r="D34" s="25"/>
      <c r="E34" s="28"/>
      <c r="F34" s="68"/>
      <c r="G34" s="70"/>
      <c r="H34" s="82"/>
      <c r="I34" s="83" t="str">
        <f aca="false">IF(F34="","",N(G34)*N(H34))</f>
        <v/>
      </c>
      <c r="J34" s="82"/>
      <c r="K34" s="70"/>
      <c r="L34" s="28"/>
      <c r="M34" s="72"/>
      <c r="N34" s="72"/>
      <c r="O34" s="72"/>
      <c r="P34" s="72"/>
      <c r="Q34" s="72"/>
      <c r="R34" s="72"/>
      <c r="S34" s="73" t="str">
        <f aca="false">IF(A34="","",IFERROR(SUMPRODUCT($M$6:$R$6,M34:R34)/SUMPRODUCT($M$6:$R$6*(M34:R34&lt;&gt;"n/a")),0))</f>
        <v/>
      </c>
      <c r="T34" s="74" t="str">
        <f aca="false">IF(A34="","",IF(S34&gt;=1,"Terminé",IF(S34&gt;0,"En cours","Non démarré")))</f>
        <v/>
      </c>
      <c r="U34" s="68"/>
      <c r="V34" s="25"/>
    </row>
    <row r="35" customFormat="false" ht="15" hidden="false" customHeight="false" outlineLevel="0" collapsed="false">
      <c r="A35" s="68"/>
      <c r="B35" s="97"/>
      <c r="C35" s="25"/>
      <c r="D35" s="25"/>
      <c r="E35" s="28"/>
      <c r="F35" s="68"/>
      <c r="G35" s="70"/>
      <c r="H35" s="82"/>
      <c r="I35" s="83" t="str">
        <f aca="false">IF(F35="","",N(G35)*N(H35))</f>
        <v/>
      </c>
      <c r="J35" s="82"/>
      <c r="K35" s="70"/>
      <c r="L35" s="28"/>
      <c r="M35" s="72"/>
      <c r="N35" s="72"/>
      <c r="O35" s="72"/>
      <c r="P35" s="72"/>
      <c r="Q35" s="72"/>
      <c r="R35" s="72"/>
      <c r="S35" s="73" t="str">
        <f aca="false">IF(A35="","",IFERROR(SUMPRODUCT($M$6:$R$6,M35:R35)/SUMPRODUCT($M$6:$R$6*(M35:R35&lt;&gt;"n/a")),0))</f>
        <v/>
      </c>
      <c r="T35" s="74" t="str">
        <f aca="false">IF(A35="","",IF(S35&gt;=1,"Terminé",IF(S35&gt;0,"En cours","Non démarré")))</f>
        <v/>
      </c>
      <c r="U35" s="68"/>
      <c r="V35" s="25"/>
    </row>
    <row r="36" customFormat="false" ht="15" hidden="false" customHeight="false" outlineLevel="0" collapsed="false">
      <c r="A36" s="68"/>
      <c r="B36" s="97"/>
      <c r="C36" s="25"/>
      <c r="D36" s="25"/>
      <c r="E36" s="28"/>
      <c r="F36" s="68"/>
      <c r="G36" s="70"/>
      <c r="H36" s="82"/>
      <c r="I36" s="83" t="str">
        <f aca="false">IF(F36="","",N(G36)*N(H36))</f>
        <v/>
      </c>
      <c r="J36" s="82"/>
      <c r="K36" s="70"/>
      <c r="L36" s="28"/>
      <c r="M36" s="72"/>
      <c r="N36" s="72"/>
      <c r="O36" s="72"/>
      <c r="P36" s="72"/>
      <c r="Q36" s="72"/>
      <c r="R36" s="72"/>
      <c r="S36" s="73" t="str">
        <f aca="false">IF(A36="","",IFERROR(SUMPRODUCT($M$6:$R$6,M36:R36)/SUMPRODUCT($M$6:$R$6*(M36:R36&lt;&gt;"n/a")),0))</f>
        <v/>
      </c>
      <c r="T36" s="74" t="str">
        <f aca="false">IF(A36="","",IF(S36&gt;=1,"Terminé",IF(S36&gt;0,"En cours","Non démarré")))</f>
        <v/>
      </c>
      <c r="U36" s="68"/>
      <c r="V36" s="25"/>
    </row>
    <row r="37" customFormat="false" ht="15" hidden="false" customHeight="false" outlineLevel="0" collapsed="false">
      <c r="A37" s="68"/>
      <c r="B37" s="97"/>
      <c r="C37" s="25"/>
      <c r="D37" s="25"/>
      <c r="E37" s="28"/>
      <c r="F37" s="68"/>
      <c r="G37" s="70"/>
      <c r="H37" s="82"/>
      <c r="I37" s="83" t="str">
        <f aca="false">IF(F37="","",N(G37)*N(H37))</f>
        <v/>
      </c>
      <c r="J37" s="82"/>
      <c r="K37" s="70"/>
      <c r="L37" s="28"/>
      <c r="M37" s="72"/>
      <c r="N37" s="72"/>
      <c r="O37" s="72"/>
      <c r="P37" s="72"/>
      <c r="Q37" s="72"/>
      <c r="R37" s="72"/>
      <c r="S37" s="73" t="str">
        <f aca="false">IF(A37="","",IFERROR(SUMPRODUCT($M$6:$R$6,M37:R37)/SUMPRODUCT($M$6:$R$6*(M37:R37&lt;&gt;"n/a")),0))</f>
        <v/>
      </c>
      <c r="T37" s="74" t="str">
        <f aca="false">IF(A37="","",IF(S37&gt;=1,"Terminé",IF(S37&gt;0,"En cours","Non démarré")))</f>
        <v/>
      </c>
      <c r="U37" s="68"/>
      <c r="V37" s="25"/>
    </row>
    <row r="38" customFormat="false" ht="15" hidden="false" customHeight="false" outlineLevel="0" collapsed="false">
      <c r="A38" s="68"/>
      <c r="B38" s="97"/>
      <c r="C38" s="25"/>
      <c r="D38" s="25"/>
      <c r="E38" s="28"/>
      <c r="F38" s="68"/>
      <c r="G38" s="70"/>
      <c r="H38" s="82"/>
      <c r="I38" s="83" t="str">
        <f aca="false">IF(F38="","",N(G38)*N(H38))</f>
        <v/>
      </c>
      <c r="J38" s="82"/>
      <c r="K38" s="70"/>
      <c r="L38" s="28"/>
      <c r="M38" s="72"/>
      <c r="N38" s="72"/>
      <c r="O38" s="72"/>
      <c r="P38" s="72"/>
      <c r="Q38" s="72"/>
      <c r="R38" s="72"/>
      <c r="S38" s="73" t="str">
        <f aca="false">IF(A38="","",IFERROR(SUMPRODUCT($M$6:$R$6,M38:R38)/SUMPRODUCT($M$6:$R$6*(M38:R38&lt;&gt;"n/a")),0))</f>
        <v/>
      </c>
      <c r="T38" s="74" t="str">
        <f aca="false">IF(A38="","",IF(S38&gt;=1,"Terminé",IF(S38&gt;0,"En cours","Non démarré")))</f>
        <v/>
      </c>
      <c r="U38" s="68"/>
      <c r="V38" s="25"/>
    </row>
    <row r="39" customFormat="false" ht="15" hidden="false" customHeight="false" outlineLevel="0" collapsed="false">
      <c r="A39" s="68"/>
      <c r="B39" s="97"/>
      <c r="C39" s="25"/>
      <c r="D39" s="25"/>
      <c r="E39" s="28"/>
      <c r="F39" s="68"/>
      <c r="G39" s="70"/>
      <c r="H39" s="82"/>
      <c r="I39" s="83" t="str">
        <f aca="false">IF(F39="","",N(G39)*N(H39))</f>
        <v/>
      </c>
      <c r="J39" s="82"/>
      <c r="K39" s="70"/>
      <c r="L39" s="28"/>
      <c r="M39" s="72"/>
      <c r="N39" s="72"/>
      <c r="O39" s="72"/>
      <c r="P39" s="72"/>
      <c r="Q39" s="72"/>
      <c r="R39" s="72"/>
      <c r="S39" s="73" t="str">
        <f aca="false">IF(A39="","",IFERROR(SUMPRODUCT($M$6:$R$6,M39:R39)/SUMPRODUCT($M$6:$R$6*(M39:R39&lt;&gt;"n/a")),0))</f>
        <v/>
      </c>
      <c r="T39" s="74" t="str">
        <f aca="false">IF(A39="","",IF(S39&gt;=1,"Terminé",IF(S39&gt;0,"En cours","Non démarré")))</f>
        <v/>
      </c>
      <c r="U39" s="68"/>
      <c r="V39" s="25"/>
    </row>
    <row r="40" customFormat="false" ht="15" hidden="false" customHeight="false" outlineLevel="0" collapsed="false">
      <c r="A40" s="68"/>
      <c r="B40" s="97"/>
      <c r="C40" s="25"/>
      <c r="D40" s="25"/>
      <c r="E40" s="28"/>
      <c r="F40" s="68"/>
      <c r="G40" s="70"/>
      <c r="H40" s="82"/>
      <c r="I40" s="83" t="str">
        <f aca="false">IF(F40="","",N(G40)*N(H40))</f>
        <v/>
      </c>
      <c r="J40" s="82"/>
      <c r="K40" s="70"/>
      <c r="L40" s="28"/>
      <c r="M40" s="72"/>
      <c r="N40" s="72"/>
      <c r="O40" s="72"/>
      <c r="P40" s="72"/>
      <c r="Q40" s="72"/>
      <c r="R40" s="72"/>
      <c r="S40" s="73" t="str">
        <f aca="false">IF(A40="","",IFERROR(SUMPRODUCT($M$6:$R$6,M40:R40)/SUMPRODUCT($M$6:$R$6*(M40:R40&lt;&gt;"n/a")),0))</f>
        <v/>
      </c>
      <c r="T40" s="74" t="str">
        <f aca="false">IF(A40="","",IF(S40&gt;=1,"Terminé",IF(S40&gt;0,"En cours","Non démarré")))</f>
        <v/>
      </c>
      <c r="U40" s="68"/>
      <c r="V40" s="25"/>
    </row>
    <row r="41" customFormat="false" ht="15" hidden="false" customHeight="false" outlineLevel="0" collapsed="false">
      <c r="A41" s="68"/>
      <c r="B41" s="97"/>
      <c r="C41" s="25"/>
      <c r="D41" s="25"/>
      <c r="E41" s="28"/>
      <c r="F41" s="68"/>
      <c r="G41" s="70"/>
      <c r="H41" s="82"/>
      <c r="I41" s="83" t="str">
        <f aca="false">IF(F41="","",N(G41)*N(H41))</f>
        <v/>
      </c>
      <c r="J41" s="82"/>
      <c r="K41" s="70"/>
      <c r="L41" s="28"/>
      <c r="M41" s="72"/>
      <c r="N41" s="72"/>
      <c r="O41" s="72"/>
      <c r="P41" s="72"/>
      <c r="Q41" s="72"/>
      <c r="R41" s="72"/>
      <c r="S41" s="73" t="str">
        <f aca="false">IF(A41="","",IFERROR(SUMPRODUCT($M$6:$R$6,M41:R41)/SUMPRODUCT($M$6:$R$6*(M41:R41&lt;&gt;"n/a")),0))</f>
        <v/>
      </c>
      <c r="T41" s="74" t="str">
        <f aca="false">IF(A41="","",IF(S41&gt;=1,"Terminé",IF(S41&gt;0,"En cours","Non démarré")))</f>
        <v/>
      </c>
      <c r="U41" s="68"/>
      <c r="V41" s="25"/>
    </row>
    <row r="42" customFormat="false" ht="15" hidden="false" customHeight="false" outlineLevel="0" collapsed="false">
      <c r="A42" s="68"/>
      <c r="B42" s="97"/>
      <c r="C42" s="25"/>
      <c r="D42" s="25"/>
      <c r="E42" s="28"/>
      <c r="F42" s="68"/>
      <c r="G42" s="70"/>
      <c r="H42" s="82"/>
      <c r="I42" s="83" t="str">
        <f aca="false">IF(F42="","",N(G42)*N(H42))</f>
        <v/>
      </c>
      <c r="J42" s="82"/>
      <c r="K42" s="70"/>
      <c r="L42" s="28"/>
      <c r="M42" s="72"/>
      <c r="N42" s="72"/>
      <c r="O42" s="72"/>
      <c r="P42" s="72"/>
      <c r="Q42" s="72"/>
      <c r="R42" s="72"/>
      <c r="S42" s="73" t="str">
        <f aca="false">IF(A42="","",IFERROR(SUMPRODUCT($M$6:$R$6,M42:R42)/SUMPRODUCT($M$6:$R$6*(M42:R42&lt;&gt;"n/a")),0))</f>
        <v/>
      </c>
      <c r="T42" s="74" t="str">
        <f aca="false">IF(A42="","",IF(S42&gt;=1,"Terminé",IF(S42&gt;0,"En cours","Non démarré")))</f>
        <v/>
      </c>
      <c r="U42" s="68"/>
      <c r="V42" s="25"/>
    </row>
    <row r="43" customFormat="false" ht="15" hidden="false" customHeight="false" outlineLevel="0" collapsed="false">
      <c r="A43" s="68"/>
      <c r="B43" s="97"/>
      <c r="C43" s="25"/>
      <c r="D43" s="25"/>
      <c r="E43" s="28"/>
      <c r="F43" s="68"/>
      <c r="G43" s="70"/>
      <c r="H43" s="82"/>
      <c r="I43" s="83" t="str">
        <f aca="false">IF(F43="","",N(G43)*N(H43))</f>
        <v/>
      </c>
      <c r="J43" s="82"/>
      <c r="K43" s="70"/>
      <c r="L43" s="28"/>
      <c r="M43" s="72"/>
      <c r="N43" s="72"/>
      <c r="O43" s="72"/>
      <c r="P43" s="72"/>
      <c r="Q43" s="72"/>
      <c r="R43" s="72"/>
      <c r="S43" s="73" t="str">
        <f aca="false">IF(A43="","",IFERROR(SUMPRODUCT($M$6:$R$6,M43:R43)/SUMPRODUCT($M$6:$R$6*(M43:R43&lt;&gt;"n/a")),0))</f>
        <v/>
      </c>
      <c r="T43" s="74" t="str">
        <f aca="false">IF(A43="","",IF(S43&gt;=1,"Terminé",IF(S43&gt;0,"En cours","Non démarré")))</f>
        <v/>
      </c>
      <c r="U43" s="68"/>
      <c r="V43" s="25"/>
    </row>
    <row r="44" customFormat="false" ht="15" hidden="false" customHeight="false" outlineLevel="0" collapsed="false">
      <c r="A44" s="68"/>
      <c r="B44" s="97"/>
      <c r="C44" s="25"/>
      <c r="D44" s="25"/>
      <c r="E44" s="28"/>
      <c r="F44" s="68"/>
      <c r="G44" s="70"/>
      <c r="H44" s="82"/>
      <c r="I44" s="83" t="str">
        <f aca="false">IF(F44="","",N(G44)*N(H44))</f>
        <v/>
      </c>
      <c r="J44" s="82"/>
      <c r="K44" s="70"/>
      <c r="L44" s="28"/>
      <c r="M44" s="72"/>
      <c r="N44" s="72"/>
      <c r="O44" s="72"/>
      <c r="P44" s="72"/>
      <c r="Q44" s="72"/>
      <c r="R44" s="72"/>
      <c r="S44" s="73" t="str">
        <f aca="false">IF(A44="","",IFERROR(SUMPRODUCT($M$6:$R$6,M44:R44)/SUMPRODUCT($M$6:$R$6*(M44:R44&lt;&gt;"n/a")),0))</f>
        <v/>
      </c>
      <c r="T44" s="74" t="str">
        <f aca="false">IF(A44="","",IF(S44&gt;=1,"Terminé",IF(S44&gt;0,"En cours","Non démarré")))</f>
        <v/>
      </c>
      <c r="U44" s="68"/>
      <c r="V44" s="25"/>
    </row>
    <row r="45" customFormat="false" ht="15" hidden="false" customHeight="false" outlineLevel="0" collapsed="false">
      <c r="A45" s="68"/>
      <c r="B45" s="97"/>
      <c r="C45" s="25"/>
      <c r="D45" s="25"/>
      <c r="E45" s="28"/>
      <c r="F45" s="68"/>
      <c r="G45" s="70"/>
      <c r="H45" s="82"/>
      <c r="I45" s="83" t="str">
        <f aca="false">IF(F45="","",N(G45)*N(H45))</f>
        <v/>
      </c>
      <c r="J45" s="82"/>
      <c r="K45" s="70"/>
      <c r="L45" s="28"/>
      <c r="M45" s="72"/>
      <c r="N45" s="72"/>
      <c r="O45" s="72"/>
      <c r="P45" s="72"/>
      <c r="Q45" s="72"/>
      <c r="R45" s="72"/>
      <c r="S45" s="73" t="str">
        <f aca="false">IF(A45="","",IFERROR(SUMPRODUCT($M$6:$R$6,M45:R45)/SUMPRODUCT($M$6:$R$6*(M45:R45&lt;&gt;"n/a")),0))</f>
        <v/>
      </c>
      <c r="T45" s="74" t="str">
        <f aca="false">IF(A45="","",IF(S45&gt;=1,"Terminé",IF(S45&gt;0,"En cours","Non démarré")))</f>
        <v/>
      </c>
      <c r="U45" s="68"/>
      <c r="V45" s="25"/>
    </row>
    <row r="46" customFormat="false" ht="15" hidden="false" customHeight="false" outlineLevel="0" collapsed="false">
      <c r="A46" s="68"/>
      <c r="B46" s="97"/>
      <c r="C46" s="25"/>
      <c r="D46" s="25"/>
      <c r="E46" s="28"/>
      <c r="F46" s="68"/>
      <c r="G46" s="70"/>
      <c r="H46" s="82"/>
      <c r="I46" s="83" t="str">
        <f aca="false">IF(F46="","",N(G46)*N(H46))</f>
        <v/>
      </c>
      <c r="J46" s="82"/>
      <c r="K46" s="70"/>
      <c r="L46" s="28"/>
      <c r="M46" s="72"/>
      <c r="N46" s="72"/>
      <c r="O46" s="72"/>
      <c r="P46" s="72"/>
      <c r="Q46" s="72"/>
      <c r="R46" s="72"/>
      <c r="S46" s="73" t="str">
        <f aca="false">IF(A46="","",IFERROR(SUMPRODUCT($M$6:$R$6,M46:R46)/SUMPRODUCT($M$6:$R$6*(M46:R46&lt;&gt;"n/a")),0))</f>
        <v/>
      </c>
      <c r="T46" s="74" t="str">
        <f aca="false">IF(A46="","",IF(S46&gt;=1,"Terminé",IF(S46&gt;0,"En cours","Non démarré")))</f>
        <v/>
      </c>
      <c r="U46" s="68"/>
      <c r="V46" s="25"/>
    </row>
    <row r="47" customFormat="false" ht="15" hidden="false" customHeight="false" outlineLevel="0" collapsed="false">
      <c r="A47" s="68"/>
      <c r="B47" s="97"/>
      <c r="C47" s="25"/>
      <c r="D47" s="25"/>
      <c r="E47" s="28"/>
      <c r="F47" s="68"/>
      <c r="G47" s="70"/>
      <c r="H47" s="82"/>
      <c r="I47" s="83" t="str">
        <f aca="false">IF(F47="","",N(G47)*N(H47))</f>
        <v/>
      </c>
      <c r="J47" s="82"/>
      <c r="K47" s="70"/>
      <c r="L47" s="28"/>
      <c r="M47" s="72"/>
      <c r="N47" s="72"/>
      <c r="O47" s="72"/>
      <c r="P47" s="72"/>
      <c r="Q47" s="72"/>
      <c r="R47" s="72"/>
      <c r="S47" s="73" t="str">
        <f aca="false">IF(A47="","",IFERROR(SUMPRODUCT($M$6:$R$6,M47:R47)/SUMPRODUCT($M$6:$R$6*(M47:R47&lt;&gt;"n/a")),0))</f>
        <v/>
      </c>
      <c r="T47" s="74" t="str">
        <f aca="false">IF(A47="","",IF(S47&gt;=1,"Terminé",IF(S47&gt;0,"En cours","Non démarré")))</f>
        <v/>
      </c>
      <c r="U47" s="68"/>
      <c r="V47" s="25"/>
    </row>
    <row r="48" customFormat="false" ht="15" hidden="false" customHeight="false" outlineLevel="0" collapsed="false">
      <c r="A48" s="68"/>
      <c r="B48" s="97"/>
      <c r="C48" s="25"/>
      <c r="D48" s="25"/>
      <c r="E48" s="28"/>
      <c r="F48" s="68"/>
      <c r="G48" s="70"/>
      <c r="H48" s="82"/>
      <c r="I48" s="83" t="str">
        <f aca="false">IF(F48="","",N(G48)*N(H48))</f>
        <v/>
      </c>
      <c r="J48" s="82"/>
      <c r="K48" s="70"/>
      <c r="L48" s="28"/>
      <c r="M48" s="72"/>
      <c r="N48" s="72"/>
      <c r="O48" s="72"/>
      <c r="P48" s="72"/>
      <c r="Q48" s="72"/>
      <c r="R48" s="72"/>
      <c r="S48" s="73" t="str">
        <f aca="false">IF(A48="","",IFERROR(SUMPRODUCT($M$6:$R$6,M48:R48)/SUMPRODUCT($M$6:$R$6*(M48:R48&lt;&gt;"n/a")),0))</f>
        <v/>
      </c>
      <c r="T48" s="74" t="str">
        <f aca="false">IF(A48="","",IF(S48&gt;=1,"Terminé",IF(S48&gt;0,"En cours","Non démarré")))</f>
        <v/>
      </c>
      <c r="U48" s="68"/>
      <c r="V48" s="25"/>
    </row>
    <row r="49" customFormat="false" ht="15" hidden="false" customHeight="false" outlineLevel="0" collapsed="false">
      <c r="A49" s="68"/>
      <c r="B49" s="97"/>
      <c r="C49" s="25"/>
      <c r="D49" s="25"/>
      <c r="E49" s="28"/>
      <c r="F49" s="68"/>
      <c r="G49" s="70"/>
      <c r="H49" s="82"/>
      <c r="I49" s="83" t="str">
        <f aca="false">IF(F49="","",N(G49)*N(H49))</f>
        <v/>
      </c>
      <c r="J49" s="82"/>
      <c r="K49" s="70"/>
      <c r="L49" s="28"/>
      <c r="M49" s="72"/>
      <c r="N49" s="72"/>
      <c r="O49" s="72"/>
      <c r="P49" s="72"/>
      <c r="Q49" s="72"/>
      <c r="R49" s="72"/>
      <c r="S49" s="73" t="str">
        <f aca="false">IF(A49="","",IFERROR(SUMPRODUCT($M$6:$R$6,M49:R49)/SUMPRODUCT($M$6:$R$6*(M49:R49&lt;&gt;"n/a")),0))</f>
        <v/>
      </c>
      <c r="T49" s="74" t="str">
        <f aca="false">IF(A49="","",IF(S49&gt;=1,"Terminé",IF(S49&gt;0,"En cours","Non démarré")))</f>
        <v/>
      </c>
      <c r="U49" s="68"/>
      <c r="V49" s="25"/>
    </row>
    <row r="50" customFormat="false" ht="15" hidden="false" customHeight="false" outlineLevel="0" collapsed="false">
      <c r="A50" s="68"/>
      <c r="B50" s="97"/>
      <c r="C50" s="25"/>
      <c r="D50" s="25"/>
      <c r="E50" s="28"/>
      <c r="F50" s="68"/>
      <c r="G50" s="70"/>
      <c r="H50" s="82"/>
      <c r="I50" s="83" t="str">
        <f aca="false">IF(F50="","",N(G50)*N(H50))</f>
        <v/>
      </c>
      <c r="J50" s="82"/>
      <c r="K50" s="70"/>
      <c r="L50" s="28"/>
      <c r="M50" s="72"/>
      <c r="N50" s="72"/>
      <c r="O50" s="72"/>
      <c r="P50" s="72"/>
      <c r="Q50" s="72"/>
      <c r="R50" s="72"/>
      <c r="S50" s="73" t="str">
        <f aca="false">IF(A50="","",IFERROR(SUMPRODUCT($M$6:$R$6,M50:R50)/SUMPRODUCT($M$6:$R$6*(M50:R50&lt;&gt;"n/a")),0))</f>
        <v/>
      </c>
      <c r="T50" s="74" t="str">
        <f aca="false">IF(A50="","",IF(S50&gt;=1,"Terminé",IF(S50&gt;0,"En cours","Non démarré")))</f>
        <v/>
      </c>
      <c r="U50" s="68"/>
      <c r="V50" s="25"/>
    </row>
    <row r="51" customFormat="false" ht="15" hidden="false" customHeight="false" outlineLevel="0" collapsed="false">
      <c r="A51" s="68"/>
      <c r="B51" s="97"/>
      <c r="C51" s="25"/>
      <c r="D51" s="25"/>
      <c r="E51" s="28"/>
      <c r="F51" s="68"/>
      <c r="G51" s="70"/>
      <c r="H51" s="82"/>
      <c r="I51" s="83" t="str">
        <f aca="false">IF(F51="","",N(G51)*N(H51))</f>
        <v/>
      </c>
      <c r="J51" s="82"/>
      <c r="K51" s="70"/>
      <c r="L51" s="28"/>
      <c r="M51" s="72"/>
      <c r="N51" s="72"/>
      <c r="O51" s="72"/>
      <c r="P51" s="72"/>
      <c r="Q51" s="72"/>
      <c r="R51" s="72"/>
      <c r="S51" s="73" t="str">
        <f aca="false">IF(A51="","",IFERROR(SUMPRODUCT($M$6:$R$6,M51:R51)/SUMPRODUCT($M$6:$R$6*(M51:R51&lt;&gt;"n/a")),0))</f>
        <v/>
      </c>
      <c r="T51" s="74" t="str">
        <f aca="false">IF(A51="","",IF(S51&gt;=1,"Terminé",IF(S51&gt;0,"En cours","Non démarré")))</f>
        <v/>
      </c>
      <c r="U51" s="68"/>
      <c r="V51" s="25"/>
    </row>
    <row r="52" customFormat="false" ht="15" hidden="false" customHeight="false" outlineLevel="0" collapsed="false">
      <c r="A52" s="68"/>
      <c r="B52" s="97"/>
      <c r="C52" s="25"/>
      <c r="D52" s="25"/>
      <c r="E52" s="28"/>
      <c r="F52" s="68"/>
      <c r="G52" s="70"/>
      <c r="H52" s="82"/>
      <c r="I52" s="83" t="str">
        <f aca="false">IF(F52="","",N(G52)*N(H52))</f>
        <v/>
      </c>
      <c r="J52" s="82"/>
      <c r="K52" s="70"/>
      <c r="L52" s="28"/>
      <c r="M52" s="72"/>
      <c r="N52" s="72"/>
      <c r="O52" s="72"/>
      <c r="P52" s="72"/>
      <c r="Q52" s="72"/>
      <c r="R52" s="72"/>
      <c r="S52" s="73" t="str">
        <f aca="false">IF(A52="","",IFERROR(SUMPRODUCT($M$6:$R$6,M52:R52)/SUMPRODUCT($M$6:$R$6*(M52:R52&lt;&gt;"n/a")),0))</f>
        <v/>
      </c>
      <c r="T52" s="74" t="str">
        <f aca="false">IF(A52="","",IF(S52&gt;=1,"Terminé",IF(S52&gt;0,"En cours","Non démarré")))</f>
        <v/>
      </c>
      <c r="U52" s="68"/>
      <c r="V52" s="25"/>
    </row>
    <row r="53" customFormat="false" ht="15" hidden="false" customHeight="false" outlineLevel="0" collapsed="false">
      <c r="A53" s="68"/>
      <c r="B53" s="97"/>
      <c r="C53" s="25"/>
      <c r="D53" s="25"/>
      <c r="E53" s="28"/>
      <c r="F53" s="68"/>
      <c r="G53" s="70"/>
      <c r="H53" s="82"/>
      <c r="I53" s="83" t="str">
        <f aca="false">IF(F53="","",N(G53)*N(H53))</f>
        <v/>
      </c>
      <c r="J53" s="82"/>
      <c r="K53" s="70"/>
      <c r="L53" s="28"/>
      <c r="M53" s="72"/>
      <c r="N53" s="72"/>
      <c r="O53" s="72"/>
      <c r="P53" s="72"/>
      <c r="Q53" s="72"/>
      <c r="R53" s="72"/>
      <c r="S53" s="73" t="str">
        <f aca="false">IF(A53="","",IFERROR(SUMPRODUCT($M$6:$R$6,M53:R53)/SUMPRODUCT($M$6:$R$6*(M53:R53&lt;&gt;"n/a")),0))</f>
        <v/>
      </c>
      <c r="T53" s="74" t="str">
        <f aca="false">IF(A53="","",IF(S53&gt;=1,"Terminé",IF(S53&gt;0,"En cours","Non démarré")))</f>
        <v/>
      </c>
      <c r="U53" s="68"/>
      <c r="V53" s="25"/>
    </row>
    <row r="54" customFormat="false" ht="15" hidden="false" customHeight="false" outlineLevel="0" collapsed="false">
      <c r="A54" s="68"/>
      <c r="B54" s="97"/>
      <c r="C54" s="25"/>
      <c r="D54" s="25"/>
      <c r="E54" s="28"/>
      <c r="F54" s="68"/>
      <c r="G54" s="70"/>
      <c r="H54" s="82"/>
      <c r="I54" s="83" t="str">
        <f aca="false">IF(F54="","",N(G54)*N(H54))</f>
        <v/>
      </c>
      <c r="J54" s="82"/>
      <c r="K54" s="70"/>
      <c r="L54" s="28"/>
      <c r="M54" s="72"/>
      <c r="N54" s="72"/>
      <c r="O54" s="72"/>
      <c r="P54" s="72"/>
      <c r="Q54" s="72"/>
      <c r="R54" s="72"/>
      <c r="S54" s="73" t="str">
        <f aca="false">IF(A54="","",IFERROR(SUMPRODUCT($M$6:$R$6,M54:R54)/SUMPRODUCT($M$6:$R$6*(M54:R54&lt;&gt;"n/a")),0))</f>
        <v/>
      </c>
      <c r="T54" s="74" t="str">
        <f aca="false">IF(A54="","",IF(S54&gt;=1,"Terminé",IF(S54&gt;0,"En cours","Non démarré")))</f>
        <v/>
      </c>
      <c r="U54" s="68"/>
      <c r="V54" s="25"/>
    </row>
    <row r="55" customFormat="false" ht="15" hidden="false" customHeight="false" outlineLevel="0" collapsed="false">
      <c r="A55" s="68"/>
      <c r="B55" s="97"/>
      <c r="C55" s="25"/>
      <c r="D55" s="25"/>
      <c r="E55" s="28"/>
      <c r="F55" s="68"/>
      <c r="G55" s="70"/>
      <c r="H55" s="82"/>
      <c r="I55" s="83" t="str">
        <f aca="false">IF(F55="","",N(G55)*N(H55))</f>
        <v/>
      </c>
      <c r="J55" s="82"/>
      <c r="K55" s="70"/>
      <c r="L55" s="28"/>
      <c r="M55" s="72"/>
      <c r="N55" s="72"/>
      <c r="O55" s="72"/>
      <c r="P55" s="72"/>
      <c r="Q55" s="72"/>
      <c r="R55" s="72"/>
      <c r="S55" s="73" t="str">
        <f aca="false">IF(A55="","",IFERROR(SUMPRODUCT($M$6:$R$6,M55:R55)/SUMPRODUCT($M$6:$R$6*(M55:R55&lt;&gt;"n/a")),0))</f>
        <v/>
      </c>
      <c r="T55" s="74" t="str">
        <f aca="false">IF(A55="","",IF(S55&gt;=1,"Terminé",IF(S55&gt;0,"En cours","Non démarré")))</f>
        <v/>
      </c>
      <c r="U55" s="68"/>
      <c r="V55" s="25"/>
    </row>
    <row r="56" customFormat="false" ht="15" hidden="false" customHeight="false" outlineLevel="0" collapsed="false">
      <c r="A56" s="68"/>
      <c r="B56" s="97"/>
      <c r="C56" s="25"/>
      <c r="D56" s="25"/>
      <c r="E56" s="28"/>
      <c r="F56" s="68"/>
      <c r="G56" s="70"/>
      <c r="H56" s="82"/>
      <c r="I56" s="83" t="str">
        <f aca="false">IF(F56="","",N(G56)*N(H56))</f>
        <v/>
      </c>
      <c r="J56" s="82"/>
      <c r="K56" s="70"/>
      <c r="L56" s="28"/>
      <c r="M56" s="72"/>
      <c r="N56" s="72"/>
      <c r="O56" s="72"/>
      <c r="P56" s="72"/>
      <c r="Q56" s="72"/>
      <c r="R56" s="72"/>
      <c r="S56" s="73" t="str">
        <f aca="false">IF(A56="","",IFERROR(SUMPRODUCT($M$6:$R$6,M56:R56)/SUMPRODUCT($M$6:$R$6*(M56:R56&lt;&gt;"n/a")),0))</f>
        <v/>
      </c>
      <c r="T56" s="74" t="str">
        <f aca="false">IF(A56="","",IF(S56&gt;=1,"Terminé",IF(S56&gt;0,"En cours","Non démarré")))</f>
        <v/>
      </c>
      <c r="U56" s="68"/>
      <c r="V56" s="25"/>
    </row>
    <row r="57" customFormat="false" ht="15" hidden="false" customHeight="false" outlineLevel="0" collapsed="false">
      <c r="A57" s="68"/>
      <c r="B57" s="97"/>
      <c r="C57" s="25"/>
      <c r="D57" s="25"/>
      <c r="E57" s="28"/>
      <c r="F57" s="68"/>
      <c r="G57" s="70"/>
      <c r="H57" s="82"/>
      <c r="I57" s="83" t="str">
        <f aca="false">IF(F57="","",N(G57)*N(H57))</f>
        <v/>
      </c>
      <c r="J57" s="82"/>
      <c r="K57" s="70"/>
      <c r="L57" s="28"/>
      <c r="M57" s="72"/>
      <c r="N57" s="72"/>
      <c r="O57" s="72"/>
      <c r="P57" s="72"/>
      <c r="Q57" s="72"/>
      <c r="R57" s="72"/>
      <c r="S57" s="73" t="str">
        <f aca="false">IF(A57="","",IFERROR(SUMPRODUCT($M$6:$R$6,M57:R57)/SUMPRODUCT($M$6:$R$6*(M57:R57&lt;&gt;"n/a")),0))</f>
        <v/>
      </c>
      <c r="T57" s="74" t="str">
        <f aca="false">IF(A57="","",IF(S57&gt;=1,"Terminé",IF(S57&gt;0,"En cours","Non démarré")))</f>
        <v/>
      </c>
      <c r="U57" s="68"/>
      <c r="V57" s="25"/>
    </row>
    <row r="58" customFormat="false" ht="15" hidden="false" customHeight="false" outlineLevel="0" collapsed="false">
      <c r="A58" s="68"/>
      <c r="B58" s="97"/>
      <c r="C58" s="25"/>
      <c r="D58" s="25"/>
      <c r="E58" s="28"/>
      <c r="F58" s="68"/>
      <c r="G58" s="70"/>
      <c r="H58" s="82"/>
      <c r="I58" s="83" t="str">
        <f aca="false">IF(F58="","",N(G58)*N(H58))</f>
        <v/>
      </c>
      <c r="J58" s="82"/>
      <c r="K58" s="70"/>
      <c r="L58" s="28"/>
      <c r="M58" s="72"/>
      <c r="N58" s="72"/>
      <c r="O58" s="72"/>
      <c r="P58" s="72"/>
      <c r="Q58" s="72"/>
      <c r="R58" s="72"/>
      <c r="S58" s="73" t="str">
        <f aca="false">IF(A58="","",IFERROR(SUMPRODUCT($M$6:$R$6,M58:R58)/SUMPRODUCT($M$6:$R$6*(M58:R58&lt;&gt;"n/a")),0))</f>
        <v/>
      </c>
      <c r="T58" s="74" t="str">
        <f aca="false">IF(A58="","",IF(S58&gt;=1,"Terminé",IF(S58&gt;0,"En cours","Non démarré")))</f>
        <v/>
      </c>
      <c r="U58" s="68"/>
      <c r="V58" s="25"/>
    </row>
    <row r="59" customFormat="false" ht="15" hidden="false" customHeight="false" outlineLevel="0" collapsed="false">
      <c r="A59" s="68"/>
      <c r="B59" s="97"/>
      <c r="C59" s="25"/>
      <c r="D59" s="25"/>
      <c r="E59" s="28"/>
      <c r="F59" s="68"/>
      <c r="G59" s="70"/>
      <c r="H59" s="82"/>
      <c r="I59" s="83" t="str">
        <f aca="false">IF(F59="","",N(G59)*N(H59))</f>
        <v/>
      </c>
      <c r="J59" s="82"/>
      <c r="K59" s="70"/>
      <c r="L59" s="28"/>
      <c r="M59" s="72"/>
      <c r="N59" s="72"/>
      <c r="O59" s="72"/>
      <c r="P59" s="72"/>
      <c r="Q59" s="72"/>
      <c r="R59" s="72"/>
      <c r="S59" s="73" t="str">
        <f aca="false">IF(A59="","",IFERROR(SUMPRODUCT($M$6:$R$6,M59:R59)/SUMPRODUCT($M$6:$R$6*(M59:R59&lt;&gt;"n/a")),0))</f>
        <v/>
      </c>
      <c r="T59" s="74" t="str">
        <f aca="false">IF(A59="","",IF(S59&gt;=1,"Terminé",IF(S59&gt;0,"En cours","Non démarré")))</f>
        <v/>
      </c>
      <c r="U59" s="68"/>
      <c r="V59" s="25"/>
    </row>
    <row r="60" customFormat="false" ht="15" hidden="false" customHeight="false" outlineLevel="0" collapsed="false">
      <c r="A60" s="68"/>
      <c r="B60" s="97"/>
      <c r="C60" s="25"/>
      <c r="D60" s="25"/>
      <c r="E60" s="28"/>
      <c r="F60" s="68"/>
      <c r="G60" s="70"/>
      <c r="H60" s="82"/>
      <c r="I60" s="83" t="str">
        <f aca="false">IF(F60="","",N(G60)*N(H60))</f>
        <v/>
      </c>
      <c r="J60" s="82"/>
      <c r="K60" s="70"/>
      <c r="L60" s="28"/>
      <c r="M60" s="72"/>
      <c r="N60" s="72"/>
      <c r="O60" s="72"/>
      <c r="P60" s="72"/>
      <c r="Q60" s="72"/>
      <c r="R60" s="72"/>
      <c r="S60" s="73" t="str">
        <f aca="false">IF(A60="","",IFERROR(SUMPRODUCT($M$6:$R$6,M60:R60)/SUMPRODUCT($M$6:$R$6*(M60:R60&lt;&gt;"n/a")),0))</f>
        <v/>
      </c>
      <c r="T60" s="74" t="str">
        <f aca="false">IF(A60="","",IF(S60&gt;=1,"Terminé",IF(S60&gt;0,"En cours","Non démarré")))</f>
        <v/>
      </c>
      <c r="U60" s="68"/>
      <c r="V60" s="25"/>
    </row>
    <row r="61" customFormat="false" ht="15" hidden="false" customHeight="false" outlineLevel="0" collapsed="false">
      <c r="A61" s="68"/>
      <c r="B61" s="97"/>
      <c r="C61" s="25"/>
      <c r="D61" s="25"/>
      <c r="E61" s="28"/>
      <c r="F61" s="68"/>
      <c r="G61" s="70"/>
      <c r="H61" s="82"/>
      <c r="I61" s="83" t="str">
        <f aca="false">IF(F61="","",N(G61)*N(H61))</f>
        <v/>
      </c>
      <c r="J61" s="82"/>
      <c r="K61" s="70"/>
      <c r="L61" s="28"/>
      <c r="M61" s="72"/>
      <c r="N61" s="72"/>
      <c r="O61" s="72"/>
      <c r="P61" s="72"/>
      <c r="Q61" s="72"/>
      <c r="R61" s="72"/>
      <c r="S61" s="73" t="str">
        <f aca="false">IF(A61="","",IFERROR(SUMPRODUCT($M$6:$R$6,M61:R61)/SUMPRODUCT($M$6:$R$6*(M61:R61&lt;&gt;"n/a")),0))</f>
        <v/>
      </c>
      <c r="T61" s="74" t="str">
        <f aca="false">IF(A61="","",IF(S61&gt;=1,"Terminé",IF(S61&gt;0,"En cours","Non démarré")))</f>
        <v/>
      </c>
      <c r="U61" s="68"/>
      <c r="V61" s="25"/>
    </row>
    <row r="62" customFormat="false" ht="15" hidden="false" customHeight="false" outlineLevel="0" collapsed="false">
      <c r="A62" s="68"/>
      <c r="B62" s="97"/>
      <c r="C62" s="25"/>
      <c r="D62" s="25"/>
      <c r="E62" s="28"/>
      <c r="F62" s="68"/>
      <c r="G62" s="70"/>
      <c r="H62" s="82"/>
      <c r="I62" s="83" t="str">
        <f aca="false">IF(F62="","",N(G62)*N(H62))</f>
        <v/>
      </c>
      <c r="J62" s="82"/>
      <c r="K62" s="70"/>
      <c r="L62" s="28"/>
      <c r="M62" s="72"/>
      <c r="N62" s="72"/>
      <c r="O62" s="72"/>
      <c r="P62" s="72"/>
      <c r="Q62" s="72"/>
      <c r="R62" s="72"/>
      <c r="S62" s="73" t="str">
        <f aca="false">IF(A62="","",IFERROR(SUMPRODUCT($M$6:$R$6,M62:R62)/SUMPRODUCT($M$6:$R$6*(M62:R62&lt;&gt;"n/a")),0))</f>
        <v/>
      </c>
      <c r="T62" s="74" t="str">
        <f aca="false">IF(A62="","",IF(S62&gt;=1,"Terminé",IF(S62&gt;0,"En cours","Non démarré")))</f>
        <v/>
      </c>
      <c r="U62" s="68"/>
      <c r="V62" s="25"/>
    </row>
    <row r="63" customFormat="false" ht="15" hidden="false" customHeight="false" outlineLevel="0" collapsed="false">
      <c r="A63" s="68"/>
      <c r="B63" s="97"/>
      <c r="C63" s="25"/>
      <c r="D63" s="25"/>
      <c r="E63" s="28"/>
      <c r="F63" s="68"/>
      <c r="G63" s="70"/>
      <c r="H63" s="82"/>
      <c r="I63" s="83" t="str">
        <f aca="false">IF(F63="","",N(G63)*N(H63))</f>
        <v/>
      </c>
      <c r="J63" s="82"/>
      <c r="K63" s="70"/>
      <c r="L63" s="28"/>
      <c r="M63" s="72"/>
      <c r="N63" s="72"/>
      <c r="O63" s="72"/>
      <c r="P63" s="72"/>
      <c r="Q63" s="72"/>
      <c r="R63" s="72"/>
      <c r="S63" s="73" t="str">
        <f aca="false">IF(A63="","",IFERROR(SUMPRODUCT($M$6:$R$6,M63:R63)/SUMPRODUCT($M$6:$R$6*(M63:R63&lt;&gt;"n/a")),0))</f>
        <v/>
      </c>
      <c r="T63" s="74" t="str">
        <f aca="false">IF(A63="","",IF(S63&gt;=1,"Terminé",IF(S63&gt;0,"En cours","Non démarré")))</f>
        <v/>
      </c>
      <c r="U63" s="68"/>
      <c r="V63" s="25"/>
    </row>
    <row r="64" customFormat="false" ht="15" hidden="false" customHeight="false" outlineLevel="0" collapsed="false">
      <c r="A64" s="68"/>
      <c r="B64" s="97"/>
      <c r="C64" s="25"/>
      <c r="D64" s="25"/>
      <c r="E64" s="28"/>
      <c r="F64" s="68"/>
      <c r="G64" s="70"/>
      <c r="H64" s="82"/>
      <c r="I64" s="83" t="str">
        <f aca="false">IF(F64="","",N(G64)*N(H64))</f>
        <v/>
      </c>
      <c r="J64" s="82"/>
      <c r="K64" s="70"/>
      <c r="L64" s="28"/>
      <c r="M64" s="72"/>
      <c r="N64" s="72"/>
      <c r="O64" s="72"/>
      <c r="P64" s="72"/>
      <c r="Q64" s="72"/>
      <c r="R64" s="72"/>
      <c r="S64" s="73" t="str">
        <f aca="false">IF(A64="","",IFERROR(SUMPRODUCT($M$6:$R$6,M64:R64)/SUMPRODUCT($M$6:$R$6*(M64:R64&lt;&gt;"n/a")),0))</f>
        <v/>
      </c>
      <c r="T64" s="74" t="str">
        <f aca="false">IF(A64="","",IF(S64&gt;=1,"Terminé",IF(S64&gt;0,"En cours","Non démarré")))</f>
        <v/>
      </c>
      <c r="U64" s="68"/>
      <c r="V64" s="25"/>
    </row>
    <row r="65" customFormat="false" ht="15" hidden="false" customHeight="false" outlineLevel="0" collapsed="false">
      <c r="A65" s="68"/>
      <c r="B65" s="97"/>
      <c r="C65" s="25"/>
      <c r="D65" s="25"/>
      <c r="E65" s="28"/>
      <c r="F65" s="68"/>
      <c r="G65" s="70"/>
      <c r="H65" s="82"/>
      <c r="I65" s="83" t="str">
        <f aca="false">IF(F65="","",N(G65)*N(H65))</f>
        <v/>
      </c>
      <c r="J65" s="82"/>
      <c r="K65" s="70"/>
      <c r="L65" s="28"/>
      <c r="M65" s="72"/>
      <c r="N65" s="72"/>
      <c r="O65" s="72"/>
      <c r="P65" s="72"/>
      <c r="Q65" s="72"/>
      <c r="R65" s="72"/>
      <c r="S65" s="73" t="str">
        <f aca="false">IF(A65="","",IFERROR(SUMPRODUCT($M$6:$R$6,M65:R65)/SUMPRODUCT($M$6:$R$6*(M65:R65&lt;&gt;"n/a")),0))</f>
        <v/>
      </c>
      <c r="T65" s="74" t="str">
        <f aca="false">IF(A65="","",IF(S65&gt;=1,"Terminé",IF(S65&gt;0,"En cours","Non démarré")))</f>
        <v/>
      </c>
      <c r="U65" s="68"/>
      <c r="V65" s="25"/>
    </row>
    <row r="66" customFormat="false" ht="15" hidden="false" customHeight="false" outlineLevel="0" collapsed="false">
      <c r="A66" s="68"/>
      <c r="B66" s="97"/>
      <c r="C66" s="25"/>
      <c r="D66" s="25"/>
      <c r="E66" s="28"/>
      <c r="F66" s="68"/>
      <c r="G66" s="70"/>
      <c r="H66" s="82"/>
      <c r="I66" s="83" t="str">
        <f aca="false">IF(F66="","",N(G66)*N(H66))</f>
        <v/>
      </c>
      <c r="J66" s="82"/>
      <c r="K66" s="70"/>
      <c r="L66" s="28"/>
      <c r="M66" s="72"/>
      <c r="N66" s="72"/>
      <c r="O66" s="72"/>
      <c r="P66" s="72"/>
      <c r="Q66" s="72"/>
      <c r="R66" s="72"/>
      <c r="S66" s="73" t="str">
        <f aca="false">IF(A66="","",IFERROR(SUMPRODUCT($M$6:$R$6,M66:R66)/SUMPRODUCT($M$6:$R$6*(M66:R66&lt;&gt;"n/a")),0))</f>
        <v/>
      </c>
      <c r="T66" s="74" t="str">
        <f aca="false">IF(A66="","",IF(S66&gt;=1,"Terminé",IF(S66&gt;0,"En cours","Non démarré")))</f>
        <v/>
      </c>
      <c r="U66" s="68"/>
      <c r="V66" s="25"/>
    </row>
    <row r="67" customFormat="false" ht="15" hidden="false" customHeight="false" outlineLevel="0" collapsed="false">
      <c r="A67" s="68"/>
      <c r="B67" s="97"/>
      <c r="C67" s="25"/>
      <c r="D67" s="25"/>
      <c r="E67" s="28"/>
      <c r="F67" s="68"/>
      <c r="G67" s="70"/>
      <c r="H67" s="82"/>
      <c r="I67" s="83" t="str">
        <f aca="false">IF(F67="","",N(G67)*N(H67))</f>
        <v/>
      </c>
      <c r="J67" s="82"/>
      <c r="K67" s="70"/>
      <c r="L67" s="28"/>
      <c r="M67" s="72"/>
      <c r="N67" s="72"/>
      <c r="O67" s="72"/>
      <c r="P67" s="72"/>
      <c r="Q67" s="72"/>
      <c r="R67" s="72"/>
      <c r="S67" s="73" t="str">
        <f aca="false">IF(A67="","",IFERROR(SUMPRODUCT($M$6:$R$6,M67:R67)/SUMPRODUCT($M$6:$R$6*(M67:R67&lt;&gt;"n/a")),0))</f>
        <v/>
      </c>
      <c r="T67" s="74" t="str">
        <f aca="false">IF(A67="","",IF(S67&gt;=1,"Terminé",IF(S67&gt;0,"En cours","Non démarré")))</f>
        <v/>
      </c>
      <c r="U67" s="68"/>
      <c r="V67" s="25"/>
    </row>
  </sheetData>
  <autoFilter ref="A7:V67"/>
  <mergeCells count="5">
    <mergeCell ref="A1:V1"/>
    <mergeCell ref="A2:V2"/>
    <mergeCell ref="A3:V3"/>
    <mergeCell ref="A4:V4"/>
    <mergeCell ref="A5:B5"/>
  </mergeCells>
  <conditionalFormatting sqref="S6">
    <cfRule type="expression" priority="2" aboveAverage="0" equalAverage="0" bottom="0" percent="0" rank="0" text="" dxfId="16">
      <formula>ROUND(S6,4)&lt;&gt;1</formula>
    </cfRule>
  </conditionalFormatting>
  <conditionalFormatting sqref="M8:R67">
    <cfRule type="cellIs" priority="3" operator="equal" aboveAverage="0" equalAverage="0" bottom="0" percent="0" rank="0" text="" dxfId="27">
      <formula>"n/a"</formula>
    </cfRule>
    <cfRule type="colorScale" priority="4">
      <colorScale>
        <cfvo type="num" val="0"/>
        <cfvo type="num" val="1"/>
        <color rgb="FFFFFFFF"/>
        <color rgb="FF81C784"/>
      </colorScale>
    </cfRule>
  </conditionalFormatting>
  <conditionalFormatting sqref="S8:S67">
    <cfRule type="dataBar" priority="5">
      <dataBar showValue="1" minLength="10" maxLength="90">
        <cfvo type="num" val="0"/>
        <cfvo type="num" val="1"/>
        <color rgb="FF43A047"/>
      </dataBar>
      <extLst>
        <ext xmlns:x14="http://schemas.microsoft.com/office/spreadsheetml/2009/9/main" uri="{B025F937-C7B1-47D3-B67F-A62EFF666E3E}">
          <x14:id>{A09D2AE2-86C6-49F0-9BB5-E51024313291}</x14:id>
        </ext>
      </extLst>
    </cfRule>
  </conditionalFormatting>
  <conditionalFormatting sqref="T8:T67">
    <cfRule type="cellIs" priority="6" operator="equal" aboveAverage="0" equalAverage="0" bottom="0" percent="0" rank="0" text="" dxfId="2">
      <formula>"En cours"</formula>
    </cfRule>
    <cfRule type="cellIs" priority="7" operator="equal" aboveAverage="0" equalAverage="0" bottom="0" percent="0" rank="0" text="" dxfId="1">
      <formula>"Terminé"</formula>
    </cfRule>
    <cfRule type="cellIs" priority="8" operator="equal" aboveAverage="0" equalAverage="0" bottom="0" percent="0" rank="0" text="" dxfId="5">
      <formula>"Non démarré"</formula>
    </cfRule>
  </conditionalFormatting>
  <conditionalFormatting sqref="U8:U67">
    <cfRule type="cellIs" priority="9" operator="equal" aboveAverage="0" equalAverage="0" bottom="0" percent="0" rank="0" text="" dxfId="3">
      <formula>"Non conforme"</formula>
    </cfRule>
    <cfRule type="cellIs" priority="10" operator="equal" aboveAverage="0" equalAverage="0" bottom="0" percent="0" rank="0" text="" dxfId="2">
      <formula>"Réserve"</formula>
    </cfRule>
    <cfRule type="cellIs" priority="11" operator="equal" aboveAverage="0" equalAverage="0" bottom="0" percent="0" rank="0" text="" dxfId="1">
      <formula>"Conforme"</formula>
    </cfRule>
  </conditionalFormatting>
  <conditionalFormatting sqref="J8:J67">
    <cfRule type="expression" priority="12" aboveAverage="0" equalAverage="0" bottom="0" percent="0" rank="0" text="" dxfId="16">
      <formula>AND(ISNUMBER(I8),N(J8)&gt;I8)</formula>
    </cfRule>
  </conditionalFormatting>
  <dataValidations count="3">
    <dataValidation allowBlank="true" errorStyle="stop" operator="between" showDropDown="false" showErrorMessage="false" showInputMessage="false" sqref="D8:D67" type="list">
      <formula1>L_Traitement</formula1>
      <formula2>0</formula2>
    </dataValidation>
    <dataValidation allowBlank="true" errorStyle="stop" operator="between" showDropDown="false" showErrorMessage="true" showInputMessage="false" sqref="F8:F67" type="list">
      <formula1>L_Diam</formula1>
      <formula2>0</formula2>
    </dataValidation>
    <dataValidation allowBlank="true" errorStyle="stop" operator="between" showDropDown="false" showErrorMessage="false" showInputMessage="false" sqref="U8:U67" type="list">
      <formula1>L_Verdict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9D2AE2-86C6-49F0-9BB5-E5102431329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3A047"/>
              <x14:axisColor rgb="FF000000"/>
            </x14:dataBar>
          </x14:cfRule>
          <xm:sqref>S8:S67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true"/>
  </sheetPr>
  <dimension ref="A1:T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5"/>
    <col collapsed="false" customWidth="true" hidden="false" outlineLevel="0" max="5" min="4" style="0" width="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15" min="8" style="0" width="11"/>
    <col collapsed="false" customWidth="true" hidden="false" outlineLevel="0" max="16" min="16" style="0" width="12"/>
    <col collapsed="false" customWidth="true" hidden="false" outlineLevel="0" max="18" min="17" style="0" width="8"/>
    <col collapsed="false" customWidth="true" hidden="false" outlineLevel="0" max="19" min="19" style="0" width="14"/>
    <col collapsed="false" customWidth="true" hidden="false" outlineLevel="0" max="20" min="20" style="0" width="24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customFormat="false" ht="19.5" hidden="false" customHeight="true" outlineLevel="0" collapsed="false">
      <c r="A2" s="20" t="s">
        <v>906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30" hidden="false" customHeight="true" outlineLevel="0" collapsed="false">
      <c r="A4" s="21" t="s">
        <v>907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 customFormat="false" ht="15" hidden="false" customHeight="false" outlineLevel="0" collapsed="false">
      <c r="A5" s="92" t="s">
        <v>825</v>
      </c>
      <c r="B5" s="92"/>
      <c r="C5" s="93" t="n">
        <f aca="false">IFERROR(SUMPRODUCT($G$8:$G$37,$O$8:$O$37)/SUM($G$8:$G$37),0)</f>
        <v>0.409108910891089</v>
      </c>
      <c r="D5" s="80" t="s">
        <v>908</v>
      </c>
    </row>
    <row r="6" customFormat="false" ht="15" hidden="false" customHeight="false" outlineLevel="0" collapsed="false">
      <c r="G6" s="94" t="s">
        <v>827</v>
      </c>
      <c r="H6" s="95" t="n">
        <v>0.05</v>
      </c>
      <c r="I6" s="95" t="n">
        <v>0.05</v>
      </c>
      <c r="J6" s="95" t="n">
        <v>0.2</v>
      </c>
      <c r="K6" s="95" t="n">
        <v>0.2</v>
      </c>
      <c r="L6" s="95" t="n">
        <v>0.25</v>
      </c>
      <c r="M6" s="95" t="n">
        <v>0.15</v>
      </c>
      <c r="N6" s="95" t="n">
        <v>0.1</v>
      </c>
      <c r="O6" s="96" t="n">
        <f aca="false">SUM($H$6:$N$6)</f>
        <v>1</v>
      </c>
    </row>
    <row r="7" customFormat="false" ht="45.75" hidden="false" customHeight="true" outlineLevel="0" collapsed="false">
      <c r="A7" s="23" t="s">
        <v>909</v>
      </c>
      <c r="B7" s="23" t="s">
        <v>872</v>
      </c>
      <c r="C7" s="23" t="s">
        <v>910</v>
      </c>
      <c r="D7" s="23" t="s">
        <v>911</v>
      </c>
      <c r="E7" s="23" t="s">
        <v>912</v>
      </c>
      <c r="F7" s="23" t="s">
        <v>913</v>
      </c>
      <c r="G7" s="23" t="s">
        <v>914</v>
      </c>
      <c r="H7" s="23" t="s">
        <v>915</v>
      </c>
      <c r="I7" s="23" t="s">
        <v>916</v>
      </c>
      <c r="J7" s="23" t="s">
        <v>917</v>
      </c>
      <c r="K7" s="23" t="s">
        <v>918</v>
      </c>
      <c r="L7" s="23" t="s">
        <v>919</v>
      </c>
      <c r="M7" s="23" t="s">
        <v>920</v>
      </c>
      <c r="N7" s="23" t="s">
        <v>921</v>
      </c>
      <c r="O7" s="23" t="s">
        <v>840</v>
      </c>
      <c r="P7" s="23" t="s">
        <v>306</v>
      </c>
      <c r="Q7" s="23" t="s">
        <v>922</v>
      </c>
      <c r="R7" s="23" t="s">
        <v>923</v>
      </c>
      <c r="S7" s="23" t="s">
        <v>924</v>
      </c>
      <c r="T7" s="23" t="s">
        <v>579</v>
      </c>
    </row>
    <row r="8" customFormat="false" ht="15" hidden="false" customHeight="false" outlineLevel="0" collapsed="false">
      <c r="A8" s="68" t="s">
        <v>925</v>
      </c>
      <c r="B8" s="97" t="n">
        <v>3200</v>
      </c>
      <c r="C8" s="68" t="s">
        <v>926</v>
      </c>
      <c r="D8" s="82" t="n">
        <v>9</v>
      </c>
      <c r="E8" s="28" t="n">
        <v>55</v>
      </c>
      <c r="F8" s="28" t="n">
        <v>5500</v>
      </c>
      <c r="G8" s="28" t="n">
        <v>22000000</v>
      </c>
      <c r="H8" s="72" t="n">
        <v>1</v>
      </c>
      <c r="I8" s="72" t="n">
        <v>1</v>
      </c>
      <c r="J8" s="72" t="n">
        <v>1</v>
      </c>
      <c r="K8" s="72" t="n">
        <v>1</v>
      </c>
      <c r="L8" s="72" t="n">
        <v>1</v>
      </c>
      <c r="M8" s="72" t="n">
        <v>1</v>
      </c>
      <c r="N8" s="72" t="n">
        <v>1</v>
      </c>
      <c r="O8" s="73" t="n">
        <f aca="false">IF(A8="","",IFERROR(SUMPRODUCT($H$6:$N$6,H8:N8)/SUMPRODUCT($H$6:$N$6*(H8:N8&lt;&gt;"n/a")),0))</f>
        <v>1</v>
      </c>
      <c r="P8" s="74" t="str">
        <f aca="false">IF(A8="","",IF(O8&gt;=1,"Terminé",IF(O8&gt;0,"En cours","Non démarré")))</f>
        <v>Terminé</v>
      </c>
      <c r="Q8" s="89" t="n">
        <v>19.5</v>
      </c>
      <c r="R8" s="89" t="n">
        <v>27.8</v>
      </c>
      <c r="S8" s="74" t="str">
        <f aca="false">IF(A8="","",IF(R8="",IF(Q8="","","En attente 28 j"),IF(R8&gt;=P_Fc28,"Conforme","Non conforme")))</f>
        <v>Conforme</v>
      </c>
      <c r="T8" s="25"/>
    </row>
    <row r="9" customFormat="false" ht="15" hidden="false" customHeight="false" outlineLevel="0" collapsed="false">
      <c r="A9" s="68" t="s">
        <v>927</v>
      </c>
      <c r="B9" s="97" t="n">
        <v>9750</v>
      </c>
      <c r="C9" s="68" t="s">
        <v>928</v>
      </c>
      <c r="D9" s="82" t="n">
        <v>10</v>
      </c>
      <c r="E9" s="28" t="n">
        <v>120</v>
      </c>
      <c r="F9" s="28" t="n">
        <v>12000</v>
      </c>
      <c r="G9" s="28" t="n">
        <v>46000000</v>
      </c>
      <c r="H9" s="72" t="n">
        <v>1</v>
      </c>
      <c r="I9" s="72" t="n">
        <v>1</v>
      </c>
      <c r="J9" s="72" t="n">
        <v>1</v>
      </c>
      <c r="K9" s="72" t="n">
        <v>0.6</v>
      </c>
      <c r="L9" s="72" t="n">
        <v>0</v>
      </c>
      <c r="M9" s="72" t="n">
        <v>0</v>
      </c>
      <c r="N9" s="72" t="n">
        <v>0</v>
      </c>
      <c r="O9" s="73" t="n">
        <f aca="false">IF(A9="","",IFERROR(SUMPRODUCT($H$6:$N$6,H9:N9)/SUMPRODUCT($H$6:$N$6*(H9:N9&lt;&gt;"n/a")),0))</f>
        <v>0.42</v>
      </c>
      <c r="P9" s="74" t="str">
        <f aca="false">IF(A9="","",IF(O9&gt;=1,"Terminé",IF(O9&gt;0,"En cours","Non démarré")))</f>
        <v>En cours</v>
      </c>
      <c r="Q9" s="89" t="n">
        <v>18.2</v>
      </c>
      <c r="R9" s="89"/>
      <c r="S9" s="74" t="str">
        <f aca="false">IF(A9="","",IF(R9="",IF(Q9="","","En attente 28 j"),IF(R9&gt;=P_Fc28,"Conforme","Non conforme")))</f>
        <v>En attente 28 j</v>
      </c>
      <c r="T9" s="25"/>
    </row>
    <row r="10" customFormat="false" ht="15" hidden="false" customHeight="false" outlineLevel="0" collapsed="false">
      <c r="A10" s="68" t="s">
        <v>929</v>
      </c>
      <c r="B10" s="97" t="n">
        <v>16400</v>
      </c>
      <c r="C10" s="68" t="s">
        <v>930</v>
      </c>
      <c r="D10" s="82" t="n">
        <v>10</v>
      </c>
      <c r="E10" s="28" t="n">
        <v>85</v>
      </c>
      <c r="F10" s="28" t="n">
        <v>8500</v>
      </c>
      <c r="G10" s="28" t="n">
        <v>33000000</v>
      </c>
      <c r="H10" s="72" t="n">
        <v>0</v>
      </c>
      <c r="I10" s="72" t="n">
        <v>0</v>
      </c>
      <c r="J10" s="72" t="n">
        <v>0</v>
      </c>
      <c r="K10" s="72" t="n">
        <v>0</v>
      </c>
      <c r="L10" s="72" t="n">
        <v>0</v>
      </c>
      <c r="M10" s="72" t="n">
        <v>0</v>
      </c>
      <c r="N10" s="72" t="n">
        <v>0</v>
      </c>
      <c r="O10" s="73" t="n">
        <f aca="false">IF(A10="","",IFERROR(SUMPRODUCT($H$6:$N$6,H10:N10)/SUMPRODUCT($H$6:$N$6*(H10:N10&lt;&gt;"n/a")),0))</f>
        <v>0</v>
      </c>
      <c r="P10" s="74" t="str">
        <f aca="false">IF(A10="","",IF(O10&gt;=1,"Terminé",IF(O10&gt;0,"En cours","Non démarré")))</f>
        <v>Non démarré</v>
      </c>
      <c r="Q10" s="89"/>
      <c r="R10" s="89"/>
      <c r="S10" s="74" t="str">
        <f aca="false">IF(A10="","",IF(R10="",IF(Q10="","","En attente 28 j"),IF(R10&gt;=P_Fc28,"Conforme","Non conforme")))</f>
        <v/>
      </c>
      <c r="T10" s="25"/>
    </row>
    <row r="11" customFormat="false" ht="15" hidden="false" customHeight="false" outlineLevel="0" collapsed="false">
      <c r="A11" s="68"/>
      <c r="B11" s="97"/>
      <c r="C11" s="68"/>
      <c r="D11" s="82"/>
      <c r="E11" s="28"/>
      <c r="F11" s="28"/>
      <c r="G11" s="28"/>
      <c r="H11" s="72"/>
      <c r="I11" s="72"/>
      <c r="J11" s="72"/>
      <c r="K11" s="72"/>
      <c r="L11" s="72"/>
      <c r="M11" s="72"/>
      <c r="N11" s="72"/>
      <c r="O11" s="73" t="str">
        <f aca="false">IF(A11="","",IFERROR(SUMPRODUCT($H$6:$N$6,H11:N11)/SUMPRODUCT($H$6:$N$6*(H11:N11&lt;&gt;"n/a")),0))</f>
        <v/>
      </c>
      <c r="P11" s="74" t="str">
        <f aca="false">IF(A11="","",IF(O11&gt;=1,"Terminé",IF(O11&gt;0,"En cours","Non démarré")))</f>
        <v/>
      </c>
      <c r="Q11" s="89"/>
      <c r="R11" s="89"/>
      <c r="S11" s="74" t="str">
        <f aca="false">IF(A11="","",IF(R11="",IF(Q11="","","En attente 28 j"),IF(R11&gt;=P_Fc28,"Conforme","Non conforme")))</f>
        <v/>
      </c>
      <c r="T11" s="25"/>
    </row>
    <row r="12" customFormat="false" ht="15" hidden="false" customHeight="false" outlineLevel="0" collapsed="false">
      <c r="A12" s="68"/>
      <c r="B12" s="97"/>
      <c r="C12" s="68"/>
      <c r="D12" s="82"/>
      <c r="E12" s="28"/>
      <c r="F12" s="28"/>
      <c r="G12" s="28"/>
      <c r="H12" s="72"/>
      <c r="I12" s="72"/>
      <c r="J12" s="72"/>
      <c r="K12" s="72"/>
      <c r="L12" s="72"/>
      <c r="M12" s="72"/>
      <c r="N12" s="72"/>
      <c r="O12" s="73" t="str">
        <f aca="false">IF(A12="","",IFERROR(SUMPRODUCT($H$6:$N$6,H12:N12)/SUMPRODUCT($H$6:$N$6*(H12:N12&lt;&gt;"n/a")),0))</f>
        <v/>
      </c>
      <c r="P12" s="74" t="str">
        <f aca="false">IF(A12="","",IF(O12&gt;=1,"Terminé",IF(O12&gt;0,"En cours","Non démarré")))</f>
        <v/>
      </c>
      <c r="Q12" s="89"/>
      <c r="R12" s="89"/>
      <c r="S12" s="74" t="str">
        <f aca="false">IF(A12="","",IF(R12="",IF(Q12="","","En attente 28 j"),IF(R12&gt;=P_Fc28,"Conforme","Non conforme")))</f>
        <v/>
      </c>
      <c r="T12" s="25"/>
    </row>
    <row r="13" customFormat="false" ht="15" hidden="false" customHeight="false" outlineLevel="0" collapsed="false">
      <c r="A13" s="68"/>
      <c r="B13" s="97"/>
      <c r="C13" s="68"/>
      <c r="D13" s="82"/>
      <c r="E13" s="28"/>
      <c r="F13" s="28"/>
      <c r="G13" s="28"/>
      <c r="H13" s="72"/>
      <c r="I13" s="72"/>
      <c r="J13" s="72"/>
      <c r="K13" s="72"/>
      <c r="L13" s="72"/>
      <c r="M13" s="72"/>
      <c r="N13" s="72"/>
      <c r="O13" s="73" t="str">
        <f aca="false">IF(A13="","",IFERROR(SUMPRODUCT($H$6:$N$6,H13:N13)/SUMPRODUCT($H$6:$N$6*(H13:N13&lt;&gt;"n/a")),0))</f>
        <v/>
      </c>
      <c r="P13" s="74" t="str">
        <f aca="false">IF(A13="","",IF(O13&gt;=1,"Terminé",IF(O13&gt;0,"En cours","Non démarré")))</f>
        <v/>
      </c>
      <c r="Q13" s="89"/>
      <c r="R13" s="89"/>
      <c r="S13" s="74" t="str">
        <f aca="false">IF(A13="","",IF(R13="",IF(Q13="","","En attente 28 j"),IF(R13&gt;=P_Fc28,"Conforme","Non conforme")))</f>
        <v/>
      </c>
      <c r="T13" s="25"/>
    </row>
    <row r="14" customFormat="false" ht="15" hidden="false" customHeight="false" outlineLevel="0" collapsed="false">
      <c r="A14" s="68"/>
      <c r="B14" s="97"/>
      <c r="C14" s="68"/>
      <c r="D14" s="82"/>
      <c r="E14" s="28"/>
      <c r="F14" s="28"/>
      <c r="G14" s="28"/>
      <c r="H14" s="72"/>
      <c r="I14" s="72"/>
      <c r="J14" s="72"/>
      <c r="K14" s="72"/>
      <c r="L14" s="72"/>
      <c r="M14" s="72"/>
      <c r="N14" s="72"/>
      <c r="O14" s="73" t="str">
        <f aca="false">IF(A14="","",IFERROR(SUMPRODUCT($H$6:$N$6,H14:N14)/SUMPRODUCT($H$6:$N$6*(H14:N14&lt;&gt;"n/a")),0))</f>
        <v/>
      </c>
      <c r="P14" s="74" t="str">
        <f aca="false">IF(A14="","",IF(O14&gt;=1,"Terminé",IF(O14&gt;0,"En cours","Non démarré")))</f>
        <v/>
      </c>
      <c r="Q14" s="89"/>
      <c r="R14" s="89"/>
      <c r="S14" s="74" t="str">
        <f aca="false">IF(A14="","",IF(R14="",IF(Q14="","","En attente 28 j"),IF(R14&gt;=P_Fc28,"Conforme","Non conforme")))</f>
        <v/>
      </c>
      <c r="T14" s="25"/>
    </row>
    <row r="15" customFormat="false" ht="15" hidden="false" customHeight="false" outlineLevel="0" collapsed="false">
      <c r="A15" s="68"/>
      <c r="B15" s="97"/>
      <c r="C15" s="68"/>
      <c r="D15" s="82"/>
      <c r="E15" s="28"/>
      <c r="F15" s="28"/>
      <c r="G15" s="28"/>
      <c r="H15" s="72"/>
      <c r="I15" s="72"/>
      <c r="J15" s="72"/>
      <c r="K15" s="72"/>
      <c r="L15" s="72"/>
      <c r="M15" s="72"/>
      <c r="N15" s="72"/>
      <c r="O15" s="73" t="str">
        <f aca="false">IF(A15="","",IFERROR(SUMPRODUCT($H$6:$N$6,H15:N15)/SUMPRODUCT($H$6:$N$6*(H15:N15&lt;&gt;"n/a")),0))</f>
        <v/>
      </c>
      <c r="P15" s="74" t="str">
        <f aca="false">IF(A15="","",IF(O15&gt;=1,"Terminé",IF(O15&gt;0,"En cours","Non démarré")))</f>
        <v/>
      </c>
      <c r="Q15" s="89"/>
      <c r="R15" s="89"/>
      <c r="S15" s="74" t="str">
        <f aca="false">IF(A15="","",IF(R15="",IF(Q15="","","En attente 28 j"),IF(R15&gt;=P_Fc28,"Conforme","Non conforme")))</f>
        <v/>
      </c>
      <c r="T15" s="25"/>
    </row>
    <row r="16" customFormat="false" ht="15" hidden="false" customHeight="false" outlineLevel="0" collapsed="false">
      <c r="A16" s="68"/>
      <c r="B16" s="97"/>
      <c r="C16" s="68"/>
      <c r="D16" s="82"/>
      <c r="E16" s="28"/>
      <c r="F16" s="28"/>
      <c r="G16" s="28"/>
      <c r="H16" s="72"/>
      <c r="I16" s="72"/>
      <c r="J16" s="72"/>
      <c r="K16" s="72"/>
      <c r="L16" s="72"/>
      <c r="M16" s="72"/>
      <c r="N16" s="72"/>
      <c r="O16" s="73" t="str">
        <f aca="false">IF(A16="","",IFERROR(SUMPRODUCT($H$6:$N$6,H16:N16)/SUMPRODUCT($H$6:$N$6*(H16:N16&lt;&gt;"n/a")),0))</f>
        <v/>
      </c>
      <c r="P16" s="74" t="str">
        <f aca="false">IF(A16="","",IF(O16&gt;=1,"Terminé",IF(O16&gt;0,"En cours","Non démarré")))</f>
        <v/>
      </c>
      <c r="Q16" s="89"/>
      <c r="R16" s="89"/>
      <c r="S16" s="74" t="str">
        <f aca="false">IF(A16="","",IF(R16="",IF(Q16="","","En attente 28 j"),IF(R16&gt;=P_Fc28,"Conforme","Non conforme")))</f>
        <v/>
      </c>
      <c r="T16" s="25"/>
    </row>
    <row r="17" customFormat="false" ht="15" hidden="false" customHeight="false" outlineLevel="0" collapsed="false">
      <c r="A17" s="68"/>
      <c r="B17" s="97"/>
      <c r="C17" s="68"/>
      <c r="D17" s="82"/>
      <c r="E17" s="28"/>
      <c r="F17" s="28"/>
      <c r="G17" s="28"/>
      <c r="H17" s="72"/>
      <c r="I17" s="72"/>
      <c r="J17" s="72"/>
      <c r="K17" s="72"/>
      <c r="L17" s="72"/>
      <c r="M17" s="72"/>
      <c r="N17" s="72"/>
      <c r="O17" s="73" t="str">
        <f aca="false">IF(A17="","",IFERROR(SUMPRODUCT($H$6:$N$6,H17:N17)/SUMPRODUCT($H$6:$N$6*(H17:N17&lt;&gt;"n/a")),0))</f>
        <v/>
      </c>
      <c r="P17" s="74" t="str">
        <f aca="false">IF(A17="","",IF(O17&gt;=1,"Terminé",IF(O17&gt;0,"En cours","Non démarré")))</f>
        <v/>
      </c>
      <c r="Q17" s="89"/>
      <c r="R17" s="89"/>
      <c r="S17" s="74" t="str">
        <f aca="false">IF(A17="","",IF(R17="",IF(Q17="","","En attente 28 j"),IF(R17&gt;=P_Fc28,"Conforme","Non conforme")))</f>
        <v/>
      </c>
      <c r="T17" s="25"/>
    </row>
    <row r="18" customFormat="false" ht="15" hidden="false" customHeight="false" outlineLevel="0" collapsed="false">
      <c r="A18" s="68"/>
      <c r="B18" s="97"/>
      <c r="C18" s="68"/>
      <c r="D18" s="82"/>
      <c r="E18" s="28"/>
      <c r="F18" s="28"/>
      <c r="G18" s="28"/>
      <c r="H18" s="72"/>
      <c r="I18" s="72"/>
      <c r="J18" s="72"/>
      <c r="K18" s="72"/>
      <c r="L18" s="72"/>
      <c r="M18" s="72"/>
      <c r="N18" s="72"/>
      <c r="O18" s="73" t="str">
        <f aca="false">IF(A18="","",IFERROR(SUMPRODUCT($H$6:$N$6,H18:N18)/SUMPRODUCT($H$6:$N$6*(H18:N18&lt;&gt;"n/a")),0))</f>
        <v/>
      </c>
      <c r="P18" s="74" t="str">
        <f aca="false">IF(A18="","",IF(O18&gt;=1,"Terminé",IF(O18&gt;0,"En cours","Non démarré")))</f>
        <v/>
      </c>
      <c r="Q18" s="89"/>
      <c r="R18" s="89"/>
      <c r="S18" s="74" t="str">
        <f aca="false">IF(A18="","",IF(R18="",IF(Q18="","","En attente 28 j"),IF(R18&gt;=P_Fc28,"Conforme","Non conforme")))</f>
        <v/>
      </c>
      <c r="T18" s="25"/>
    </row>
    <row r="19" customFormat="false" ht="15" hidden="false" customHeight="false" outlineLevel="0" collapsed="false">
      <c r="A19" s="68"/>
      <c r="B19" s="97"/>
      <c r="C19" s="68"/>
      <c r="D19" s="82"/>
      <c r="E19" s="28"/>
      <c r="F19" s="28"/>
      <c r="G19" s="28"/>
      <c r="H19" s="72"/>
      <c r="I19" s="72"/>
      <c r="J19" s="72"/>
      <c r="K19" s="72"/>
      <c r="L19" s="72"/>
      <c r="M19" s="72"/>
      <c r="N19" s="72"/>
      <c r="O19" s="73" t="str">
        <f aca="false">IF(A19="","",IFERROR(SUMPRODUCT($H$6:$N$6,H19:N19)/SUMPRODUCT($H$6:$N$6*(H19:N19&lt;&gt;"n/a")),0))</f>
        <v/>
      </c>
      <c r="P19" s="74" t="str">
        <f aca="false">IF(A19="","",IF(O19&gt;=1,"Terminé",IF(O19&gt;0,"En cours","Non démarré")))</f>
        <v/>
      </c>
      <c r="Q19" s="89"/>
      <c r="R19" s="89"/>
      <c r="S19" s="74" t="str">
        <f aca="false">IF(A19="","",IF(R19="",IF(Q19="","","En attente 28 j"),IF(R19&gt;=P_Fc28,"Conforme","Non conforme")))</f>
        <v/>
      </c>
      <c r="T19" s="25"/>
    </row>
    <row r="20" customFormat="false" ht="15" hidden="false" customHeight="false" outlineLevel="0" collapsed="false">
      <c r="A20" s="68"/>
      <c r="B20" s="97"/>
      <c r="C20" s="68"/>
      <c r="D20" s="82"/>
      <c r="E20" s="28"/>
      <c r="F20" s="28"/>
      <c r="G20" s="28"/>
      <c r="H20" s="72"/>
      <c r="I20" s="72"/>
      <c r="J20" s="72"/>
      <c r="K20" s="72"/>
      <c r="L20" s="72"/>
      <c r="M20" s="72"/>
      <c r="N20" s="72"/>
      <c r="O20" s="73" t="str">
        <f aca="false">IF(A20="","",IFERROR(SUMPRODUCT($H$6:$N$6,H20:N20)/SUMPRODUCT($H$6:$N$6*(H20:N20&lt;&gt;"n/a")),0))</f>
        <v/>
      </c>
      <c r="P20" s="74" t="str">
        <f aca="false">IF(A20="","",IF(O20&gt;=1,"Terminé",IF(O20&gt;0,"En cours","Non démarré")))</f>
        <v/>
      </c>
      <c r="Q20" s="89"/>
      <c r="R20" s="89"/>
      <c r="S20" s="74" t="str">
        <f aca="false">IF(A20="","",IF(R20="",IF(Q20="","","En attente 28 j"),IF(R20&gt;=P_Fc28,"Conforme","Non conforme")))</f>
        <v/>
      </c>
      <c r="T20" s="25"/>
    </row>
    <row r="21" customFormat="false" ht="15" hidden="false" customHeight="false" outlineLevel="0" collapsed="false">
      <c r="A21" s="68"/>
      <c r="B21" s="97"/>
      <c r="C21" s="68"/>
      <c r="D21" s="82"/>
      <c r="E21" s="28"/>
      <c r="F21" s="28"/>
      <c r="G21" s="28"/>
      <c r="H21" s="72"/>
      <c r="I21" s="72"/>
      <c r="J21" s="72"/>
      <c r="K21" s="72"/>
      <c r="L21" s="72"/>
      <c r="M21" s="72"/>
      <c r="N21" s="72"/>
      <c r="O21" s="73" t="str">
        <f aca="false">IF(A21="","",IFERROR(SUMPRODUCT($H$6:$N$6,H21:N21)/SUMPRODUCT($H$6:$N$6*(H21:N21&lt;&gt;"n/a")),0))</f>
        <v/>
      </c>
      <c r="P21" s="74" t="str">
        <f aca="false">IF(A21="","",IF(O21&gt;=1,"Terminé",IF(O21&gt;0,"En cours","Non démarré")))</f>
        <v/>
      </c>
      <c r="Q21" s="89"/>
      <c r="R21" s="89"/>
      <c r="S21" s="74" t="str">
        <f aca="false">IF(A21="","",IF(R21="",IF(Q21="","","En attente 28 j"),IF(R21&gt;=P_Fc28,"Conforme","Non conforme")))</f>
        <v/>
      </c>
      <c r="T21" s="25"/>
    </row>
    <row r="22" customFormat="false" ht="15" hidden="false" customHeight="false" outlineLevel="0" collapsed="false">
      <c r="A22" s="68"/>
      <c r="B22" s="97"/>
      <c r="C22" s="68"/>
      <c r="D22" s="82"/>
      <c r="E22" s="28"/>
      <c r="F22" s="28"/>
      <c r="G22" s="28"/>
      <c r="H22" s="72"/>
      <c r="I22" s="72"/>
      <c r="J22" s="72"/>
      <c r="K22" s="72"/>
      <c r="L22" s="72"/>
      <c r="M22" s="72"/>
      <c r="N22" s="72"/>
      <c r="O22" s="73" t="str">
        <f aca="false">IF(A22="","",IFERROR(SUMPRODUCT($H$6:$N$6,H22:N22)/SUMPRODUCT($H$6:$N$6*(H22:N22&lt;&gt;"n/a")),0))</f>
        <v/>
      </c>
      <c r="P22" s="74" t="str">
        <f aca="false">IF(A22="","",IF(O22&gt;=1,"Terminé",IF(O22&gt;0,"En cours","Non démarré")))</f>
        <v/>
      </c>
      <c r="Q22" s="89"/>
      <c r="R22" s="89"/>
      <c r="S22" s="74" t="str">
        <f aca="false">IF(A22="","",IF(R22="",IF(Q22="","","En attente 28 j"),IF(R22&gt;=P_Fc28,"Conforme","Non conforme")))</f>
        <v/>
      </c>
      <c r="T22" s="25"/>
    </row>
    <row r="23" customFormat="false" ht="15" hidden="false" customHeight="false" outlineLevel="0" collapsed="false">
      <c r="A23" s="68"/>
      <c r="B23" s="97"/>
      <c r="C23" s="68"/>
      <c r="D23" s="82"/>
      <c r="E23" s="28"/>
      <c r="F23" s="28"/>
      <c r="G23" s="28"/>
      <c r="H23" s="72"/>
      <c r="I23" s="72"/>
      <c r="J23" s="72"/>
      <c r="K23" s="72"/>
      <c r="L23" s="72"/>
      <c r="M23" s="72"/>
      <c r="N23" s="72"/>
      <c r="O23" s="73" t="str">
        <f aca="false">IF(A23="","",IFERROR(SUMPRODUCT($H$6:$N$6,H23:N23)/SUMPRODUCT($H$6:$N$6*(H23:N23&lt;&gt;"n/a")),0))</f>
        <v/>
      </c>
      <c r="P23" s="74" t="str">
        <f aca="false">IF(A23="","",IF(O23&gt;=1,"Terminé",IF(O23&gt;0,"En cours","Non démarré")))</f>
        <v/>
      </c>
      <c r="Q23" s="89"/>
      <c r="R23" s="89"/>
      <c r="S23" s="74" t="str">
        <f aca="false">IF(A23="","",IF(R23="",IF(Q23="","","En attente 28 j"),IF(R23&gt;=P_Fc28,"Conforme","Non conforme")))</f>
        <v/>
      </c>
      <c r="T23" s="25"/>
    </row>
    <row r="24" customFormat="false" ht="15" hidden="false" customHeight="false" outlineLevel="0" collapsed="false">
      <c r="A24" s="68"/>
      <c r="B24" s="97"/>
      <c r="C24" s="68"/>
      <c r="D24" s="82"/>
      <c r="E24" s="28"/>
      <c r="F24" s="28"/>
      <c r="G24" s="28"/>
      <c r="H24" s="72"/>
      <c r="I24" s="72"/>
      <c r="J24" s="72"/>
      <c r="K24" s="72"/>
      <c r="L24" s="72"/>
      <c r="M24" s="72"/>
      <c r="N24" s="72"/>
      <c r="O24" s="73" t="str">
        <f aca="false">IF(A24="","",IFERROR(SUMPRODUCT($H$6:$N$6,H24:N24)/SUMPRODUCT($H$6:$N$6*(H24:N24&lt;&gt;"n/a")),0))</f>
        <v/>
      </c>
      <c r="P24" s="74" t="str">
        <f aca="false">IF(A24="","",IF(O24&gt;=1,"Terminé",IF(O24&gt;0,"En cours","Non démarré")))</f>
        <v/>
      </c>
      <c r="Q24" s="89"/>
      <c r="R24" s="89"/>
      <c r="S24" s="74" t="str">
        <f aca="false">IF(A24="","",IF(R24="",IF(Q24="","","En attente 28 j"),IF(R24&gt;=P_Fc28,"Conforme","Non conforme")))</f>
        <v/>
      </c>
      <c r="T24" s="25"/>
    </row>
    <row r="25" customFormat="false" ht="15" hidden="false" customHeight="false" outlineLevel="0" collapsed="false">
      <c r="A25" s="68"/>
      <c r="B25" s="97"/>
      <c r="C25" s="68"/>
      <c r="D25" s="82"/>
      <c r="E25" s="28"/>
      <c r="F25" s="28"/>
      <c r="G25" s="28"/>
      <c r="H25" s="72"/>
      <c r="I25" s="72"/>
      <c r="J25" s="72"/>
      <c r="K25" s="72"/>
      <c r="L25" s="72"/>
      <c r="M25" s="72"/>
      <c r="N25" s="72"/>
      <c r="O25" s="73" t="str">
        <f aca="false">IF(A25="","",IFERROR(SUMPRODUCT($H$6:$N$6,H25:N25)/SUMPRODUCT($H$6:$N$6*(H25:N25&lt;&gt;"n/a")),0))</f>
        <v/>
      </c>
      <c r="P25" s="74" t="str">
        <f aca="false">IF(A25="","",IF(O25&gt;=1,"Terminé",IF(O25&gt;0,"En cours","Non démarré")))</f>
        <v/>
      </c>
      <c r="Q25" s="89"/>
      <c r="R25" s="89"/>
      <c r="S25" s="74" t="str">
        <f aca="false">IF(A25="","",IF(R25="",IF(Q25="","","En attente 28 j"),IF(R25&gt;=P_Fc28,"Conforme","Non conforme")))</f>
        <v/>
      </c>
      <c r="T25" s="25"/>
    </row>
    <row r="26" customFormat="false" ht="15" hidden="false" customHeight="false" outlineLevel="0" collapsed="false">
      <c r="A26" s="68"/>
      <c r="B26" s="97"/>
      <c r="C26" s="68"/>
      <c r="D26" s="82"/>
      <c r="E26" s="28"/>
      <c r="F26" s="28"/>
      <c r="G26" s="28"/>
      <c r="H26" s="72"/>
      <c r="I26" s="72"/>
      <c r="J26" s="72"/>
      <c r="K26" s="72"/>
      <c r="L26" s="72"/>
      <c r="M26" s="72"/>
      <c r="N26" s="72"/>
      <c r="O26" s="73" t="str">
        <f aca="false">IF(A26="","",IFERROR(SUMPRODUCT($H$6:$N$6,H26:N26)/SUMPRODUCT($H$6:$N$6*(H26:N26&lt;&gt;"n/a")),0))</f>
        <v/>
      </c>
      <c r="P26" s="74" t="str">
        <f aca="false">IF(A26="","",IF(O26&gt;=1,"Terminé",IF(O26&gt;0,"En cours","Non démarré")))</f>
        <v/>
      </c>
      <c r="Q26" s="89"/>
      <c r="R26" s="89"/>
      <c r="S26" s="74" t="str">
        <f aca="false">IF(A26="","",IF(R26="",IF(Q26="","","En attente 28 j"),IF(R26&gt;=P_Fc28,"Conforme","Non conforme")))</f>
        <v/>
      </c>
      <c r="T26" s="25"/>
    </row>
    <row r="27" customFormat="false" ht="15" hidden="false" customHeight="false" outlineLevel="0" collapsed="false">
      <c r="A27" s="68"/>
      <c r="B27" s="97"/>
      <c r="C27" s="68"/>
      <c r="D27" s="82"/>
      <c r="E27" s="28"/>
      <c r="F27" s="28"/>
      <c r="G27" s="28"/>
      <c r="H27" s="72"/>
      <c r="I27" s="72"/>
      <c r="J27" s="72"/>
      <c r="K27" s="72"/>
      <c r="L27" s="72"/>
      <c r="M27" s="72"/>
      <c r="N27" s="72"/>
      <c r="O27" s="73" t="str">
        <f aca="false">IF(A27="","",IFERROR(SUMPRODUCT($H$6:$N$6,H27:N27)/SUMPRODUCT($H$6:$N$6*(H27:N27&lt;&gt;"n/a")),0))</f>
        <v/>
      </c>
      <c r="P27" s="74" t="str">
        <f aca="false">IF(A27="","",IF(O27&gt;=1,"Terminé",IF(O27&gt;0,"En cours","Non démarré")))</f>
        <v/>
      </c>
      <c r="Q27" s="89"/>
      <c r="R27" s="89"/>
      <c r="S27" s="74" t="str">
        <f aca="false">IF(A27="","",IF(R27="",IF(Q27="","","En attente 28 j"),IF(R27&gt;=P_Fc28,"Conforme","Non conforme")))</f>
        <v/>
      </c>
      <c r="T27" s="25"/>
    </row>
    <row r="28" customFormat="false" ht="15" hidden="false" customHeight="false" outlineLevel="0" collapsed="false">
      <c r="A28" s="68"/>
      <c r="B28" s="97"/>
      <c r="C28" s="68"/>
      <c r="D28" s="82"/>
      <c r="E28" s="28"/>
      <c r="F28" s="28"/>
      <c r="G28" s="28"/>
      <c r="H28" s="72"/>
      <c r="I28" s="72"/>
      <c r="J28" s="72"/>
      <c r="K28" s="72"/>
      <c r="L28" s="72"/>
      <c r="M28" s="72"/>
      <c r="N28" s="72"/>
      <c r="O28" s="73" t="str">
        <f aca="false">IF(A28="","",IFERROR(SUMPRODUCT($H$6:$N$6,H28:N28)/SUMPRODUCT($H$6:$N$6*(H28:N28&lt;&gt;"n/a")),0))</f>
        <v/>
      </c>
      <c r="P28" s="74" t="str">
        <f aca="false">IF(A28="","",IF(O28&gt;=1,"Terminé",IF(O28&gt;0,"En cours","Non démarré")))</f>
        <v/>
      </c>
      <c r="Q28" s="89"/>
      <c r="R28" s="89"/>
      <c r="S28" s="74" t="str">
        <f aca="false">IF(A28="","",IF(R28="",IF(Q28="","","En attente 28 j"),IF(R28&gt;=P_Fc28,"Conforme","Non conforme")))</f>
        <v/>
      </c>
      <c r="T28" s="25"/>
    </row>
    <row r="29" customFormat="false" ht="15" hidden="false" customHeight="false" outlineLevel="0" collapsed="false">
      <c r="A29" s="68"/>
      <c r="B29" s="97"/>
      <c r="C29" s="68"/>
      <c r="D29" s="82"/>
      <c r="E29" s="28"/>
      <c r="F29" s="28"/>
      <c r="G29" s="28"/>
      <c r="H29" s="72"/>
      <c r="I29" s="72"/>
      <c r="J29" s="72"/>
      <c r="K29" s="72"/>
      <c r="L29" s="72"/>
      <c r="M29" s="72"/>
      <c r="N29" s="72"/>
      <c r="O29" s="73" t="str">
        <f aca="false">IF(A29="","",IFERROR(SUMPRODUCT($H$6:$N$6,H29:N29)/SUMPRODUCT($H$6:$N$6*(H29:N29&lt;&gt;"n/a")),0))</f>
        <v/>
      </c>
      <c r="P29" s="74" t="str">
        <f aca="false">IF(A29="","",IF(O29&gt;=1,"Terminé",IF(O29&gt;0,"En cours","Non démarré")))</f>
        <v/>
      </c>
      <c r="Q29" s="89"/>
      <c r="R29" s="89"/>
      <c r="S29" s="74" t="str">
        <f aca="false">IF(A29="","",IF(R29="",IF(Q29="","","En attente 28 j"),IF(R29&gt;=P_Fc28,"Conforme","Non conforme")))</f>
        <v/>
      </c>
      <c r="T29" s="25"/>
    </row>
    <row r="30" customFormat="false" ht="15" hidden="false" customHeight="false" outlineLevel="0" collapsed="false">
      <c r="A30" s="68"/>
      <c r="B30" s="97"/>
      <c r="C30" s="68"/>
      <c r="D30" s="82"/>
      <c r="E30" s="28"/>
      <c r="F30" s="28"/>
      <c r="G30" s="28"/>
      <c r="H30" s="72"/>
      <c r="I30" s="72"/>
      <c r="J30" s="72"/>
      <c r="K30" s="72"/>
      <c r="L30" s="72"/>
      <c r="M30" s="72"/>
      <c r="N30" s="72"/>
      <c r="O30" s="73" t="str">
        <f aca="false">IF(A30="","",IFERROR(SUMPRODUCT($H$6:$N$6,H30:N30)/SUMPRODUCT($H$6:$N$6*(H30:N30&lt;&gt;"n/a")),0))</f>
        <v/>
      </c>
      <c r="P30" s="74" t="str">
        <f aca="false">IF(A30="","",IF(O30&gt;=1,"Terminé",IF(O30&gt;0,"En cours","Non démarré")))</f>
        <v/>
      </c>
      <c r="Q30" s="89"/>
      <c r="R30" s="89"/>
      <c r="S30" s="74" t="str">
        <f aca="false">IF(A30="","",IF(R30="",IF(Q30="","","En attente 28 j"),IF(R30&gt;=P_Fc28,"Conforme","Non conforme")))</f>
        <v/>
      </c>
      <c r="T30" s="25"/>
    </row>
    <row r="31" customFormat="false" ht="15" hidden="false" customHeight="false" outlineLevel="0" collapsed="false">
      <c r="A31" s="68"/>
      <c r="B31" s="97"/>
      <c r="C31" s="68"/>
      <c r="D31" s="82"/>
      <c r="E31" s="28"/>
      <c r="F31" s="28"/>
      <c r="G31" s="28"/>
      <c r="H31" s="72"/>
      <c r="I31" s="72"/>
      <c r="J31" s="72"/>
      <c r="K31" s="72"/>
      <c r="L31" s="72"/>
      <c r="M31" s="72"/>
      <c r="N31" s="72"/>
      <c r="O31" s="73" t="str">
        <f aca="false">IF(A31="","",IFERROR(SUMPRODUCT($H$6:$N$6,H31:N31)/SUMPRODUCT($H$6:$N$6*(H31:N31&lt;&gt;"n/a")),0))</f>
        <v/>
      </c>
      <c r="P31" s="74" t="str">
        <f aca="false">IF(A31="","",IF(O31&gt;=1,"Terminé",IF(O31&gt;0,"En cours","Non démarré")))</f>
        <v/>
      </c>
      <c r="Q31" s="89"/>
      <c r="R31" s="89"/>
      <c r="S31" s="74" t="str">
        <f aca="false">IF(A31="","",IF(R31="",IF(Q31="","","En attente 28 j"),IF(R31&gt;=P_Fc28,"Conforme","Non conforme")))</f>
        <v/>
      </c>
      <c r="T31" s="25"/>
    </row>
    <row r="32" customFormat="false" ht="15" hidden="false" customHeight="false" outlineLevel="0" collapsed="false">
      <c r="A32" s="68"/>
      <c r="B32" s="97"/>
      <c r="C32" s="68"/>
      <c r="D32" s="82"/>
      <c r="E32" s="28"/>
      <c r="F32" s="28"/>
      <c r="G32" s="28"/>
      <c r="H32" s="72"/>
      <c r="I32" s="72"/>
      <c r="J32" s="72"/>
      <c r="K32" s="72"/>
      <c r="L32" s="72"/>
      <c r="M32" s="72"/>
      <c r="N32" s="72"/>
      <c r="O32" s="73" t="str">
        <f aca="false">IF(A32="","",IFERROR(SUMPRODUCT($H$6:$N$6,H32:N32)/SUMPRODUCT($H$6:$N$6*(H32:N32&lt;&gt;"n/a")),0))</f>
        <v/>
      </c>
      <c r="P32" s="74" t="str">
        <f aca="false">IF(A32="","",IF(O32&gt;=1,"Terminé",IF(O32&gt;0,"En cours","Non démarré")))</f>
        <v/>
      </c>
      <c r="Q32" s="89"/>
      <c r="R32" s="89"/>
      <c r="S32" s="74" t="str">
        <f aca="false">IF(A32="","",IF(R32="",IF(Q32="","","En attente 28 j"),IF(R32&gt;=P_Fc28,"Conforme","Non conforme")))</f>
        <v/>
      </c>
      <c r="T32" s="25"/>
    </row>
    <row r="33" customFormat="false" ht="15" hidden="false" customHeight="false" outlineLevel="0" collapsed="false">
      <c r="A33" s="68"/>
      <c r="B33" s="97"/>
      <c r="C33" s="68"/>
      <c r="D33" s="82"/>
      <c r="E33" s="28"/>
      <c r="F33" s="28"/>
      <c r="G33" s="28"/>
      <c r="H33" s="72"/>
      <c r="I33" s="72"/>
      <c r="J33" s="72"/>
      <c r="K33" s="72"/>
      <c r="L33" s="72"/>
      <c r="M33" s="72"/>
      <c r="N33" s="72"/>
      <c r="O33" s="73" t="str">
        <f aca="false">IF(A33="","",IFERROR(SUMPRODUCT($H$6:$N$6,H33:N33)/SUMPRODUCT($H$6:$N$6*(H33:N33&lt;&gt;"n/a")),0))</f>
        <v/>
      </c>
      <c r="P33" s="74" t="str">
        <f aca="false">IF(A33="","",IF(O33&gt;=1,"Terminé",IF(O33&gt;0,"En cours","Non démarré")))</f>
        <v/>
      </c>
      <c r="Q33" s="89"/>
      <c r="R33" s="89"/>
      <c r="S33" s="74" t="str">
        <f aca="false">IF(A33="","",IF(R33="",IF(Q33="","","En attente 28 j"),IF(R33&gt;=P_Fc28,"Conforme","Non conforme")))</f>
        <v/>
      </c>
      <c r="T33" s="25"/>
    </row>
    <row r="34" customFormat="false" ht="15" hidden="false" customHeight="false" outlineLevel="0" collapsed="false">
      <c r="A34" s="68"/>
      <c r="B34" s="97"/>
      <c r="C34" s="68"/>
      <c r="D34" s="82"/>
      <c r="E34" s="28"/>
      <c r="F34" s="28"/>
      <c r="G34" s="28"/>
      <c r="H34" s="72"/>
      <c r="I34" s="72"/>
      <c r="J34" s="72"/>
      <c r="K34" s="72"/>
      <c r="L34" s="72"/>
      <c r="M34" s="72"/>
      <c r="N34" s="72"/>
      <c r="O34" s="73" t="str">
        <f aca="false">IF(A34="","",IFERROR(SUMPRODUCT($H$6:$N$6,H34:N34)/SUMPRODUCT($H$6:$N$6*(H34:N34&lt;&gt;"n/a")),0))</f>
        <v/>
      </c>
      <c r="P34" s="74" t="str">
        <f aca="false">IF(A34="","",IF(O34&gt;=1,"Terminé",IF(O34&gt;0,"En cours","Non démarré")))</f>
        <v/>
      </c>
      <c r="Q34" s="89"/>
      <c r="R34" s="89"/>
      <c r="S34" s="74" t="str">
        <f aca="false">IF(A34="","",IF(R34="",IF(Q34="","","En attente 28 j"),IF(R34&gt;=P_Fc28,"Conforme","Non conforme")))</f>
        <v/>
      </c>
      <c r="T34" s="25"/>
    </row>
    <row r="35" customFormat="false" ht="15" hidden="false" customHeight="false" outlineLevel="0" collapsed="false">
      <c r="A35" s="68"/>
      <c r="B35" s="97"/>
      <c r="C35" s="68"/>
      <c r="D35" s="82"/>
      <c r="E35" s="28"/>
      <c r="F35" s="28"/>
      <c r="G35" s="28"/>
      <c r="H35" s="72"/>
      <c r="I35" s="72"/>
      <c r="J35" s="72"/>
      <c r="K35" s="72"/>
      <c r="L35" s="72"/>
      <c r="M35" s="72"/>
      <c r="N35" s="72"/>
      <c r="O35" s="73" t="str">
        <f aca="false">IF(A35="","",IFERROR(SUMPRODUCT($H$6:$N$6,H35:N35)/SUMPRODUCT($H$6:$N$6*(H35:N35&lt;&gt;"n/a")),0))</f>
        <v/>
      </c>
      <c r="P35" s="74" t="str">
        <f aca="false">IF(A35="","",IF(O35&gt;=1,"Terminé",IF(O35&gt;0,"En cours","Non démarré")))</f>
        <v/>
      </c>
      <c r="Q35" s="89"/>
      <c r="R35" s="89"/>
      <c r="S35" s="74" t="str">
        <f aca="false">IF(A35="","",IF(R35="",IF(Q35="","","En attente 28 j"),IF(R35&gt;=P_Fc28,"Conforme","Non conforme")))</f>
        <v/>
      </c>
      <c r="T35" s="25"/>
    </row>
    <row r="36" customFormat="false" ht="15" hidden="false" customHeight="false" outlineLevel="0" collapsed="false">
      <c r="A36" s="68"/>
      <c r="B36" s="97"/>
      <c r="C36" s="68"/>
      <c r="D36" s="82"/>
      <c r="E36" s="28"/>
      <c r="F36" s="28"/>
      <c r="G36" s="28"/>
      <c r="H36" s="72"/>
      <c r="I36" s="72"/>
      <c r="J36" s="72"/>
      <c r="K36" s="72"/>
      <c r="L36" s="72"/>
      <c r="M36" s="72"/>
      <c r="N36" s="72"/>
      <c r="O36" s="73" t="str">
        <f aca="false">IF(A36="","",IFERROR(SUMPRODUCT($H$6:$N$6,H36:N36)/SUMPRODUCT($H$6:$N$6*(H36:N36&lt;&gt;"n/a")),0))</f>
        <v/>
      </c>
      <c r="P36" s="74" t="str">
        <f aca="false">IF(A36="","",IF(O36&gt;=1,"Terminé",IF(O36&gt;0,"En cours","Non démarré")))</f>
        <v/>
      </c>
      <c r="Q36" s="89"/>
      <c r="R36" s="89"/>
      <c r="S36" s="74" t="str">
        <f aca="false">IF(A36="","",IF(R36="",IF(Q36="","","En attente 28 j"),IF(R36&gt;=P_Fc28,"Conforme","Non conforme")))</f>
        <v/>
      </c>
      <c r="T36" s="25"/>
    </row>
    <row r="37" customFormat="false" ht="15" hidden="false" customHeight="false" outlineLevel="0" collapsed="false">
      <c r="A37" s="68"/>
      <c r="B37" s="97"/>
      <c r="C37" s="68"/>
      <c r="D37" s="82"/>
      <c r="E37" s="28"/>
      <c r="F37" s="28"/>
      <c r="G37" s="28"/>
      <c r="H37" s="72"/>
      <c r="I37" s="72"/>
      <c r="J37" s="72"/>
      <c r="K37" s="72"/>
      <c r="L37" s="72"/>
      <c r="M37" s="72"/>
      <c r="N37" s="72"/>
      <c r="O37" s="73" t="str">
        <f aca="false">IF(A37="","",IFERROR(SUMPRODUCT($H$6:$N$6,H37:N37)/SUMPRODUCT($H$6:$N$6*(H37:N37&lt;&gt;"n/a")),0))</f>
        <v/>
      </c>
      <c r="P37" s="74" t="str">
        <f aca="false">IF(A37="","",IF(O37&gt;=1,"Terminé",IF(O37&gt;0,"En cours","Non démarré")))</f>
        <v/>
      </c>
      <c r="Q37" s="89"/>
      <c r="R37" s="89"/>
      <c r="S37" s="74" t="str">
        <f aca="false">IF(A37="","",IF(R37="",IF(Q37="","","En attente 28 j"),IF(R37&gt;=P_Fc28,"Conforme","Non conforme")))</f>
        <v/>
      </c>
      <c r="T37" s="25"/>
    </row>
  </sheetData>
  <autoFilter ref="A7:T37"/>
  <mergeCells count="5">
    <mergeCell ref="A1:T1"/>
    <mergeCell ref="A2:T2"/>
    <mergeCell ref="A3:T3"/>
    <mergeCell ref="A4:T4"/>
    <mergeCell ref="A5:B5"/>
  </mergeCells>
  <conditionalFormatting sqref="O6">
    <cfRule type="expression" priority="2" aboveAverage="0" equalAverage="0" bottom="0" percent="0" rank="0" text="" dxfId="16">
      <formula>ROUND(O6,4)&lt;&gt;1</formula>
    </cfRule>
  </conditionalFormatting>
  <conditionalFormatting sqref="H8:N37">
    <cfRule type="cellIs" priority="3" operator="equal" aboveAverage="0" equalAverage="0" bottom="0" percent="0" rank="0" text="" dxfId="27">
      <formula>"n/a"</formula>
    </cfRule>
    <cfRule type="colorScale" priority="4">
      <colorScale>
        <cfvo type="num" val="0"/>
        <cfvo type="num" val="1"/>
        <color rgb="FFFFFFFF"/>
        <color rgb="FF81C784"/>
      </colorScale>
    </cfRule>
  </conditionalFormatting>
  <conditionalFormatting sqref="O8:O37">
    <cfRule type="dataBar" priority="5">
      <dataBar showValue="1" minLength="10" maxLength="90">
        <cfvo type="num" val="0"/>
        <cfvo type="num" val="1"/>
        <color rgb="FF43A047"/>
      </dataBar>
      <extLst>
        <ext xmlns:x14="http://schemas.microsoft.com/office/spreadsheetml/2009/9/main" uri="{B025F937-C7B1-47D3-B67F-A62EFF666E3E}">
          <x14:id>{E739D99F-8832-49E8-AF76-E7B9914CE9FA}</x14:id>
        </ext>
      </extLst>
    </cfRule>
  </conditionalFormatting>
  <conditionalFormatting sqref="P8:P37">
    <cfRule type="cellIs" priority="6" operator="equal" aboveAverage="0" equalAverage="0" bottom="0" percent="0" rank="0" text="" dxfId="2">
      <formula>"En cours"</formula>
    </cfRule>
    <cfRule type="cellIs" priority="7" operator="equal" aboveAverage="0" equalAverage="0" bottom="0" percent="0" rank="0" text="" dxfId="1">
      <formula>"Terminé"</formula>
    </cfRule>
    <cfRule type="cellIs" priority="8" operator="equal" aboveAverage="0" equalAverage="0" bottom="0" percent="0" rank="0" text="" dxfId="5">
      <formula>"Non démarré"</formula>
    </cfRule>
  </conditionalFormatting>
  <conditionalFormatting sqref="S8:S37">
    <cfRule type="cellIs" priority="9" operator="equal" aboveAverage="0" equalAverage="0" bottom="0" percent="0" rank="0" text="" dxfId="3">
      <formula>"Non conforme"</formula>
    </cfRule>
    <cfRule type="cellIs" priority="10" operator="equal" aboveAverage="0" equalAverage="0" bottom="0" percent="0" rank="0" text="" dxfId="2">
      <formula>"En attente 28 j"</formula>
    </cfRule>
    <cfRule type="cellIs" priority="11" operator="equal" aboveAverage="0" equalAverage="0" bottom="0" percent="0" rank="0" text="" dxfId="1">
      <formula>"Conforme"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39D99F-8832-49E8-AF76-E7B9914CE9F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3A047"/>
              <x14:axisColor rgb="FF000000"/>
            </x14:dataBar>
          </x14:cfRule>
          <xm:sqref>O8:O37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true"/>
  </sheetPr>
  <dimension ref="A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7" min="4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26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9.5" hidden="false" customHeight="true" outlineLevel="0" collapsed="false">
      <c r="A2" s="20" t="s">
        <v>931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21" t="s">
        <v>932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customFormat="false" ht="15" hidden="false" customHeight="false" outlineLevel="0" collapsed="false">
      <c r="A5" s="92" t="s">
        <v>825</v>
      </c>
      <c r="B5" s="92"/>
      <c r="C5" s="93" t="n">
        <f aca="false">IFERROR(SUMPRODUCT($C$8:$C$47,$G$8:$G$47)/SUM($C$8:$C$47),0)</f>
        <v>0.305882352941177</v>
      </c>
      <c r="D5" s="80" t="s">
        <v>933</v>
      </c>
    </row>
    <row r="6" customFormat="false" ht="15" hidden="false" customHeight="false" outlineLevel="0" collapsed="false">
      <c r="E6" s="94" t="s">
        <v>827</v>
      </c>
      <c r="F6" s="95" t="n">
        <v>1</v>
      </c>
      <c r="G6" s="96" t="n">
        <f aca="false">SUM($F$6:$F$6)</f>
        <v>1</v>
      </c>
    </row>
    <row r="7" customFormat="false" ht="45.75" hidden="false" customHeight="true" outlineLevel="0" collapsed="false">
      <c r="A7" s="23" t="s">
        <v>934</v>
      </c>
      <c r="B7" s="23" t="s">
        <v>935</v>
      </c>
      <c r="C7" s="23" t="s">
        <v>518</v>
      </c>
      <c r="D7" s="23" t="s">
        <v>386</v>
      </c>
      <c r="E7" s="23" t="s">
        <v>388</v>
      </c>
      <c r="F7" s="23" t="s">
        <v>389</v>
      </c>
      <c r="G7" s="23" t="s">
        <v>840</v>
      </c>
      <c r="H7" s="23" t="s">
        <v>306</v>
      </c>
      <c r="I7" s="23" t="s">
        <v>936</v>
      </c>
      <c r="J7" s="23" t="s">
        <v>937</v>
      </c>
      <c r="K7" s="23" t="s">
        <v>938</v>
      </c>
      <c r="L7" s="23" t="s">
        <v>579</v>
      </c>
    </row>
    <row r="8" customFormat="false" ht="15" hidden="false" customHeight="false" outlineLevel="0" collapsed="false">
      <c r="A8" s="25" t="s">
        <v>939</v>
      </c>
      <c r="B8" s="25" t="s">
        <v>940</v>
      </c>
      <c r="C8" s="28" t="n">
        <v>3500000</v>
      </c>
      <c r="D8" s="69" t="n">
        <v>46258</v>
      </c>
      <c r="E8" s="69" t="n">
        <v>46267</v>
      </c>
      <c r="F8" s="72" t="n">
        <v>1</v>
      </c>
      <c r="G8" s="73" t="n">
        <f aca="false">IF(A8="","",IFERROR(SUMPRODUCT($F$6:$F$6,F8:F8)/SUMPRODUCT($F$6:$F$6*(F8:F8&lt;&gt;"n/a")),0))</f>
        <v>1</v>
      </c>
      <c r="H8" s="74" t="str">
        <f aca="false">IF(A8="","",IF(G8&gt;=1,"Terminé",IF(G8&gt;0,"En cours","Non démarré")))</f>
        <v>Terminé</v>
      </c>
      <c r="I8" s="31" t="n">
        <f aca="false">IF(G8="","",N(C8)*G8)</f>
        <v>3500000</v>
      </c>
      <c r="J8" s="74" t="str">
        <f aca="false">IF(OR(A8="",E8=""),"",IF(AND(P_DateRef&gt;E8,G8&lt;1),"En retard",""))</f>
        <v/>
      </c>
      <c r="K8" s="70"/>
      <c r="L8" s="25"/>
    </row>
    <row r="9" customFormat="false" ht="23.85" hidden="false" customHeight="false" outlineLevel="0" collapsed="false">
      <c r="A9" s="25" t="s">
        <v>941</v>
      </c>
      <c r="B9" s="25" t="s">
        <v>940</v>
      </c>
      <c r="C9" s="28" t="n">
        <v>11500000</v>
      </c>
      <c r="D9" s="69" t="n">
        <v>46268</v>
      </c>
      <c r="E9" s="69" t="n">
        <v>46287</v>
      </c>
      <c r="F9" s="72" t="n">
        <v>1</v>
      </c>
      <c r="G9" s="73" t="n">
        <f aca="false">IF(A9="","",IFERROR(SUMPRODUCT($F$6:$F$6,F9:F9)/SUMPRODUCT($F$6:$F$6*(F9:F9&lt;&gt;"n/a")),0))</f>
        <v>1</v>
      </c>
      <c r="H9" s="74" t="str">
        <f aca="false">IF(A9="","",IF(G9&gt;=1,"Terminé",IF(G9&gt;0,"En cours","Non démarré")))</f>
        <v>Terminé</v>
      </c>
      <c r="I9" s="31" t="n">
        <f aca="false">IF(G9="","",N(C9)*G9)</f>
        <v>11500000</v>
      </c>
      <c r="J9" s="74" t="str">
        <f aca="false">IF(OR(A9="",E9=""),"",IF(AND(P_DateRef&gt;E9,G9&lt;1),"En retard",""))</f>
        <v/>
      </c>
      <c r="K9" s="70"/>
      <c r="L9" s="25"/>
    </row>
    <row r="10" customFormat="false" ht="23.85" hidden="false" customHeight="false" outlineLevel="0" collapsed="false">
      <c r="A10" s="25" t="s">
        <v>942</v>
      </c>
      <c r="B10" s="25" t="s">
        <v>940</v>
      </c>
      <c r="C10" s="28" t="n">
        <v>27000000</v>
      </c>
      <c r="D10" s="69" t="n">
        <v>46288</v>
      </c>
      <c r="E10" s="69" t="n">
        <v>46322</v>
      </c>
      <c r="F10" s="72" t="n">
        <v>0.6</v>
      </c>
      <c r="G10" s="73" t="n">
        <f aca="false">IF(A10="","",IFERROR(SUMPRODUCT($F$6:$F$6,F10:F10)/SUMPRODUCT($F$6:$F$6*(F10:F10&lt;&gt;"n/a")),0))</f>
        <v>0.6</v>
      </c>
      <c r="H10" s="74" t="str">
        <f aca="false">IF(A10="","",IF(G10&gt;=1,"Terminé",IF(G10&gt;0,"En cours","Non démarré")))</f>
        <v>En cours</v>
      </c>
      <c r="I10" s="31" t="n">
        <f aca="false">IF(G10="","",N(C10)*G10)</f>
        <v>16200000</v>
      </c>
      <c r="J10" s="74" t="str">
        <f aca="false">IF(OR(A10="",E10=""),"",IF(AND(P_DateRef&gt;E10,G10&lt;1),"En retard",""))</f>
        <v/>
      </c>
      <c r="K10" s="70"/>
      <c r="L10" s="25"/>
    </row>
    <row r="11" customFormat="false" ht="15" hidden="false" customHeight="false" outlineLevel="0" collapsed="false">
      <c r="A11" s="25" t="s">
        <v>943</v>
      </c>
      <c r="B11" s="25" t="s">
        <v>940</v>
      </c>
      <c r="C11" s="28" t="n">
        <v>20000000</v>
      </c>
      <c r="D11" s="69" t="n">
        <v>46323</v>
      </c>
      <c r="E11" s="69" t="n">
        <v>46342</v>
      </c>
      <c r="F11" s="72" t="n">
        <v>0</v>
      </c>
      <c r="G11" s="73" t="n">
        <f aca="false">IF(A11="","",IFERROR(SUMPRODUCT($F$6:$F$6,F11:F11)/SUMPRODUCT($F$6:$F$6*(F11:F11&lt;&gt;"n/a")),0))</f>
        <v>0</v>
      </c>
      <c r="H11" s="74" t="str">
        <f aca="false">IF(A11="","",IF(G11&gt;=1,"Terminé",IF(G11&gt;0,"En cours","Non démarré")))</f>
        <v>Non démarré</v>
      </c>
      <c r="I11" s="31" t="n">
        <f aca="false">IF(G11="","",N(C11)*G11)</f>
        <v>0</v>
      </c>
      <c r="J11" s="74" t="str">
        <f aca="false">IF(OR(A11="",E11=""),"",IF(AND(P_DateRef&gt;E11,G11&lt;1),"En retard",""))</f>
        <v/>
      </c>
      <c r="K11" s="70"/>
      <c r="L11" s="25"/>
    </row>
    <row r="12" customFormat="false" ht="15" hidden="false" customHeight="false" outlineLevel="0" collapsed="false">
      <c r="A12" s="25" t="s">
        <v>944</v>
      </c>
      <c r="B12" s="25" t="s">
        <v>183</v>
      </c>
      <c r="C12" s="28" t="n">
        <v>6500000</v>
      </c>
      <c r="D12" s="69" t="n">
        <v>46346</v>
      </c>
      <c r="E12" s="69" t="n">
        <v>46370</v>
      </c>
      <c r="F12" s="72" t="n">
        <v>0</v>
      </c>
      <c r="G12" s="73" t="n">
        <f aca="false">IF(A12="","",IFERROR(SUMPRODUCT($F$6:$F$6,F12:F12)/SUMPRODUCT($F$6:$F$6*(F12:F12&lt;&gt;"n/a")),0))</f>
        <v>0</v>
      </c>
      <c r="H12" s="74" t="str">
        <f aca="false">IF(A12="","",IF(G12&gt;=1,"Terminé",IF(G12&gt;0,"En cours","Non démarré")))</f>
        <v>Non démarré</v>
      </c>
      <c r="I12" s="31" t="n">
        <f aca="false">IF(G12="","",N(C12)*G12)</f>
        <v>0</v>
      </c>
      <c r="J12" s="74" t="str">
        <f aca="false">IF(OR(A12="",E12=""),"",IF(AND(P_DateRef&gt;E12,G12&lt;1),"En retard",""))</f>
        <v/>
      </c>
      <c r="K12" s="70"/>
      <c r="L12" s="25"/>
    </row>
    <row r="13" customFormat="false" ht="15" hidden="false" customHeight="false" outlineLevel="0" collapsed="false">
      <c r="A13" s="25" t="s">
        <v>945</v>
      </c>
      <c r="B13" s="25" t="s">
        <v>183</v>
      </c>
      <c r="C13" s="28" t="n">
        <v>2500000</v>
      </c>
      <c r="D13" s="69" t="n">
        <v>46357</v>
      </c>
      <c r="E13" s="69" t="n">
        <v>46370</v>
      </c>
      <c r="F13" s="72" t="n">
        <v>0</v>
      </c>
      <c r="G13" s="73" t="n">
        <f aca="false">IF(A13="","",IFERROR(SUMPRODUCT($F$6:$F$6,F13:F13)/SUMPRODUCT($F$6:$F$6*(F13:F13&lt;&gt;"n/a")),0))</f>
        <v>0</v>
      </c>
      <c r="H13" s="74" t="str">
        <f aca="false">IF(A13="","",IF(G13&gt;=1,"Terminé",IF(G13&gt;0,"En cours","Non démarré")))</f>
        <v>Non démarré</v>
      </c>
      <c r="I13" s="31" t="n">
        <f aca="false">IF(G13="","",N(C13)*G13)</f>
        <v>0</v>
      </c>
      <c r="J13" s="74" t="str">
        <f aca="false">IF(OR(A13="",E13=""),"",IF(AND(P_DateRef&gt;E13,G13&lt;1),"En retard",""))</f>
        <v/>
      </c>
      <c r="K13" s="70"/>
      <c r="L13" s="25"/>
    </row>
    <row r="14" customFormat="false" ht="15" hidden="false" customHeight="false" outlineLevel="0" collapsed="false">
      <c r="A14" s="25" t="s">
        <v>946</v>
      </c>
      <c r="B14" s="25" t="s">
        <v>183</v>
      </c>
      <c r="C14" s="28" t="n">
        <v>3500000</v>
      </c>
      <c r="D14" s="69" t="n">
        <v>46377</v>
      </c>
      <c r="E14" s="69" t="n">
        <v>46406</v>
      </c>
      <c r="F14" s="72" t="n">
        <v>0</v>
      </c>
      <c r="G14" s="73" t="n">
        <f aca="false">IF(A14="","",IFERROR(SUMPRODUCT($F$6:$F$6,F14:F14)/SUMPRODUCT($F$6:$F$6*(F14:F14&lt;&gt;"n/a")),0))</f>
        <v>0</v>
      </c>
      <c r="H14" s="74" t="str">
        <f aca="false">IF(A14="","",IF(G14&gt;=1,"Terminé",IF(G14&gt;0,"En cours","Non démarré")))</f>
        <v>Non démarré</v>
      </c>
      <c r="I14" s="31" t="n">
        <f aca="false">IF(G14="","",N(C14)*G14)</f>
        <v>0</v>
      </c>
      <c r="J14" s="74" t="str">
        <f aca="false">IF(OR(A14="",E14=""),"",IF(AND(P_DateRef&gt;E14,G14&lt;1),"En retard",""))</f>
        <v/>
      </c>
      <c r="K14" s="70"/>
      <c r="L14" s="25"/>
    </row>
    <row r="15" customFormat="false" ht="15" hidden="false" customHeight="false" outlineLevel="0" collapsed="false">
      <c r="A15" s="25" t="s">
        <v>947</v>
      </c>
      <c r="B15" s="25" t="s">
        <v>183</v>
      </c>
      <c r="C15" s="28" t="n">
        <v>3500000</v>
      </c>
      <c r="D15" s="69" t="n">
        <v>46377</v>
      </c>
      <c r="E15" s="69" t="n">
        <v>46406</v>
      </c>
      <c r="F15" s="72" t="n">
        <v>0</v>
      </c>
      <c r="G15" s="73" t="n">
        <f aca="false">IF(A15="","",IFERROR(SUMPRODUCT($F$6:$F$6,F15:F15)/SUMPRODUCT($F$6:$F$6*(F15:F15&lt;&gt;"n/a")),0))</f>
        <v>0</v>
      </c>
      <c r="H15" s="74" t="str">
        <f aca="false">IF(A15="","",IF(G15&gt;=1,"Terminé",IF(G15&gt;0,"En cours","Non démarré")))</f>
        <v>Non démarré</v>
      </c>
      <c r="I15" s="31" t="n">
        <f aca="false">IF(G15="","",N(C15)*G15)</f>
        <v>0</v>
      </c>
      <c r="J15" s="74" t="str">
        <f aca="false">IF(OR(A15="",E15=""),"",IF(AND(P_DateRef&gt;E15,G15&lt;1),"En retard",""))</f>
        <v/>
      </c>
      <c r="K15" s="70"/>
      <c r="L15" s="25"/>
    </row>
    <row r="16" customFormat="false" ht="15" hidden="false" customHeight="false" outlineLevel="0" collapsed="false">
      <c r="A16" s="25" t="s">
        <v>948</v>
      </c>
      <c r="B16" s="25" t="s">
        <v>183</v>
      </c>
      <c r="C16" s="28" t="n">
        <v>1500000</v>
      </c>
      <c r="D16" s="69" t="n">
        <v>46377</v>
      </c>
      <c r="E16" s="69" t="n">
        <v>46406</v>
      </c>
      <c r="F16" s="72" t="n">
        <v>0</v>
      </c>
      <c r="G16" s="73" t="n">
        <f aca="false">IF(A16="","",IFERROR(SUMPRODUCT($F$6:$F$6,F16:F16)/SUMPRODUCT($F$6:$F$6*(F16:F16&lt;&gt;"n/a")),0))</f>
        <v>0</v>
      </c>
      <c r="H16" s="74" t="str">
        <f aca="false">IF(A16="","",IF(G16&gt;=1,"Terminé",IF(G16&gt;0,"En cours","Non démarré")))</f>
        <v>Non démarré</v>
      </c>
      <c r="I16" s="31" t="n">
        <f aca="false">IF(G16="","",N(C16)*G16)</f>
        <v>0</v>
      </c>
      <c r="J16" s="74" t="str">
        <f aca="false">IF(OR(A16="",E16=""),"",IF(AND(P_DateRef&gt;E16,G16&lt;1),"En retard",""))</f>
        <v/>
      </c>
      <c r="K16" s="70"/>
      <c r="L16" s="25"/>
    </row>
    <row r="17" customFormat="false" ht="15" hidden="false" customHeight="false" outlineLevel="0" collapsed="false">
      <c r="A17" s="25" t="s">
        <v>949</v>
      </c>
      <c r="B17" s="25" t="s">
        <v>183</v>
      </c>
      <c r="C17" s="28" t="n">
        <v>6000000</v>
      </c>
      <c r="D17" s="69" t="n">
        <v>46351</v>
      </c>
      <c r="E17" s="69" t="n">
        <v>46395</v>
      </c>
      <c r="F17" s="72" t="n">
        <v>0</v>
      </c>
      <c r="G17" s="73" t="n">
        <f aca="false">IF(A17="","",IFERROR(SUMPRODUCT($F$6:$F$6,F17:F17)/SUMPRODUCT($F$6:$F$6*(F17:F17&lt;&gt;"n/a")),0))</f>
        <v>0</v>
      </c>
      <c r="H17" s="74" t="str">
        <f aca="false">IF(A17="","",IF(G17&gt;=1,"Terminé",IF(G17&gt;0,"En cours","Non démarré")))</f>
        <v>Non démarré</v>
      </c>
      <c r="I17" s="31" t="n">
        <f aca="false">IF(G17="","",N(C17)*G17)</f>
        <v>0</v>
      </c>
      <c r="J17" s="74" t="str">
        <f aca="false">IF(OR(A17="",E17=""),"",IF(AND(P_DateRef&gt;E17,G17&lt;1),"En retard",""))</f>
        <v/>
      </c>
      <c r="K17" s="70"/>
      <c r="L17" s="25"/>
    </row>
    <row r="18" customFormat="false" ht="15" hidden="false" customHeight="false" outlineLevel="0" collapsed="false">
      <c r="A18" s="25" t="s">
        <v>950</v>
      </c>
      <c r="B18" s="25" t="s">
        <v>183</v>
      </c>
      <c r="C18" s="28" t="n">
        <v>6000000</v>
      </c>
      <c r="D18" s="69" t="n">
        <v>46351</v>
      </c>
      <c r="E18" s="69" t="n">
        <v>46395</v>
      </c>
      <c r="F18" s="72" t="n">
        <v>0</v>
      </c>
      <c r="G18" s="73" t="n">
        <f aca="false">IF(A18="","",IFERROR(SUMPRODUCT($F$6:$F$6,F18:F18)/SUMPRODUCT($F$6:$F$6*(F18:F18&lt;&gt;"n/a")),0))</f>
        <v>0</v>
      </c>
      <c r="H18" s="74" t="str">
        <f aca="false">IF(A18="","",IF(G18&gt;=1,"Terminé",IF(G18&gt;0,"En cours","Non démarré")))</f>
        <v>Non démarré</v>
      </c>
      <c r="I18" s="31" t="n">
        <f aca="false">IF(G18="","",N(C18)*G18)</f>
        <v>0</v>
      </c>
      <c r="J18" s="74" t="str">
        <f aca="false">IF(OR(A18="",E18=""),"",IF(AND(P_DateRef&gt;E18,G18&lt;1),"En retard",""))</f>
        <v/>
      </c>
      <c r="K18" s="70"/>
      <c r="L18" s="25"/>
    </row>
    <row r="19" customFormat="false" ht="15" hidden="false" customHeight="false" outlineLevel="0" collapsed="false">
      <c r="A19" s="25" t="s">
        <v>951</v>
      </c>
      <c r="B19" s="25" t="s">
        <v>183</v>
      </c>
      <c r="C19" s="28" t="n">
        <v>1500000</v>
      </c>
      <c r="D19" s="69" t="n">
        <v>46398</v>
      </c>
      <c r="E19" s="69" t="n">
        <v>46416</v>
      </c>
      <c r="F19" s="72" t="n">
        <v>0</v>
      </c>
      <c r="G19" s="73" t="n">
        <f aca="false">IF(A19="","",IFERROR(SUMPRODUCT($F$6:$F$6,F19:F19)/SUMPRODUCT($F$6:$F$6*(F19:F19&lt;&gt;"n/a")),0))</f>
        <v>0</v>
      </c>
      <c r="H19" s="74" t="str">
        <f aca="false">IF(A19="","",IF(G19&gt;=1,"Terminé",IF(G19&gt;0,"En cours","Non démarré")))</f>
        <v>Non démarré</v>
      </c>
      <c r="I19" s="31" t="n">
        <f aca="false">IF(G19="","",N(C19)*G19)</f>
        <v>0</v>
      </c>
      <c r="J19" s="74" t="str">
        <f aca="false">IF(OR(A19="",E19=""),"",IF(AND(P_DateRef&gt;E19,G19&lt;1),"En retard",""))</f>
        <v/>
      </c>
      <c r="K19" s="70"/>
      <c r="L19" s="25"/>
    </row>
    <row r="20" customFormat="false" ht="15" hidden="false" customHeight="false" outlineLevel="0" collapsed="false">
      <c r="A20" s="25" t="s">
        <v>952</v>
      </c>
      <c r="B20" s="25" t="s">
        <v>940</v>
      </c>
      <c r="C20" s="28" t="n">
        <v>5000000</v>
      </c>
      <c r="D20" s="69" t="n">
        <v>46392</v>
      </c>
      <c r="E20" s="69" t="n">
        <v>46423</v>
      </c>
      <c r="F20" s="72" t="n">
        <v>0</v>
      </c>
      <c r="G20" s="73" t="n">
        <f aca="false">IF(A20="","",IFERROR(SUMPRODUCT($F$6:$F$6,F20:F20)/SUMPRODUCT($F$6:$F$6*(F20:F20&lt;&gt;"n/a")),0))</f>
        <v>0</v>
      </c>
      <c r="H20" s="74" t="str">
        <f aca="false">IF(A20="","",IF(G20&gt;=1,"Terminé",IF(G20&gt;0,"En cours","Non démarré")))</f>
        <v>Non démarré</v>
      </c>
      <c r="I20" s="31" t="n">
        <f aca="false">IF(G20="","",N(C20)*G20)</f>
        <v>0</v>
      </c>
      <c r="J20" s="74" t="str">
        <f aca="false">IF(OR(A20="",E20=""),"",IF(AND(P_DateRef&gt;E20,G20&lt;1),"En retard",""))</f>
        <v/>
      </c>
      <c r="K20" s="70"/>
      <c r="L20" s="25"/>
    </row>
    <row r="21" customFormat="false" ht="15" hidden="false" customHeight="false" outlineLevel="0" collapsed="false">
      <c r="A21" s="25" t="s">
        <v>953</v>
      </c>
      <c r="B21" s="25" t="s">
        <v>183</v>
      </c>
      <c r="C21" s="28" t="n">
        <v>1500000</v>
      </c>
      <c r="D21" s="69" t="n">
        <v>46407</v>
      </c>
      <c r="E21" s="69" t="n">
        <v>46423</v>
      </c>
      <c r="F21" s="72" t="n">
        <v>0</v>
      </c>
      <c r="G21" s="73" t="n">
        <f aca="false">IF(A21="","",IFERROR(SUMPRODUCT($F$6:$F$6,F21:F21)/SUMPRODUCT($F$6:$F$6*(F21:F21&lt;&gt;"n/a")),0))</f>
        <v>0</v>
      </c>
      <c r="H21" s="74" t="str">
        <f aca="false">IF(A21="","",IF(G21&gt;=1,"Terminé",IF(G21&gt;0,"En cours","Non démarré")))</f>
        <v>Non démarré</v>
      </c>
      <c r="I21" s="31" t="n">
        <f aca="false">IF(G21="","",N(C21)*G21)</f>
        <v>0</v>
      </c>
      <c r="J21" s="74" t="str">
        <f aca="false">IF(OR(A21="",E21=""),"",IF(AND(P_DateRef&gt;E21,G21&lt;1),"En retard",""))</f>
        <v/>
      </c>
      <c r="K21" s="70"/>
      <c r="L21" s="25"/>
    </row>
    <row r="22" customFormat="false" ht="15" hidden="false" customHeight="false" outlineLevel="0" collapsed="false">
      <c r="A22" s="25" t="s">
        <v>954</v>
      </c>
      <c r="B22" s="25" t="s">
        <v>940</v>
      </c>
      <c r="C22" s="28" t="n">
        <v>1500000</v>
      </c>
      <c r="D22" s="69" t="n">
        <v>46392</v>
      </c>
      <c r="E22" s="69" t="n">
        <v>46416</v>
      </c>
      <c r="F22" s="72" t="n">
        <v>0</v>
      </c>
      <c r="G22" s="73" t="n">
        <f aca="false">IF(A22="","",IFERROR(SUMPRODUCT($F$6:$F$6,F22:F22)/SUMPRODUCT($F$6:$F$6*(F22:F22&lt;&gt;"n/a")),0))</f>
        <v>0</v>
      </c>
      <c r="H22" s="74" t="str">
        <f aca="false">IF(A22="","",IF(G22&gt;=1,"Terminé",IF(G22&gt;0,"En cours","Non démarré")))</f>
        <v>Non démarré</v>
      </c>
      <c r="I22" s="31" t="n">
        <f aca="false">IF(G22="","",N(C22)*G22)</f>
        <v>0</v>
      </c>
      <c r="J22" s="74" t="str">
        <f aca="false">IF(OR(A22="",E22=""),"",IF(AND(P_DateRef&gt;E22,G22&lt;1),"En retard",""))</f>
        <v/>
      </c>
      <c r="K22" s="70"/>
      <c r="L22" s="25"/>
    </row>
    <row r="23" customFormat="false" ht="15" hidden="false" customHeight="false" outlineLevel="0" collapsed="false">
      <c r="A23" s="25" t="s">
        <v>955</v>
      </c>
      <c r="B23" s="25" t="s">
        <v>940</v>
      </c>
      <c r="C23" s="28" t="n">
        <v>1000000</v>
      </c>
      <c r="D23" s="69" t="n">
        <v>46419</v>
      </c>
      <c r="E23" s="69" t="n">
        <v>46441</v>
      </c>
      <c r="F23" s="72" t="n">
        <v>0</v>
      </c>
      <c r="G23" s="73" t="n">
        <f aca="false">IF(A23="","",IFERROR(SUMPRODUCT($F$6:$F$6,F23:F23)/SUMPRODUCT($F$6:$F$6*(F23:F23&lt;&gt;"n/a")),0))</f>
        <v>0</v>
      </c>
      <c r="H23" s="74" t="str">
        <f aca="false">IF(A23="","",IF(G23&gt;=1,"Terminé",IF(G23&gt;0,"En cours","Non démarré")))</f>
        <v>Non démarré</v>
      </c>
      <c r="I23" s="31" t="n">
        <f aca="false">IF(G23="","",N(C23)*G23)</f>
        <v>0</v>
      </c>
      <c r="J23" s="74" t="str">
        <f aca="false">IF(OR(A23="",E23=""),"",IF(AND(P_DateRef&gt;E23,G23&lt;1),"En retard",""))</f>
        <v/>
      </c>
      <c r="K23" s="70"/>
      <c r="L23" s="25"/>
    </row>
    <row r="24" customFormat="false" ht="15" hidden="false" customHeight="false" outlineLevel="0" collapsed="false">
      <c r="A24" s="25"/>
      <c r="B24" s="25"/>
      <c r="C24" s="28"/>
      <c r="D24" s="69"/>
      <c r="E24" s="69"/>
      <c r="F24" s="72"/>
      <c r="G24" s="73" t="str">
        <f aca="false">IF(A24="","",IFERROR(SUMPRODUCT($F$6:$F$6,F24:F24)/SUMPRODUCT($F$6:$F$6*(F24:F24&lt;&gt;"n/a")),0))</f>
        <v/>
      </c>
      <c r="H24" s="74" t="str">
        <f aca="false">IF(A24="","",IF(G24&gt;=1,"Terminé",IF(G24&gt;0,"En cours","Non démarré")))</f>
        <v/>
      </c>
      <c r="I24" s="31" t="str">
        <f aca="false">IF(G24="","",N(C24)*G24)</f>
        <v/>
      </c>
      <c r="J24" s="74" t="str">
        <f aca="false">IF(OR(A24="",E24=""),"",IF(AND(P_DateRef&gt;E24,G24&lt;1),"En retard",""))</f>
        <v/>
      </c>
      <c r="K24" s="70"/>
      <c r="L24" s="25"/>
    </row>
    <row r="25" customFormat="false" ht="15" hidden="false" customHeight="false" outlineLevel="0" collapsed="false">
      <c r="A25" s="25"/>
      <c r="B25" s="25"/>
      <c r="C25" s="28"/>
      <c r="D25" s="69"/>
      <c r="E25" s="69"/>
      <c r="F25" s="72"/>
      <c r="G25" s="73" t="str">
        <f aca="false">IF(A25="","",IFERROR(SUMPRODUCT($F$6:$F$6,F25:F25)/SUMPRODUCT($F$6:$F$6*(F25:F25&lt;&gt;"n/a")),0))</f>
        <v/>
      </c>
      <c r="H25" s="74" t="str">
        <f aca="false">IF(A25="","",IF(G25&gt;=1,"Terminé",IF(G25&gt;0,"En cours","Non démarré")))</f>
        <v/>
      </c>
      <c r="I25" s="31" t="str">
        <f aca="false">IF(G25="","",N(C25)*G25)</f>
        <v/>
      </c>
      <c r="J25" s="74" t="str">
        <f aca="false">IF(OR(A25="",E25=""),"",IF(AND(P_DateRef&gt;E25,G25&lt;1),"En retard",""))</f>
        <v/>
      </c>
      <c r="K25" s="70"/>
      <c r="L25" s="25"/>
    </row>
    <row r="26" customFormat="false" ht="15" hidden="false" customHeight="false" outlineLevel="0" collapsed="false">
      <c r="A26" s="25"/>
      <c r="B26" s="25"/>
      <c r="C26" s="28"/>
      <c r="D26" s="69"/>
      <c r="E26" s="69"/>
      <c r="F26" s="72"/>
      <c r="G26" s="73" t="str">
        <f aca="false">IF(A26="","",IFERROR(SUMPRODUCT($F$6:$F$6,F26:F26)/SUMPRODUCT($F$6:$F$6*(F26:F26&lt;&gt;"n/a")),0))</f>
        <v/>
      </c>
      <c r="H26" s="74" t="str">
        <f aca="false">IF(A26="","",IF(G26&gt;=1,"Terminé",IF(G26&gt;0,"En cours","Non démarré")))</f>
        <v/>
      </c>
      <c r="I26" s="31" t="str">
        <f aca="false">IF(G26="","",N(C26)*G26)</f>
        <v/>
      </c>
      <c r="J26" s="74" t="str">
        <f aca="false">IF(OR(A26="",E26=""),"",IF(AND(P_DateRef&gt;E26,G26&lt;1),"En retard",""))</f>
        <v/>
      </c>
      <c r="K26" s="70"/>
      <c r="L26" s="25"/>
    </row>
    <row r="27" customFormat="false" ht="15" hidden="false" customHeight="false" outlineLevel="0" collapsed="false">
      <c r="A27" s="25"/>
      <c r="B27" s="25"/>
      <c r="C27" s="28"/>
      <c r="D27" s="69"/>
      <c r="E27" s="69"/>
      <c r="F27" s="72"/>
      <c r="G27" s="73" t="str">
        <f aca="false">IF(A27="","",IFERROR(SUMPRODUCT($F$6:$F$6,F27:F27)/SUMPRODUCT($F$6:$F$6*(F27:F27&lt;&gt;"n/a")),0))</f>
        <v/>
      </c>
      <c r="H27" s="74" t="str">
        <f aca="false">IF(A27="","",IF(G27&gt;=1,"Terminé",IF(G27&gt;0,"En cours","Non démarré")))</f>
        <v/>
      </c>
      <c r="I27" s="31" t="str">
        <f aca="false">IF(G27="","",N(C27)*G27)</f>
        <v/>
      </c>
      <c r="J27" s="74" t="str">
        <f aca="false">IF(OR(A27="",E27=""),"",IF(AND(P_DateRef&gt;E27,G27&lt;1),"En retard",""))</f>
        <v/>
      </c>
      <c r="K27" s="70"/>
      <c r="L27" s="25"/>
    </row>
    <row r="28" customFormat="false" ht="15" hidden="false" customHeight="false" outlineLevel="0" collapsed="false">
      <c r="A28" s="25"/>
      <c r="B28" s="25"/>
      <c r="C28" s="28"/>
      <c r="D28" s="69"/>
      <c r="E28" s="69"/>
      <c r="F28" s="72"/>
      <c r="G28" s="73" t="str">
        <f aca="false">IF(A28="","",IFERROR(SUMPRODUCT($F$6:$F$6,F28:F28)/SUMPRODUCT($F$6:$F$6*(F28:F28&lt;&gt;"n/a")),0))</f>
        <v/>
      </c>
      <c r="H28" s="74" t="str">
        <f aca="false">IF(A28="","",IF(G28&gt;=1,"Terminé",IF(G28&gt;0,"En cours","Non démarré")))</f>
        <v/>
      </c>
      <c r="I28" s="31" t="str">
        <f aca="false">IF(G28="","",N(C28)*G28)</f>
        <v/>
      </c>
      <c r="J28" s="74" t="str">
        <f aca="false">IF(OR(A28="",E28=""),"",IF(AND(P_DateRef&gt;E28,G28&lt;1),"En retard",""))</f>
        <v/>
      </c>
      <c r="K28" s="70"/>
      <c r="L28" s="25"/>
    </row>
    <row r="29" customFormat="false" ht="15" hidden="false" customHeight="false" outlineLevel="0" collapsed="false">
      <c r="A29" s="25"/>
      <c r="B29" s="25"/>
      <c r="C29" s="28"/>
      <c r="D29" s="69"/>
      <c r="E29" s="69"/>
      <c r="F29" s="72"/>
      <c r="G29" s="73" t="str">
        <f aca="false">IF(A29="","",IFERROR(SUMPRODUCT($F$6:$F$6,F29:F29)/SUMPRODUCT($F$6:$F$6*(F29:F29&lt;&gt;"n/a")),0))</f>
        <v/>
      </c>
      <c r="H29" s="74" t="str">
        <f aca="false">IF(A29="","",IF(G29&gt;=1,"Terminé",IF(G29&gt;0,"En cours","Non démarré")))</f>
        <v/>
      </c>
      <c r="I29" s="31" t="str">
        <f aca="false">IF(G29="","",N(C29)*G29)</f>
        <v/>
      </c>
      <c r="J29" s="74" t="str">
        <f aca="false">IF(OR(A29="",E29=""),"",IF(AND(P_DateRef&gt;E29,G29&lt;1),"En retard",""))</f>
        <v/>
      </c>
      <c r="K29" s="70"/>
      <c r="L29" s="25"/>
    </row>
    <row r="30" customFormat="false" ht="15" hidden="false" customHeight="false" outlineLevel="0" collapsed="false">
      <c r="A30" s="25"/>
      <c r="B30" s="25"/>
      <c r="C30" s="28"/>
      <c r="D30" s="69"/>
      <c r="E30" s="69"/>
      <c r="F30" s="72"/>
      <c r="G30" s="73" t="str">
        <f aca="false">IF(A30="","",IFERROR(SUMPRODUCT($F$6:$F$6,F30:F30)/SUMPRODUCT($F$6:$F$6*(F30:F30&lt;&gt;"n/a")),0))</f>
        <v/>
      </c>
      <c r="H30" s="74" t="str">
        <f aca="false">IF(A30="","",IF(G30&gt;=1,"Terminé",IF(G30&gt;0,"En cours","Non démarré")))</f>
        <v/>
      </c>
      <c r="I30" s="31" t="str">
        <f aca="false">IF(G30="","",N(C30)*G30)</f>
        <v/>
      </c>
      <c r="J30" s="74" t="str">
        <f aca="false">IF(OR(A30="",E30=""),"",IF(AND(P_DateRef&gt;E30,G30&lt;1),"En retard",""))</f>
        <v/>
      </c>
      <c r="K30" s="70"/>
      <c r="L30" s="25"/>
    </row>
    <row r="31" customFormat="false" ht="15" hidden="false" customHeight="false" outlineLevel="0" collapsed="false">
      <c r="A31" s="25"/>
      <c r="B31" s="25"/>
      <c r="C31" s="28"/>
      <c r="D31" s="69"/>
      <c r="E31" s="69"/>
      <c r="F31" s="72"/>
      <c r="G31" s="73" t="str">
        <f aca="false">IF(A31="","",IFERROR(SUMPRODUCT($F$6:$F$6,F31:F31)/SUMPRODUCT($F$6:$F$6*(F31:F31&lt;&gt;"n/a")),0))</f>
        <v/>
      </c>
      <c r="H31" s="74" t="str">
        <f aca="false">IF(A31="","",IF(G31&gt;=1,"Terminé",IF(G31&gt;0,"En cours","Non démarré")))</f>
        <v/>
      </c>
      <c r="I31" s="31" t="str">
        <f aca="false">IF(G31="","",N(C31)*G31)</f>
        <v/>
      </c>
      <c r="J31" s="74" t="str">
        <f aca="false">IF(OR(A31="",E31=""),"",IF(AND(P_DateRef&gt;E31,G31&lt;1),"En retard",""))</f>
        <v/>
      </c>
      <c r="K31" s="70"/>
      <c r="L31" s="25"/>
    </row>
    <row r="32" customFormat="false" ht="15" hidden="false" customHeight="false" outlineLevel="0" collapsed="false">
      <c r="A32" s="25"/>
      <c r="B32" s="25"/>
      <c r="C32" s="28"/>
      <c r="D32" s="69"/>
      <c r="E32" s="69"/>
      <c r="F32" s="72"/>
      <c r="G32" s="73" t="str">
        <f aca="false">IF(A32="","",IFERROR(SUMPRODUCT($F$6:$F$6,F32:F32)/SUMPRODUCT($F$6:$F$6*(F32:F32&lt;&gt;"n/a")),0))</f>
        <v/>
      </c>
      <c r="H32" s="74" t="str">
        <f aca="false">IF(A32="","",IF(G32&gt;=1,"Terminé",IF(G32&gt;0,"En cours","Non démarré")))</f>
        <v/>
      </c>
      <c r="I32" s="31" t="str">
        <f aca="false">IF(G32="","",N(C32)*G32)</f>
        <v/>
      </c>
      <c r="J32" s="74" t="str">
        <f aca="false">IF(OR(A32="",E32=""),"",IF(AND(P_DateRef&gt;E32,G32&lt;1),"En retard",""))</f>
        <v/>
      </c>
      <c r="K32" s="70"/>
      <c r="L32" s="25"/>
    </row>
    <row r="33" customFormat="false" ht="15" hidden="false" customHeight="false" outlineLevel="0" collapsed="false">
      <c r="A33" s="25"/>
      <c r="B33" s="25"/>
      <c r="C33" s="28"/>
      <c r="D33" s="69"/>
      <c r="E33" s="69"/>
      <c r="F33" s="72"/>
      <c r="G33" s="73" t="str">
        <f aca="false">IF(A33="","",IFERROR(SUMPRODUCT($F$6:$F$6,F33:F33)/SUMPRODUCT($F$6:$F$6*(F33:F33&lt;&gt;"n/a")),0))</f>
        <v/>
      </c>
      <c r="H33" s="74" t="str">
        <f aca="false">IF(A33="","",IF(G33&gt;=1,"Terminé",IF(G33&gt;0,"En cours","Non démarré")))</f>
        <v/>
      </c>
      <c r="I33" s="31" t="str">
        <f aca="false">IF(G33="","",N(C33)*G33)</f>
        <v/>
      </c>
      <c r="J33" s="74" t="str">
        <f aca="false">IF(OR(A33="",E33=""),"",IF(AND(P_DateRef&gt;E33,G33&lt;1),"En retard",""))</f>
        <v/>
      </c>
      <c r="K33" s="70"/>
      <c r="L33" s="25"/>
    </row>
    <row r="34" customFormat="false" ht="15" hidden="false" customHeight="false" outlineLevel="0" collapsed="false">
      <c r="A34" s="25"/>
      <c r="B34" s="25"/>
      <c r="C34" s="28"/>
      <c r="D34" s="69"/>
      <c r="E34" s="69"/>
      <c r="F34" s="72"/>
      <c r="G34" s="73" t="str">
        <f aca="false">IF(A34="","",IFERROR(SUMPRODUCT($F$6:$F$6,F34:F34)/SUMPRODUCT($F$6:$F$6*(F34:F34&lt;&gt;"n/a")),0))</f>
        <v/>
      </c>
      <c r="H34" s="74" t="str">
        <f aca="false">IF(A34="","",IF(G34&gt;=1,"Terminé",IF(G34&gt;0,"En cours","Non démarré")))</f>
        <v/>
      </c>
      <c r="I34" s="31" t="str">
        <f aca="false">IF(G34="","",N(C34)*G34)</f>
        <v/>
      </c>
      <c r="J34" s="74" t="str">
        <f aca="false">IF(OR(A34="",E34=""),"",IF(AND(P_DateRef&gt;E34,G34&lt;1),"En retard",""))</f>
        <v/>
      </c>
      <c r="K34" s="70"/>
      <c r="L34" s="25"/>
    </row>
    <row r="35" customFormat="false" ht="15" hidden="false" customHeight="false" outlineLevel="0" collapsed="false">
      <c r="A35" s="25"/>
      <c r="B35" s="25"/>
      <c r="C35" s="28"/>
      <c r="D35" s="69"/>
      <c r="E35" s="69"/>
      <c r="F35" s="72"/>
      <c r="G35" s="73" t="str">
        <f aca="false">IF(A35="","",IFERROR(SUMPRODUCT($F$6:$F$6,F35:F35)/SUMPRODUCT($F$6:$F$6*(F35:F35&lt;&gt;"n/a")),0))</f>
        <v/>
      </c>
      <c r="H35" s="74" t="str">
        <f aca="false">IF(A35="","",IF(G35&gt;=1,"Terminé",IF(G35&gt;0,"En cours","Non démarré")))</f>
        <v/>
      </c>
      <c r="I35" s="31" t="str">
        <f aca="false">IF(G35="","",N(C35)*G35)</f>
        <v/>
      </c>
      <c r="J35" s="74" t="str">
        <f aca="false">IF(OR(A35="",E35=""),"",IF(AND(P_DateRef&gt;E35,G35&lt;1),"En retard",""))</f>
        <v/>
      </c>
      <c r="K35" s="70"/>
      <c r="L35" s="25"/>
    </row>
    <row r="36" customFormat="false" ht="15" hidden="false" customHeight="false" outlineLevel="0" collapsed="false">
      <c r="A36" s="25"/>
      <c r="B36" s="25"/>
      <c r="C36" s="28"/>
      <c r="D36" s="69"/>
      <c r="E36" s="69"/>
      <c r="F36" s="72"/>
      <c r="G36" s="73" t="str">
        <f aca="false">IF(A36="","",IFERROR(SUMPRODUCT($F$6:$F$6,F36:F36)/SUMPRODUCT($F$6:$F$6*(F36:F36&lt;&gt;"n/a")),0))</f>
        <v/>
      </c>
      <c r="H36" s="74" t="str">
        <f aca="false">IF(A36="","",IF(G36&gt;=1,"Terminé",IF(G36&gt;0,"En cours","Non démarré")))</f>
        <v/>
      </c>
      <c r="I36" s="31" t="str">
        <f aca="false">IF(G36="","",N(C36)*G36)</f>
        <v/>
      </c>
      <c r="J36" s="74" t="str">
        <f aca="false">IF(OR(A36="",E36=""),"",IF(AND(P_DateRef&gt;E36,G36&lt;1),"En retard",""))</f>
        <v/>
      </c>
      <c r="K36" s="70"/>
      <c r="L36" s="25"/>
    </row>
    <row r="37" customFormat="false" ht="15" hidden="false" customHeight="false" outlineLevel="0" collapsed="false">
      <c r="A37" s="25"/>
      <c r="B37" s="25"/>
      <c r="C37" s="28"/>
      <c r="D37" s="69"/>
      <c r="E37" s="69"/>
      <c r="F37" s="72"/>
      <c r="G37" s="73" t="str">
        <f aca="false">IF(A37="","",IFERROR(SUMPRODUCT($F$6:$F$6,F37:F37)/SUMPRODUCT($F$6:$F$6*(F37:F37&lt;&gt;"n/a")),0))</f>
        <v/>
      </c>
      <c r="H37" s="74" t="str">
        <f aca="false">IF(A37="","",IF(G37&gt;=1,"Terminé",IF(G37&gt;0,"En cours","Non démarré")))</f>
        <v/>
      </c>
      <c r="I37" s="31" t="str">
        <f aca="false">IF(G37="","",N(C37)*G37)</f>
        <v/>
      </c>
      <c r="J37" s="74" t="str">
        <f aca="false">IF(OR(A37="",E37=""),"",IF(AND(P_DateRef&gt;E37,G37&lt;1),"En retard",""))</f>
        <v/>
      </c>
      <c r="K37" s="70"/>
      <c r="L37" s="25"/>
    </row>
    <row r="38" customFormat="false" ht="15" hidden="false" customHeight="false" outlineLevel="0" collapsed="false">
      <c r="A38" s="25"/>
      <c r="B38" s="25"/>
      <c r="C38" s="28"/>
      <c r="D38" s="69"/>
      <c r="E38" s="69"/>
      <c r="F38" s="72"/>
      <c r="G38" s="73" t="str">
        <f aca="false">IF(A38="","",IFERROR(SUMPRODUCT($F$6:$F$6,F38:F38)/SUMPRODUCT($F$6:$F$6*(F38:F38&lt;&gt;"n/a")),0))</f>
        <v/>
      </c>
      <c r="H38" s="74" t="str">
        <f aca="false">IF(A38="","",IF(G38&gt;=1,"Terminé",IF(G38&gt;0,"En cours","Non démarré")))</f>
        <v/>
      </c>
      <c r="I38" s="31" t="str">
        <f aca="false">IF(G38="","",N(C38)*G38)</f>
        <v/>
      </c>
      <c r="J38" s="74" t="str">
        <f aca="false">IF(OR(A38="",E38=""),"",IF(AND(P_DateRef&gt;E38,G38&lt;1),"En retard",""))</f>
        <v/>
      </c>
      <c r="K38" s="70"/>
      <c r="L38" s="25"/>
    </row>
    <row r="39" customFormat="false" ht="15" hidden="false" customHeight="false" outlineLevel="0" collapsed="false">
      <c r="A39" s="25"/>
      <c r="B39" s="25"/>
      <c r="C39" s="28"/>
      <c r="D39" s="69"/>
      <c r="E39" s="69"/>
      <c r="F39" s="72"/>
      <c r="G39" s="73" t="str">
        <f aca="false">IF(A39="","",IFERROR(SUMPRODUCT($F$6:$F$6,F39:F39)/SUMPRODUCT($F$6:$F$6*(F39:F39&lt;&gt;"n/a")),0))</f>
        <v/>
      </c>
      <c r="H39" s="74" t="str">
        <f aca="false">IF(A39="","",IF(G39&gt;=1,"Terminé",IF(G39&gt;0,"En cours","Non démarré")))</f>
        <v/>
      </c>
      <c r="I39" s="31" t="str">
        <f aca="false">IF(G39="","",N(C39)*G39)</f>
        <v/>
      </c>
      <c r="J39" s="74" t="str">
        <f aca="false">IF(OR(A39="",E39=""),"",IF(AND(P_DateRef&gt;E39,G39&lt;1),"En retard",""))</f>
        <v/>
      </c>
      <c r="K39" s="70"/>
      <c r="L39" s="25"/>
    </row>
    <row r="40" customFormat="false" ht="15" hidden="false" customHeight="false" outlineLevel="0" collapsed="false">
      <c r="A40" s="25"/>
      <c r="B40" s="25"/>
      <c r="C40" s="28"/>
      <c r="D40" s="69"/>
      <c r="E40" s="69"/>
      <c r="F40" s="72"/>
      <c r="G40" s="73" t="str">
        <f aca="false">IF(A40="","",IFERROR(SUMPRODUCT($F$6:$F$6,F40:F40)/SUMPRODUCT($F$6:$F$6*(F40:F40&lt;&gt;"n/a")),0))</f>
        <v/>
      </c>
      <c r="H40" s="74" t="str">
        <f aca="false">IF(A40="","",IF(G40&gt;=1,"Terminé",IF(G40&gt;0,"En cours","Non démarré")))</f>
        <v/>
      </c>
      <c r="I40" s="31" t="str">
        <f aca="false">IF(G40="","",N(C40)*G40)</f>
        <v/>
      </c>
      <c r="J40" s="74" t="str">
        <f aca="false">IF(OR(A40="",E40=""),"",IF(AND(P_DateRef&gt;E40,G40&lt;1),"En retard",""))</f>
        <v/>
      </c>
      <c r="K40" s="70"/>
      <c r="L40" s="25"/>
    </row>
    <row r="41" customFormat="false" ht="15" hidden="false" customHeight="false" outlineLevel="0" collapsed="false">
      <c r="A41" s="25"/>
      <c r="B41" s="25"/>
      <c r="C41" s="28"/>
      <c r="D41" s="69"/>
      <c r="E41" s="69"/>
      <c r="F41" s="72"/>
      <c r="G41" s="73" t="str">
        <f aca="false">IF(A41="","",IFERROR(SUMPRODUCT($F$6:$F$6,F41:F41)/SUMPRODUCT($F$6:$F$6*(F41:F41&lt;&gt;"n/a")),0))</f>
        <v/>
      </c>
      <c r="H41" s="74" t="str">
        <f aca="false">IF(A41="","",IF(G41&gt;=1,"Terminé",IF(G41&gt;0,"En cours","Non démarré")))</f>
        <v/>
      </c>
      <c r="I41" s="31" t="str">
        <f aca="false">IF(G41="","",N(C41)*G41)</f>
        <v/>
      </c>
      <c r="J41" s="74" t="str">
        <f aca="false">IF(OR(A41="",E41=""),"",IF(AND(P_DateRef&gt;E41,G41&lt;1),"En retard",""))</f>
        <v/>
      </c>
      <c r="K41" s="70"/>
      <c r="L41" s="25"/>
    </row>
    <row r="42" customFormat="false" ht="15" hidden="false" customHeight="false" outlineLevel="0" collapsed="false">
      <c r="A42" s="25"/>
      <c r="B42" s="25"/>
      <c r="C42" s="28"/>
      <c r="D42" s="69"/>
      <c r="E42" s="69"/>
      <c r="F42" s="72"/>
      <c r="G42" s="73" t="str">
        <f aca="false">IF(A42="","",IFERROR(SUMPRODUCT($F$6:$F$6,F42:F42)/SUMPRODUCT($F$6:$F$6*(F42:F42&lt;&gt;"n/a")),0))</f>
        <v/>
      </c>
      <c r="H42" s="74" t="str">
        <f aca="false">IF(A42="","",IF(G42&gt;=1,"Terminé",IF(G42&gt;0,"En cours","Non démarré")))</f>
        <v/>
      </c>
      <c r="I42" s="31" t="str">
        <f aca="false">IF(G42="","",N(C42)*G42)</f>
        <v/>
      </c>
      <c r="J42" s="74" t="str">
        <f aca="false">IF(OR(A42="",E42=""),"",IF(AND(P_DateRef&gt;E42,G42&lt;1),"En retard",""))</f>
        <v/>
      </c>
      <c r="K42" s="70"/>
      <c r="L42" s="25"/>
    </row>
    <row r="43" customFormat="false" ht="15" hidden="false" customHeight="false" outlineLevel="0" collapsed="false">
      <c r="A43" s="25"/>
      <c r="B43" s="25"/>
      <c r="C43" s="28"/>
      <c r="D43" s="69"/>
      <c r="E43" s="69"/>
      <c r="F43" s="72"/>
      <c r="G43" s="73" t="str">
        <f aca="false">IF(A43="","",IFERROR(SUMPRODUCT($F$6:$F$6,F43:F43)/SUMPRODUCT($F$6:$F$6*(F43:F43&lt;&gt;"n/a")),0))</f>
        <v/>
      </c>
      <c r="H43" s="74" t="str">
        <f aca="false">IF(A43="","",IF(G43&gt;=1,"Terminé",IF(G43&gt;0,"En cours","Non démarré")))</f>
        <v/>
      </c>
      <c r="I43" s="31" t="str">
        <f aca="false">IF(G43="","",N(C43)*G43)</f>
        <v/>
      </c>
      <c r="J43" s="74" t="str">
        <f aca="false">IF(OR(A43="",E43=""),"",IF(AND(P_DateRef&gt;E43,G43&lt;1),"En retard",""))</f>
        <v/>
      </c>
      <c r="K43" s="70"/>
      <c r="L43" s="25"/>
    </row>
    <row r="44" customFormat="false" ht="15" hidden="false" customHeight="false" outlineLevel="0" collapsed="false">
      <c r="A44" s="25"/>
      <c r="B44" s="25"/>
      <c r="C44" s="28"/>
      <c r="D44" s="69"/>
      <c r="E44" s="69"/>
      <c r="F44" s="72"/>
      <c r="G44" s="73" t="str">
        <f aca="false">IF(A44="","",IFERROR(SUMPRODUCT($F$6:$F$6,F44:F44)/SUMPRODUCT($F$6:$F$6*(F44:F44&lt;&gt;"n/a")),0))</f>
        <v/>
      </c>
      <c r="H44" s="74" t="str">
        <f aca="false">IF(A44="","",IF(G44&gt;=1,"Terminé",IF(G44&gt;0,"En cours","Non démarré")))</f>
        <v/>
      </c>
      <c r="I44" s="31" t="str">
        <f aca="false">IF(G44="","",N(C44)*G44)</f>
        <v/>
      </c>
      <c r="J44" s="74" t="str">
        <f aca="false">IF(OR(A44="",E44=""),"",IF(AND(P_DateRef&gt;E44,G44&lt;1),"En retard",""))</f>
        <v/>
      </c>
      <c r="K44" s="70"/>
      <c r="L44" s="25"/>
    </row>
    <row r="45" customFormat="false" ht="15" hidden="false" customHeight="false" outlineLevel="0" collapsed="false">
      <c r="A45" s="25"/>
      <c r="B45" s="25"/>
      <c r="C45" s="28"/>
      <c r="D45" s="69"/>
      <c r="E45" s="69"/>
      <c r="F45" s="72"/>
      <c r="G45" s="73" t="str">
        <f aca="false">IF(A45="","",IFERROR(SUMPRODUCT($F$6:$F$6,F45:F45)/SUMPRODUCT($F$6:$F$6*(F45:F45&lt;&gt;"n/a")),0))</f>
        <v/>
      </c>
      <c r="H45" s="74" t="str">
        <f aca="false">IF(A45="","",IF(G45&gt;=1,"Terminé",IF(G45&gt;0,"En cours","Non démarré")))</f>
        <v/>
      </c>
      <c r="I45" s="31" t="str">
        <f aca="false">IF(G45="","",N(C45)*G45)</f>
        <v/>
      </c>
      <c r="J45" s="74" t="str">
        <f aca="false">IF(OR(A45="",E45=""),"",IF(AND(P_DateRef&gt;E45,G45&lt;1),"En retard",""))</f>
        <v/>
      </c>
      <c r="K45" s="70"/>
      <c r="L45" s="25"/>
    </row>
    <row r="46" customFormat="false" ht="15" hidden="false" customHeight="false" outlineLevel="0" collapsed="false">
      <c r="A46" s="25"/>
      <c r="B46" s="25"/>
      <c r="C46" s="28"/>
      <c r="D46" s="69"/>
      <c r="E46" s="69"/>
      <c r="F46" s="72"/>
      <c r="G46" s="73" t="str">
        <f aca="false">IF(A46="","",IFERROR(SUMPRODUCT($F$6:$F$6,F46:F46)/SUMPRODUCT($F$6:$F$6*(F46:F46&lt;&gt;"n/a")),0))</f>
        <v/>
      </c>
      <c r="H46" s="74" t="str">
        <f aca="false">IF(A46="","",IF(G46&gt;=1,"Terminé",IF(G46&gt;0,"En cours","Non démarré")))</f>
        <v/>
      </c>
      <c r="I46" s="31" t="str">
        <f aca="false">IF(G46="","",N(C46)*G46)</f>
        <v/>
      </c>
      <c r="J46" s="74" t="str">
        <f aca="false">IF(OR(A46="",E46=""),"",IF(AND(P_DateRef&gt;E46,G46&lt;1),"En retard",""))</f>
        <v/>
      </c>
      <c r="K46" s="70"/>
      <c r="L46" s="25"/>
    </row>
    <row r="47" customFormat="false" ht="15" hidden="false" customHeight="false" outlineLevel="0" collapsed="false">
      <c r="A47" s="25"/>
      <c r="B47" s="25"/>
      <c r="C47" s="28"/>
      <c r="D47" s="69"/>
      <c r="E47" s="69"/>
      <c r="F47" s="72"/>
      <c r="G47" s="73" t="str">
        <f aca="false">IF(A47="","",IFERROR(SUMPRODUCT($F$6:$F$6,F47:F47)/SUMPRODUCT($F$6:$F$6*(F47:F47&lt;&gt;"n/a")),0))</f>
        <v/>
      </c>
      <c r="H47" s="74" t="str">
        <f aca="false">IF(A47="","",IF(G47&gt;=1,"Terminé",IF(G47&gt;0,"En cours","Non démarré")))</f>
        <v/>
      </c>
      <c r="I47" s="31" t="str">
        <f aca="false">IF(G47="","",N(C47)*G47)</f>
        <v/>
      </c>
      <c r="J47" s="74" t="str">
        <f aca="false">IF(OR(A47="",E47=""),"",IF(AND(P_DateRef&gt;E47,G47&lt;1),"En retard",""))</f>
        <v/>
      </c>
      <c r="K47" s="70"/>
      <c r="L47" s="25"/>
    </row>
  </sheetData>
  <autoFilter ref="A7:L47"/>
  <mergeCells count="5">
    <mergeCell ref="A1:L1"/>
    <mergeCell ref="A2:L2"/>
    <mergeCell ref="A3:L3"/>
    <mergeCell ref="A4:L4"/>
    <mergeCell ref="A5:B5"/>
  </mergeCells>
  <conditionalFormatting sqref="G6">
    <cfRule type="expression" priority="2" aboveAverage="0" equalAverage="0" bottom="0" percent="0" rank="0" text="" dxfId="16">
      <formula>ROUND(G6,4)&lt;&gt;1</formula>
    </cfRule>
  </conditionalFormatting>
  <conditionalFormatting sqref="F8:F47">
    <cfRule type="cellIs" priority="3" operator="equal" aboveAverage="0" equalAverage="0" bottom="0" percent="0" rank="0" text="" dxfId="27">
      <formula>"n/a"</formula>
    </cfRule>
    <cfRule type="colorScale" priority="4">
      <colorScale>
        <cfvo type="num" val="0"/>
        <cfvo type="num" val="1"/>
        <color rgb="FFFFFFFF"/>
        <color rgb="FF81C784"/>
      </colorScale>
    </cfRule>
  </conditionalFormatting>
  <conditionalFormatting sqref="G8:G47">
    <cfRule type="dataBar" priority="5">
      <dataBar showValue="1" minLength="10" maxLength="90">
        <cfvo type="num" val="0"/>
        <cfvo type="num" val="1"/>
        <color rgb="FF43A047"/>
      </dataBar>
      <extLst>
        <ext xmlns:x14="http://schemas.microsoft.com/office/spreadsheetml/2009/9/main" uri="{B025F937-C7B1-47D3-B67F-A62EFF666E3E}">
          <x14:id>{E55EABBE-A249-49D4-92D0-F543D72CFCB9}</x14:id>
        </ext>
      </extLst>
    </cfRule>
  </conditionalFormatting>
  <conditionalFormatting sqref="H8:H47">
    <cfRule type="cellIs" priority="6" operator="equal" aboveAverage="0" equalAverage="0" bottom="0" percent="0" rank="0" text="" dxfId="2">
      <formula>"En cours"</formula>
    </cfRule>
    <cfRule type="cellIs" priority="7" operator="equal" aboveAverage="0" equalAverage="0" bottom="0" percent="0" rank="0" text="" dxfId="1">
      <formula>"Terminé"</formula>
    </cfRule>
    <cfRule type="cellIs" priority="8" operator="equal" aboveAverage="0" equalAverage="0" bottom="0" percent="0" rank="0" text="" dxfId="5">
      <formula>"Non démarré"</formula>
    </cfRule>
  </conditionalFormatting>
  <conditionalFormatting sqref="J8:J47">
    <cfRule type="cellIs" priority="9" operator="equal" aboveAverage="0" equalAverage="0" bottom="0" percent="0" rank="0" text="" dxfId="3">
      <formula>"En retard"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5EABBE-A249-49D4-92D0-F543D72CFCB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3A047"/>
              <x14:axisColor rgb="FF000000"/>
            </x14:dataBar>
          </x14:cfRule>
          <xm:sqref>G8:G47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true"/>
  </sheetPr>
  <dimension ref="A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12" min="5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24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customFormat="false" ht="19.5" hidden="false" customHeight="true" outlineLevel="0" collapsed="false">
      <c r="A2" s="20" t="s">
        <v>956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0" hidden="false" customHeight="true" outlineLevel="0" collapsed="false">
      <c r="A4" s="21" t="s">
        <v>957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customFormat="false" ht="15" hidden="false" customHeight="false" outlineLevel="0" collapsed="false">
      <c r="A5" s="92" t="s">
        <v>825</v>
      </c>
      <c r="B5" s="92"/>
      <c r="C5" s="93" t="n">
        <f aca="false">IFERROR(SUMPRODUCT($B$8:$B$37,$L$8:$L$37)/SUM($B$8:$B$37),0)</f>
        <v>0.402625</v>
      </c>
      <c r="D5" s="80" t="s">
        <v>958</v>
      </c>
    </row>
    <row r="6" customFormat="false" ht="15" hidden="false" customHeight="false" outlineLevel="0" collapsed="false">
      <c r="D6" s="94" t="s">
        <v>827</v>
      </c>
      <c r="E6" s="95" t="n">
        <v>0.1</v>
      </c>
      <c r="F6" s="95" t="n">
        <v>0.15</v>
      </c>
      <c r="G6" s="95" t="n">
        <v>0.15</v>
      </c>
      <c r="H6" s="95" t="n">
        <v>0.15</v>
      </c>
      <c r="I6" s="95" t="n">
        <v>0.2</v>
      </c>
      <c r="J6" s="95" t="n">
        <v>0.1</v>
      </c>
      <c r="K6" s="95" t="n">
        <v>0.15</v>
      </c>
      <c r="L6" s="96" t="n">
        <f aca="false">SUM($E$6:$K$6)</f>
        <v>1</v>
      </c>
    </row>
    <row r="7" customFormat="false" ht="45.75" hidden="false" customHeight="true" outlineLevel="0" collapsed="false">
      <c r="A7" s="23" t="s">
        <v>959</v>
      </c>
      <c r="B7" s="23" t="s">
        <v>960</v>
      </c>
      <c r="C7" s="23" t="s">
        <v>961</v>
      </c>
      <c r="D7" s="23" t="s">
        <v>962</v>
      </c>
      <c r="E7" s="23" t="s">
        <v>915</v>
      </c>
      <c r="F7" s="23" t="s">
        <v>963</v>
      </c>
      <c r="G7" s="23" t="s">
        <v>964</v>
      </c>
      <c r="H7" s="23" t="s">
        <v>818</v>
      </c>
      <c r="I7" s="23" t="s">
        <v>965</v>
      </c>
      <c r="J7" s="23" t="s">
        <v>966</v>
      </c>
      <c r="K7" s="23" t="s">
        <v>967</v>
      </c>
      <c r="L7" s="23" t="s">
        <v>840</v>
      </c>
      <c r="M7" s="23" t="s">
        <v>306</v>
      </c>
      <c r="N7" s="23" t="s">
        <v>968</v>
      </c>
      <c r="O7" s="23" t="s">
        <v>579</v>
      </c>
    </row>
    <row r="8" customFormat="false" ht="15" hidden="false" customHeight="false" outlineLevel="0" collapsed="false">
      <c r="A8" s="25" t="s">
        <v>969</v>
      </c>
      <c r="B8" s="82" t="n">
        <v>80</v>
      </c>
      <c r="C8" s="33" t="n">
        <v>2.5</v>
      </c>
      <c r="D8" s="25" t="s">
        <v>970</v>
      </c>
      <c r="E8" s="72" t="n">
        <v>1</v>
      </c>
      <c r="F8" s="72" t="n">
        <v>1</v>
      </c>
      <c r="G8" s="72" t="n">
        <v>1</v>
      </c>
      <c r="H8" s="72" t="n">
        <v>0.6</v>
      </c>
      <c r="I8" s="72" t="n">
        <v>0.3</v>
      </c>
      <c r="J8" s="72" t="n">
        <v>0</v>
      </c>
      <c r="K8" s="72" t="n">
        <v>0</v>
      </c>
      <c r="L8" s="73" t="n">
        <f aca="false">IF(A8="","",IFERROR(SUMPRODUCT($E$6:$K$6,E8:K8)/SUMPRODUCT($E$6:$K$6*(E8:K8&lt;&gt;"n/a")),0))</f>
        <v>0.55</v>
      </c>
      <c r="M8" s="74" t="str">
        <f aca="false">IF(A8="","",IF(L8&gt;=1,"Terminé",IF(L8&gt;0,"En cours","Non démarré")))</f>
        <v>En cours</v>
      </c>
      <c r="N8" s="83" t="n">
        <f aca="false">IF(L8="","",N(B8)*L8)</f>
        <v>44</v>
      </c>
      <c r="O8" s="25"/>
    </row>
    <row r="9" customFormat="false" ht="15" hidden="false" customHeight="false" outlineLevel="0" collapsed="false">
      <c r="A9" s="25" t="s">
        <v>971</v>
      </c>
      <c r="B9" s="82" t="n">
        <v>100</v>
      </c>
      <c r="C9" s="33" t="n">
        <v>2.5</v>
      </c>
      <c r="D9" s="25" t="s">
        <v>970</v>
      </c>
      <c r="E9" s="72" t="n">
        <v>1</v>
      </c>
      <c r="F9" s="72" t="n">
        <v>1</v>
      </c>
      <c r="G9" s="72" t="n">
        <v>1</v>
      </c>
      <c r="H9" s="72" t="n">
        <v>0.2</v>
      </c>
      <c r="I9" s="72" t="n">
        <v>0</v>
      </c>
      <c r="J9" s="72" t="n">
        <v>0</v>
      </c>
      <c r="K9" s="72" t="n">
        <v>0</v>
      </c>
      <c r="L9" s="73" t="n">
        <f aca="false">IF(A9="","",IFERROR(SUMPRODUCT($E$6:$K$6,E9:K9)/SUMPRODUCT($E$6:$K$6*(E9:K9&lt;&gt;"n/a")),0))</f>
        <v>0.43</v>
      </c>
      <c r="M9" s="74" t="str">
        <f aca="false">IF(A9="","",IF(L9&gt;=1,"Terminé",IF(L9&gt;0,"En cours","Non démarré")))</f>
        <v>En cours</v>
      </c>
      <c r="N9" s="83" t="n">
        <f aca="false">IF(L9="","",N(B9)*L9)</f>
        <v>43</v>
      </c>
      <c r="O9" s="25"/>
    </row>
    <row r="10" customFormat="false" ht="15" hidden="false" customHeight="false" outlineLevel="0" collapsed="false">
      <c r="A10" s="25" t="s">
        <v>972</v>
      </c>
      <c r="B10" s="82" t="n">
        <v>100</v>
      </c>
      <c r="C10" s="33" t="n">
        <v>2.5</v>
      </c>
      <c r="D10" s="25" t="s">
        <v>970</v>
      </c>
      <c r="E10" s="72" t="n">
        <v>1</v>
      </c>
      <c r="F10" s="72" t="n">
        <v>1</v>
      </c>
      <c r="G10" s="72" t="n">
        <v>0.8</v>
      </c>
      <c r="H10" s="72" t="n">
        <v>0</v>
      </c>
      <c r="I10" s="72" t="n">
        <v>0</v>
      </c>
      <c r="J10" s="72" t="n">
        <v>0</v>
      </c>
      <c r="K10" s="72" t="n">
        <v>0</v>
      </c>
      <c r="L10" s="73" t="n">
        <f aca="false">IF(A10="","",IFERROR(SUMPRODUCT($E$6:$K$6,E10:K10)/SUMPRODUCT($E$6:$K$6*(E10:K10&lt;&gt;"n/a")),0))</f>
        <v>0.37</v>
      </c>
      <c r="M10" s="74" t="str">
        <f aca="false">IF(A10="","",IF(L10&gt;=1,"Terminé",IF(L10&gt;0,"En cours","Non démarré")))</f>
        <v>En cours</v>
      </c>
      <c r="N10" s="83" t="n">
        <f aca="false">IF(L10="","",N(B10)*L10)</f>
        <v>37</v>
      </c>
      <c r="O10" s="25"/>
    </row>
    <row r="11" customFormat="false" ht="15" hidden="false" customHeight="false" outlineLevel="0" collapsed="false">
      <c r="A11" s="25" t="s">
        <v>973</v>
      </c>
      <c r="B11" s="82" t="n">
        <v>114</v>
      </c>
      <c r="C11" s="33" t="n">
        <v>2.5</v>
      </c>
      <c r="D11" s="25" t="s">
        <v>970</v>
      </c>
      <c r="E11" s="72" t="n">
        <v>1</v>
      </c>
      <c r="F11" s="72" t="n">
        <v>1</v>
      </c>
      <c r="G11" s="72" t="n">
        <v>0.5</v>
      </c>
      <c r="H11" s="72" t="n">
        <v>0</v>
      </c>
      <c r="I11" s="72" t="n">
        <v>0</v>
      </c>
      <c r="J11" s="72" t="n">
        <v>0</v>
      </c>
      <c r="K11" s="72" t="n">
        <v>0</v>
      </c>
      <c r="L11" s="73" t="n">
        <f aca="false">IF(A11="","",IFERROR(SUMPRODUCT($E$6:$K$6,E11:K11)/SUMPRODUCT($E$6:$K$6*(E11:K11&lt;&gt;"n/a")),0))</f>
        <v>0.325</v>
      </c>
      <c r="M11" s="74" t="str">
        <f aca="false">IF(A11="","",IF(L11&gt;=1,"Terminé",IF(L11&gt;0,"En cours","Non démarré")))</f>
        <v>En cours</v>
      </c>
      <c r="N11" s="83" t="n">
        <f aca="false">IF(L11="","",N(B11)*L11)</f>
        <v>37.05</v>
      </c>
      <c r="O11" s="25"/>
    </row>
    <row r="12" customFormat="false" ht="15" hidden="false" customHeight="false" outlineLevel="0" collapsed="false">
      <c r="A12" s="25" t="s">
        <v>495</v>
      </c>
      <c r="B12" s="82" t="n">
        <v>6</v>
      </c>
      <c r="C12" s="33" t="n">
        <v>2.5</v>
      </c>
      <c r="D12" s="25" t="s">
        <v>974</v>
      </c>
      <c r="E12" s="72" t="n">
        <v>0</v>
      </c>
      <c r="F12" s="72" t="n">
        <v>0</v>
      </c>
      <c r="G12" s="72" t="s">
        <v>891</v>
      </c>
      <c r="H12" s="72" t="n">
        <v>0</v>
      </c>
      <c r="I12" s="72" t="s">
        <v>891</v>
      </c>
      <c r="J12" s="72" t="s">
        <v>891</v>
      </c>
      <c r="K12" s="72" t="n">
        <v>0</v>
      </c>
      <c r="L12" s="73" t="n">
        <f aca="false">IF(A12="","",IFERROR(SUMPRODUCT($E$6:$K$6,E12:K12)/SUMPRODUCT($E$6:$K$6*(E12:K12&lt;&gt;"n/a")),0))</f>
        <v>0</v>
      </c>
      <c r="M12" s="74" t="str">
        <f aca="false">IF(A12="","",IF(L12&gt;=1,"Terminé",IF(L12&gt;0,"En cours","Non démarré")))</f>
        <v>Non démarré</v>
      </c>
      <c r="N12" s="83" t="n">
        <f aca="false">IF(L12="","",N(B12)*L12)</f>
        <v>0</v>
      </c>
      <c r="O12" s="25"/>
    </row>
    <row r="13" customFormat="false" ht="15" hidden="false" customHeight="false" outlineLevel="0" collapsed="false">
      <c r="A13" s="25"/>
      <c r="B13" s="82"/>
      <c r="C13" s="33"/>
      <c r="D13" s="25"/>
      <c r="E13" s="72"/>
      <c r="F13" s="72"/>
      <c r="G13" s="72"/>
      <c r="H13" s="72"/>
      <c r="I13" s="72"/>
      <c r="J13" s="72"/>
      <c r="K13" s="72"/>
      <c r="L13" s="73" t="str">
        <f aca="false">IF(A13="","",IFERROR(SUMPRODUCT($E$6:$K$6,E13:K13)/SUMPRODUCT($E$6:$K$6*(E13:K13&lt;&gt;"n/a")),0))</f>
        <v/>
      </c>
      <c r="M13" s="74" t="str">
        <f aca="false">IF(A13="","",IF(L13&gt;=1,"Terminé",IF(L13&gt;0,"En cours","Non démarré")))</f>
        <v/>
      </c>
      <c r="N13" s="83" t="str">
        <f aca="false">IF(L13="","",N(B13)*L13)</f>
        <v/>
      </c>
      <c r="O13" s="25"/>
    </row>
    <row r="14" customFormat="false" ht="15" hidden="false" customHeight="false" outlineLevel="0" collapsed="false">
      <c r="A14" s="25"/>
      <c r="B14" s="82"/>
      <c r="C14" s="33"/>
      <c r="D14" s="25"/>
      <c r="E14" s="72"/>
      <c r="F14" s="72"/>
      <c r="G14" s="72"/>
      <c r="H14" s="72"/>
      <c r="I14" s="72"/>
      <c r="J14" s="72"/>
      <c r="K14" s="72"/>
      <c r="L14" s="73" t="str">
        <f aca="false">IF(A14="","",IFERROR(SUMPRODUCT($E$6:$K$6,E14:K14)/SUMPRODUCT($E$6:$K$6*(E14:K14&lt;&gt;"n/a")),0))</f>
        <v/>
      </c>
      <c r="M14" s="74" t="str">
        <f aca="false">IF(A14="","",IF(L14&gt;=1,"Terminé",IF(L14&gt;0,"En cours","Non démarré")))</f>
        <v/>
      </c>
      <c r="N14" s="83" t="str">
        <f aca="false">IF(L14="","",N(B14)*L14)</f>
        <v/>
      </c>
      <c r="O14" s="25"/>
    </row>
    <row r="15" customFormat="false" ht="15" hidden="false" customHeight="false" outlineLevel="0" collapsed="false">
      <c r="A15" s="25"/>
      <c r="B15" s="82"/>
      <c r="C15" s="33"/>
      <c r="D15" s="25"/>
      <c r="E15" s="72"/>
      <c r="F15" s="72"/>
      <c r="G15" s="72"/>
      <c r="H15" s="72"/>
      <c r="I15" s="72"/>
      <c r="J15" s="72"/>
      <c r="K15" s="72"/>
      <c r="L15" s="73" t="str">
        <f aca="false">IF(A15="","",IFERROR(SUMPRODUCT($E$6:$K$6,E15:K15)/SUMPRODUCT($E$6:$K$6*(E15:K15&lt;&gt;"n/a")),0))</f>
        <v/>
      </c>
      <c r="M15" s="74" t="str">
        <f aca="false">IF(A15="","",IF(L15&gt;=1,"Terminé",IF(L15&gt;0,"En cours","Non démarré")))</f>
        <v/>
      </c>
      <c r="N15" s="83" t="str">
        <f aca="false">IF(L15="","",N(B15)*L15)</f>
        <v/>
      </c>
      <c r="O15" s="25"/>
    </row>
    <row r="16" customFormat="false" ht="15" hidden="false" customHeight="false" outlineLevel="0" collapsed="false">
      <c r="A16" s="25"/>
      <c r="B16" s="82"/>
      <c r="C16" s="33"/>
      <c r="D16" s="25"/>
      <c r="E16" s="72"/>
      <c r="F16" s="72"/>
      <c r="G16" s="72"/>
      <c r="H16" s="72"/>
      <c r="I16" s="72"/>
      <c r="J16" s="72"/>
      <c r="K16" s="72"/>
      <c r="L16" s="73" t="str">
        <f aca="false">IF(A16="","",IFERROR(SUMPRODUCT($E$6:$K$6,E16:K16)/SUMPRODUCT($E$6:$K$6*(E16:K16&lt;&gt;"n/a")),0))</f>
        <v/>
      </c>
      <c r="M16" s="74" t="str">
        <f aca="false">IF(A16="","",IF(L16&gt;=1,"Terminé",IF(L16&gt;0,"En cours","Non démarré")))</f>
        <v/>
      </c>
      <c r="N16" s="83" t="str">
        <f aca="false">IF(L16="","",N(B16)*L16)</f>
        <v/>
      </c>
      <c r="O16" s="25"/>
    </row>
    <row r="17" customFormat="false" ht="15" hidden="false" customHeight="false" outlineLevel="0" collapsed="false">
      <c r="A17" s="25"/>
      <c r="B17" s="82"/>
      <c r="C17" s="33"/>
      <c r="D17" s="25"/>
      <c r="E17" s="72"/>
      <c r="F17" s="72"/>
      <c r="G17" s="72"/>
      <c r="H17" s="72"/>
      <c r="I17" s="72"/>
      <c r="J17" s="72"/>
      <c r="K17" s="72"/>
      <c r="L17" s="73" t="str">
        <f aca="false">IF(A17="","",IFERROR(SUMPRODUCT($E$6:$K$6,E17:K17)/SUMPRODUCT($E$6:$K$6*(E17:K17&lt;&gt;"n/a")),0))</f>
        <v/>
      </c>
      <c r="M17" s="74" t="str">
        <f aca="false">IF(A17="","",IF(L17&gt;=1,"Terminé",IF(L17&gt;0,"En cours","Non démarré")))</f>
        <v/>
      </c>
      <c r="N17" s="83" t="str">
        <f aca="false">IF(L17="","",N(B17)*L17)</f>
        <v/>
      </c>
      <c r="O17" s="25"/>
    </row>
    <row r="18" customFormat="false" ht="15" hidden="false" customHeight="false" outlineLevel="0" collapsed="false">
      <c r="A18" s="25"/>
      <c r="B18" s="82"/>
      <c r="C18" s="33"/>
      <c r="D18" s="25"/>
      <c r="E18" s="72"/>
      <c r="F18" s="72"/>
      <c r="G18" s="72"/>
      <c r="H18" s="72"/>
      <c r="I18" s="72"/>
      <c r="J18" s="72"/>
      <c r="K18" s="72"/>
      <c r="L18" s="73" t="str">
        <f aca="false">IF(A18="","",IFERROR(SUMPRODUCT($E$6:$K$6,E18:K18)/SUMPRODUCT($E$6:$K$6*(E18:K18&lt;&gt;"n/a")),0))</f>
        <v/>
      </c>
      <c r="M18" s="74" t="str">
        <f aca="false">IF(A18="","",IF(L18&gt;=1,"Terminé",IF(L18&gt;0,"En cours","Non démarré")))</f>
        <v/>
      </c>
      <c r="N18" s="83" t="str">
        <f aca="false">IF(L18="","",N(B18)*L18)</f>
        <v/>
      </c>
      <c r="O18" s="25"/>
    </row>
    <row r="19" customFormat="false" ht="15" hidden="false" customHeight="false" outlineLevel="0" collapsed="false">
      <c r="A19" s="25"/>
      <c r="B19" s="82"/>
      <c r="C19" s="33"/>
      <c r="D19" s="25"/>
      <c r="E19" s="72"/>
      <c r="F19" s="72"/>
      <c r="G19" s="72"/>
      <c r="H19" s="72"/>
      <c r="I19" s="72"/>
      <c r="J19" s="72"/>
      <c r="K19" s="72"/>
      <c r="L19" s="73" t="str">
        <f aca="false">IF(A19="","",IFERROR(SUMPRODUCT($E$6:$K$6,E19:K19)/SUMPRODUCT($E$6:$K$6*(E19:K19&lt;&gt;"n/a")),0))</f>
        <v/>
      </c>
      <c r="M19" s="74" t="str">
        <f aca="false">IF(A19="","",IF(L19&gt;=1,"Terminé",IF(L19&gt;0,"En cours","Non démarré")))</f>
        <v/>
      </c>
      <c r="N19" s="83" t="str">
        <f aca="false">IF(L19="","",N(B19)*L19)</f>
        <v/>
      </c>
      <c r="O19" s="25"/>
    </row>
    <row r="20" customFormat="false" ht="15" hidden="false" customHeight="false" outlineLevel="0" collapsed="false">
      <c r="A20" s="25"/>
      <c r="B20" s="82"/>
      <c r="C20" s="33"/>
      <c r="D20" s="25"/>
      <c r="E20" s="72"/>
      <c r="F20" s="72"/>
      <c r="G20" s="72"/>
      <c r="H20" s="72"/>
      <c r="I20" s="72"/>
      <c r="J20" s="72"/>
      <c r="K20" s="72"/>
      <c r="L20" s="73" t="str">
        <f aca="false">IF(A20="","",IFERROR(SUMPRODUCT($E$6:$K$6,E20:K20)/SUMPRODUCT($E$6:$K$6*(E20:K20&lt;&gt;"n/a")),0))</f>
        <v/>
      </c>
      <c r="M20" s="74" t="str">
        <f aca="false">IF(A20="","",IF(L20&gt;=1,"Terminé",IF(L20&gt;0,"En cours","Non démarré")))</f>
        <v/>
      </c>
      <c r="N20" s="83" t="str">
        <f aca="false">IF(L20="","",N(B20)*L20)</f>
        <v/>
      </c>
      <c r="O20" s="25"/>
    </row>
    <row r="21" customFormat="false" ht="15" hidden="false" customHeight="false" outlineLevel="0" collapsed="false">
      <c r="A21" s="25"/>
      <c r="B21" s="82"/>
      <c r="C21" s="33"/>
      <c r="D21" s="25"/>
      <c r="E21" s="72"/>
      <c r="F21" s="72"/>
      <c r="G21" s="72"/>
      <c r="H21" s="72"/>
      <c r="I21" s="72"/>
      <c r="J21" s="72"/>
      <c r="K21" s="72"/>
      <c r="L21" s="73" t="str">
        <f aca="false">IF(A21="","",IFERROR(SUMPRODUCT($E$6:$K$6,E21:K21)/SUMPRODUCT($E$6:$K$6*(E21:K21&lt;&gt;"n/a")),0))</f>
        <v/>
      </c>
      <c r="M21" s="74" t="str">
        <f aca="false">IF(A21="","",IF(L21&gt;=1,"Terminé",IF(L21&gt;0,"En cours","Non démarré")))</f>
        <v/>
      </c>
      <c r="N21" s="83" t="str">
        <f aca="false">IF(L21="","",N(B21)*L21)</f>
        <v/>
      </c>
      <c r="O21" s="25"/>
    </row>
    <row r="22" customFormat="false" ht="15" hidden="false" customHeight="false" outlineLevel="0" collapsed="false">
      <c r="A22" s="25"/>
      <c r="B22" s="82"/>
      <c r="C22" s="33"/>
      <c r="D22" s="25"/>
      <c r="E22" s="72"/>
      <c r="F22" s="72"/>
      <c r="G22" s="72"/>
      <c r="H22" s="72"/>
      <c r="I22" s="72"/>
      <c r="J22" s="72"/>
      <c r="K22" s="72"/>
      <c r="L22" s="73" t="str">
        <f aca="false">IF(A22="","",IFERROR(SUMPRODUCT($E$6:$K$6,E22:K22)/SUMPRODUCT($E$6:$K$6*(E22:K22&lt;&gt;"n/a")),0))</f>
        <v/>
      </c>
      <c r="M22" s="74" t="str">
        <f aca="false">IF(A22="","",IF(L22&gt;=1,"Terminé",IF(L22&gt;0,"En cours","Non démarré")))</f>
        <v/>
      </c>
      <c r="N22" s="83" t="str">
        <f aca="false">IF(L22="","",N(B22)*L22)</f>
        <v/>
      </c>
      <c r="O22" s="25"/>
    </row>
    <row r="23" customFormat="false" ht="15" hidden="false" customHeight="false" outlineLevel="0" collapsed="false">
      <c r="A23" s="25"/>
      <c r="B23" s="82"/>
      <c r="C23" s="33"/>
      <c r="D23" s="25"/>
      <c r="E23" s="72"/>
      <c r="F23" s="72"/>
      <c r="G23" s="72"/>
      <c r="H23" s="72"/>
      <c r="I23" s="72"/>
      <c r="J23" s="72"/>
      <c r="K23" s="72"/>
      <c r="L23" s="73" t="str">
        <f aca="false">IF(A23="","",IFERROR(SUMPRODUCT($E$6:$K$6,E23:K23)/SUMPRODUCT($E$6:$K$6*(E23:K23&lt;&gt;"n/a")),0))</f>
        <v/>
      </c>
      <c r="M23" s="74" t="str">
        <f aca="false">IF(A23="","",IF(L23&gt;=1,"Terminé",IF(L23&gt;0,"En cours","Non démarré")))</f>
        <v/>
      </c>
      <c r="N23" s="83" t="str">
        <f aca="false">IF(L23="","",N(B23)*L23)</f>
        <v/>
      </c>
      <c r="O23" s="25"/>
    </row>
    <row r="24" customFormat="false" ht="15" hidden="false" customHeight="false" outlineLevel="0" collapsed="false">
      <c r="A24" s="25"/>
      <c r="B24" s="82"/>
      <c r="C24" s="33"/>
      <c r="D24" s="25"/>
      <c r="E24" s="72"/>
      <c r="F24" s="72"/>
      <c r="G24" s="72"/>
      <c r="H24" s="72"/>
      <c r="I24" s="72"/>
      <c r="J24" s="72"/>
      <c r="K24" s="72"/>
      <c r="L24" s="73" t="str">
        <f aca="false">IF(A24="","",IFERROR(SUMPRODUCT($E$6:$K$6,E24:K24)/SUMPRODUCT($E$6:$K$6*(E24:K24&lt;&gt;"n/a")),0))</f>
        <v/>
      </c>
      <c r="M24" s="74" t="str">
        <f aca="false">IF(A24="","",IF(L24&gt;=1,"Terminé",IF(L24&gt;0,"En cours","Non démarré")))</f>
        <v/>
      </c>
      <c r="N24" s="83" t="str">
        <f aca="false">IF(L24="","",N(B24)*L24)</f>
        <v/>
      </c>
      <c r="O24" s="25"/>
    </row>
    <row r="25" customFormat="false" ht="15" hidden="false" customHeight="false" outlineLevel="0" collapsed="false">
      <c r="A25" s="25"/>
      <c r="B25" s="82"/>
      <c r="C25" s="33"/>
      <c r="D25" s="25"/>
      <c r="E25" s="72"/>
      <c r="F25" s="72"/>
      <c r="G25" s="72"/>
      <c r="H25" s="72"/>
      <c r="I25" s="72"/>
      <c r="J25" s="72"/>
      <c r="K25" s="72"/>
      <c r="L25" s="73" t="str">
        <f aca="false">IF(A25="","",IFERROR(SUMPRODUCT($E$6:$K$6,E25:K25)/SUMPRODUCT($E$6:$K$6*(E25:K25&lt;&gt;"n/a")),0))</f>
        <v/>
      </c>
      <c r="M25" s="74" t="str">
        <f aca="false">IF(A25="","",IF(L25&gt;=1,"Terminé",IF(L25&gt;0,"En cours","Non démarré")))</f>
        <v/>
      </c>
      <c r="N25" s="83" t="str">
        <f aca="false">IF(L25="","",N(B25)*L25)</f>
        <v/>
      </c>
      <c r="O25" s="25"/>
    </row>
    <row r="26" customFormat="false" ht="15" hidden="false" customHeight="false" outlineLevel="0" collapsed="false">
      <c r="A26" s="25"/>
      <c r="B26" s="82"/>
      <c r="C26" s="33"/>
      <c r="D26" s="25"/>
      <c r="E26" s="72"/>
      <c r="F26" s="72"/>
      <c r="G26" s="72"/>
      <c r="H26" s="72"/>
      <c r="I26" s="72"/>
      <c r="J26" s="72"/>
      <c r="K26" s="72"/>
      <c r="L26" s="73" t="str">
        <f aca="false">IF(A26="","",IFERROR(SUMPRODUCT($E$6:$K$6,E26:K26)/SUMPRODUCT($E$6:$K$6*(E26:K26&lt;&gt;"n/a")),0))</f>
        <v/>
      </c>
      <c r="M26" s="74" t="str">
        <f aca="false">IF(A26="","",IF(L26&gt;=1,"Terminé",IF(L26&gt;0,"En cours","Non démarré")))</f>
        <v/>
      </c>
      <c r="N26" s="83" t="str">
        <f aca="false">IF(L26="","",N(B26)*L26)</f>
        <v/>
      </c>
      <c r="O26" s="25"/>
    </row>
    <row r="27" customFormat="false" ht="15" hidden="false" customHeight="false" outlineLevel="0" collapsed="false">
      <c r="A27" s="25"/>
      <c r="B27" s="82"/>
      <c r="C27" s="33"/>
      <c r="D27" s="25"/>
      <c r="E27" s="72"/>
      <c r="F27" s="72"/>
      <c r="G27" s="72"/>
      <c r="H27" s="72"/>
      <c r="I27" s="72"/>
      <c r="J27" s="72"/>
      <c r="K27" s="72"/>
      <c r="L27" s="73" t="str">
        <f aca="false">IF(A27="","",IFERROR(SUMPRODUCT($E$6:$K$6,E27:K27)/SUMPRODUCT($E$6:$K$6*(E27:K27&lt;&gt;"n/a")),0))</f>
        <v/>
      </c>
      <c r="M27" s="74" t="str">
        <f aca="false">IF(A27="","",IF(L27&gt;=1,"Terminé",IF(L27&gt;0,"En cours","Non démarré")))</f>
        <v/>
      </c>
      <c r="N27" s="83" t="str">
        <f aca="false">IF(L27="","",N(B27)*L27)</f>
        <v/>
      </c>
      <c r="O27" s="25"/>
    </row>
    <row r="28" customFormat="false" ht="15" hidden="false" customHeight="false" outlineLevel="0" collapsed="false">
      <c r="A28" s="25"/>
      <c r="B28" s="82"/>
      <c r="C28" s="33"/>
      <c r="D28" s="25"/>
      <c r="E28" s="72"/>
      <c r="F28" s="72"/>
      <c r="G28" s="72"/>
      <c r="H28" s="72"/>
      <c r="I28" s="72"/>
      <c r="J28" s="72"/>
      <c r="K28" s="72"/>
      <c r="L28" s="73" t="str">
        <f aca="false">IF(A28="","",IFERROR(SUMPRODUCT($E$6:$K$6,E28:K28)/SUMPRODUCT($E$6:$K$6*(E28:K28&lt;&gt;"n/a")),0))</f>
        <v/>
      </c>
      <c r="M28" s="74" t="str">
        <f aca="false">IF(A28="","",IF(L28&gt;=1,"Terminé",IF(L28&gt;0,"En cours","Non démarré")))</f>
        <v/>
      </c>
      <c r="N28" s="83" t="str">
        <f aca="false">IF(L28="","",N(B28)*L28)</f>
        <v/>
      </c>
      <c r="O28" s="25"/>
    </row>
    <row r="29" customFormat="false" ht="15" hidden="false" customHeight="false" outlineLevel="0" collapsed="false">
      <c r="A29" s="25"/>
      <c r="B29" s="82"/>
      <c r="C29" s="33"/>
      <c r="D29" s="25"/>
      <c r="E29" s="72"/>
      <c r="F29" s="72"/>
      <c r="G29" s="72"/>
      <c r="H29" s="72"/>
      <c r="I29" s="72"/>
      <c r="J29" s="72"/>
      <c r="K29" s="72"/>
      <c r="L29" s="73" t="str">
        <f aca="false">IF(A29="","",IFERROR(SUMPRODUCT($E$6:$K$6,E29:K29)/SUMPRODUCT($E$6:$K$6*(E29:K29&lt;&gt;"n/a")),0))</f>
        <v/>
      </c>
      <c r="M29" s="74" t="str">
        <f aca="false">IF(A29="","",IF(L29&gt;=1,"Terminé",IF(L29&gt;0,"En cours","Non démarré")))</f>
        <v/>
      </c>
      <c r="N29" s="83" t="str">
        <f aca="false">IF(L29="","",N(B29)*L29)</f>
        <v/>
      </c>
      <c r="O29" s="25"/>
    </row>
    <row r="30" customFormat="false" ht="15" hidden="false" customHeight="false" outlineLevel="0" collapsed="false">
      <c r="A30" s="25"/>
      <c r="B30" s="82"/>
      <c r="C30" s="33"/>
      <c r="D30" s="25"/>
      <c r="E30" s="72"/>
      <c r="F30" s="72"/>
      <c r="G30" s="72"/>
      <c r="H30" s="72"/>
      <c r="I30" s="72"/>
      <c r="J30" s="72"/>
      <c r="K30" s="72"/>
      <c r="L30" s="73" t="str">
        <f aca="false">IF(A30="","",IFERROR(SUMPRODUCT($E$6:$K$6,E30:K30)/SUMPRODUCT($E$6:$K$6*(E30:K30&lt;&gt;"n/a")),0))</f>
        <v/>
      </c>
      <c r="M30" s="74" t="str">
        <f aca="false">IF(A30="","",IF(L30&gt;=1,"Terminé",IF(L30&gt;0,"En cours","Non démarré")))</f>
        <v/>
      </c>
      <c r="N30" s="83" t="str">
        <f aca="false">IF(L30="","",N(B30)*L30)</f>
        <v/>
      </c>
      <c r="O30" s="25"/>
    </row>
    <row r="31" customFormat="false" ht="15" hidden="false" customHeight="false" outlineLevel="0" collapsed="false">
      <c r="A31" s="25"/>
      <c r="B31" s="82"/>
      <c r="C31" s="33"/>
      <c r="D31" s="25"/>
      <c r="E31" s="72"/>
      <c r="F31" s="72"/>
      <c r="G31" s="72"/>
      <c r="H31" s="72"/>
      <c r="I31" s="72"/>
      <c r="J31" s="72"/>
      <c r="K31" s="72"/>
      <c r="L31" s="73" t="str">
        <f aca="false">IF(A31="","",IFERROR(SUMPRODUCT($E$6:$K$6,E31:K31)/SUMPRODUCT($E$6:$K$6*(E31:K31&lt;&gt;"n/a")),0))</f>
        <v/>
      </c>
      <c r="M31" s="74" t="str">
        <f aca="false">IF(A31="","",IF(L31&gt;=1,"Terminé",IF(L31&gt;0,"En cours","Non démarré")))</f>
        <v/>
      </c>
      <c r="N31" s="83" t="str">
        <f aca="false">IF(L31="","",N(B31)*L31)</f>
        <v/>
      </c>
      <c r="O31" s="25"/>
    </row>
    <row r="32" customFormat="false" ht="15" hidden="false" customHeight="false" outlineLevel="0" collapsed="false">
      <c r="A32" s="25"/>
      <c r="B32" s="82"/>
      <c r="C32" s="33"/>
      <c r="D32" s="25"/>
      <c r="E32" s="72"/>
      <c r="F32" s="72"/>
      <c r="G32" s="72"/>
      <c r="H32" s="72"/>
      <c r="I32" s="72"/>
      <c r="J32" s="72"/>
      <c r="K32" s="72"/>
      <c r="L32" s="73" t="str">
        <f aca="false">IF(A32="","",IFERROR(SUMPRODUCT($E$6:$K$6,E32:K32)/SUMPRODUCT($E$6:$K$6*(E32:K32&lt;&gt;"n/a")),0))</f>
        <v/>
      </c>
      <c r="M32" s="74" t="str">
        <f aca="false">IF(A32="","",IF(L32&gt;=1,"Terminé",IF(L32&gt;0,"En cours","Non démarré")))</f>
        <v/>
      </c>
      <c r="N32" s="83" t="str">
        <f aca="false">IF(L32="","",N(B32)*L32)</f>
        <v/>
      </c>
      <c r="O32" s="25"/>
    </row>
    <row r="33" customFormat="false" ht="15" hidden="false" customHeight="false" outlineLevel="0" collapsed="false">
      <c r="A33" s="25"/>
      <c r="B33" s="82"/>
      <c r="C33" s="33"/>
      <c r="D33" s="25"/>
      <c r="E33" s="72"/>
      <c r="F33" s="72"/>
      <c r="G33" s="72"/>
      <c r="H33" s="72"/>
      <c r="I33" s="72"/>
      <c r="J33" s="72"/>
      <c r="K33" s="72"/>
      <c r="L33" s="73" t="str">
        <f aca="false">IF(A33="","",IFERROR(SUMPRODUCT($E$6:$K$6,E33:K33)/SUMPRODUCT($E$6:$K$6*(E33:K33&lt;&gt;"n/a")),0))</f>
        <v/>
      </c>
      <c r="M33" s="74" t="str">
        <f aca="false">IF(A33="","",IF(L33&gt;=1,"Terminé",IF(L33&gt;0,"En cours","Non démarré")))</f>
        <v/>
      </c>
      <c r="N33" s="83" t="str">
        <f aca="false">IF(L33="","",N(B33)*L33)</f>
        <v/>
      </c>
      <c r="O33" s="25"/>
    </row>
    <row r="34" customFormat="false" ht="15" hidden="false" customHeight="false" outlineLevel="0" collapsed="false">
      <c r="A34" s="25"/>
      <c r="B34" s="82"/>
      <c r="C34" s="33"/>
      <c r="D34" s="25"/>
      <c r="E34" s="72"/>
      <c r="F34" s="72"/>
      <c r="G34" s="72"/>
      <c r="H34" s="72"/>
      <c r="I34" s="72"/>
      <c r="J34" s="72"/>
      <c r="K34" s="72"/>
      <c r="L34" s="73" t="str">
        <f aca="false">IF(A34="","",IFERROR(SUMPRODUCT($E$6:$K$6,E34:K34)/SUMPRODUCT($E$6:$K$6*(E34:K34&lt;&gt;"n/a")),0))</f>
        <v/>
      </c>
      <c r="M34" s="74" t="str">
        <f aca="false">IF(A34="","",IF(L34&gt;=1,"Terminé",IF(L34&gt;0,"En cours","Non démarré")))</f>
        <v/>
      </c>
      <c r="N34" s="83" t="str">
        <f aca="false">IF(L34="","",N(B34)*L34)</f>
        <v/>
      </c>
      <c r="O34" s="25"/>
    </row>
    <row r="35" customFormat="false" ht="15" hidden="false" customHeight="false" outlineLevel="0" collapsed="false">
      <c r="A35" s="25"/>
      <c r="B35" s="82"/>
      <c r="C35" s="33"/>
      <c r="D35" s="25"/>
      <c r="E35" s="72"/>
      <c r="F35" s="72"/>
      <c r="G35" s="72"/>
      <c r="H35" s="72"/>
      <c r="I35" s="72"/>
      <c r="J35" s="72"/>
      <c r="K35" s="72"/>
      <c r="L35" s="73" t="str">
        <f aca="false">IF(A35="","",IFERROR(SUMPRODUCT($E$6:$K$6,E35:K35)/SUMPRODUCT($E$6:$K$6*(E35:K35&lt;&gt;"n/a")),0))</f>
        <v/>
      </c>
      <c r="M35" s="74" t="str">
        <f aca="false">IF(A35="","",IF(L35&gt;=1,"Terminé",IF(L35&gt;0,"En cours","Non démarré")))</f>
        <v/>
      </c>
      <c r="N35" s="83" t="str">
        <f aca="false">IF(L35="","",N(B35)*L35)</f>
        <v/>
      </c>
      <c r="O35" s="25"/>
    </row>
    <row r="36" customFormat="false" ht="15" hidden="false" customHeight="false" outlineLevel="0" collapsed="false">
      <c r="A36" s="25"/>
      <c r="B36" s="82"/>
      <c r="C36" s="33"/>
      <c r="D36" s="25"/>
      <c r="E36" s="72"/>
      <c r="F36" s="72"/>
      <c r="G36" s="72"/>
      <c r="H36" s="72"/>
      <c r="I36" s="72"/>
      <c r="J36" s="72"/>
      <c r="K36" s="72"/>
      <c r="L36" s="73" t="str">
        <f aca="false">IF(A36="","",IFERROR(SUMPRODUCT($E$6:$K$6,E36:K36)/SUMPRODUCT($E$6:$K$6*(E36:K36&lt;&gt;"n/a")),0))</f>
        <v/>
      </c>
      <c r="M36" s="74" t="str">
        <f aca="false">IF(A36="","",IF(L36&gt;=1,"Terminé",IF(L36&gt;0,"En cours","Non démarré")))</f>
        <v/>
      </c>
      <c r="N36" s="83" t="str">
        <f aca="false">IF(L36="","",N(B36)*L36)</f>
        <v/>
      </c>
      <c r="O36" s="25"/>
    </row>
    <row r="37" customFormat="false" ht="15" hidden="false" customHeight="false" outlineLevel="0" collapsed="false">
      <c r="A37" s="25"/>
      <c r="B37" s="82"/>
      <c r="C37" s="33"/>
      <c r="D37" s="25"/>
      <c r="E37" s="72"/>
      <c r="F37" s="72"/>
      <c r="G37" s="72"/>
      <c r="H37" s="72"/>
      <c r="I37" s="72"/>
      <c r="J37" s="72"/>
      <c r="K37" s="72"/>
      <c r="L37" s="73" t="str">
        <f aca="false">IF(A37="","",IFERROR(SUMPRODUCT($E$6:$K$6,E37:K37)/SUMPRODUCT($E$6:$K$6*(E37:K37&lt;&gt;"n/a")),0))</f>
        <v/>
      </c>
      <c r="M37" s="74" t="str">
        <f aca="false">IF(A37="","",IF(L37&gt;=1,"Terminé",IF(L37&gt;0,"En cours","Non démarré")))</f>
        <v/>
      </c>
      <c r="N37" s="83" t="str">
        <f aca="false">IF(L37="","",N(B37)*L37)</f>
        <v/>
      </c>
      <c r="O37" s="25"/>
    </row>
  </sheetData>
  <autoFilter ref="A7:O37"/>
  <mergeCells count="5">
    <mergeCell ref="A1:O1"/>
    <mergeCell ref="A2:O2"/>
    <mergeCell ref="A3:O3"/>
    <mergeCell ref="A4:O4"/>
    <mergeCell ref="A5:B5"/>
  </mergeCells>
  <conditionalFormatting sqref="L6">
    <cfRule type="expression" priority="2" aboveAverage="0" equalAverage="0" bottom="0" percent="0" rank="0" text="" dxfId="16">
      <formula>ROUND(L6,4)&lt;&gt;1</formula>
    </cfRule>
  </conditionalFormatting>
  <conditionalFormatting sqref="E8:K37">
    <cfRule type="cellIs" priority="3" operator="equal" aboveAverage="0" equalAverage="0" bottom="0" percent="0" rank="0" text="" dxfId="27">
      <formula>"n/a"</formula>
    </cfRule>
    <cfRule type="colorScale" priority="4">
      <colorScale>
        <cfvo type="num" val="0"/>
        <cfvo type="num" val="1"/>
        <color rgb="FFFFFFFF"/>
        <color rgb="FF81C784"/>
      </colorScale>
    </cfRule>
  </conditionalFormatting>
  <conditionalFormatting sqref="L8:L37">
    <cfRule type="dataBar" priority="5">
      <dataBar showValue="1" minLength="10" maxLength="90">
        <cfvo type="num" val="0"/>
        <cfvo type="num" val="1"/>
        <color rgb="FF43A047"/>
      </dataBar>
      <extLst>
        <ext xmlns:x14="http://schemas.microsoft.com/office/spreadsheetml/2009/9/main" uri="{B025F937-C7B1-47D3-B67F-A62EFF666E3E}">
          <x14:id>{317A8ADC-5E73-4E82-A98D-B020351FF0E4}</x14:id>
        </ext>
      </extLst>
    </cfRule>
  </conditionalFormatting>
  <conditionalFormatting sqref="M8:M37">
    <cfRule type="cellIs" priority="6" operator="equal" aboveAverage="0" equalAverage="0" bottom="0" percent="0" rank="0" text="" dxfId="2">
      <formula>"En cours"</formula>
    </cfRule>
    <cfRule type="cellIs" priority="7" operator="equal" aboveAverage="0" equalAverage="0" bottom="0" percent="0" rank="0" text="" dxfId="1">
      <formula>"Terminé"</formula>
    </cfRule>
    <cfRule type="cellIs" priority="8" operator="equal" aboveAverage="0" equalAverage="0" bottom="0" percent="0" rank="0" text="" dxfId="5">
      <formula>"Non démarré"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7A8ADC-5E73-4E82-A98D-B020351FF0E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3A047"/>
              <x14:axisColor rgb="FF000000"/>
            </x14:dataBar>
          </x14:cfRule>
          <xm:sqref>L8:L37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true"/>
  </sheetPr>
  <dimension ref="A1:Q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14" min="7" style="0" width="11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24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customFormat="false" ht="19.5" hidden="false" customHeight="true" outlineLevel="0" collapsed="false">
      <c r="A2" s="20" t="s">
        <v>975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30" hidden="false" customHeight="true" outlineLevel="0" collapsed="false">
      <c r="A4" s="21" t="s">
        <v>976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customFormat="false" ht="15" hidden="false" customHeight="false" outlineLevel="0" collapsed="false">
      <c r="A5" s="92" t="s">
        <v>825</v>
      </c>
      <c r="B5" s="92"/>
      <c r="C5" s="93" t="n">
        <f aca="false">IFERROR(SUMPRODUCT($F$8:$F$47,$N$8:$N$47)/SUM($F$8:$F$47),0)</f>
        <v>0.256326844454447</v>
      </c>
      <c r="D5" s="80" t="s">
        <v>977</v>
      </c>
    </row>
    <row r="6" customFormat="false" ht="15" hidden="false" customHeight="false" outlineLevel="0" collapsed="false">
      <c r="F6" s="94" t="s">
        <v>827</v>
      </c>
      <c r="G6" s="95" t="n">
        <v>0.1</v>
      </c>
      <c r="H6" s="95" t="n">
        <v>0.3</v>
      </c>
      <c r="I6" s="95" t="n">
        <v>0.1</v>
      </c>
      <c r="J6" s="95" t="n">
        <v>0.05</v>
      </c>
      <c r="K6" s="95" t="n">
        <v>0.3</v>
      </c>
      <c r="L6" s="95" t="n">
        <v>0.1</v>
      </c>
      <c r="M6" s="95" t="n">
        <v>0.05</v>
      </c>
      <c r="N6" s="96" t="n">
        <f aca="false">SUM($G$6:$M$6)</f>
        <v>1</v>
      </c>
    </row>
    <row r="7" customFormat="false" ht="45.75" hidden="false" customHeight="true" outlineLevel="0" collapsed="false">
      <c r="A7" s="23" t="s">
        <v>978</v>
      </c>
      <c r="B7" s="23" t="s">
        <v>436</v>
      </c>
      <c r="C7" s="23" t="s">
        <v>979</v>
      </c>
      <c r="D7" s="23" t="s">
        <v>667</v>
      </c>
      <c r="E7" s="23" t="s">
        <v>980</v>
      </c>
      <c r="F7" s="23" t="s">
        <v>981</v>
      </c>
      <c r="G7" s="23" t="s">
        <v>982</v>
      </c>
      <c r="H7" s="23" t="s">
        <v>983</v>
      </c>
      <c r="I7" s="23" t="s">
        <v>984</v>
      </c>
      <c r="J7" s="23" t="s">
        <v>985</v>
      </c>
      <c r="K7" s="23" t="s">
        <v>986</v>
      </c>
      <c r="L7" s="23" t="s">
        <v>987</v>
      </c>
      <c r="M7" s="23" t="s">
        <v>988</v>
      </c>
      <c r="N7" s="23" t="s">
        <v>840</v>
      </c>
      <c r="O7" s="23" t="s">
        <v>306</v>
      </c>
      <c r="P7" s="23" t="s">
        <v>989</v>
      </c>
      <c r="Q7" s="23" t="s">
        <v>579</v>
      </c>
    </row>
    <row r="8" customFormat="false" ht="15" hidden="false" customHeight="false" outlineLevel="0" collapsed="false">
      <c r="A8" s="68" t="s">
        <v>990</v>
      </c>
      <c r="B8" s="25" t="s">
        <v>991</v>
      </c>
      <c r="C8" s="25" t="s">
        <v>992</v>
      </c>
      <c r="D8" s="70" t="n">
        <v>12</v>
      </c>
      <c r="E8" s="28" t="n">
        <v>254</v>
      </c>
      <c r="F8" s="31" t="n">
        <f aca="false">IF(A8="","",N(D8)*N(E8))</f>
        <v>3048</v>
      </c>
      <c r="G8" s="72" t="n">
        <v>1</v>
      </c>
      <c r="H8" s="72" t="n">
        <v>1</v>
      </c>
      <c r="I8" s="72" t="n">
        <v>0.5</v>
      </c>
      <c r="J8" s="72" t="n">
        <v>0</v>
      </c>
      <c r="K8" s="72" t="n">
        <v>0</v>
      </c>
      <c r="L8" s="72" t="n">
        <v>0</v>
      </c>
      <c r="M8" s="72" t="n">
        <v>0</v>
      </c>
      <c r="N8" s="73" t="n">
        <f aca="false">IF(A8="","",IFERROR(SUMPRODUCT($G$6:$M$6,G8:M8)/SUMPRODUCT($G$6:$M$6*(G8:M8&lt;&gt;"n/a")),0))</f>
        <v>0.45</v>
      </c>
      <c r="O8" s="74" t="str">
        <f aca="false">IF(A8="","",IF(N8&gt;=1,"Terminé",IF(N8&gt;0,"En cours","Non démarré")))</f>
        <v>En cours</v>
      </c>
      <c r="P8" s="31" t="n">
        <f aca="false">IF(N8="","",F8*N8)</f>
        <v>1371.6</v>
      </c>
      <c r="Q8" s="25"/>
    </row>
    <row r="9" customFormat="false" ht="15" hidden="false" customHeight="false" outlineLevel="0" collapsed="false">
      <c r="A9" s="68" t="s">
        <v>993</v>
      </c>
      <c r="B9" s="25" t="s">
        <v>994</v>
      </c>
      <c r="C9" s="25" t="s">
        <v>995</v>
      </c>
      <c r="D9" s="70" t="n">
        <v>6</v>
      </c>
      <c r="E9" s="28" t="n">
        <v>1150</v>
      </c>
      <c r="F9" s="31" t="n">
        <f aca="false">IF(A9="","",N(D9)*N(E9))</f>
        <v>6900</v>
      </c>
      <c r="G9" s="72" t="n">
        <v>1</v>
      </c>
      <c r="H9" s="72" t="n">
        <v>0.5</v>
      </c>
      <c r="I9" s="72" t="n">
        <v>0</v>
      </c>
      <c r="J9" s="72" t="n">
        <v>0</v>
      </c>
      <c r="K9" s="72" t="n">
        <v>0</v>
      </c>
      <c r="L9" s="72" t="n">
        <v>0</v>
      </c>
      <c r="M9" s="72" t="n">
        <v>0</v>
      </c>
      <c r="N9" s="73" t="n">
        <f aca="false">IF(A9="","",IFERROR(SUMPRODUCT($G$6:$M$6,G9:M9)/SUMPRODUCT($G$6:$M$6*(G9:M9&lt;&gt;"n/a")),0))</f>
        <v>0.25</v>
      </c>
      <c r="O9" s="74" t="str">
        <f aca="false">IF(A9="","",IF(N9&gt;=1,"Terminé",IF(N9&gt;0,"En cours","Non démarré")))</f>
        <v>En cours</v>
      </c>
      <c r="P9" s="31" t="n">
        <f aca="false">IF(N9="","",F9*N9)</f>
        <v>1725</v>
      </c>
      <c r="Q9" s="25"/>
    </row>
    <row r="10" customFormat="false" ht="15" hidden="false" customHeight="false" outlineLevel="0" collapsed="false">
      <c r="A10" s="68" t="s">
        <v>996</v>
      </c>
      <c r="B10" s="25" t="s">
        <v>997</v>
      </c>
      <c r="C10" s="25" t="s">
        <v>998</v>
      </c>
      <c r="D10" s="70" t="n">
        <v>66</v>
      </c>
      <c r="E10" s="28" t="n">
        <v>52</v>
      </c>
      <c r="F10" s="31" t="n">
        <f aca="false">IF(A10="","",N(D10)*N(E10))</f>
        <v>3432</v>
      </c>
      <c r="G10" s="72" t="n">
        <v>1</v>
      </c>
      <c r="H10" s="72" t="n">
        <v>0.2</v>
      </c>
      <c r="I10" s="72" t="n">
        <v>0</v>
      </c>
      <c r="J10" s="72" t="n">
        <v>0</v>
      </c>
      <c r="K10" s="72" t="n">
        <v>0</v>
      </c>
      <c r="L10" s="72" t="n">
        <v>0</v>
      </c>
      <c r="M10" s="72" t="n">
        <v>0</v>
      </c>
      <c r="N10" s="73" t="n">
        <f aca="false">IF(A10="","",IFERROR(SUMPRODUCT($G$6:$M$6,G10:M10)/SUMPRODUCT($G$6:$M$6*(G10:M10&lt;&gt;"n/a")),0))</f>
        <v>0.16</v>
      </c>
      <c r="O10" s="74" t="str">
        <f aca="false">IF(A10="","",IF(N10&gt;=1,"Terminé",IF(N10&gt;0,"En cours","Non démarré")))</f>
        <v>En cours</v>
      </c>
      <c r="P10" s="31" t="n">
        <f aca="false">IF(N10="","",F10*N10)</f>
        <v>549.12</v>
      </c>
      <c r="Q10" s="25"/>
    </row>
    <row r="11" customFormat="false" ht="15" hidden="false" customHeight="false" outlineLevel="0" collapsed="false">
      <c r="A11" s="68" t="s">
        <v>999</v>
      </c>
      <c r="B11" s="25" t="s">
        <v>1000</v>
      </c>
      <c r="C11" s="25" t="s">
        <v>1001</v>
      </c>
      <c r="D11" s="70" t="n">
        <v>48</v>
      </c>
      <c r="E11" s="28" t="n">
        <v>53</v>
      </c>
      <c r="F11" s="31" t="n">
        <f aca="false">IF(A11="","",N(D11)*N(E11))</f>
        <v>2544</v>
      </c>
      <c r="G11" s="72" t="n">
        <v>1</v>
      </c>
      <c r="H11" s="72" t="n">
        <v>0</v>
      </c>
      <c r="I11" s="72" t="n">
        <v>0</v>
      </c>
      <c r="J11" s="72" t="n">
        <v>0</v>
      </c>
      <c r="K11" s="72" t="n">
        <v>0</v>
      </c>
      <c r="L11" s="72" t="n">
        <v>0</v>
      </c>
      <c r="M11" s="72" t="n">
        <v>0</v>
      </c>
      <c r="N11" s="73" t="n">
        <f aca="false">IF(A11="","",IFERROR(SUMPRODUCT($G$6:$M$6,G11:M11)/SUMPRODUCT($G$6:$M$6*(G11:M11&lt;&gt;"n/a")),0))</f>
        <v>0.1</v>
      </c>
      <c r="O11" s="74" t="str">
        <f aca="false">IF(A11="","",IF(N11&gt;=1,"Terminé",IF(N11&gt;0,"En cours","Non démarré")))</f>
        <v>En cours</v>
      </c>
      <c r="P11" s="31" t="n">
        <f aca="false">IF(N11="","",F11*N11)</f>
        <v>254.4</v>
      </c>
      <c r="Q11" s="25"/>
    </row>
    <row r="12" customFormat="false" ht="23.85" hidden="false" customHeight="false" outlineLevel="0" collapsed="false">
      <c r="A12" s="68" t="s">
        <v>1002</v>
      </c>
      <c r="B12" s="25" t="s">
        <v>1003</v>
      </c>
      <c r="C12" s="25" t="s">
        <v>1004</v>
      </c>
      <c r="D12" s="70" t="n">
        <v>1</v>
      </c>
      <c r="E12" s="28" t="n">
        <v>1200</v>
      </c>
      <c r="F12" s="31" t="n">
        <f aca="false">IF(A12="","",N(D12)*N(E12))</f>
        <v>1200</v>
      </c>
      <c r="G12" s="72" t="n">
        <v>0.5</v>
      </c>
      <c r="H12" s="72" t="n">
        <v>0</v>
      </c>
      <c r="I12" s="72" t="n">
        <v>0</v>
      </c>
      <c r="J12" s="72" t="n">
        <v>0</v>
      </c>
      <c r="K12" s="72" t="n">
        <v>0</v>
      </c>
      <c r="L12" s="72" t="n">
        <v>0</v>
      </c>
      <c r="M12" s="72" t="n">
        <v>0</v>
      </c>
      <c r="N12" s="73" t="n">
        <f aca="false">IF(A12="","",IFERROR(SUMPRODUCT($G$6:$M$6,G12:M12)/SUMPRODUCT($G$6:$M$6*(G12:M12&lt;&gt;"n/a")),0))</f>
        <v>0.05</v>
      </c>
      <c r="O12" s="74" t="str">
        <f aca="false">IF(A12="","",IF(N12&gt;=1,"Terminé",IF(N12&gt;0,"En cours","Non démarré")))</f>
        <v>En cours</v>
      </c>
      <c r="P12" s="31" t="n">
        <f aca="false">IF(N12="","",F12*N12)</f>
        <v>60</v>
      </c>
      <c r="Q12" s="25"/>
    </row>
    <row r="13" customFormat="false" ht="15" hidden="false" customHeight="false" outlineLevel="0" collapsed="false">
      <c r="A13" s="68" t="s">
        <v>1005</v>
      </c>
      <c r="B13" s="25" t="s">
        <v>1006</v>
      </c>
      <c r="C13" s="25" t="s">
        <v>1007</v>
      </c>
      <c r="D13" s="70" t="n">
        <v>1</v>
      </c>
      <c r="E13" s="28" t="n">
        <v>650</v>
      </c>
      <c r="F13" s="31" t="n">
        <f aca="false">IF(A13="","",N(D13)*N(E13))</f>
        <v>650</v>
      </c>
      <c r="G13" s="72" t="n">
        <v>1</v>
      </c>
      <c r="H13" s="72" t="n">
        <v>1</v>
      </c>
      <c r="I13" s="72" t="n">
        <v>1</v>
      </c>
      <c r="J13" s="72" t="n">
        <v>1</v>
      </c>
      <c r="K13" s="72" t="s">
        <v>891</v>
      </c>
      <c r="L13" s="72" t="s">
        <v>891</v>
      </c>
      <c r="M13" s="72" t="n">
        <v>0</v>
      </c>
      <c r="N13" s="73" t="n">
        <f aca="false">IF(A13="","",IFERROR(SUMPRODUCT($G$6:$M$6,G13:M13)/SUMPRODUCT($G$6:$M$6*(G13:M13&lt;&gt;"n/a")),0))</f>
        <v>0.916666666666667</v>
      </c>
      <c r="O13" s="74" t="str">
        <f aca="false">IF(A13="","",IF(N13&gt;=1,"Terminé",IF(N13&gt;0,"En cours","Non démarré")))</f>
        <v>En cours</v>
      </c>
      <c r="P13" s="31" t="n">
        <f aca="false">IF(N13="","",F13*N13)</f>
        <v>595.833333333333</v>
      </c>
      <c r="Q13" s="25"/>
    </row>
    <row r="14" customFormat="false" ht="15" hidden="false" customHeight="false" outlineLevel="0" collapsed="false">
      <c r="A14" s="68"/>
      <c r="B14" s="25"/>
      <c r="C14" s="25"/>
      <c r="D14" s="70"/>
      <c r="E14" s="28"/>
      <c r="F14" s="31" t="str">
        <f aca="false">IF(A14="","",N(D14)*N(E14))</f>
        <v/>
      </c>
      <c r="G14" s="72"/>
      <c r="H14" s="72"/>
      <c r="I14" s="72"/>
      <c r="J14" s="72"/>
      <c r="K14" s="72"/>
      <c r="L14" s="72"/>
      <c r="M14" s="72"/>
      <c r="N14" s="73" t="str">
        <f aca="false">IF(A14="","",IFERROR(SUMPRODUCT($G$6:$M$6,G14:M14)/SUMPRODUCT($G$6:$M$6*(G14:M14&lt;&gt;"n/a")),0))</f>
        <v/>
      </c>
      <c r="O14" s="74" t="str">
        <f aca="false">IF(A14="","",IF(N14&gt;=1,"Terminé",IF(N14&gt;0,"En cours","Non démarré")))</f>
        <v/>
      </c>
      <c r="P14" s="31" t="str">
        <f aca="false">IF(N14="","",F14*N14)</f>
        <v/>
      </c>
      <c r="Q14" s="25"/>
    </row>
    <row r="15" customFormat="false" ht="15" hidden="false" customHeight="false" outlineLevel="0" collapsed="false">
      <c r="A15" s="68"/>
      <c r="B15" s="25"/>
      <c r="C15" s="25"/>
      <c r="D15" s="70"/>
      <c r="E15" s="28"/>
      <c r="F15" s="31" t="str">
        <f aca="false">IF(A15="","",N(D15)*N(E15))</f>
        <v/>
      </c>
      <c r="G15" s="72"/>
      <c r="H15" s="72"/>
      <c r="I15" s="72"/>
      <c r="J15" s="72"/>
      <c r="K15" s="72"/>
      <c r="L15" s="72"/>
      <c r="M15" s="72"/>
      <c r="N15" s="73" t="str">
        <f aca="false">IF(A15="","",IFERROR(SUMPRODUCT($G$6:$M$6,G15:M15)/SUMPRODUCT($G$6:$M$6*(G15:M15&lt;&gt;"n/a")),0))</f>
        <v/>
      </c>
      <c r="O15" s="74" t="str">
        <f aca="false">IF(A15="","",IF(N15&gt;=1,"Terminé",IF(N15&gt;0,"En cours","Non démarré")))</f>
        <v/>
      </c>
      <c r="P15" s="31" t="str">
        <f aca="false">IF(N15="","",F15*N15)</f>
        <v/>
      </c>
      <c r="Q15" s="25"/>
    </row>
    <row r="16" customFormat="false" ht="15" hidden="false" customHeight="false" outlineLevel="0" collapsed="false">
      <c r="A16" s="68"/>
      <c r="B16" s="25"/>
      <c r="C16" s="25"/>
      <c r="D16" s="70"/>
      <c r="E16" s="28"/>
      <c r="F16" s="31" t="str">
        <f aca="false">IF(A16="","",N(D16)*N(E16))</f>
        <v/>
      </c>
      <c r="G16" s="72"/>
      <c r="H16" s="72"/>
      <c r="I16" s="72"/>
      <c r="J16" s="72"/>
      <c r="K16" s="72"/>
      <c r="L16" s="72"/>
      <c r="M16" s="72"/>
      <c r="N16" s="73" t="str">
        <f aca="false">IF(A16="","",IFERROR(SUMPRODUCT($G$6:$M$6,G16:M16)/SUMPRODUCT($G$6:$M$6*(G16:M16&lt;&gt;"n/a")),0))</f>
        <v/>
      </c>
      <c r="O16" s="74" t="str">
        <f aca="false">IF(A16="","",IF(N16&gt;=1,"Terminé",IF(N16&gt;0,"En cours","Non démarré")))</f>
        <v/>
      </c>
      <c r="P16" s="31" t="str">
        <f aca="false">IF(N16="","",F16*N16)</f>
        <v/>
      </c>
      <c r="Q16" s="25"/>
    </row>
    <row r="17" customFormat="false" ht="15" hidden="false" customHeight="false" outlineLevel="0" collapsed="false">
      <c r="A17" s="68"/>
      <c r="B17" s="25"/>
      <c r="C17" s="25"/>
      <c r="D17" s="70"/>
      <c r="E17" s="28"/>
      <c r="F17" s="31" t="str">
        <f aca="false">IF(A17="","",N(D17)*N(E17))</f>
        <v/>
      </c>
      <c r="G17" s="72"/>
      <c r="H17" s="72"/>
      <c r="I17" s="72"/>
      <c r="J17" s="72"/>
      <c r="K17" s="72"/>
      <c r="L17" s="72"/>
      <c r="M17" s="72"/>
      <c r="N17" s="73" t="str">
        <f aca="false">IF(A17="","",IFERROR(SUMPRODUCT($G$6:$M$6,G17:M17)/SUMPRODUCT($G$6:$M$6*(G17:M17&lt;&gt;"n/a")),0))</f>
        <v/>
      </c>
      <c r="O17" s="74" t="str">
        <f aca="false">IF(A17="","",IF(N17&gt;=1,"Terminé",IF(N17&gt;0,"En cours","Non démarré")))</f>
        <v/>
      </c>
      <c r="P17" s="31" t="str">
        <f aca="false">IF(N17="","",F17*N17)</f>
        <v/>
      </c>
      <c r="Q17" s="25"/>
    </row>
    <row r="18" customFormat="false" ht="15" hidden="false" customHeight="false" outlineLevel="0" collapsed="false">
      <c r="A18" s="68"/>
      <c r="B18" s="25"/>
      <c r="C18" s="25"/>
      <c r="D18" s="70"/>
      <c r="E18" s="28"/>
      <c r="F18" s="31" t="str">
        <f aca="false">IF(A18="","",N(D18)*N(E18))</f>
        <v/>
      </c>
      <c r="G18" s="72"/>
      <c r="H18" s="72"/>
      <c r="I18" s="72"/>
      <c r="J18" s="72"/>
      <c r="K18" s="72"/>
      <c r="L18" s="72"/>
      <c r="M18" s="72"/>
      <c r="N18" s="73" t="str">
        <f aca="false">IF(A18="","",IFERROR(SUMPRODUCT($G$6:$M$6,G18:M18)/SUMPRODUCT($G$6:$M$6*(G18:M18&lt;&gt;"n/a")),0))</f>
        <v/>
      </c>
      <c r="O18" s="74" t="str">
        <f aca="false">IF(A18="","",IF(N18&gt;=1,"Terminé",IF(N18&gt;0,"En cours","Non démarré")))</f>
        <v/>
      </c>
      <c r="P18" s="31" t="str">
        <f aca="false">IF(N18="","",F18*N18)</f>
        <v/>
      </c>
      <c r="Q18" s="25"/>
    </row>
    <row r="19" customFormat="false" ht="15" hidden="false" customHeight="false" outlineLevel="0" collapsed="false">
      <c r="A19" s="68"/>
      <c r="B19" s="25"/>
      <c r="C19" s="25"/>
      <c r="D19" s="70"/>
      <c r="E19" s="28"/>
      <c r="F19" s="31" t="str">
        <f aca="false">IF(A19="","",N(D19)*N(E19))</f>
        <v/>
      </c>
      <c r="G19" s="72"/>
      <c r="H19" s="72"/>
      <c r="I19" s="72"/>
      <c r="J19" s="72"/>
      <c r="K19" s="72"/>
      <c r="L19" s="72"/>
      <c r="M19" s="72"/>
      <c r="N19" s="73" t="str">
        <f aca="false">IF(A19="","",IFERROR(SUMPRODUCT($G$6:$M$6,G19:M19)/SUMPRODUCT($G$6:$M$6*(G19:M19&lt;&gt;"n/a")),0))</f>
        <v/>
      </c>
      <c r="O19" s="74" t="str">
        <f aca="false">IF(A19="","",IF(N19&gt;=1,"Terminé",IF(N19&gt;0,"En cours","Non démarré")))</f>
        <v/>
      </c>
      <c r="P19" s="31" t="str">
        <f aca="false">IF(N19="","",F19*N19)</f>
        <v/>
      </c>
      <c r="Q19" s="25"/>
    </row>
    <row r="20" customFormat="false" ht="15" hidden="false" customHeight="false" outlineLevel="0" collapsed="false">
      <c r="A20" s="68"/>
      <c r="B20" s="25"/>
      <c r="C20" s="25"/>
      <c r="D20" s="70"/>
      <c r="E20" s="28"/>
      <c r="F20" s="31" t="str">
        <f aca="false">IF(A20="","",N(D20)*N(E20))</f>
        <v/>
      </c>
      <c r="G20" s="72"/>
      <c r="H20" s="72"/>
      <c r="I20" s="72"/>
      <c r="J20" s="72"/>
      <c r="K20" s="72"/>
      <c r="L20" s="72"/>
      <c r="M20" s="72"/>
      <c r="N20" s="73" t="str">
        <f aca="false">IF(A20="","",IFERROR(SUMPRODUCT($G$6:$M$6,G20:M20)/SUMPRODUCT($G$6:$M$6*(G20:M20&lt;&gt;"n/a")),0))</f>
        <v/>
      </c>
      <c r="O20" s="74" t="str">
        <f aca="false">IF(A20="","",IF(N20&gt;=1,"Terminé",IF(N20&gt;0,"En cours","Non démarré")))</f>
        <v/>
      </c>
      <c r="P20" s="31" t="str">
        <f aca="false">IF(N20="","",F20*N20)</f>
        <v/>
      </c>
      <c r="Q20" s="25"/>
    </row>
    <row r="21" customFormat="false" ht="15" hidden="false" customHeight="false" outlineLevel="0" collapsed="false">
      <c r="A21" s="68"/>
      <c r="B21" s="25"/>
      <c r="C21" s="25"/>
      <c r="D21" s="70"/>
      <c r="E21" s="28"/>
      <c r="F21" s="31" t="str">
        <f aca="false">IF(A21="","",N(D21)*N(E21))</f>
        <v/>
      </c>
      <c r="G21" s="72"/>
      <c r="H21" s="72"/>
      <c r="I21" s="72"/>
      <c r="J21" s="72"/>
      <c r="K21" s="72"/>
      <c r="L21" s="72"/>
      <c r="M21" s="72"/>
      <c r="N21" s="73" t="str">
        <f aca="false">IF(A21="","",IFERROR(SUMPRODUCT($G$6:$M$6,G21:M21)/SUMPRODUCT($G$6:$M$6*(G21:M21&lt;&gt;"n/a")),0))</f>
        <v/>
      </c>
      <c r="O21" s="74" t="str">
        <f aca="false">IF(A21="","",IF(N21&gt;=1,"Terminé",IF(N21&gt;0,"En cours","Non démarré")))</f>
        <v/>
      </c>
      <c r="P21" s="31" t="str">
        <f aca="false">IF(N21="","",F21*N21)</f>
        <v/>
      </c>
      <c r="Q21" s="25"/>
    </row>
    <row r="22" customFormat="false" ht="15" hidden="false" customHeight="false" outlineLevel="0" collapsed="false">
      <c r="A22" s="68"/>
      <c r="B22" s="25"/>
      <c r="C22" s="25"/>
      <c r="D22" s="70"/>
      <c r="E22" s="28"/>
      <c r="F22" s="31" t="str">
        <f aca="false">IF(A22="","",N(D22)*N(E22))</f>
        <v/>
      </c>
      <c r="G22" s="72"/>
      <c r="H22" s="72"/>
      <c r="I22" s="72"/>
      <c r="J22" s="72"/>
      <c r="K22" s="72"/>
      <c r="L22" s="72"/>
      <c r="M22" s="72"/>
      <c r="N22" s="73" t="str">
        <f aca="false">IF(A22="","",IFERROR(SUMPRODUCT($G$6:$M$6,G22:M22)/SUMPRODUCT($G$6:$M$6*(G22:M22&lt;&gt;"n/a")),0))</f>
        <v/>
      </c>
      <c r="O22" s="74" t="str">
        <f aca="false">IF(A22="","",IF(N22&gt;=1,"Terminé",IF(N22&gt;0,"En cours","Non démarré")))</f>
        <v/>
      </c>
      <c r="P22" s="31" t="str">
        <f aca="false">IF(N22="","",F22*N22)</f>
        <v/>
      </c>
      <c r="Q22" s="25"/>
    </row>
    <row r="23" customFormat="false" ht="15" hidden="false" customHeight="false" outlineLevel="0" collapsed="false">
      <c r="A23" s="68"/>
      <c r="B23" s="25"/>
      <c r="C23" s="25"/>
      <c r="D23" s="70"/>
      <c r="E23" s="28"/>
      <c r="F23" s="31" t="str">
        <f aca="false">IF(A23="","",N(D23)*N(E23))</f>
        <v/>
      </c>
      <c r="G23" s="72"/>
      <c r="H23" s="72"/>
      <c r="I23" s="72"/>
      <c r="J23" s="72"/>
      <c r="K23" s="72"/>
      <c r="L23" s="72"/>
      <c r="M23" s="72"/>
      <c r="N23" s="73" t="str">
        <f aca="false">IF(A23="","",IFERROR(SUMPRODUCT($G$6:$M$6,G23:M23)/SUMPRODUCT($G$6:$M$6*(G23:M23&lt;&gt;"n/a")),0))</f>
        <v/>
      </c>
      <c r="O23" s="74" t="str">
        <f aca="false">IF(A23="","",IF(N23&gt;=1,"Terminé",IF(N23&gt;0,"En cours","Non démarré")))</f>
        <v/>
      </c>
      <c r="P23" s="31" t="str">
        <f aca="false">IF(N23="","",F23*N23)</f>
        <v/>
      </c>
      <c r="Q23" s="25"/>
    </row>
    <row r="24" customFormat="false" ht="15" hidden="false" customHeight="false" outlineLevel="0" collapsed="false">
      <c r="A24" s="68"/>
      <c r="B24" s="25"/>
      <c r="C24" s="25"/>
      <c r="D24" s="70"/>
      <c r="E24" s="28"/>
      <c r="F24" s="31" t="str">
        <f aca="false">IF(A24="","",N(D24)*N(E24))</f>
        <v/>
      </c>
      <c r="G24" s="72"/>
      <c r="H24" s="72"/>
      <c r="I24" s="72"/>
      <c r="J24" s="72"/>
      <c r="K24" s="72"/>
      <c r="L24" s="72"/>
      <c r="M24" s="72"/>
      <c r="N24" s="73" t="str">
        <f aca="false">IF(A24="","",IFERROR(SUMPRODUCT($G$6:$M$6,G24:M24)/SUMPRODUCT($G$6:$M$6*(G24:M24&lt;&gt;"n/a")),0))</f>
        <v/>
      </c>
      <c r="O24" s="74" t="str">
        <f aca="false">IF(A24="","",IF(N24&gt;=1,"Terminé",IF(N24&gt;0,"En cours","Non démarré")))</f>
        <v/>
      </c>
      <c r="P24" s="31" t="str">
        <f aca="false">IF(N24="","",F24*N24)</f>
        <v/>
      </c>
      <c r="Q24" s="25"/>
    </row>
    <row r="25" customFormat="false" ht="15" hidden="false" customHeight="false" outlineLevel="0" collapsed="false">
      <c r="A25" s="68"/>
      <c r="B25" s="25"/>
      <c r="C25" s="25"/>
      <c r="D25" s="70"/>
      <c r="E25" s="28"/>
      <c r="F25" s="31" t="str">
        <f aca="false">IF(A25="","",N(D25)*N(E25))</f>
        <v/>
      </c>
      <c r="G25" s="72"/>
      <c r="H25" s="72"/>
      <c r="I25" s="72"/>
      <c r="J25" s="72"/>
      <c r="K25" s="72"/>
      <c r="L25" s="72"/>
      <c r="M25" s="72"/>
      <c r="N25" s="73" t="str">
        <f aca="false">IF(A25="","",IFERROR(SUMPRODUCT($G$6:$M$6,G25:M25)/SUMPRODUCT($G$6:$M$6*(G25:M25&lt;&gt;"n/a")),0))</f>
        <v/>
      </c>
      <c r="O25" s="74" t="str">
        <f aca="false">IF(A25="","",IF(N25&gt;=1,"Terminé",IF(N25&gt;0,"En cours","Non démarré")))</f>
        <v/>
      </c>
      <c r="P25" s="31" t="str">
        <f aca="false">IF(N25="","",F25*N25)</f>
        <v/>
      </c>
      <c r="Q25" s="25"/>
    </row>
    <row r="26" customFormat="false" ht="15" hidden="false" customHeight="false" outlineLevel="0" collapsed="false">
      <c r="A26" s="68"/>
      <c r="B26" s="25"/>
      <c r="C26" s="25"/>
      <c r="D26" s="70"/>
      <c r="E26" s="28"/>
      <c r="F26" s="31" t="str">
        <f aca="false">IF(A26="","",N(D26)*N(E26))</f>
        <v/>
      </c>
      <c r="G26" s="72"/>
      <c r="H26" s="72"/>
      <c r="I26" s="72"/>
      <c r="J26" s="72"/>
      <c r="K26" s="72"/>
      <c r="L26" s="72"/>
      <c r="M26" s="72"/>
      <c r="N26" s="73" t="str">
        <f aca="false">IF(A26="","",IFERROR(SUMPRODUCT($G$6:$M$6,G26:M26)/SUMPRODUCT($G$6:$M$6*(G26:M26&lt;&gt;"n/a")),0))</f>
        <v/>
      </c>
      <c r="O26" s="74" t="str">
        <f aca="false">IF(A26="","",IF(N26&gt;=1,"Terminé",IF(N26&gt;0,"En cours","Non démarré")))</f>
        <v/>
      </c>
      <c r="P26" s="31" t="str">
        <f aca="false">IF(N26="","",F26*N26)</f>
        <v/>
      </c>
      <c r="Q26" s="25"/>
    </row>
    <row r="27" customFormat="false" ht="15" hidden="false" customHeight="false" outlineLevel="0" collapsed="false">
      <c r="A27" s="68"/>
      <c r="B27" s="25"/>
      <c r="C27" s="25"/>
      <c r="D27" s="70"/>
      <c r="E27" s="28"/>
      <c r="F27" s="31" t="str">
        <f aca="false">IF(A27="","",N(D27)*N(E27))</f>
        <v/>
      </c>
      <c r="G27" s="72"/>
      <c r="H27" s="72"/>
      <c r="I27" s="72"/>
      <c r="J27" s="72"/>
      <c r="K27" s="72"/>
      <c r="L27" s="72"/>
      <c r="M27" s="72"/>
      <c r="N27" s="73" t="str">
        <f aca="false">IF(A27="","",IFERROR(SUMPRODUCT($G$6:$M$6,G27:M27)/SUMPRODUCT($G$6:$M$6*(G27:M27&lt;&gt;"n/a")),0))</f>
        <v/>
      </c>
      <c r="O27" s="74" t="str">
        <f aca="false">IF(A27="","",IF(N27&gt;=1,"Terminé",IF(N27&gt;0,"En cours","Non démarré")))</f>
        <v/>
      </c>
      <c r="P27" s="31" t="str">
        <f aca="false">IF(N27="","",F27*N27)</f>
        <v/>
      </c>
      <c r="Q27" s="25"/>
    </row>
    <row r="28" customFormat="false" ht="15" hidden="false" customHeight="false" outlineLevel="0" collapsed="false">
      <c r="A28" s="68"/>
      <c r="B28" s="25"/>
      <c r="C28" s="25"/>
      <c r="D28" s="70"/>
      <c r="E28" s="28"/>
      <c r="F28" s="31" t="str">
        <f aca="false">IF(A28="","",N(D28)*N(E28))</f>
        <v/>
      </c>
      <c r="G28" s="72"/>
      <c r="H28" s="72"/>
      <c r="I28" s="72"/>
      <c r="J28" s="72"/>
      <c r="K28" s="72"/>
      <c r="L28" s="72"/>
      <c r="M28" s="72"/>
      <c r="N28" s="73" t="str">
        <f aca="false">IF(A28="","",IFERROR(SUMPRODUCT($G$6:$M$6,G28:M28)/SUMPRODUCT($G$6:$M$6*(G28:M28&lt;&gt;"n/a")),0))</f>
        <v/>
      </c>
      <c r="O28" s="74" t="str">
        <f aca="false">IF(A28="","",IF(N28&gt;=1,"Terminé",IF(N28&gt;0,"En cours","Non démarré")))</f>
        <v/>
      </c>
      <c r="P28" s="31" t="str">
        <f aca="false">IF(N28="","",F28*N28)</f>
        <v/>
      </c>
      <c r="Q28" s="25"/>
    </row>
    <row r="29" customFormat="false" ht="15" hidden="false" customHeight="false" outlineLevel="0" collapsed="false">
      <c r="A29" s="68"/>
      <c r="B29" s="25"/>
      <c r="C29" s="25"/>
      <c r="D29" s="70"/>
      <c r="E29" s="28"/>
      <c r="F29" s="31" t="str">
        <f aca="false">IF(A29="","",N(D29)*N(E29))</f>
        <v/>
      </c>
      <c r="G29" s="72"/>
      <c r="H29" s="72"/>
      <c r="I29" s="72"/>
      <c r="J29" s="72"/>
      <c r="K29" s="72"/>
      <c r="L29" s="72"/>
      <c r="M29" s="72"/>
      <c r="N29" s="73" t="str">
        <f aca="false">IF(A29="","",IFERROR(SUMPRODUCT($G$6:$M$6,G29:M29)/SUMPRODUCT($G$6:$M$6*(G29:M29&lt;&gt;"n/a")),0))</f>
        <v/>
      </c>
      <c r="O29" s="74" t="str">
        <f aca="false">IF(A29="","",IF(N29&gt;=1,"Terminé",IF(N29&gt;0,"En cours","Non démarré")))</f>
        <v/>
      </c>
      <c r="P29" s="31" t="str">
        <f aca="false">IF(N29="","",F29*N29)</f>
        <v/>
      </c>
      <c r="Q29" s="25"/>
    </row>
    <row r="30" customFormat="false" ht="15" hidden="false" customHeight="false" outlineLevel="0" collapsed="false">
      <c r="A30" s="68"/>
      <c r="B30" s="25"/>
      <c r="C30" s="25"/>
      <c r="D30" s="70"/>
      <c r="E30" s="28"/>
      <c r="F30" s="31" t="str">
        <f aca="false">IF(A30="","",N(D30)*N(E30))</f>
        <v/>
      </c>
      <c r="G30" s="72"/>
      <c r="H30" s="72"/>
      <c r="I30" s="72"/>
      <c r="J30" s="72"/>
      <c r="K30" s="72"/>
      <c r="L30" s="72"/>
      <c r="M30" s="72"/>
      <c r="N30" s="73" t="str">
        <f aca="false">IF(A30="","",IFERROR(SUMPRODUCT($G$6:$M$6,G30:M30)/SUMPRODUCT($G$6:$M$6*(G30:M30&lt;&gt;"n/a")),0))</f>
        <v/>
      </c>
      <c r="O30" s="74" t="str">
        <f aca="false">IF(A30="","",IF(N30&gt;=1,"Terminé",IF(N30&gt;0,"En cours","Non démarré")))</f>
        <v/>
      </c>
      <c r="P30" s="31" t="str">
        <f aca="false">IF(N30="","",F30*N30)</f>
        <v/>
      </c>
      <c r="Q30" s="25"/>
    </row>
    <row r="31" customFormat="false" ht="15" hidden="false" customHeight="false" outlineLevel="0" collapsed="false">
      <c r="A31" s="68"/>
      <c r="B31" s="25"/>
      <c r="C31" s="25"/>
      <c r="D31" s="70"/>
      <c r="E31" s="28"/>
      <c r="F31" s="31" t="str">
        <f aca="false">IF(A31="","",N(D31)*N(E31))</f>
        <v/>
      </c>
      <c r="G31" s="72"/>
      <c r="H31" s="72"/>
      <c r="I31" s="72"/>
      <c r="J31" s="72"/>
      <c r="K31" s="72"/>
      <c r="L31" s="72"/>
      <c r="M31" s="72"/>
      <c r="N31" s="73" t="str">
        <f aca="false">IF(A31="","",IFERROR(SUMPRODUCT($G$6:$M$6,G31:M31)/SUMPRODUCT($G$6:$M$6*(G31:M31&lt;&gt;"n/a")),0))</f>
        <v/>
      </c>
      <c r="O31" s="74" t="str">
        <f aca="false">IF(A31="","",IF(N31&gt;=1,"Terminé",IF(N31&gt;0,"En cours","Non démarré")))</f>
        <v/>
      </c>
      <c r="P31" s="31" t="str">
        <f aca="false">IF(N31="","",F31*N31)</f>
        <v/>
      </c>
      <c r="Q31" s="25"/>
    </row>
    <row r="32" customFormat="false" ht="15" hidden="false" customHeight="false" outlineLevel="0" collapsed="false">
      <c r="A32" s="68"/>
      <c r="B32" s="25"/>
      <c r="C32" s="25"/>
      <c r="D32" s="70"/>
      <c r="E32" s="28"/>
      <c r="F32" s="31" t="str">
        <f aca="false">IF(A32="","",N(D32)*N(E32))</f>
        <v/>
      </c>
      <c r="G32" s="72"/>
      <c r="H32" s="72"/>
      <c r="I32" s="72"/>
      <c r="J32" s="72"/>
      <c r="K32" s="72"/>
      <c r="L32" s="72"/>
      <c r="M32" s="72"/>
      <c r="N32" s="73" t="str">
        <f aca="false">IF(A32="","",IFERROR(SUMPRODUCT($G$6:$M$6,G32:M32)/SUMPRODUCT($G$6:$M$6*(G32:M32&lt;&gt;"n/a")),0))</f>
        <v/>
      </c>
      <c r="O32" s="74" t="str">
        <f aca="false">IF(A32="","",IF(N32&gt;=1,"Terminé",IF(N32&gt;0,"En cours","Non démarré")))</f>
        <v/>
      </c>
      <c r="P32" s="31" t="str">
        <f aca="false">IF(N32="","",F32*N32)</f>
        <v/>
      </c>
      <c r="Q32" s="25"/>
    </row>
    <row r="33" customFormat="false" ht="15" hidden="false" customHeight="false" outlineLevel="0" collapsed="false">
      <c r="A33" s="68"/>
      <c r="B33" s="25"/>
      <c r="C33" s="25"/>
      <c r="D33" s="70"/>
      <c r="E33" s="28"/>
      <c r="F33" s="31" t="str">
        <f aca="false">IF(A33="","",N(D33)*N(E33))</f>
        <v/>
      </c>
      <c r="G33" s="72"/>
      <c r="H33" s="72"/>
      <c r="I33" s="72"/>
      <c r="J33" s="72"/>
      <c r="K33" s="72"/>
      <c r="L33" s="72"/>
      <c r="M33" s="72"/>
      <c r="N33" s="73" t="str">
        <f aca="false">IF(A33="","",IFERROR(SUMPRODUCT($G$6:$M$6,G33:M33)/SUMPRODUCT($G$6:$M$6*(G33:M33&lt;&gt;"n/a")),0))</f>
        <v/>
      </c>
      <c r="O33" s="74" t="str">
        <f aca="false">IF(A33="","",IF(N33&gt;=1,"Terminé",IF(N33&gt;0,"En cours","Non démarré")))</f>
        <v/>
      </c>
      <c r="P33" s="31" t="str">
        <f aca="false">IF(N33="","",F33*N33)</f>
        <v/>
      </c>
      <c r="Q33" s="25"/>
    </row>
    <row r="34" customFormat="false" ht="15" hidden="false" customHeight="false" outlineLevel="0" collapsed="false">
      <c r="A34" s="68"/>
      <c r="B34" s="25"/>
      <c r="C34" s="25"/>
      <c r="D34" s="70"/>
      <c r="E34" s="28"/>
      <c r="F34" s="31" t="str">
        <f aca="false">IF(A34="","",N(D34)*N(E34))</f>
        <v/>
      </c>
      <c r="G34" s="72"/>
      <c r="H34" s="72"/>
      <c r="I34" s="72"/>
      <c r="J34" s="72"/>
      <c r="K34" s="72"/>
      <c r="L34" s="72"/>
      <c r="M34" s="72"/>
      <c r="N34" s="73" t="str">
        <f aca="false">IF(A34="","",IFERROR(SUMPRODUCT($G$6:$M$6,G34:M34)/SUMPRODUCT($G$6:$M$6*(G34:M34&lt;&gt;"n/a")),0))</f>
        <v/>
      </c>
      <c r="O34" s="74" t="str">
        <f aca="false">IF(A34="","",IF(N34&gt;=1,"Terminé",IF(N34&gt;0,"En cours","Non démarré")))</f>
        <v/>
      </c>
      <c r="P34" s="31" t="str">
        <f aca="false">IF(N34="","",F34*N34)</f>
        <v/>
      </c>
      <c r="Q34" s="25"/>
    </row>
    <row r="35" customFormat="false" ht="15" hidden="false" customHeight="false" outlineLevel="0" collapsed="false">
      <c r="A35" s="68"/>
      <c r="B35" s="25"/>
      <c r="C35" s="25"/>
      <c r="D35" s="70"/>
      <c r="E35" s="28"/>
      <c r="F35" s="31" t="str">
        <f aca="false">IF(A35="","",N(D35)*N(E35))</f>
        <v/>
      </c>
      <c r="G35" s="72"/>
      <c r="H35" s="72"/>
      <c r="I35" s="72"/>
      <c r="J35" s="72"/>
      <c r="K35" s="72"/>
      <c r="L35" s="72"/>
      <c r="M35" s="72"/>
      <c r="N35" s="73" t="str">
        <f aca="false">IF(A35="","",IFERROR(SUMPRODUCT($G$6:$M$6,G35:M35)/SUMPRODUCT($G$6:$M$6*(G35:M35&lt;&gt;"n/a")),0))</f>
        <v/>
      </c>
      <c r="O35" s="74" t="str">
        <f aca="false">IF(A35="","",IF(N35&gt;=1,"Terminé",IF(N35&gt;0,"En cours","Non démarré")))</f>
        <v/>
      </c>
      <c r="P35" s="31" t="str">
        <f aca="false">IF(N35="","",F35*N35)</f>
        <v/>
      </c>
      <c r="Q35" s="25"/>
    </row>
    <row r="36" customFormat="false" ht="15" hidden="false" customHeight="false" outlineLevel="0" collapsed="false">
      <c r="A36" s="68"/>
      <c r="B36" s="25"/>
      <c r="C36" s="25"/>
      <c r="D36" s="70"/>
      <c r="E36" s="28"/>
      <c r="F36" s="31" t="str">
        <f aca="false">IF(A36="","",N(D36)*N(E36))</f>
        <v/>
      </c>
      <c r="G36" s="72"/>
      <c r="H36" s="72"/>
      <c r="I36" s="72"/>
      <c r="J36" s="72"/>
      <c r="K36" s="72"/>
      <c r="L36" s="72"/>
      <c r="M36" s="72"/>
      <c r="N36" s="73" t="str">
        <f aca="false">IF(A36="","",IFERROR(SUMPRODUCT($G$6:$M$6,G36:M36)/SUMPRODUCT($G$6:$M$6*(G36:M36&lt;&gt;"n/a")),0))</f>
        <v/>
      </c>
      <c r="O36" s="74" t="str">
        <f aca="false">IF(A36="","",IF(N36&gt;=1,"Terminé",IF(N36&gt;0,"En cours","Non démarré")))</f>
        <v/>
      </c>
      <c r="P36" s="31" t="str">
        <f aca="false">IF(N36="","",F36*N36)</f>
        <v/>
      </c>
      <c r="Q36" s="25"/>
    </row>
    <row r="37" customFormat="false" ht="15" hidden="false" customHeight="false" outlineLevel="0" collapsed="false">
      <c r="A37" s="68"/>
      <c r="B37" s="25"/>
      <c r="C37" s="25"/>
      <c r="D37" s="70"/>
      <c r="E37" s="28"/>
      <c r="F37" s="31" t="str">
        <f aca="false">IF(A37="","",N(D37)*N(E37))</f>
        <v/>
      </c>
      <c r="G37" s="72"/>
      <c r="H37" s="72"/>
      <c r="I37" s="72"/>
      <c r="J37" s="72"/>
      <c r="K37" s="72"/>
      <c r="L37" s="72"/>
      <c r="M37" s="72"/>
      <c r="N37" s="73" t="str">
        <f aca="false">IF(A37="","",IFERROR(SUMPRODUCT($G$6:$M$6,G37:M37)/SUMPRODUCT($G$6:$M$6*(G37:M37&lt;&gt;"n/a")),0))</f>
        <v/>
      </c>
      <c r="O37" s="74" t="str">
        <f aca="false">IF(A37="","",IF(N37&gt;=1,"Terminé",IF(N37&gt;0,"En cours","Non démarré")))</f>
        <v/>
      </c>
      <c r="P37" s="31" t="str">
        <f aca="false">IF(N37="","",F37*N37)</f>
        <v/>
      </c>
      <c r="Q37" s="25"/>
    </row>
    <row r="38" customFormat="false" ht="15" hidden="false" customHeight="false" outlineLevel="0" collapsed="false">
      <c r="A38" s="68"/>
      <c r="B38" s="25"/>
      <c r="C38" s="25"/>
      <c r="D38" s="70"/>
      <c r="E38" s="28"/>
      <c r="F38" s="31" t="str">
        <f aca="false">IF(A38="","",N(D38)*N(E38))</f>
        <v/>
      </c>
      <c r="G38" s="72"/>
      <c r="H38" s="72"/>
      <c r="I38" s="72"/>
      <c r="J38" s="72"/>
      <c r="K38" s="72"/>
      <c r="L38" s="72"/>
      <c r="M38" s="72"/>
      <c r="N38" s="73" t="str">
        <f aca="false">IF(A38="","",IFERROR(SUMPRODUCT($G$6:$M$6,G38:M38)/SUMPRODUCT($G$6:$M$6*(G38:M38&lt;&gt;"n/a")),0))</f>
        <v/>
      </c>
      <c r="O38" s="74" t="str">
        <f aca="false">IF(A38="","",IF(N38&gt;=1,"Terminé",IF(N38&gt;0,"En cours","Non démarré")))</f>
        <v/>
      </c>
      <c r="P38" s="31" t="str">
        <f aca="false">IF(N38="","",F38*N38)</f>
        <v/>
      </c>
      <c r="Q38" s="25"/>
    </row>
    <row r="39" customFormat="false" ht="15" hidden="false" customHeight="false" outlineLevel="0" collapsed="false">
      <c r="A39" s="68"/>
      <c r="B39" s="25"/>
      <c r="C39" s="25"/>
      <c r="D39" s="70"/>
      <c r="E39" s="28"/>
      <c r="F39" s="31" t="str">
        <f aca="false">IF(A39="","",N(D39)*N(E39))</f>
        <v/>
      </c>
      <c r="G39" s="72"/>
      <c r="H39" s="72"/>
      <c r="I39" s="72"/>
      <c r="J39" s="72"/>
      <c r="K39" s="72"/>
      <c r="L39" s="72"/>
      <c r="M39" s="72"/>
      <c r="N39" s="73" t="str">
        <f aca="false">IF(A39="","",IFERROR(SUMPRODUCT($G$6:$M$6,G39:M39)/SUMPRODUCT($G$6:$M$6*(G39:M39&lt;&gt;"n/a")),0))</f>
        <v/>
      </c>
      <c r="O39" s="74" t="str">
        <f aca="false">IF(A39="","",IF(N39&gt;=1,"Terminé",IF(N39&gt;0,"En cours","Non démarré")))</f>
        <v/>
      </c>
      <c r="P39" s="31" t="str">
        <f aca="false">IF(N39="","",F39*N39)</f>
        <v/>
      </c>
      <c r="Q39" s="25"/>
    </row>
    <row r="40" customFormat="false" ht="15" hidden="false" customHeight="false" outlineLevel="0" collapsed="false">
      <c r="A40" s="68"/>
      <c r="B40" s="25"/>
      <c r="C40" s="25"/>
      <c r="D40" s="70"/>
      <c r="E40" s="28"/>
      <c r="F40" s="31" t="str">
        <f aca="false">IF(A40="","",N(D40)*N(E40))</f>
        <v/>
      </c>
      <c r="G40" s="72"/>
      <c r="H40" s="72"/>
      <c r="I40" s="72"/>
      <c r="J40" s="72"/>
      <c r="K40" s="72"/>
      <c r="L40" s="72"/>
      <c r="M40" s="72"/>
      <c r="N40" s="73" t="str">
        <f aca="false">IF(A40="","",IFERROR(SUMPRODUCT($G$6:$M$6,G40:M40)/SUMPRODUCT($G$6:$M$6*(G40:M40&lt;&gt;"n/a")),0))</f>
        <v/>
      </c>
      <c r="O40" s="74" t="str">
        <f aca="false">IF(A40="","",IF(N40&gt;=1,"Terminé",IF(N40&gt;0,"En cours","Non démarré")))</f>
        <v/>
      </c>
      <c r="P40" s="31" t="str">
        <f aca="false">IF(N40="","",F40*N40)</f>
        <v/>
      </c>
      <c r="Q40" s="25"/>
    </row>
    <row r="41" customFormat="false" ht="15" hidden="false" customHeight="false" outlineLevel="0" collapsed="false">
      <c r="A41" s="68"/>
      <c r="B41" s="25"/>
      <c r="C41" s="25"/>
      <c r="D41" s="70"/>
      <c r="E41" s="28"/>
      <c r="F41" s="31" t="str">
        <f aca="false">IF(A41="","",N(D41)*N(E41))</f>
        <v/>
      </c>
      <c r="G41" s="72"/>
      <c r="H41" s="72"/>
      <c r="I41" s="72"/>
      <c r="J41" s="72"/>
      <c r="K41" s="72"/>
      <c r="L41" s="72"/>
      <c r="M41" s="72"/>
      <c r="N41" s="73" t="str">
        <f aca="false">IF(A41="","",IFERROR(SUMPRODUCT($G$6:$M$6,G41:M41)/SUMPRODUCT($G$6:$M$6*(G41:M41&lt;&gt;"n/a")),0))</f>
        <v/>
      </c>
      <c r="O41" s="74" t="str">
        <f aca="false">IF(A41="","",IF(N41&gt;=1,"Terminé",IF(N41&gt;0,"En cours","Non démarré")))</f>
        <v/>
      </c>
      <c r="P41" s="31" t="str">
        <f aca="false">IF(N41="","",F41*N41)</f>
        <v/>
      </c>
      <c r="Q41" s="25"/>
    </row>
    <row r="42" customFormat="false" ht="15" hidden="false" customHeight="false" outlineLevel="0" collapsed="false">
      <c r="A42" s="68"/>
      <c r="B42" s="25"/>
      <c r="C42" s="25"/>
      <c r="D42" s="70"/>
      <c r="E42" s="28"/>
      <c r="F42" s="31" t="str">
        <f aca="false">IF(A42="","",N(D42)*N(E42))</f>
        <v/>
      </c>
      <c r="G42" s="72"/>
      <c r="H42" s="72"/>
      <c r="I42" s="72"/>
      <c r="J42" s="72"/>
      <c r="K42" s="72"/>
      <c r="L42" s="72"/>
      <c r="M42" s="72"/>
      <c r="N42" s="73" t="str">
        <f aca="false">IF(A42="","",IFERROR(SUMPRODUCT($G$6:$M$6,G42:M42)/SUMPRODUCT($G$6:$M$6*(G42:M42&lt;&gt;"n/a")),0))</f>
        <v/>
      </c>
      <c r="O42" s="74" t="str">
        <f aca="false">IF(A42="","",IF(N42&gt;=1,"Terminé",IF(N42&gt;0,"En cours","Non démarré")))</f>
        <v/>
      </c>
      <c r="P42" s="31" t="str">
        <f aca="false">IF(N42="","",F42*N42)</f>
        <v/>
      </c>
      <c r="Q42" s="25"/>
    </row>
    <row r="43" customFormat="false" ht="15" hidden="false" customHeight="false" outlineLevel="0" collapsed="false">
      <c r="A43" s="68"/>
      <c r="B43" s="25"/>
      <c r="C43" s="25"/>
      <c r="D43" s="70"/>
      <c r="E43" s="28"/>
      <c r="F43" s="31" t="str">
        <f aca="false">IF(A43="","",N(D43)*N(E43))</f>
        <v/>
      </c>
      <c r="G43" s="72"/>
      <c r="H43" s="72"/>
      <c r="I43" s="72"/>
      <c r="J43" s="72"/>
      <c r="K43" s="72"/>
      <c r="L43" s="72"/>
      <c r="M43" s="72"/>
      <c r="N43" s="73" t="str">
        <f aca="false">IF(A43="","",IFERROR(SUMPRODUCT($G$6:$M$6,G43:M43)/SUMPRODUCT($G$6:$M$6*(G43:M43&lt;&gt;"n/a")),0))</f>
        <v/>
      </c>
      <c r="O43" s="74" t="str">
        <f aca="false">IF(A43="","",IF(N43&gt;=1,"Terminé",IF(N43&gt;0,"En cours","Non démarré")))</f>
        <v/>
      </c>
      <c r="P43" s="31" t="str">
        <f aca="false">IF(N43="","",F43*N43)</f>
        <v/>
      </c>
      <c r="Q43" s="25"/>
    </row>
    <row r="44" customFormat="false" ht="15" hidden="false" customHeight="false" outlineLevel="0" collapsed="false">
      <c r="A44" s="68"/>
      <c r="B44" s="25"/>
      <c r="C44" s="25"/>
      <c r="D44" s="70"/>
      <c r="E44" s="28"/>
      <c r="F44" s="31" t="str">
        <f aca="false">IF(A44="","",N(D44)*N(E44))</f>
        <v/>
      </c>
      <c r="G44" s="72"/>
      <c r="H44" s="72"/>
      <c r="I44" s="72"/>
      <c r="J44" s="72"/>
      <c r="K44" s="72"/>
      <c r="L44" s="72"/>
      <c r="M44" s="72"/>
      <c r="N44" s="73" t="str">
        <f aca="false">IF(A44="","",IFERROR(SUMPRODUCT($G$6:$M$6,G44:M44)/SUMPRODUCT($G$6:$M$6*(G44:M44&lt;&gt;"n/a")),0))</f>
        <v/>
      </c>
      <c r="O44" s="74" t="str">
        <f aca="false">IF(A44="","",IF(N44&gt;=1,"Terminé",IF(N44&gt;0,"En cours","Non démarré")))</f>
        <v/>
      </c>
      <c r="P44" s="31" t="str">
        <f aca="false">IF(N44="","",F44*N44)</f>
        <v/>
      </c>
      <c r="Q44" s="25"/>
    </row>
    <row r="45" customFormat="false" ht="15" hidden="false" customHeight="false" outlineLevel="0" collapsed="false">
      <c r="A45" s="68"/>
      <c r="B45" s="25"/>
      <c r="C45" s="25"/>
      <c r="D45" s="70"/>
      <c r="E45" s="28"/>
      <c r="F45" s="31" t="str">
        <f aca="false">IF(A45="","",N(D45)*N(E45))</f>
        <v/>
      </c>
      <c r="G45" s="72"/>
      <c r="H45" s="72"/>
      <c r="I45" s="72"/>
      <c r="J45" s="72"/>
      <c r="K45" s="72"/>
      <c r="L45" s="72"/>
      <c r="M45" s="72"/>
      <c r="N45" s="73" t="str">
        <f aca="false">IF(A45="","",IFERROR(SUMPRODUCT($G$6:$M$6,G45:M45)/SUMPRODUCT($G$6:$M$6*(G45:M45&lt;&gt;"n/a")),0))</f>
        <v/>
      </c>
      <c r="O45" s="74" t="str">
        <f aca="false">IF(A45="","",IF(N45&gt;=1,"Terminé",IF(N45&gt;0,"En cours","Non démarré")))</f>
        <v/>
      </c>
      <c r="P45" s="31" t="str">
        <f aca="false">IF(N45="","",F45*N45)</f>
        <v/>
      </c>
      <c r="Q45" s="25"/>
    </row>
    <row r="46" customFormat="false" ht="15" hidden="false" customHeight="false" outlineLevel="0" collapsed="false">
      <c r="A46" s="68"/>
      <c r="B46" s="25"/>
      <c r="C46" s="25"/>
      <c r="D46" s="70"/>
      <c r="E46" s="28"/>
      <c r="F46" s="31" t="str">
        <f aca="false">IF(A46="","",N(D46)*N(E46))</f>
        <v/>
      </c>
      <c r="G46" s="72"/>
      <c r="H46" s="72"/>
      <c r="I46" s="72"/>
      <c r="J46" s="72"/>
      <c r="K46" s="72"/>
      <c r="L46" s="72"/>
      <c r="M46" s="72"/>
      <c r="N46" s="73" t="str">
        <f aca="false">IF(A46="","",IFERROR(SUMPRODUCT($G$6:$M$6,G46:M46)/SUMPRODUCT($G$6:$M$6*(G46:M46&lt;&gt;"n/a")),0))</f>
        <v/>
      </c>
      <c r="O46" s="74" t="str">
        <f aca="false">IF(A46="","",IF(N46&gt;=1,"Terminé",IF(N46&gt;0,"En cours","Non démarré")))</f>
        <v/>
      </c>
      <c r="P46" s="31" t="str">
        <f aca="false">IF(N46="","",F46*N46)</f>
        <v/>
      </c>
      <c r="Q46" s="25"/>
    </row>
    <row r="47" customFormat="false" ht="15" hidden="false" customHeight="false" outlineLevel="0" collapsed="false">
      <c r="A47" s="68"/>
      <c r="B47" s="25"/>
      <c r="C47" s="25"/>
      <c r="D47" s="70"/>
      <c r="E47" s="28"/>
      <c r="F47" s="31" t="str">
        <f aca="false">IF(A47="","",N(D47)*N(E47))</f>
        <v/>
      </c>
      <c r="G47" s="72"/>
      <c r="H47" s="72"/>
      <c r="I47" s="72"/>
      <c r="J47" s="72"/>
      <c r="K47" s="72"/>
      <c r="L47" s="72"/>
      <c r="M47" s="72"/>
      <c r="N47" s="73" t="str">
        <f aca="false">IF(A47="","",IFERROR(SUMPRODUCT($G$6:$M$6,G47:M47)/SUMPRODUCT($G$6:$M$6*(G47:M47&lt;&gt;"n/a")),0))</f>
        <v/>
      </c>
      <c r="O47" s="74" t="str">
        <f aca="false">IF(A47="","",IF(N47&gt;=1,"Terminé",IF(N47&gt;0,"En cours","Non démarré")))</f>
        <v/>
      </c>
      <c r="P47" s="31" t="str">
        <f aca="false">IF(N47="","",F47*N47)</f>
        <v/>
      </c>
      <c r="Q47" s="25"/>
    </row>
  </sheetData>
  <autoFilter ref="A7:Q47"/>
  <mergeCells count="5">
    <mergeCell ref="A1:Q1"/>
    <mergeCell ref="A2:Q2"/>
    <mergeCell ref="A3:Q3"/>
    <mergeCell ref="A4:Q4"/>
    <mergeCell ref="A5:B5"/>
  </mergeCells>
  <conditionalFormatting sqref="N6">
    <cfRule type="expression" priority="2" aboveAverage="0" equalAverage="0" bottom="0" percent="0" rank="0" text="" dxfId="16">
      <formula>ROUND(N6,4)&lt;&gt;1</formula>
    </cfRule>
  </conditionalFormatting>
  <conditionalFormatting sqref="G8:M47">
    <cfRule type="cellIs" priority="3" operator="equal" aboveAverage="0" equalAverage="0" bottom="0" percent="0" rank="0" text="" dxfId="27">
      <formula>"n/a"</formula>
    </cfRule>
    <cfRule type="colorScale" priority="4">
      <colorScale>
        <cfvo type="num" val="0"/>
        <cfvo type="num" val="1"/>
        <color rgb="FFFFFFFF"/>
        <color rgb="FF81C784"/>
      </colorScale>
    </cfRule>
  </conditionalFormatting>
  <conditionalFormatting sqref="N8:N47">
    <cfRule type="dataBar" priority="5">
      <dataBar showValue="1" minLength="10" maxLength="90">
        <cfvo type="num" val="0"/>
        <cfvo type="num" val="1"/>
        <color rgb="FF43A047"/>
      </dataBar>
      <extLst>
        <ext xmlns:x14="http://schemas.microsoft.com/office/spreadsheetml/2009/9/main" uri="{B025F937-C7B1-47D3-B67F-A62EFF666E3E}">
          <x14:id>{6CE2E35C-CCD2-4649-B8FF-D569D61880B3}</x14:id>
        </ext>
      </extLst>
    </cfRule>
  </conditionalFormatting>
  <conditionalFormatting sqref="O8:O47">
    <cfRule type="cellIs" priority="6" operator="equal" aboveAverage="0" equalAverage="0" bottom="0" percent="0" rank="0" text="" dxfId="2">
      <formula>"En cours"</formula>
    </cfRule>
    <cfRule type="cellIs" priority="7" operator="equal" aboveAverage="0" equalAverage="0" bottom="0" percent="0" rank="0" text="" dxfId="1">
      <formula>"Terminé"</formula>
    </cfRule>
    <cfRule type="cellIs" priority="8" operator="equal" aboveAverage="0" equalAverage="0" bottom="0" percent="0" rank="0" text="" dxfId="5">
      <formula>"Non démarré"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E2E35C-CCD2-4649-B8FF-D569D61880B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3A047"/>
              <x14:axisColor rgb="FF000000"/>
            </x14:dataBar>
          </x14:cfRule>
          <xm:sqref>N8:N47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true"/>
  </sheetPr>
  <dimension ref="A1:Q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11" min="9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16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customFormat="false" ht="19.5" hidden="false" customHeight="true" outlineLevel="0" collapsed="false">
      <c r="A2" s="20" t="s">
        <v>1008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30" hidden="false" customHeight="true" outlineLevel="0" collapsed="false">
      <c r="A4" s="21" t="s">
        <v>1009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6" customFormat="false" ht="31.5" hidden="false" customHeight="true" outlineLevel="0" collapsed="false">
      <c r="A6" s="23" t="s">
        <v>1010</v>
      </c>
      <c r="B6" s="23" t="s">
        <v>436</v>
      </c>
      <c r="C6" s="23" t="s">
        <v>666</v>
      </c>
      <c r="D6" s="23" t="s">
        <v>1011</v>
      </c>
      <c r="E6" s="23" t="s">
        <v>1012</v>
      </c>
      <c r="F6" s="23" t="s">
        <v>1013</v>
      </c>
      <c r="G6" s="23" t="s">
        <v>1014</v>
      </c>
      <c r="H6" s="23" t="s">
        <v>1015</v>
      </c>
      <c r="I6" s="23" t="s">
        <v>1016</v>
      </c>
      <c r="J6" s="23" t="s">
        <v>1017</v>
      </c>
      <c r="K6" s="23" t="s">
        <v>1018</v>
      </c>
      <c r="L6" s="23" t="s">
        <v>1019</v>
      </c>
      <c r="M6" s="23" t="s">
        <v>1020</v>
      </c>
      <c r="N6" s="23" t="s">
        <v>1021</v>
      </c>
      <c r="O6" s="23" t="s">
        <v>1022</v>
      </c>
      <c r="P6" s="23" t="s">
        <v>722</v>
      </c>
      <c r="Q6" s="23" t="s">
        <v>325</v>
      </c>
    </row>
    <row r="7" customFormat="false" ht="15" hidden="false" customHeight="false" outlineLevel="0" collapsed="false">
      <c r="A7" s="68" t="s">
        <v>1023</v>
      </c>
      <c r="B7" s="25" t="s">
        <v>1024</v>
      </c>
      <c r="C7" s="25" t="s">
        <v>1025</v>
      </c>
      <c r="D7" s="68" t="s">
        <v>162</v>
      </c>
      <c r="E7" s="25" t="s">
        <v>233</v>
      </c>
      <c r="F7" s="28" t="n">
        <v>45000</v>
      </c>
      <c r="G7" s="89" t="n">
        <v>18</v>
      </c>
      <c r="H7" s="68" t="s">
        <v>140</v>
      </c>
      <c r="I7" s="83" t="n">
        <f aca="false">IF(A7="","",SUMIFS(EJ_HM,EJ_Code,A7))</f>
        <v>36</v>
      </c>
      <c r="J7" s="83" t="n">
        <f aca="false">IF(A7="","",SUMIFS(EJ_HP,EJ_Code,A7))</f>
        <v>0</v>
      </c>
      <c r="K7" s="83" t="n">
        <f aca="false">IF(A7="","",SUMIFS(EJ_HI,EJ_Code,A7))</f>
        <v>4</v>
      </c>
      <c r="L7" s="31" t="n">
        <f aca="false">IF(A7="","",SUMIFS(EJ_Gas,EJ_Code,A7))</f>
        <v>648</v>
      </c>
      <c r="M7" s="90" t="n">
        <f aca="false">IF(OR(A7="",N(I7)=0),"",L7/I7)</f>
        <v>18</v>
      </c>
      <c r="N7" s="73" t="n">
        <f aca="false">IF(OR(M7="",N(G7)=0),"",M7/G7-1)</f>
        <v>0</v>
      </c>
      <c r="O7" s="73" t="n">
        <f aca="false">IF(OR(A7="",N(I7)+N(J7)=0),"",I7/(I7+J7))</f>
        <v>1</v>
      </c>
      <c r="P7" s="31" t="n">
        <f aca="false">IF(A7="","",N(I7)*N(F7))</f>
        <v>1620000</v>
      </c>
      <c r="Q7" s="74" t="str">
        <f aca="false">IF(A7="","",IF(H7="En panne","En panne",IF(AND(N7&lt;&gt;"",N(N7)&gt;P_TolConso),"Surconsommation",IF(AND(O7&lt;&gt;"",N(O7)&lt;P_DispoMin),"Disponibilité faible","OK"))))</f>
        <v>OK</v>
      </c>
    </row>
    <row r="8" customFormat="false" ht="15" hidden="false" customHeight="false" outlineLevel="0" collapsed="false">
      <c r="A8" s="68" t="s">
        <v>1026</v>
      </c>
      <c r="B8" s="25" t="s">
        <v>1027</v>
      </c>
      <c r="C8" s="25" t="s">
        <v>1028</v>
      </c>
      <c r="D8" s="68" t="s">
        <v>162</v>
      </c>
      <c r="E8" s="25" t="s">
        <v>233</v>
      </c>
      <c r="F8" s="28" t="n">
        <v>30000</v>
      </c>
      <c r="G8" s="89" t="n">
        <v>12</v>
      </c>
      <c r="H8" s="68" t="s">
        <v>161</v>
      </c>
      <c r="I8" s="83" t="n">
        <f aca="false">IF(A8="","",SUMIFS(EJ_HM,EJ_Code,A8))</f>
        <v>30</v>
      </c>
      <c r="J8" s="83" t="n">
        <f aca="false">IF(A8="","",SUMIFS(EJ_HP,EJ_Code,A8))</f>
        <v>6</v>
      </c>
      <c r="K8" s="83" t="n">
        <f aca="false">IF(A8="","",SUMIFS(EJ_HI,EJ_Code,A8))</f>
        <v>4</v>
      </c>
      <c r="L8" s="31" t="n">
        <f aca="false">IF(A8="","",SUMIFS(EJ_Gas,EJ_Code,A8))</f>
        <v>360</v>
      </c>
      <c r="M8" s="90" t="n">
        <f aca="false">IF(OR(A8="",N(I8)=0),"",L8/I8)</f>
        <v>12</v>
      </c>
      <c r="N8" s="73" t="n">
        <f aca="false">IF(OR(M8="",N(G8)=0),"",M8/G8-1)</f>
        <v>0</v>
      </c>
      <c r="O8" s="73" t="n">
        <f aca="false">IF(OR(A8="",N(I8)+N(J8)=0),"",I8/(I8+J8))</f>
        <v>0.833333333333333</v>
      </c>
      <c r="P8" s="31" t="n">
        <f aca="false">IF(A8="","",N(I8)*N(F8))</f>
        <v>900000</v>
      </c>
      <c r="Q8" s="74" t="str">
        <f aca="false">IF(A8="","",IF(H8="En panne","En panne",IF(AND(N8&lt;&gt;"",N(N8)&gt;P_TolConso),"Surconsommation",IF(AND(O8&lt;&gt;"",N(O8)&lt;P_DispoMin),"Disponibilité faible","OK"))))</f>
        <v>En panne</v>
      </c>
    </row>
    <row r="9" customFormat="false" ht="23.85" hidden="false" customHeight="false" outlineLevel="0" collapsed="false">
      <c r="A9" s="68" t="s">
        <v>1029</v>
      </c>
      <c r="B9" s="25" t="s">
        <v>1030</v>
      </c>
      <c r="C9" s="25" t="s">
        <v>1028</v>
      </c>
      <c r="D9" s="68" t="s">
        <v>162</v>
      </c>
      <c r="E9" s="25" t="s">
        <v>233</v>
      </c>
      <c r="F9" s="28" t="n">
        <v>32000</v>
      </c>
      <c r="G9" s="89" t="n">
        <v>12</v>
      </c>
      <c r="H9" s="68" t="s">
        <v>140</v>
      </c>
      <c r="I9" s="83" t="n">
        <f aca="false">IF(A9="","",SUMIFS(EJ_HM,EJ_Code,A9))</f>
        <v>5</v>
      </c>
      <c r="J9" s="83" t="n">
        <f aca="false">IF(A9="","",SUMIFS(EJ_HP,EJ_Code,A9))</f>
        <v>0</v>
      </c>
      <c r="K9" s="83" t="n">
        <f aca="false">IF(A9="","",SUMIFS(EJ_HI,EJ_Code,A9))</f>
        <v>0</v>
      </c>
      <c r="L9" s="31" t="n">
        <f aca="false">IF(A9="","",SUMIFS(EJ_Gas,EJ_Code,A9))</f>
        <v>60</v>
      </c>
      <c r="M9" s="90" t="n">
        <f aca="false">IF(OR(A9="",N(I9)=0),"",L9/I9)</f>
        <v>12</v>
      </c>
      <c r="N9" s="73" t="n">
        <f aca="false">IF(OR(M9="",N(G9)=0),"",M9/G9-1)</f>
        <v>0</v>
      </c>
      <c r="O9" s="73" t="n">
        <f aca="false">IF(OR(A9="",N(I9)+N(J9)=0),"",I9/(I9+J9))</f>
        <v>1</v>
      </c>
      <c r="P9" s="31" t="n">
        <f aca="false">IF(A9="","",N(I9)*N(F9))</f>
        <v>160000</v>
      </c>
      <c r="Q9" s="74" t="str">
        <f aca="false">IF(A9="","",IF(H9="En panne","En panne",IF(AND(N9&lt;&gt;"",N(N9)&gt;P_TolConso),"Surconsommation",IF(AND(O9&lt;&gt;"",N(O9)&lt;P_DispoMin),"Disponibilité faible","OK"))))</f>
        <v>OK</v>
      </c>
    </row>
    <row r="10" customFormat="false" ht="15" hidden="false" customHeight="false" outlineLevel="0" collapsed="false">
      <c r="A10" s="68" t="s">
        <v>1031</v>
      </c>
      <c r="B10" s="25" t="s">
        <v>1032</v>
      </c>
      <c r="C10" s="25" t="s">
        <v>1033</v>
      </c>
      <c r="D10" s="68" t="s">
        <v>162</v>
      </c>
      <c r="E10" s="25" t="s">
        <v>233</v>
      </c>
      <c r="F10" s="28" t="n">
        <v>40000</v>
      </c>
      <c r="G10" s="89" t="n">
        <v>16</v>
      </c>
      <c r="H10" s="68" t="s">
        <v>140</v>
      </c>
      <c r="I10" s="83" t="n">
        <f aca="false">IF(A10="","",SUMIFS(EJ_HM,EJ_Code,A10))</f>
        <v>36</v>
      </c>
      <c r="J10" s="83" t="n">
        <f aca="false">IF(A10="","",SUMIFS(EJ_HP,EJ_Code,A10))</f>
        <v>0</v>
      </c>
      <c r="K10" s="83" t="n">
        <f aca="false">IF(A10="","",SUMIFS(EJ_HI,EJ_Code,A10))</f>
        <v>4</v>
      </c>
      <c r="L10" s="31" t="n">
        <f aca="false">IF(A10="","",SUMIFS(EJ_Gas,EJ_Code,A10))</f>
        <v>576</v>
      </c>
      <c r="M10" s="90" t="n">
        <f aca="false">IF(OR(A10="",N(I10)=0),"",L10/I10)</f>
        <v>16</v>
      </c>
      <c r="N10" s="73" t="n">
        <f aca="false">IF(OR(M10="",N(G10)=0),"",M10/G10-1)</f>
        <v>0</v>
      </c>
      <c r="O10" s="73" t="n">
        <f aca="false">IF(OR(A10="",N(I10)+N(J10)=0),"",I10/(I10+J10))</f>
        <v>1</v>
      </c>
      <c r="P10" s="31" t="n">
        <f aca="false">IF(A10="","",N(I10)*N(F10))</f>
        <v>1440000</v>
      </c>
      <c r="Q10" s="74" t="str">
        <f aca="false">IF(A10="","",IF(H10="En panne","En panne",IF(AND(N10&lt;&gt;"",N(N10)&gt;P_TolConso),"Surconsommation",IF(AND(O10&lt;&gt;"",N(O10)&lt;P_DispoMin),"Disponibilité faible","OK"))))</f>
        <v>OK</v>
      </c>
    </row>
    <row r="11" customFormat="false" ht="15" hidden="false" customHeight="false" outlineLevel="0" collapsed="false">
      <c r="A11" s="68" t="s">
        <v>1034</v>
      </c>
      <c r="B11" s="25" t="s">
        <v>1035</v>
      </c>
      <c r="C11" s="25" t="s">
        <v>1036</v>
      </c>
      <c r="D11" s="68" t="s">
        <v>141</v>
      </c>
      <c r="E11" s="25"/>
      <c r="F11" s="28" t="n">
        <v>15000</v>
      </c>
      <c r="G11" s="89" t="n">
        <v>14</v>
      </c>
      <c r="H11" s="68" t="s">
        <v>140</v>
      </c>
      <c r="I11" s="83" t="n">
        <f aca="false">IF(A11="","",SUMIFS(EJ_HM,EJ_Code,A11))</f>
        <v>36</v>
      </c>
      <c r="J11" s="83" t="n">
        <f aca="false">IF(A11="","",SUMIFS(EJ_HP,EJ_Code,A11))</f>
        <v>0</v>
      </c>
      <c r="K11" s="83" t="n">
        <f aca="false">IF(A11="","",SUMIFS(EJ_HI,EJ_Code,A11))</f>
        <v>4</v>
      </c>
      <c r="L11" s="31" t="n">
        <f aca="false">IF(A11="","",SUMIFS(EJ_Gas,EJ_Code,A11))</f>
        <v>504</v>
      </c>
      <c r="M11" s="90" t="n">
        <f aca="false">IF(OR(A11="",N(I11)=0),"",L11/I11)</f>
        <v>14</v>
      </c>
      <c r="N11" s="73" t="n">
        <f aca="false">IF(OR(M11="",N(G11)=0),"",M11/G11-1)</f>
        <v>0</v>
      </c>
      <c r="O11" s="73" t="n">
        <f aca="false">IF(OR(A11="",N(I11)+N(J11)=0),"",I11/(I11+J11))</f>
        <v>1</v>
      </c>
      <c r="P11" s="31" t="n">
        <f aca="false">IF(A11="","",N(I11)*N(F11))</f>
        <v>540000</v>
      </c>
      <c r="Q11" s="74" t="str">
        <f aca="false">IF(A11="","",IF(H11="En panne","En panne",IF(AND(N11&lt;&gt;"",N(N11)&gt;P_TolConso),"Surconsommation",IF(AND(O11&lt;&gt;"",N(O11)&lt;P_DispoMin),"Disponibilité faible","OK"))))</f>
        <v>OK</v>
      </c>
    </row>
    <row r="12" customFormat="false" ht="23.85" hidden="false" customHeight="false" outlineLevel="0" collapsed="false">
      <c r="A12" s="68" t="s">
        <v>1037</v>
      </c>
      <c r="B12" s="25" t="s">
        <v>1035</v>
      </c>
      <c r="C12" s="25" t="s">
        <v>1036</v>
      </c>
      <c r="D12" s="68" t="s">
        <v>141</v>
      </c>
      <c r="E12" s="25"/>
      <c r="F12" s="28" t="n">
        <v>15000</v>
      </c>
      <c r="G12" s="89" t="n">
        <v>14</v>
      </c>
      <c r="H12" s="68" t="s">
        <v>140</v>
      </c>
      <c r="I12" s="83" t="n">
        <f aca="false">IF(A12="","",SUMIFS(EJ_HM,EJ_Code,A12))</f>
        <v>36</v>
      </c>
      <c r="J12" s="83" t="n">
        <f aca="false">IF(A12="","",SUMIFS(EJ_HP,EJ_Code,A12))</f>
        <v>0</v>
      </c>
      <c r="K12" s="83" t="n">
        <f aca="false">IF(A12="","",SUMIFS(EJ_HI,EJ_Code,A12))</f>
        <v>4</v>
      </c>
      <c r="L12" s="31" t="n">
        <f aca="false">IF(A12="","",SUMIFS(EJ_Gas,EJ_Code,A12))</f>
        <v>657</v>
      </c>
      <c r="M12" s="90" t="n">
        <f aca="false">IF(OR(A12="",N(I12)=0),"",L12/I12)</f>
        <v>18.25</v>
      </c>
      <c r="N12" s="73" t="n">
        <f aca="false">IF(OR(M12="",N(G12)=0),"",M12/G12-1)</f>
        <v>0.303571428571429</v>
      </c>
      <c r="O12" s="73" t="n">
        <f aca="false">IF(OR(A12="",N(I12)+N(J12)=0),"",I12/(I12+J12))</f>
        <v>1</v>
      </c>
      <c r="P12" s="31" t="n">
        <f aca="false">IF(A12="","",N(I12)*N(F12))</f>
        <v>540000</v>
      </c>
      <c r="Q12" s="74" t="str">
        <f aca="false">IF(A12="","",IF(H12="En panne","En panne",IF(AND(N12&lt;&gt;"",N(N12)&gt;P_TolConso),"Surconsommation",IF(AND(O12&lt;&gt;"",N(O12)&lt;P_DispoMin),"Disponibilité faible","OK"))))</f>
        <v>Surconsommation</v>
      </c>
    </row>
    <row r="13" customFormat="false" ht="15" hidden="false" customHeight="false" outlineLevel="0" collapsed="false">
      <c r="A13" s="68" t="s">
        <v>1038</v>
      </c>
      <c r="B13" s="25" t="s">
        <v>1039</v>
      </c>
      <c r="C13" s="25" t="s">
        <v>1040</v>
      </c>
      <c r="D13" s="68" t="s">
        <v>162</v>
      </c>
      <c r="E13" s="25" t="s">
        <v>233</v>
      </c>
      <c r="F13" s="28" t="n">
        <v>20000</v>
      </c>
      <c r="G13" s="89" t="n">
        <v>10</v>
      </c>
      <c r="H13" s="68" t="s">
        <v>140</v>
      </c>
      <c r="I13" s="83" t="n">
        <f aca="false">IF(A13="","",SUMIFS(EJ_HM,EJ_Code,A13))</f>
        <v>36</v>
      </c>
      <c r="J13" s="83" t="n">
        <f aca="false">IF(A13="","",SUMIFS(EJ_HP,EJ_Code,A13))</f>
        <v>0</v>
      </c>
      <c r="K13" s="83" t="n">
        <f aca="false">IF(A13="","",SUMIFS(EJ_HI,EJ_Code,A13))</f>
        <v>4</v>
      </c>
      <c r="L13" s="31" t="n">
        <f aca="false">IF(A13="","",SUMIFS(EJ_Gas,EJ_Code,A13))</f>
        <v>360</v>
      </c>
      <c r="M13" s="90" t="n">
        <f aca="false">IF(OR(A13="",N(I13)=0),"",L13/I13)</f>
        <v>10</v>
      </c>
      <c r="N13" s="73" t="n">
        <f aca="false">IF(OR(M13="",N(G13)=0),"",M13/G13-1)</f>
        <v>0</v>
      </c>
      <c r="O13" s="73" t="n">
        <f aca="false">IF(OR(A13="",N(I13)+N(J13)=0),"",I13/(I13+J13))</f>
        <v>1</v>
      </c>
      <c r="P13" s="31" t="n">
        <f aca="false">IF(A13="","",N(I13)*N(F13))</f>
        <v>720000</v>
      </c>
      <c r="Q13" s="74" t="str">
        <f aca="false">IF(A13="","",IF(H13="En panne","En panne",IF(AND(N13&lt;&gt;"",N(N13)&gt;P_TolConso),"Surconsommation",IF(AND(O13&lt;&gt;"",N(O13)&lt;P_DispoMin),"Disponibilité faible","OK"))))</f>
        <v>OK</v>
      </c>
    </row>
    <row r="14" customFormat="false" ht="15" hidden="false" customHeight="false" outlineLevel="0" collapsed="false">
      <c r="A14" s="68" t="s">
        <v>1041</v>
      </c>
      <c r="B14" s="25" t="s">
        <v>1042</v>
      </c>
      <c r="C14" s="25" t="s">
        <v>1043</v>
      </c>
      <c r="D14" s="68" t="s">
        <v>141</v>
      </c>
      <c r="E14" s="25"/>
      <c r="F14" s="28" t="n">
        <v>3000</v>
      </c>
      <c r="G14" s="89" t="n">
        <v>1.5</v>
      </c>
      <c r="H14" s="68" t="s">
        <v>140</v>
      </c>
      <c r="I14" s="83" t="n">
        <f aca="false">IF(A14="","",SUMIFS(EJ_HM,EJ_Code,A14))</f>
        <v>0</v>
      </c>
      <c r="J14" s="83" t="n">
        <f aca="false">IF(A14="","",SUMIFS(EJ_HP,EJ_Code,A14))</f>
        <v>0</v>
      </c>
      <c r="K14" s="83" t="n">
        <f aca="false">IF(A14="","",SUMIFS(EJ_HI,EJ_Code,A14))</f>
        <v>0</v>
      </c>
      <c r="L14" s="31" t="n">
        <f aca="false">IF(A14="","",SUMIFS(EJ_Gas,EJ_Code,A14))</f>
        <v>0</v>
      </c>
      <c r="M14" s="90" t="str">
        <f aca="false">IF(OR(A14="",N(I14)=0),"",L14/I14)</f>
        <v/>
      </c>
      <c r="N14" s="73" t="str">
        <f aca="false">IF(OR(M14="",N(G14)=0),"",M14/G14-1)</f>
        <v/>
      </c>
      <c r="O14" s="73" t="str">
        <f aca="false">IF(OR(A14="",N(I14)+N(J14)=0),"",I14/(I14+J14))</f>
        <v/>
      </c>
      <c r="P14" s="31" t="n">
        <f aca="false">IF(A14="","",N(I14)*N(F14))</f>
        <v>0</v>
      </c>
      <c r="Q14" s="74" t="str">
        <f aca="false">IF(A14="","",IF(H14="En panne","En panne",IF(AND(N14&lt;&gt;"",N(N14)&gt;P_TolConso),"Surconsommation",IF(AND(O14&lt;&gt;"",N(O14)&lt;P_DispoMin),"Disponibilité faible","OK"))))</f>
        <v>OK</v>
      </c>
    </row>
    <row r="15" customFormat="false" ht="15" hidden="false" customHeight="false" outlineLevel="0" collapsed="false">
      <c r="A15" s="68" t="s">
        <v>1044</v>
      </c>
      <c r="B15" s="25" t="s">
        <v>1045</v>
      </c>
      <c r="C15" s="25" t="s">
        <v>1046</v>
      </c>
      <c r="D15" s="68" t="s">
        <v>162</v>
      </c>
      <c r="E15" s="25" t="s">
        <v>233</v>
      </c>
      <c r="F15" s="28" t="n">
        <v>55000</v>
      </c>
      <c r="G15" s="89" t="n">
        <v>12</v>
      </c>
      <c r="H15" s="68" t="s">
        <v>198</v>
      </c>
      <c r="I15" s="83" t="n">
        <f aca="false">IF(A15="","",SUMIFS(EJ_HM,EJ_Code,A15))</f>
        <v>0</v>
      </c>
      <c r="J15" s="83" t="n">
        <f aca="false">IF(A15="","",SUMIFS(EJ_HP,EJ_Code,A15))</f>
        <v>0</v>
      </c>
      <c r="K15" s="83" t="n">
        <f aca="false">IF(A15="","",SUMIFS(EJ_HI,EJ_Code,A15))</f>
        <v>0</v>
      </c>
      <c r="L15" s="31" t="n">
        <f aca="false">IF(A15="","",SUMIFS(EJ_Gas,EJ_Code,A15))</f>
        <v>0</v>
      </c>
      <c r="M15" s="90" t="str">
        <f aca="false">IF(OR(A15="",N(I15)=0),"",L15/I15)</f>
        <v/>
      </c>
      <c r="N15" s="73" t="str">
        <f aca="false">IF(OR(M15="",N(G15)=0),"",M15/G15-1)</f>
        <v/>
      </c>
      <c r="O15" s="73" t="str">
        <f aca="false">IF(OR(A15="",N(I15)+N(J15)=0),"",I15/(I15+J15))</f>
        <v/>
      </c>
      <c r="P15" s="31" t="n">
        <f aca="false">IF(A15="","",N(I15)*N(F15))</f>
        <v>0</v>
      </c>
      <c r="Q15" s="74" t="str">
        <f aca="false">IF(A15="","",IF(H15="En panne","En panne",IF(AND(N15&lt;&gt;"",N(N15)&gt;P_TolConso),"Surconsommation",IF(AND(O15&lt;&gt;"",N(O15)&lt;P_DispoMin),"Disponibilité faible","OK"))))</f>
        <v>OK</v>
      </c>
    </row>
    <row r="16" customFormat="false" ht="15" hidden="false" customHeight="false" outlineLevel="0" collapsed="false">
      <c r="A16" s="68"/>
      <c r="B16" s="25"/>
      <c r="C16" s="25"/>
      <c r="D16" s="68"/>
      <c r="E16" s="25"/>
      <c r="F16" s="28"/>
      <c r="G16" s="89"/>
      <c r="H16" s="68"/>
      <c r="I16" s="83" t="str">
        <f aca="false">IF(A16="","",SUMIFS(EJ_HM,EJ_Code,A16))</f>
        <v/>
      </c>
      <c r="J16" s="83" t="str">
        <f aca="false">IF(A16="","",SUMIFS(EJ_HP,EJ_Code,A16))</f>
        <v/>
      </c>
      <c r="K16" s="83" t="str">
        <f aca="false">IF(A16="","",SUMIFS(EJ_HI,EJ_Code,A16))</f>
        <v/>
      </c>
      <c r="L16" s="31" t="str">
        <f aca="false">IF(A16="","",SUMIFS(EJ_Gas,EJ_Code,A16))</f>
        <v/>
      </c>
      <c r="M16" s="90" t="str">
        <f aca="false">IF(OR(A16="",N(I16)=0),"",L16/I16)</f>
        <v/>
      </c>
      <c r="N16" s="73" t="str">
        <f aca="false">IF(OR(M16="",N(G16)=0),"",M16/G16-1)</f>
        <v/>
      </c>
      <c r="O16" s="73" t="str">
        <f aca="false">IF(OR(A16="",N(I16)+N(J16)=0),"",I16/(I16+J16))</f>
        <v/>
      </c>
      <c r="P16" s="31" t="str">
        <f aca="false">IF(A16="","",N(I16)*N(F16))</f>
        <v/>
      </c>
      <c r="Q16" s="74" t="str">
        <f aca="false">IF(A16="","",IF(H16="En panne","En panne",IF(AND(N16&lt;&gt;"",N(N16)&gt;P_TolConso),"Surconsommation",IF(AND(O16&lt;&gt;"",N(O16)&lt;P_DispoMin),"Disponibilité faible","OK"))))</f>
        <v/>
      </c>
    </row>
    <row r="17" customFormat="false" ht="15" hidden="false" customHeight="false" outlineLevel="0" collapsed="false">
      <c r="A17" s="68"/>
      <c r="B17" s="25"/>
      <c r="C17" s="25"/>
      <c r="D17" s="68"/>
      <c r="E17" s="25"/>
      <c r="F17" s="28"/>
      <c r="G17" s="89"/>
      <c r="H17" s="68"/>
      <c r="I17" s="83" t="str">
        <f aca="false">IF(A17="","",SUMIFS(EJ_HM,EJ_Code,A17))</f>
        <v/>
      </c>
      <c r="J17" s="83" t="str">
        <f aca="false">IF(A17="","",SUMIFS(EJ_HP,EJ_Code,A17))</f>
        <v/>
      </c>
      <c r="K17" s="83" t="str">
        <f aca="false">IF(A17="","",SUMIFS(EJ_HI,EJ_Code,A17))</f>
        <v/>
      </c>
      <c r="L17" s="31" t="str">
        <f aca="false">IF(A17="","",SUMIFS(EJ_Gas,EJ_Code,A17))</f>
        <v/>
      </c>
      <c r="M17" s="90" t="str">
        <f aca="false">IF(OR(A17="",N(I17)=0),"",L17/I17)</f>
        <v/>
      </c>
      <c r="N17" s="73" t="str">
        <f aca="false">IF(OR(M17="",N(G17)=0),"",M17/G17-1)</f>
        <v/>
      </c>
      <c r="O17" s="73" t="str">
        <f aca="false">IF(OR(A17="",N(I17)+N(J17)=0),"",I17/(I17+J17))</f>
        <v/>
      </c>
      <c r="P17" s="31" t="str">
        <f aca="false">IF(A17="","",N(I17)*N(F17))</f>
        <v/>
      </c>
      <c r="Q17" s="74" t="str">
        <f aca="false">IF(A17="","",IF(H17="En panne","En panne",IF(AND(N17&lt;&gt;"",N(N17)&gt;P_TolConso),"Surconsommation",IF(AND(O17&lt;&gt;"",N(O17)&lt;P_DispoMin),"Disponibilité faible","OK"))))</f>
        <v/>
      </c>
    </row>
    <row r="18" customFormat="false" ht="15" hidden="false" customHeight="false" outlineLevel="0" collapsed="false">
      <c r="A18" s="68"/>
      <c r="B18" s="25"/>
      <c r="C18" s="25"/>
      <c r="D18" s="68"/>
      <c r="E18" s="25"/>
      <c r="F18" s="28"/>
      <c r="G18" s="89"/>
      <c r="H18" s="68"/>
      <c r="I18" s="83" t="str">
        <f aca="false">IF(A18="","",SUMIFS(EJ_HM,EJ_Code,A18))</f>
        <v/>
      </c>
      <c r="J18" s="83" t="str">
        <f aca="false">IF(A18="","",SUMIFS(EJ_HP,EJ_Code,A18))</f>
        <v/>
      </c>
      <c r="K18" s="83" t="str">
        <f aca="false">IF(A18="","",SUMIFS(EJ_HI,EJ_Code,A18))</f>
        <v/>
      </c>
      <c r="L18" s="31" t="str">
        <f aca="false">IF(A18="","",SUMIFS(EJ_Gas,EJ_Code,A18))</f>
        <v/>
      </c>
      <c r="M18" s="90" t="str">
        <f aca="false">IF(OR(A18="",N(I18)=0),"",L18/I18)</f>
        <v/>
      </c>
      <c r="N18" s="73" t="str">
        <f aca="false">IF(OR(M18="",N(G18)=0),"",M18/G18-1)</f>
        <v/>
      </c>
      <c r="O18" s="73" t="str">
        <f aca="false">IF(OR(A18="",N(I18)+N(J18)=0),"",I18/(I18+J18))</f>
        <v/>
      </c>
      <c r="P18" s="31" t="str">
        <f aca="false">IF(A18="","",N(I18)*N(F18))</f>
        <v/>
      </c>
      <c r="Q18" s="74" t="str">
        <f aca="false">IF(A18="","",IF(H18="En panne","En panne",IF(AND(N18&lt;&gt;"",N(N18)&gt;P_TolConso),"Surconsommation",IF(AND(O18&lt;&gt;"",N(O18)&lt;P_DispoMin),"Disponibilité faible","OK"))))</f>
        <v/>
      </c>
    </row>
    <row r="19" customFormat="false" ht="15" hidden="false" customHeight="false" outlineLevel="0" collapsed="false">
      <c r="A19" s="68"/>
      <c r="B19" s="25"/>
      <c r="C19" s="25"/>
      <c r="D19" s="68"/>
      <c r="E19" s="25"/>
      <c r="F19" s="28"/>
      <c r="G19" s="89"/>
      <c r="H19" s="68"/>
      <c r="I19" s="83" t="str">
        <f aca="false">IF(A19="","",SUMIFS(EJ_HM,EJ_Code,A19))</f>
        <v/>
      </c>
      <c r="J19" s="83" t="str">
        <f aca="false">IF(A19="","",SUMIFS(EJ_HP,EJ_Code,A19))</f>
        <v/>
      </c>
      <c r="K19" s="83" t="str">
        <f aca="false">IF(A19="","",SUMIFS(EJ_HI,EJ_Code,A19))</f>
        <v/>
      </c>
      <c r="L19" s="31" t="str">
        <f aca="false">IF(A19="","",SUMIFS(EJ_Gas,EJ_Code,A19))</f>
        <v/>
      </c>
      <c r="M19" s="90" t="str">
        <f aca="false">IF(OR(A19="",N(I19)=0),"",L19/I19)</f>
        <v/>
      </c>
      <c r="N19" s="73" t="str">
        <f aca="false">IF(OR(M19="",N(G19)=0),"",M19/G19-1)</f>
        <v/>
      </c>
      <c r="O19" s="73" t="str">
        <f aca="false">IF(OR(A19="",N(I19)+N(J19)=0),"",I19/(I19+J19))</f>
        <v/>
      </c>
      <c r="P19" s="31" t="str">
        <f aca="false">IF(A19="","",N(I19)*N(F19))</f>
        <v/>
      </c>
      <c r="Q19" s="74" t="str">
        <f aca="false">IF(A19="","",IF(H19="En panne","En panne",IF(AND(N19&lt;&gt;"",N(N19)&gt;P_TolConso),"Surconsommation",IF(AND(O19&lt;&gt;"",N(O19)&lt;P_DispoMin),"Disponibilité faible","OK"))))</f>
        <v/>
      </c>
    </row>
    <row r="20" customFormat="false" ht="15" hidden="false" customHeight="false" outlineLevel="0" collapsed="false">
      <c r="A20" s="68"/>
      <c r="B20" s="25"/>
      <c r="C20" s="25"/>
      <c r="D20" s="68"/>
      <c r="E20" s="25"/>
      <c r="F20" s="28"/>
      <c r="G20" s="89"/>
      <c r="H20" s="68"/>
      <c r="I20" s="83" t="str">
        <f aca="false">IF(A20="","",SUMIFS(EJ_HM,EJ_Code,A20))</f>
        <v/>
      </c>
      <c r="J20" s="83" t="str">
        <f aca="false">IF(A20="","",SUMIFS(EJ_HP,EJ_Code,A20))</f>
        <v/>
      </c>
      <c r="K20" s="83" t="str">
        <f aca="false">IF(A20="","",SUMIFS(EJ_HI,EJ_Code,A20))</f>
        <v/>
      </c>
      <c r="L20" s="31" t="str">
        <f aca="false">IF(A20="","",SUMIFS(EJ_Gas,EJ_Code,A20))</f>
        <v/>
      </c>
      <c r="M20" s="90" t="str">
        <f aca="false">IF(OR(A20="",N(I20)=0),"",L20/I20)</f>
        <v/>
      </c>
      <c r="N20" s="73" t="str">
        <f aca="false">IF(OR(M20="",N(G20)=0),"",M20/G20-1)</f>
        <v/>
      </c>
      <c r="O20" s="73" t="str">
        <f aca="false">IF(OR(A20="",N(I20)+N(J20)=0),"",I20/(I20+J20))</f>
        <v/>
      </c>
      <c r="P20" s="31" t="str">
        <f aca="false">IF(A20="","",N(I20)*N(F20))</f>
        <v/>
      </c>
      <c r="Q20" s="74" t="str">
        <f aca="false">IF(A20="","",IF(H20="En panne","En panne",IF(AND(N20&lt;&gt;"",N(N20)&gt;P_TolConso),"Surconsommation",IF(AND(O20&lt;&gt;"",N(O20)&lt;P_DispoMin),"Disponibilité faible","OK"))))</f>
        <v/>
      </c>
    </row>
    <row r="21" customFormat="false" ht="15" hidden="false" customHeight="false" outlineLevel="0" collapsed="false">
      <c r="A21" s="68"/>
      <c r="B21" s="25"/>
      <c r="C21" s="25"/>
      <c r="D21" s="68"/>
      <c r="E21" s="25"/>
      <c r="F21" s="28"/>
      <c r="G21" s="89"/>
      <c r="H21" s="68"/>
      <c r="I21" s="83" t="str">
        <f aca="false">IF(A21="","",SUMIFS(EJ_HM,EJ_Code,A21))</f>
        <v/>
      </c>
      <c r="J21" s="83" t="str">
        <f aca="false">IF(A21="","",SUMIFS(EJ_HP,EJ_Code,A21))</f>
        <v/>
      </c>
      <c r="K21" s="83" t="str">
        <f aca="false">IF(A21="","",SUMIFS(EJ_HI,EJ_Code,A21))</f>
        <v/>
      </c>
      <c r="L21" s="31" t="str">
        <f aca="false">IF(A21="","",SUMIFS(EJ_Gas,EJ_Code,A21))</f>
        <v/>
      </c>
      <c r="M21" s="90" t="str">
        <f aca="false">IF(OR(A21="",N(I21)=0),"",L21/I21)</f>
        <v/>
      </c>
      <c r="N21" s="73" t="str">
        <f aca="false">IF(OR(M21="",N(G21)=0),"",M21/G21-1)</f>
        <v/>
      </c>
      <c r="O21" s="73" t="str">
        <f aca="false">IF(OR(A21="",N(I21)+N(J21)=0),"",I21/(I21+J21))</f>
        <v/>
      </c>
      <c r="P21" s="31" t="str">
        <f aca="false">IF(A21="","",N(I21)*N(F21))</f>
        <v/>
      </c>
      <c r="Q21" s="74" t="str">
        <f aca="false">IF(A21="","",IF(H21="En panne","En panne",IF(AND(N21&lt;&gt;"",N(N21)&gt;P_TolConso),"Surconsommation",IF(AND(O21&lt;&gt;"",N(O21)&lt;P_DispoMin),"Disponibilité faible","OK"))))</f>
        <v/>
      </c>
    </row>
    <row r="22" customFormat="false" ht="15" hidden="false" customHeight="false" outlineLevel="0" collapsed="false">
      <c r="A22" s="68"/>
      <c r="B22" s="25"/>
      <c r="C22" s="25"/>
      <c r="D22" s="68"/>
      <c r="E22" s="25"/>
      <c r="F22" s="28"/>
      <c r="G22" s="89"/>
      <c r="H22" s="68"/>
      <c r="I22" s="83" t="str">
        <f aca="false">IF(A22="","",SUMIFS(EJ_HM,EJ_Code,A22))</f>
        <v/>
      </c>
      <c r="J22" s="83" t="str">
        <f aca="false">IF(A22="","",SUMIFS(EJ_HP,EJ_Code,A22))</f>
        <v/>
      </c>
      <c r="K22" s="83" t="str">
        <f aca="false">IF(A22="","",SUMIFS(EJ_HI,EJ_Code,A22))</f>
        <v/>
      </c>
      <c r="L22" s="31" t="str">
        <f aca="false">IF(A22="","",SUMIFS(EJ_Gas,EJ_Code,A22))</f>
        <v/>
      </c>
      <c r="M22" s="90" t="str">
        <f aca="false">IF(OR(A22="",N(I22)=0),"",L22/I22)</f>
        <v/>
      </c>
      <c r="N22" s="73" t="str">
        <f aca="false">IF(OR(M22="",N(G22)=0),"",M22/G22-1)</f>
        <v/>
      </c>
      <c r="O22" s="73" t="str">
        <f aca="false">IF(OR(A22="",N(I22)+N(J22)=0),"",I22/(I22+J22))</f>
        <v/>
      </c>
      <c r="P22" s="31" t="str">
        <f aca="false">IF(A22="","",N(I22)*N(F22))</f>
        <v/>
      </c>
      <c r="Q22" s="74" t="str">
        <f aca="false">IF(A22="","",IF(H22="En panne","En panne",IF(AND(N22&lt;&gt;"",N(N22)&gt;P_TolConso),"Surconsommation",IF(AND(O22&lt;&gt;"",N(O22)&lt;P_DispoMin),"Disponibilité faible","OK"))))</f>
        <v/>
      </c>
    </row>
    <row r="23" customFormat="false" ht="15" hidden="false" customHeight="false" outlineLevel="0" collapsed="false">
      <c r="A23" s="68"/>
      <c r="B23" s="25"/>
      <c r="C23" s="25"/>
      <c r="D23" s="68"/>
      <c r="E23" s="25"/>
      <c r="F23" s="28"/>
      <c r="G23" s="89"/>
      <c r="H23" s="68"/>
      <c r="I23" s="83" t="str">
        <f aca="false">IF(A23="","",SUMIFS(EJ_HM,EJ_Code,A23))</f>
        <v/>
      </c>
      <c r="J23" s="83" t="str">
        <f aca="false">IF(A23="","",SUMIFS(EJ_HP,EJ_Code,A23))</f>
        <v/>
      </c>
      <c r="K23" s="83" t="str">
        <f aca="false">IF(A23="","",SUMIFS(EJ_HI,EJ_Code,A23))</f>
        <v/>
      </c>
      <c r="L23" s="31" t="str">
        <f aca="false">IF(A23="","",SUMIFS(EJ_Gas,EJ_Code,A23))</f>
        <v/>
      </c>
      <c r="M23" s="90" t="str">
        <f aca="false">IF(OR(A23="",N(I23)=0),"",L23/I23)</f>
        <v/>
      </c>
      <c r="N23" s="73" t="str">
        <f aca="false">IF(OR(M23="",N(G23)=0),"",M23/G23-1)</f>
        <v/>
      </c>
      <c r="O23" s="73" t="str">
        <f aca="false">IF(OR(A23="",N(I23)+N(J23)=0),"",I23/(I23+J23))</f>
        <v/>
      </c>
      <c r="P23" s="31" t="str">
        <f aca="false">IF(A23="","",N(I23)*N(F23))</f>
        <v/>
      </c>
      <c r="Q23" s="74" t="str">
        <f aca="false">IF(A23="","",IF(H23="En panne","En panne",IF(AND(N23&lt;&gt;"",N(N23)&gt;P_TolConso),"Surconsommation",IF(AND(O23&lt;&gt;"",N(O23)&lt;P_DispoMin),"Disponibilité faible","OK"))))</f>
        <v/>
      </c>
    </row>
    <row r="24" customFormat="false" ht="15" hidden="false" customHeight="false" outlineLevel="0" collapsed="false">
      <c r="A24" s="68"/>
      <c r="B24" s="25"/>
      <c r="C24" s="25"/>
      <c r="D24" s="68"/>
      <c r="E24" s="25"/>
      <c r="F24" s="28"/>
      <c r="G24" s="89"/>
      <c r="H24" s="68"/>
      <c r="I24" s="83" t="str">
        <f aca="false">IF(A24="","",SUMIFS(EJ_HM,EJ_Code,A24))</f>
        <v/>
      </c>
      <c r="J24" s="83" t="str">
        <f aca="false">IF(A24="","",SUMIFS(EJ_HP,EJ_Code,A24))</f>
        <v/>
      </c>
      <c r="K24" s="83" t="str">
        <f aca="false">IF(A24="","",SUMIFS(EJ_HI,EJ_Code,A24))</f>
        <v/>
      </c>
      <c r="L24" s="31" t="str">
        <f aca="false">IF(A24="","",SUMIFS(EJ_Gas,EJ_Code,A24))</f>
        <v/>
      </c>
      <c r="M24" s="90" t="str">
        <f aca="false">IF(OR(A24="",N(I24)=0),"",L24/I24)</f>
        <v/>
      </c>
      <c r="N24" s="73" t="str">
        <f aca="false">IF(OR(M24="",N(G24)=0),"",M24/G24-1)</f>
        <v/>
      </c>
      <c r="O24" s="73" t="str">
        <f aca="false">IF(OR(A24="",N(I24)+N(J24)=0),"",I24/(I24+J24))</f>
        <v/>
      </c>
      <c r="P24" s="31" t="str">
        <f aca="false">IF(A24="","",N(I24)*N(F24))</f>
        <v/>
      </c>
      <c r="Q24" s="74" t="str">
        <f aca="false">IF(A24="","",IF(H24="En panne","En panne",IF(AND(N24&lt;&gt;"",N(N24)&gt;P_TolConso),"Surconsommation",IF(AND(O24&lt;&gt;"",N(O24)&lt;P_DispoMin),"Disponibilité faible","OK"))))</f>
        <v/>
      </c>
    </row>
    <row r="25" customFormat="false" ht="15" hidden="false" customHeight="false" outlineLevel="0" collapsed="false">
      <c r="A25" s="68"/>
      <c r="B25" s="25"/>
      <c r="C25" s="25"/>
      <c r="D25" s="68"/>
      <c r="E25" s="25"/>
      <c r="F25" s="28"/>
      <c r="G25" s="89"/>
      <c r="H25" s="68"/>
      <c r="I25" s="83" t="str">
        <f aca="false">IF(A25="","",SUMIFS(EJ_HM,EJ_Code,A25))</f>
        <v/>
      </c>
      <c r="J25" s="83" t="str">
        <f aca="false">IF(A25="","",SUMIFS(EJ_HP,EJ_Code,A25))</f>
        <v/>
      </c>
      <c r="K25" s="83" t="str">
        <f aca="false">IF(A25="","",SUMIFS(EJ_HI,EJ_Code,A25))</f>
        <v/>
      </c>
      <c r="L25" s="31" t="str">
        <f aca="false">IF(A25="","",SUMIFS(EJ_Gas,EJ_Code,A25))</f>
        <v/>
      </c>
      <c r="M25" s="90" t="str">
        <f aca="false">IF(OR(A25="",N(I25)=0),"",L25/I25)</f>
        <v/>
      </c>
      <c r="N25" s="73" t="str">
        <f aca="false">IF(OR(M25="",N(G25)=0),"",M25/G25-1)</f>
        <v/>
      </c>
      <c r="O25" s="73" t="str">
        <f aca="false">IF(OR(A25="",N(I25)+N(J25)=0),"",I25/(I25+J25))</f>
        <v/>
      </c>
      <c r="P25" s="31" t="str">
        <f aca="false">IF(A25="","",N(I25)*N(F25))</f>
        <v/>
      </c>
      <c r="Q25" s="74" t="str">
        <f aca="false">IF(A25="","",IF(H25="En panne","En panne",IF(AND(N25&lt;&gt;"",N(N25)&gt;P_TolConso),"Surconsommation",IF(AND(O25&lt;&gt;"",N(O25)&lt;P_DispoMin),"Disponibilité faible","OK"))))</f>
        <v/>
      </c>
    </row>
    <row r="26" customFormat="false" ht="15" hidden="false" customHeight="false" outlineLevel="0" collapsed="false">
      <c r="A26" s="68"/>
      <c r="B26" s="25"/>
      <c r="C26" s="25"/>
      <c r="D26" s="68"/>
      <c r="E26" s="25"/>
      <c r="F26" s="28"/>
      <c r="G26" s="89"/>
      <c r="H26" s="68"/>
      <c r="I26" s="83" t="str">
        <f aca="false">IF(A26="","",SUMIFS(EJ_HM,EJ_Code,A26))</f>
        <v/>
      </c>
      <c r="J26" s="83" t="str">
        <f aca="false">IF(A26="","",SUMIFS(EJ_HP,EJ_Code,A26))</f>
        <v/>
      </c>
      <c r="K26" s="83" t="str">
        <f aca="false">IF(A26="","",SUMIFS(EJ_HI,EJ_Code,A26))</f>
        <v/>
      </c>
      <c r="L26" s="31" t="str">
        <f aca="false">IF(A26="","",SUMIFS(EJ_Gas,EJ_Code,A26))</f>
        <v/>
      </c>
      <c r="M26" s="90" t="str">
        <f aca="false">IF(OR(A26="",N(I26)=0),"",L26/I26)</f>
        <v/>
      </c>
      <c r="N26" s="73" t="str">
        <f aca="false">IF(OR(M26="",N(G26)=0),"",M26/G26-1)</f>
        <v/>
      </c>
      <c r="O26" s="73" t="str">
        <f aca="false">IF(OR(A26="",N(I26)+N(J26)=0),"",I26/(I26+J26))</f>
        <v/>
      </c>
      <c r="P26" s="31" t="str">
        <f aca="false">IF(A26="","",N(I26)*N(F26))</f>
        <v/>
      </c>
      <c r="Q26" s="74" t="str">
        <f aca="false">IF(A26="","",IF(H26="En panne","En panne",IF(AND(N26&lt;&gt;"",N(N26)&gt;P_TolConso),"Surconsommation",IF(AND(O26&lt;&gt;"",N(O26)&lt;P_DispoMin),"Disponibilité faible","OK"))))</f>
        <v/>
      </c>
    </row>
    <row r="27" customFormat="false" ht="15" hidden="false" customHeight="false" outlineLevel="0" collapsed="false">
      <c r="A27" s="68"/>
      <c r="B27" s="25"/>
      <c r="C27" s="25"/>
      <c r="D27" s="68"/>
      <c r="E27" s="25"/>
      <c r="F27" s="28"/>
      <c r="G27" s="89"/>
      <c r="H27" s="68"/>
      <c r="I27" s="83" t="str">
        <f aca="false">IF(A27="","",SUMIFS(EJ_HM,EJ_Code,A27))</f>
        <v/>
      </c>
      <c r="J27" s="83" t="str">
        <f aca="false">IF(A27="","",SUMIFS(EJ_HP,EJ_Code,A27))</f>
        <v/>
      </c>
      <c r="K27" s="83" t="str">
        <f aca="false">IF(A27="","",SUMIFS(EJ_HI,EJ_Code,A27))</f>
        <v/>
      </c>
      <c r="L27" s="31" t="str">
        <f aca="false">IF(A27="","",SUMIFS(EJ_Gas,EJ_Code,A27))</f>
        <v/>
      </c>
      <c r="M27" s="90" t="str">
        <f aca="false">IF(OR(A27="",N(I27)=0),"",L27/I27)</f>
        <v/>
      </c>
      <c r="N27" s="73" t="str">
        <f aca="false">IF(OR(M27="",N(G27)=0),"",M27/G27-1)</f>
        <v/>
      </c>
      <c r="O27" s="73" t="str">
        <f aca="false">IF(OR(A27="",N(I27)+N(J27)=0),"",I27/(I27+J27))</f>
        <v/>
      </c>
      <c r="P27" s="31" t="str">
        <f aca="false">IF(A27="","",N(I27)*N(F27))</f>
        <v/>
      </c>
      <c r="Q27" s="74" t="str">
        <f aca="false">IF(A27="","",IF(H27="En panne","En panne",IF(AND(N27&lt;&gt;"",N(N27)&gt;P_TolConso),"Surconsommation",IF(AND(O27&lt;&gt;"",N(O27)&lt;P_DispoMin),"Disponibilité faible","OK"))))</f>
        <v/>
      </c>
    </row>
    <row r="28" customFormat="false" ht="15" hidden="false" customHeight="false" outlineLevel="0" collapsed="false">
      <c r="A28" s="68"/>
      <c r="B28" s="25"/>
      <c r="C28" s="25"/>
      <c r="D28" s="68"/>
      <c r="E28" s="25"/>
      <c r="F28" s="28"/>
      <c r="G28" s="89"/>
      <c r="H28" s="68"/>
      <c r="I28" s="83" t="str">
        <f aca="false">IF(A28="","",SUMIFS(EJ_HM,EJ_Code,A28))</f>
        <v/>
      </c>
      <c r="J28" s="83" t="str">
        <f aca="false">IF(A28="","",SUMIFS(EJ_HP,EJ_Code,A28))</f>
        <v/>
      </c>
      <c r="K28" s="83" t="str">
        <f aca="false">IF(A28="","",SUMIFS(EJ_HI,EJ_Code,A28))</f>
        <v/>
      </c>
      <c r="L28" s="31" t="str">
        <f aca="false">IF(A28="","",SUMIFS(EJ_Gas,EJ_Code,A28))</f>
        <v/>
      </c>
      <c r="M28" s="90" t="str">
        <f aca="false">IF(OR(A28="",N(I28)=0),"",L28/I28)</f>
        <v/>
      </c>
      <c r="N28" s="73" t="str">
        <f aca="false">IF(OR(M28="",N(G28)=0),"",M28/G28-1)</f>
        <v/>
      </c>
      <c r="O28" s="73" t="str">
        <f aca="false">IF(OR(A28="",N(I28)+N(J28)=0),"",I28/(I28+J28))</f>
        <v/>
      </c>
      <c r="P28" s="31" t="str">
        <f aca="false">IF(A28="","",N(I28)*N(F28))</f>
        <v/>
      </c>
      <c r="Q28" s="74" t="str">
        <f aca="false">IF(A28="","",IF(H28="En panne","En panne",IF(AND(N28&lt;&gt;"",N(N28)&gt;P_TolConso),"Surconsommation",IF(AND(O28&lt;&gt;"",N(O28)&lt;P_DispoMin),"Disponibilité faible","OK"))))</f>
        <v/>
      </c>
    </row>
    <row r="29" customFormat="false" ht="15" hidden="false" customHeight="false" outlineLevel="0" collapsed="false">
      <c r="A29" s="68"/>
      <c r="B29" s="25"/>
      <c r="C29" s="25"/>
      <c r="D29" s="68"/>
      <c r="E29" s="25"/>
      <c r="F29" s="28"/>
      <c r="G29" s="89"/>
      <c r="H29" s="68"/>
      <c r="I29" s="83" t="str">
        <f aca="false">IF(A29="","",SUMIFS(EJ_HM,EJ_Code,A29))</f>
        <v/>
      </c>
      <c r="J29" s="83" t="str">
        <f aca="false">IF(A29="","",SUMIFS(EJ_HP,EJ_Code,A29))</f>
        <v/>
      </c>
      <c r="K29" s="83" t="str">
        <f aca="false">IF(A29="","",SUMIFS(EJ_HI,EJ_Code,A29))</f>
        <v/>
      </c>
      <c r="L29" s="31" t="str">
        <f aca="false">IF(A29="","",SUMIFS(EJ_Gas,EJ_Code,A29))</f>
        <v/>
      </c>
      <c r="M29" s="90" t="str">
        <f aca="false">IF(OR(A29="",N(I29)=0),"",L29/I29)</f>
        <v/>
      </c>
      <c r="N29" s="73" t="str">
        <f aca="false">IF(OR(M29="",N(G29)=0),"",M29/G29-1)</f>
        <v/>
      </c>
      <c r="O29" s="73" t="str">
        <f aca="false">IF(OR(A29="",N(I29)+N(J29)=0),"",I29/(I29+J29))</f>
        <v/>
      </c>
      <c r="P29" s="31" t="str">
        <f aca="false">IF(A29="","",N(I29)*N(F29))</f>
        <v/>
      </c>
      <c r="Q29" s="74" t="str">
        <f aca="false">IF(A29="","",IF(H29="En panne","En panne",IF(AND(N29&lt;&gt;"",N(N29)&gt;P_TolConso),"Surconsommation",IF(AND(O29&lt;&gt;"",N(O29)&lt;P_DispoMin),"Disponibilité faible","OK"))))</f>
        <v/>
      </c>
    </row>
    <row r="30" customFormat="false" ht="15" hidden="false" customHeight="false" outlineLevel="0" collapsed="false">
      <c r="A30" s="68"/>
      <c r="B30" s="25"/>
      <c r="C30" s="25"/>
      <c r="D30" s="68"/>
      <c r="E30" s="25"/>
      <c r="F30" s="28"/>
      <c r="G30" s="89"/>
      <c r="H30" s="68"/>
      <c r="I30" s="83" t="str">
        <f aca="false">IF(A30="","",SUMIFS(EJ_HM,EJ_Code,A30))</f>
        <v/>
      </c>
      <c r="J30" s="83" t="str">
        <f aca="false">IF(A30="","",SUMIFS(EJ_HP,EJ_Code,A30))</f>
        <v/>
      </c>
      <c r="K30" s="83" t="str">
        <f aca="false">IF(A30="","",SUMIFS(EJ_HI,EJ_Code,A30))</f>
        <v/>
      </c>
      <c r="L30" s="31" t="str">
        <f aca="false">IF(A30="","",SUMIFS(EJ_Gas,EJ_Code,A30))</f>
        <v/>
      </c>
      <c r="M30" s="90" t="str">
        <f aca="false">IF(OR(A30="",N(I30)=0),"",L30/I30)</f>
        <v/>
      </c>
      <c r="N30" s="73" t="str">
        <f aca="false">IF(OR(M30="",N(G30)=0),"",M30/G30-1)</f>
        <v/>
      </c>
      <c r="O30" s="73" t="str">
        <f aca="false">IF(OR(A30="",N(I30)+N(J30)=0),"",I30/(I30+J30))</f>
        <v/>
      </c>
      <c r="P30" s="31" t="str">
        <f aca="false">IF(A30="","",N(I30)*N(F30))</f>
        <v/>
      </c>
      <c r="Q30" s="74" t="str">
        <f aca="false">IF(A30="","",IF(H30="En panne","En panne",IF(AND(N30&lt;&gt;"",N(N30)&gt;P_TolConso),"Surconsommation",IF(AND(O30&lt;&gt;"",N(O30)&lt;P_DispoMin),"Disponibilité faible","OK"))))</f>
        <v/>
      </c>
    </row>
    <row r="31" customFormat="false" ht="15" hidden="false" customHeight="false" outlineLevel="0" collapsed="false">
      <c r="A31" s="68"/>
      <c r="B31" s="25"/>
      <c r="C31" s="25"/>
      <c r="D31" s="68"/>
      <c r="E31" s="25"/>
      <c r="F31" s="28"/>
      <c r="G31" s="89"/>
      <c r="H31" s="68"/>
      <c r="I31" s="83" t="str">
        <f aca="false">IF(A31="","",SUMIFS(EJ_HM,EJ_Code,A31))</f>
        <v/>
      </c>
      <c r="J31" s="83" t="str">
        <f aca="false">IF(A31="","",SUMIFS(EJ_HP,EJ_Code,A31))</f>
        <v/>
      </c>
      <c r="K31" s="83" t="str">
        <f aca="false">IF(A31="","",SUMIFS(EJ_HI,EJ_Code,A31))</f>
        <v/>
      </c>
      <c r="L31" s="31" t="str">
        <f aca="false">IF(A31="","",SUMIFS(EJ_Gas,EJ_Code,A31))</f>
        <v/>
      </c>
      <c r="M31" s="90" t="str">
        <f aca="false">IF(OR(A31="",N(I31)=0),"",L31/I31)</f>
        <v/>
      </c>
      <c r="N31" s="73" t="str">
        <f aca="false">IF(OR(M31="",N(G31)=0),"",M31/G31-1)</f>
        <v/>
      </c>
      <c r="O31" s="73" t="str">
        <f aca="false">IF(OR(A31="",N(I31)+N(J31)=0),"",I31/(I31+J31))</f>
        <v/>
      </c>
      <c r="P31" s="31" t="str">
        <f aca="false">IF(A31="","",N(I31)*N(F31))</f>
        <v/>
      </c>
      <c r="Q31" s="74" t="str">
        <f aca="false">IF(A31="","",IF(H31="En panne","En panne",IF(AND(N31&lt;&gt;"",N(N31)&gt;P_TolConso),"Surconsommation",IF(AND(O31&lt;&gt;"",N(O31)&lt;P_DispoMin),"Disponibilité faible","OK"))))</f>
        <v/>
      </c>
    </row>
    <row r="32" customFormat="false" ht="15" hidden="false" customHeight="false" outlineLevel="0" collapsed="false">
      <c r="A32" s="68"/>
      <c r="B32" s="25"/>
      <c r="C32" s="25"/>
      <c r="D32" s="68"/>
      <c r="E32" s="25"/>
      <c r="F32" s="28"/>
      <c r="G32" s="89"/>
      <c r="H32" s="68"/>
      <c r="I32" s="83" t="str">
        <f aca="false">IF(A32="","",SUMIFS(EJ_HM,EJ_Code,A32))</f>
        <v/>
      </c>
      <c r="J32" s="83" t="str">
        <f aca="false">IF(A32="","",SUMIFS(EJ_HP,EJ_Code,A32))</f>
        <v/>
      </c>
      <c r="K32" s="83" t="str">
        <f aca="false">IF(A32="","",SUMIFS(EJ_HI,EJ_Code,A32))</f>
        <v/>
      </c>
      <c r="L32" s="31" t="str">
        <f aca="false">IF(A32="","",SUMIFS(EJ_Gas,EJ_Code,A32))</f>
        <v/>
      </c>
      <c r="M32" s="90" t="str">
        <f aca="false">IF(OR(A32="",N(I32)=0),"",L32/I32)</f>
        <v/>
      </c>
      <c r="N32" s="73" t="str">
        <f aca="false">IF(OR(M32="",N(G32)=0),"",M32/G32-1)</f>
        <v/>
      </c>
      <c r="O32" s="73" t="str">
        <f aca="false">IF(OR(A32="",N(I32)+N(J32)=0),"",I32/(I32+J32))</f>
        <v/>
      </c>
      <c r="P32" s="31" t="str">
        <f aca="false">IF(A32="","",N(I32)*N(F32))</f>
        <v/>
      </c>
      <c r="Q32" s="74" t="str">
        <f aca="false">IF(A32="","",IF(H32="En panne","En panne",IF(AND(N32&lt;&gt;"",N(N32)&gt;P_TolConso),"Surconsommation",IF(AND(O32&lt;&gt;"",N(O32)&lt;P_DispoMin),"Disponibilité faible","OK"))))</f>
        <v/>
      </c>
    </row>
    <row r="33" customFormat="false" ht="15" hidden="false" customHeight="false" outlineLevel="0" collapsed="false">
      <c r="A33" s="68"/>
      <c r="B33" s="25"/>
      <c r="C33" s="25"/>
      <c r="D33" s="68"/>
      <c r="E33" s="25"/>
      <c r="F33" s="28"/>
      <c r="G33" s="89"/>
      <c r="H33" s="68"/>
      <c r="I33" s="83" t="str">
        <f aca="false">IF(A33="","",SUMIFS(EJ_HM,EJ_Code,A33))</f>
        <v/>
      </c>
      <c r="J33" s="83" t="str">
        <f aca="false">IF(A33="","",SUMIFS(EJ_HP,EJ_Code,A33))</f>
        <v/>
      </c>
      <c r="K33" s="83" t="str">
        <f aca="false">IF(A33="","",SUMIFS(EJ_HI,EJ_Code,A33))</f>
        <v/>
      </c>
      <c r="L33" s="31" t="str">
        <f aca="false">IF(A33="","",SUMIFS(EJ_Gas,EJ_Code,A33))</f>
        <v/>
      </c>
      <c r="M33" s="90" t="str">
        <f aca="false">IF(OR(A33="",N(I33)=0),"",L33/I33)</f>
        <v/>
      </c>
      <c r="N33" s="73" t="str">
        <f aca="false">IF(OR(M33="",N(G33)=0),"",M33/G33-1)</f>
        <v/>
      </c>
      <c r="O33" s="73" t="str">
        <f aca="false">IF(OR(A33="",N(I33)+N(J33)=0),"",I33/(I33+J33))</f>
        <v/>
      </c>
      <c r="P33" s="31" t="str">
        <f aca="false">IF(A33="","",N(I33)*N(F33))</f>
        <v/>
      </c>
      <c r="Q33" s="74" t="str">
        <f aca="false">IF(A33="","",IF(H33="En panne","En panne",IF(AND(N33&lt;&gt;"",N(N33)&gt;P_TolConso),"Surconsommation",IF(AND(O33&lt;&gt;"",N(O33)&lt;P_DispoMin),"Disponibilité faible","OK"))))</f>
        <v/>
      </c>
    </row>
    <row r="34" customFormat="false" ht="15" hidden="false" customHeight="false" outlineLevel="0" collapsed="false">
      <c r="A34" s="68"/>
      <c r="B34" s="25"/>
      <c r="C34" s="25"/>
      <c r="D34" s="68"/>
      <c r="E34" s="25"/>
      <c r="F34" s="28"/>
      <c r="G34" s="89"/>
      <c r="H34" s="68"/>
      <c r="I34" s="83" t="str">
        <f aca="false">IF(A34="","",SUMIFS(EJ_HM,EJ_Code,A34))</f>
        <v/>
      </c>
      <c r="J34" s="83" t="str">
        <f aca="false">IF(A34="","",SUMIFS(EJ_HP,EJ_Code,A34))</f>
        <v/>
      </c>
      <c r="K34" s="83" t="str">
        <f aca="false">IF(A34="","",SUMIFS(EJ_HI,EJ_Code,A34))</f>
        <v/>
      </c>
      <c r="L34" s="31" t="str">
        <f aca="false">IF(A34="","",SUMIFS(EJ_Gas,EJ_Code,A34))</f>
        <v/>
      </c>
      <c r="M34" s="90" t="str">
        <f aca="false">IF(OR(A34="",N(I34)=0),"",L34/I34)</f>
        <v/>
      </c>
      <c r="N34" s="73" t="str">
        <f aca="false">IF(OR(M34="",N(G34)=0),"",M34/G34-1)</f>
        <v/>
      </c>
      <c r="O34" s="73" t="str">
        <f aca="false">IF(OR(A34="",N(I34)+N(J34)=0),"",I34/(I34+J34))</f>
        <v/>
      </c>
      <c r="P34" s="31" t="str">
        <f aca="false">IF(A34="","",N(I34)*N(F34))</f>
        <v/>
      </c>
      <c r="Q34" s="74" t="str">
        <f aca="false">IF(A34="","",IF(H34="En panne","En panne",IF(AND(N34&lt;&gt;"",N(N34)&gt;P_TolConso),"Surconsommation",IF(AND(O34&lt;&gt;"",N(O34)&lt;P_DispoMin),"Disponibilité faible","OK"))))</f>
        <v/>
      </c>
    </row>
    <row r="35" customFormat="false" ht="15" hidden="false" customHeight="false" outlineLevel="0" collapsed="false">
      <c r="A35" s="68"/>
      <c r="B35" s="25"/>
      <c r="C35" s="25"/>
      <c r="D35" s="68"/>
      <c r="E35" s="25"/>
      <c r="F35" s="28"/>
      <c r="G35" s="89"/>
      <c r="H35" s="68"/>
      <c r="I35" s="83" t="str">
        <f aca="false">IF(A35="","",SUMIFS(EJ_HM,EJ_Code,A35))</f>
        <v/>
      </c>
      <c r="J35" s="83" t="str">
        <f aca="false">IF(A35="","",SUMIFS(EJ_HP,EJ_Code,A35))</f>
        <v/>
      </c>
      <c r="K35" s="83" t="str">
        <f aca="false">IF(A35="","",SUMIFS(EJ_HI,EJ_Code,A35))</f>
        <v/>
      </c>
      <c r="L35" s="31" t="str">
        <f aca="false">IF(A35="","",SUMIFS(EJ_Gas,EJ_Code,A35))</f>
        <v/>
      </c>
      <c r="M35" s="90" t="str">
        <f aca="false">IF(OR(A35="",N(I35)=0),"",L35/I35)</f>
        <v/>
      </c>
      <c r="N35" s="73" t="str">
        <f aca="false">IF(OR(M35="",N(G35)=0),"",M35/G35-1)</f>
        <v/>
      </c>
      <c r="O35" s="73" t="str">
        <f aca="false">IF(OR(A35="",N(I35)+N(J35)=0),"",I35/(I35+J35))</f>
        <v/>
      </c>
      <c r="P35" s="31" t="str">
        <f aca="false">IF(A35="","",N(I35)*N(F35))</f>
        <v/>
      </c>
      <c r="Q35" s="74" t="str">
        <f aca="false">IF(A35="","",IF(H35="En panne","En panne",IF(AND(N35&lt;&gt;"",N(N35)&gt;P_TolConso),"Surconsommation",IF(AND(O35&lt;&gt;"",N(O35)&lt;P_DispoMin),"Disponibilité faible","OK"))))</f>
        <v/>
      </c>
    </row>
    <row r="36" customFormat="false" ht="15" hidden="false" customHeight="false" outlineLevel="0" collapsed="false">
      <c r="A36" s="68"/>
      <c r="B36" s="25"/>
      <c r="C36" s="25"/>
      <c r="D36" s="68"/>
      <c r="E36" s="25"/>
      <c r="F36" s="28"/>
      <c r="G36" s="89"/>
      <c r="H36" s="68"/>
      <c r="I36" s="83" t="str">
        <f aca="false">IF(A36="","",SUMIFS(EJ_HM,EJ_Code,A36))</f>
        <v/>
      </c>
      <c r="J36" s="83" t="str">
        <f aca="false">IF(A36="","",SUMIFS(EJ_HP,EJ_Code,A36))</f>
        <v/>
      </c>
      <c r="K36" s="83" t="str">
        <f aca="false">IF(A36="","",SUMIFS(EJ_HI,EJ_Code,A36))</f>
        <v/>
      </c>
      <c r="L36" s="31" t="str">
        <f aca="false">IF(A36="","",SUMIFS(EJ_Gas,EJ_Code,A36))</f>
        <v/>
      </c>
      <c r="M36" s="90" t="str">
        <f aca="false">IF(OR(A36="",N(I36)=0),"",L36/I36)</f>
        <v/>
      </c>
      <c r="N36" s="73" t="str">
        <f aca="false">IF(OR(M36="",N(G36)=0),"",M36/G36-1)</f>
        <v/>
      </c>
      <c r="O36" s="73" t="str">
        <f aca="false">IF(OR(A36="",N(I36)+N(J36)=0),"",I36/(I36+J36))</f>
        <v/>
      </c>
      <c r="P36" s="31" t="str">
        <f aca="false">IF(A36="","",N(I36)*N(F36))</f>
        <v/>
      </c>
      <c r="Q36" s="74" t="str">
        <f aca="false">IF(A36="","",IF(H36="En panne","En panne",IF(AND(N36&lt;&gt;"",N(N36)&gt;P_TolConso),"Surconsommation",IF(AND(O36&lt;&gt;"",N(O36)&lt;P_DispoMin),"Disponibilité faible","OK"))))</f>
        <v/>
      </c>
    </row>
    <row r="37" customFormat="false" ht="15" hidden="false" customHeight="false" outlineLevel="0" collapsed="false">
      <c r="A37" s="68"/>
      <c r="B37" s="25"/>
      <c r="C37" s="25"/>
      <c r="D37" s="68"/>
      <c r="E37" s="25"/>
      <c r="F37" s="28"/>
      <c r="G37" s="89"/>
      <c r="H37" s="68"/>
      <c r="I37" s="83" t="str">
        <f aca="false">IF(A37="","",SUMIFS(EJ_HM,EJ_Code,A37))</f>
        <v/>
      </c>
      <c r="J37" s="83" t="str">
        <f aca="false">IF(A37="","",SUMIFS(EJ_HP,EJ_Code,A37))</f>
        <v/>
      </c>
      <c r="K37" s="83" t="str">
        <f aca="false">IF(A37="","",SUMIFS(EJ_HI,EJ_Code,A37))</f>
        <v/>
      </c>
      <c r="L37" s="31" t="str">
        <f aca="false">IF(A37="","",SUMIFS(EJ_Gas,EJ_Code,A37))</f>
        <v/>
      </c>
      <c r="M37" s="90" t="str">
        <f aca="false">IF(OR(A37="",N(I37)=0),"",L37/I37)</f>
        <v/>
      </c>
      <c r="N37" s="73" t="str">
        <f aca="false">IF(OR(M37="",N(G37)=0),"",M37/G37-1)</f>
        <v/>
      </c>
      <c r="O37" s="73" t="str">
        <f aca="false">IF(OR(A37="",N(I37)+N(J37)=0),"",I37/(I37+J37))</f>
        <v/>
      </c>
      <c r="P37" s="31" t="str">
        <f aca="false">IF(A37="","",N(I37)*N(F37))</f>
        <v/>
      </c>
      <c r="Q37" s="74" t="str">
        <f aca="false">IF(A37="","",IF(H37="En panne","En panne",IF(AND(N37&lt;&gt;"",N(N37)&gt;P_TolConso),"Surconsommation",IF(AND(O37&lt;&gt;"",N(O37)&lt;P_DispoMin),"Disponibilité faible","OK"))))</f>
        <v/>
      </c>
    </row>
    <row r="38" customFormat="false" ht="15" hidden="false" customHeight="false" outlineLevel="0" collapsed="false">
      <c r="A38" s="68"/>
      <c r="B38" s="25"/>
      <c r="C38" s="25"/>
      <c r="D38" s="68"/>
      <c r="E38" s="25"/>
      <c r="F38" s="28"/>
      <c r="G38" s="89"/>
      <c r="H38" s="68"/>
      <c r="I38" s="83" t="str">
        <f aca="false">IF(A38="","",SUMIFS(EJ_HM,EJ_Code,A38))</f>
        <v/>
      </c>
      <c r="J38" s="83" t="str">
        <f aca="false">IF(A38="","",SUMIFS(EJ_HP,EJ_Code,A38))</f>
        <v/>
      </c>
      <c r="K38" s="83" t="str">
        <f aca="false">IF(A38="","",SUMIFS(EJ_HI,EJ_Code,A38))</f>
        <v/>
      </c>
      <c r="L38" s="31" t="str">
        <f aca="false">IF(A38="","",SUMIFS(EJ_Gas,EJ_Code,A38))</f>
        <v/>
      </c>
      <c r="M38" s="90" t="str">
        <f aca="false">IF(OR(A38="",N(I38)=0),"",L38/I38)</f>
        <v/>
      </c>
      <c r="N38" s="73" t="str">
        <f aca="false">IF(OR(M38="",N(G38)=0),"",M38/G38-1)</f>
        <v/>
      </c>
      <c r="O38" s="73" t="str">
        <f aca="false">IF(OR(A38="",N(I38)+N(J38)=0),"",I38/(I38+J38))</f>
        <v/>
      </c>
      <c r="P38" s="31" t="str">
        <f aca="false">IF(A38="","",N(I38)*N(F38))</f>
        <v/>
      </c>
      <c r="Q38" s="74" t="str">
        <f aca="false">IF(A38="","",IF(H38="En panne","En panne",IF(AND(N38&lt;&gt;"",N(N38)&gt;P_TolConso),"Surconsommation",IF(AND(O38&lt;&gt;"",N(O38)&lt;P_DispoMin),"Disponibilité faible","OK"))))</f>
        <v/>
      </c>
    </row>
    <row r="39" customFormat="false" ht="15" hidden="false" customHeight="false" outlineLevel="0" collapsed="false">
      <c r="A39" s="68"/>
      <c r="B39" s="25"/>
      <c r="C39" s="25"/>
      <c r="D39" s="68"/>
      <c r="E39" s="25"/>
      <c r="F39" s="28"/>
      <c r="G39" s="89"/>
      <c r="H39" s="68"/>
      <c r="I39" s="83" t="str">
        <f aca="false">IF(A39="","",SUMIFS(EJ_HM,EJ_Code,A39))</f>
        <v/>
      </c>
      <c r="J39" s="83" t="str">
        <f aca="false">IF(A39="","",SUMIFS(EJ_HP,EJ_Code,A39))</f>
        <v/>
      </c>
      <c r="K39" s="83" t="str">
        <f aca="false">IF(A39="","",SUMIFS(EJ_HI,EJ_Code,A39))</f>
        <v/>
      </c>
      <c r="L39" s="31" t="str">
        <f aca="false">IF(A39="","",SUMIFS(EJ_Gas,EJ_Code,A39))</f>
        <v/>
      </c>
      <c r="M39" s="90" t="str">
        <f aca="false">IF(OR(A39="",N(I39)=0),"",L39/I39)</f>
        <v/>
      </c>
      <c r="N39" s="73" t="str">
        <f aca="false">IF(OR(M39="",N(G39)=0),"",M39/G39-1)</f>
        <v/>
      </c>
      <c r="O39" s="73" t="str">
        <f aca="false">IF(OR(A39="",N(I39)+N(J39)=0),"",I39/(I39+J39))</f>
        <v/>
      </c>
      <c r="P39" s="31" t="str">
        <f aca="false">IF(A39="","",N(I39)*N(F39))</f>
        <v/>
      </c>
      <c r="Q39" s="74" t="str">
        <f aca="false">IF(A39="","",IF(H39="En panne","En panne",IF(AND(N39&lt;&gt;"",N(N39)&gt;P_TolConso),"Surconsommation",IF(AND(O39&lt;&gt;"",N(O39)&lt;P_DispoMin),"Disponibilité faible","OK"))))</f>
        <v/>
      </c>
    </row>
    <row r="40" customFormat="false" ht="15" hidden="false" customHeight="false" outlineLevel="0" collapsed="false">
      <c r="A40" s="68"/>
      <c r="B40" s="25"/>
      <c r="C40" s="25"/>
      <c r="D40" s="68"/>
      <c r="E40" s="25"/>
      <c r="F40" s="28"/>
      <c r="G40" s="89"/>
      <c r="H40" s="68"/>
      <c r="I40" s="83" t="str">
        <f aca="false">IF(A40="","",SUMIFS(EJ_HM,EJ_Code,A40))</f>
        <v/>
      </c>
      <c r="J40" s="83" t="str">
        <f aca="false">IF(A40="","",SUMIFS(EJ_HP,EJ_Code,A40))</f>
        <v/>
      </c>
      <c r="K40" s="83" t="str">
        <f aca="false">IF(A40="","",SUMIFS(EJ_HI,EJ_Code,A40))</f>
        <v/>
      </c>
      <c r="L40" s="31" t="str">
        <f aca="false">IF(A40="","",SUMIFS(EJ_Gas,EJ_Code,A40))</f>
        <v/>
      </c>
      <c r="M40" s="90" t="str">
        <f aca="false">IF(OR(A40="",N(I40)=0),"",L40/I40)</f>
        <v/>
      </c>
      <c r="N40" s="73" t="str">
        <f aca="false">IF(OR(M40="",N(G40)=0),"",M40/G40-1)</f>
        <v/>
      </c>
      <c r="O40" s="73" t="str">
        <f aca="false">IF(OR(A40="",N(I40)+N(J40)=0),"",I40/(I40+J40))</f>
        <v/>
      </c>
      <c r="P40" s="31" t="str">
        <f aca="false">IF(A40="","",N(I40)*N(F40))</f>
        <v/>
      </c>
      <c r="Q40" s="74" t="str">
        <f aca="false">IF(A40="","",IF(H40="En panne","En panne",IF(AND(N40&lt;&gt;"",N(N40)&gt;P_TolConso),"Surconsommation",IF(AND(O40&lt;&gt;"",N(O40)&lt;P_DispoMin),"Disponibilité faible","OK"))))</f>
        <v/>
      </c>
    </row>
    <row r="41" customFormat="false" ht="15" hidden="false" customHeight="false" outlineLevel="0" collapsed="false">
      <c r="A41" s="68"/>
      <c r="B41" s="25"/>
      <c r="C41" s="25"/>
      <c r="D41" s="68"/>
      <c r="E41" s="25"/>
      <c r="F41" s="28"/>
      <c r="G41" s="89"/>
      <c r="H41" s="68"/>
      <c r="I41" s="83" t="str">
        <f aca="false">IF(A41="","",SUMIFS(EJ_HM,EJ_Code,A41))</f>
        <v/>
      </c>
      <c r="J41" s="83" t="str">
        <f aca="false">IF(A41="","",SUMIFS(EJ_HP,EJ_Code,A41))</f>
        <v/>
      </c>
      <c r="K41" s="83" t="str">
        <f aca="false">IF(A41="","",SUMIFS(EJ_HI,EJ_Code,A41))</f>
        <v/>
      </c>
      <c r="L41" s="31" t="str">
        <f aca="false">IF(A41="","",SUMIFS(EJ_Gas,EJ_Code,A41))</f>
        <v/>
      </c>
      <c r="M41" s="90" t="str">
        <f aca="false">IF(OR(A41="",N(I41)=0),"",L41/I41)</f>
        <v/>
      </c>
      <c r="N41" s="73" t="str">
        <f aca="false">IF(OR(M41="",N(G41)=0),"",M41/G41-1)</f>
        <v/>
      </c>
      <c r="O41" s="73" t="str">
        <f aca="false">IF(OR(A41="",N(I41)+N(J41)=0),"",I41/(I41+J41))</f>
        <v/>
      </c>
      <c r="P41" s="31" t="str">
        <f aca="false">IF(A41="","",N(I41)*N(F41))</f>
        <v/>
      </c>
      <c r="Q41" s="74" t="str">
        <f aca="false">IF(A41="","",IF(H41="En panne","En panne",IF(AND(N41&lt;&gt;"",N(N41)&gt;P_TolConso),"Surconsommation",IF(AND(O41&lt;&gt;"",N(O41)&lt;P_DispoMin),"Disponibilité faible","OK"))))</f>
        <v/>
      </c>
    </row>
    <row r="42" customFormat="false" ht="15" hidden="false" customHeight="false" outlineLevel="0" collapsed="false">
      <c r="A42" s="68"/>
      <c r="B42" s="25"/>
      <c r="C42" s="25"/>
      <c r="D42" s="68"/>
      <c r="E42" s="25"/>
      <c r="F42" s="28"/>
      <c r="G42" s="89"/>
      <c r="H42" s="68"/>
      <c r="I42" s="83" t="str">
        <f aca="false">IF(A42="","",SUMIFS(EJ_HM,EJ_Code,A42))</f>
        <v/>
      </c>
      <c r="J42" s="83" t="str">
        <f aca="false">IF(A42="","",SUMIFS(EJ_HP,EJ_Code,A42))</f>
        <v/>
      </c>
      <c r="K42" s="83" t="str">
        <f aca="false">IF(A42="","",SUMIFS(EJ_HI,EJ_Code,A42))</f>
        <v/>
      </c>
      <c r="L42" s="31" t="str">
        <f aca="false">IF(A42="","",SUMIFS(EJ_Gas,EJ_Code,A42))</f>
        <v/>
      </c>
      <c r="M42" s="90" t="str">
        <f aca="false">IF(OR(A42="",N(I42)=0),"",L42/I42)</f>
        <v/>
      </c>
      <c r="N42" s="73" t="str">
        <f aca="false">IF(OR(M42="",N(G42)=0),"",M42/G42-1)</f>
        <v/>
      </c>
      <c r="O42" s="73" t="str">
        <f aca="false">IF(OR(A42="",N(I42)+N(J42)=0),"",I42/(I42+J42))</f>
        <v/>
      </c>
      <c r="P42" s="31" t="str">
        <f aca="false">IF(A42="","",N(I42)*N(F42))</f>
        <v/>
      </c>
      <c r="Q42" s="74" t="str">
        <f aca="false">IF(A42="","",IF(H42="En panne","En panne",IF(AND(N42&lt;&gt;"",N(N42)&gt;P_TolConso),"Surconsommation",IF(AND(O42&lt;&gt;"",N(O42)&lt;P_DispoMin),"Disponibilité faible","OK"))))</f>
        <v/>
      </c>
    </row>
    <row r="43" customFormat="false" ht="15" hidden="false" customHeight="false" outlineLevel="0" collapsed="false">
      <c r="A43" s="68"/>
      <c r="B43" s="25"/>
      <c r="C43" s="25"/>
      <c r="D43" s="68"/>
      <c r="E43" s="25"/>
      <c r="F43" s="28"/>
      <c r="G43" s="89"/>
      <c r="H43" s="68"/>
      <c r="I43" s="83" t="str">
        <f aca="false">IF(A43="","",SUMIFS(EJ_HM,EJ_Code,A43))</f>
        <v/>
      </c>
      <c r="J43" s="83" t="str">
        <f aca="false">IF(A43="","",SUMIFS(EJ_HP,EJ_Code,A43))</f>
        <v/>
      </c>
      <c r="K43" s="83" t="str">
        <f aca="false">IF(A43="","",SUMIFS(EJ_HI,EJ_Code,A43))</f>
        <v/>
      </c>
      <c r="L43" s="31" t="str">
        <f aca="false">IF(A43="","",SUMIFS(EJ_Gas,EJ_Code,A43))</f>
        <v/>
      </c>
      <c r="M43" s="90" t="str">
        <f aca="false">IF(OR(A43="",N(I43)=0),"",L43/I43)</f>
        <v/>
      </c>
      <c r="N43" s="73" t="str">
        <f aca="false">IF(OR(M43="",N(G43)=0),"",M43/G43-1)</f>
        <v/>
      </c>
      <c r="O43" s="73" t="str">
        <f aca="false">IF(OR(A43="",N(I43)+N(J43)=0),"",I43/(I43+J43))</f>
        <v/>
      </c>
      <c r="P43" s="31" t="str">
        <f aca="false">IF(A43="","",N(I43)*N(F43))</f>
        <v/>
      </c>
      <c r="Q43" s="74" t="str">
        <f aca="false">IF(A43="","",IF(H43="En panne","En panne",IF(AND(N43&lt;&gt;"",N(N43)&gt;P_TolConso),"Surconsommation",IF(AND(O43&lt;&gt;"",N(O43)&lt;P_DispoMin),"Disponibilité faible","OK"))))</f>
        <v/>
      </c>
    </row>
    <row r="44" customFormat="false" ht="15" hidden="false" customHeight="false" outlineLevel="0" collapsed="false">
      <c r="A44" s="68"/>
      <c r="B44" s="25"/>
      <c r="C44" s="25"/>
      <c r="D44" s="68"/>
      <c r="E44" s="25"/>
      <c r="F44" s="28"/>
      <c r="G44" s="89"/>
      <c r="H44" s="68"/>
      <c r="I44" s="83" t="str">
        <f aca="false">IF(A44="","",SUMIFS(EJ_HM,EJ_Code,A44))</f>
        <v/>
      </c>
      <c r="J44" s="83" t="str">
        <f aca="false">IF(A44="","",SUMIFS(EJ_HP,EJ_Code,A44))</f>
        <v/>
      </c>
      <c r="K44" s="83" t="str">
        <f aca="false">IF(A44="","",SUMIFS(EJ_HI,EJ_Code,A44))</f>
        <v/>
      </c>
      <c r="L44" s="31" t="str">
        <f aca="false">IF(A44="","",SUMIFS(EJ_Gas,EJ_Code,A44))</f>
        <v/>
      </c>
      <c r="M44" s="90" t="str">
        <f aca="false">IF(OR(A44="",N(I44)=0),"",L44/I44)</f>
        <v/>
      </c>
      <c r="N44" s="73" t="str">
        <f aca="false">IF(OR(M44="",N(G44)=0),"",M44/G44-1)</f>
        <v/>
      </c>
      <c r="O44" s="73" t="str">
        <f aca="false">IF(OR(A44="",N(I44)+N(J44)=0),"",I44/(I44+J44))</f>
        <v/>
      </c>
      <c r="P44" s="31" t="str">
        <f aca="false">IF(A44="","",N(I44)*N(F44))</f>
        <v/>
      </c>
      <c r="Q44" s="74" t="str">
        <f aca="false">IF(A44="","",IF(H44="En panne","En panne",IF(AND(N44&lt;&gt;"",N(N44)&gt;P_TolConso),"Surconsommation",IF(AND(O44&lt;&gt;"",N(O44)&lt;P_DispoMin),"Disponibilité faible","OK"))))</f>
        <v/>
      </c>
    </row>
    <row r="45" customFormat="false" ht="15" hidden="false" customHeight="false" outlineLevel="0" collapsed="false">
      <c r="A45" s="68"/>
      <c r="B45" s="25"/>
      <c r="C45" s="25"/>
      <c r="D45" s="68"/>
      <c r="E45" s="25"/>
      <c r="F45" s="28"/>
      <c r="G45" s="89"/>
      <c r="H45" s="68"/>
      <c r="I45" s="83" t="str">
        <f aca="false">IF(A45="","",SUMIFS(EJ_HM,EJ_Code,A45))</f>
        <v/>
      </c>
      <c r="J45" s="83" t="str">
        <f aca="false">IF(A45="","",SUMIFS(EJ_HP,EJ_Code,A45))</f>
        <v/>
      </c>
      <c r="K45" s="83" t="str">
        <f aca="false">IF(A45="","",SUMIFS(EJ_HI,EJ_Code,A45))</f>
        <v/>
      </c>
      <c r="L45" s="31" t="str">
        <f aca="false">IF(A45="","",SUMIFS(EJ_Gas,EJ_Code,A45))</f>
        <v/>
      </c>
      <c r="M45" s="90" t="str">
        <f aca="false">IF(OR(A45="",N(I45)=0),"",L45/I45)</f>
        <v/>
      </c>
      <c r="N45" s="73" t="str">
        <f aca="false">IF(OR(M45="",N(G45)=0),"",M45/G45-1)</f>
        <v/>
      </c>
      <c r="O45" s="73" t="str">
        <f aca="false">IF(OR(A45="",N(I45)+N(J45)=0),"",I45/(I45+J45))</f>
        <v/>
      </c>
      <c r="P45" s="31" t="str">
        <f aca="false">IF(A45="","",N(I45)*N(F45))</f>
        <v/>
      </c>
      <c r="Q45" s="74" t="str">
        <f aca="false">IF(A45="","",IF(H45="En panne","En panne",IF(AND(N45&lt;&gt;"",N(N45)&gt;P_TolConso),"Surconsommation",IF(AND(O45&lt;&gt;"",N(O45)&lt;P_DispoMin),"Disponibilité faible","OK"))))</f>
        <v/>
      </c>
    </row>
    <row r="46" customFormat="false" ht="15" hidden="false" customHeight="false" outlineLevel="0" collapsed="false">
      <c r="A46" s="68"/>
      <c r="B46" s="25"/>
      <c r="C46" s="25"/>
      <c r="D46" s="68"/>
      <c r="E46" s="25"/>
      <c r="F46" s="28"/>
      <c r="G46" s="89"/>
      <c r="H46" s="68"/>
      <c r="I46" s="83" t="str">
        <f aca="false">IF(A46="","",SUMIFS(EJ_HM,EJ_Code,A46))</f>
        <v/>
      </c>
      <c r="J46" s="83" t="str">
        <f aca="false">IF(A46="","",SUMIFS(EJ_HP,EJ_Code,A46))</f>
        <v/>
      </c>
      <c r="K46" s="83" t="str">
        <f aca="false">IF(A46="","",SUMIFS(EJ_HI,EJ_Code,A46))</f>
        <v/>
      </c>
      <c r="L46" s="31" t="str">
        <f aca="false">IF(A46="","",SUMIFS(EJ_Gas,EJ_Code,A46))</f>
        <v/>
      </c>
      <c r="M46" s="90" t="str">
        <f aca="false">IF(OR(A46="",N(I46)=0),"",L46/I46)</f>
        <v/>
      </c>
      <c r="N46" s="73" t="str">
        <f aca="false">IF(OR(M46="",N(G46)=0),"",M46/G46-1)</f>
        <v/>
      </c>
      <c r="O46" s="73" t="str">
        <f aca="false">IF(OR(A46="",N(I46)+N(J46)=0),"",I46/(I46+J46))</f>
        <v/>
      </c>
      <c r="P46" s="31" t="str">
        <f aca="false">IF(A46="","",N(I46)*N(F46))</f>
        <v/>
      </c>
      <c r="Q46" s="74" t="str">
        <f aca="false">IF(A46="","",IF(H46="En panne","En panne",IF(AND(N46&lt;&gt;"",N(N46)&gt;P_TolConso),"Surconsommation",IF(AND(O46&lt;&gt;"",N(O46)&lt;P_DispoMin),"Disponibilité faible","OK"))))</f>
        <v/>
      </c>
    </row>
    <row r="47" customFormat="false" ht="15" hidden="false" customHeight="false" outlineLevel="0" collapsed="false">
      <c r="A47" s="68"/>
      <c r="B47" s="25"/>
      <c r="C47" s="25"/>
      <c r="D47" s="68"/>
      <c r="E47" s="25"/>
      <c r="F47" s="28"/>
      <c r="G47" s="89"/>
      <c r="H47" s="68"/>
      <c r="I47" s="83" t="str">
        <f aca="false">IF(A47="","",SUMIFS(EJ_HM,EJ_Code,A47))</f>
        <v/>
      </c>
      <c r="J47" s="83" t="str">
        <f aca="false">IF(A47="","",SUMIFS(EJ_HP,EJ_Code,A47))</f>
        <v/>
      </c>
      <c r="K47" s="83" t="str">
        <f aca="false">IF(A47="","",SUMIFS(EJ_HI,EJ_Code,A47))</f>
        <v/>
      </c>
      <c r="L47" s="31" t="str">
        <f aca="false">IF(A47="","",SUMIFS(EJ_Gas,EJ_Code,A47))</f>
        <v/>
      </c>
      <c r="M47" s="90" t="str">
        <f aca="false">IF(OR(A47="",N(I47)=0),"",L47/I47)</f>
        <v/>
      </c>
      <c r="N47" s="73" t="str">
        <f aca="false">IF(OR(M47="",N(G47)=0),"",M47/G47-1)</f>
        <v/>
      </c>
      <c r="O47" s="73" t="str">
        <f aca="false">IF(OR(A47="",N(I47)+N(J47)=0),"",I47/(I47+J47))</f>
        <v/>
      </c>
      <c r="P47" s="31" t="str">
        <f aca="false">IF(A47="","",N(I47)*N(F47))</f>
        <v/>
      </c>
      <c r="Q47" s="74" t="str">
        <f aca="false">IF(A47="","",IF(H47="En panne","En panne",IF(AND(N47&lt;&gt;"",N(N47)&gt;P_TolConso),"Surconsommation",IF(AND(O47&lt;&gt;"",N(O47)&lt;P_DispoMin),"Disponibilité faible","OK"))))</f>
        <v/>
      </c>
    </row>
    <row r="48" customFormat="false" ht="15" hidden="false" customHeight="false" outlineLevel="0" collapsed="false">
      <c r="A48" s="68"/>
      <c r="B48" s="25"/>
      <c r="C48" s="25"/>
      <c r="D48" s="68"/>
      <c r="E48" s="25"/>
      <c r="F48" s="28"/>
      <c r="G48" s="89"/>
      <c r="H48" s="68"/>
      <c r="I48" s="83" t="str">
        <f aca="false">IF(A48="","",SUMIFS(EJ_HM,EJ_Code,A48))</f>
        <v/>
      </c>
      <c r="J48" s="83" t="str">
        <f aca="false">IF(A48="","",SUMIFS(EJ_HP,EJ_Code,A48))</f>
        <v/>
      </c>
      <c r="K48" s="83" t="str">
        <f aca="false">IF(A48="","",SUMIFS(EJ_HI,EJ_Code,A48))</f>
        <v/>
      </c>
      <c r="L48" s="31" t="str">
        <f aca="false">IF(A48="","",SUMIFS(EJ_Gas,EJ_Code,A48))</f>
        <v/>
      </c>
      <c r="M48" s="90" t="str">
        <f aca="false">IF(OR(A48="",N(I48)=0),"",L48/I48)</f>
        <v/>
      </c>
      <c r="N48" s="73" t="str">
        <f aca="false">IF(OR(M48="",N(G48)=0),"",M48/G48-1)</f>
        <v/>
      </c>
      <c r="O48" s="73" t="str">
        <f aca="false">IF(OR(A48="",N(I48)+N(J48)=0),"",I48/(I48+J48))</f>
        <v/>
      </c>
      <c r="P48" s="31" t="str">
        <f aca="false">IF(A48="","",N(I48)*N(F48))</f>
        <v/>
      </c>
      <c r="Q48" s="74" t="str">
        <f aca="false">IF(A48="","",IF(H48="En panne","En panne",IF(AND(N48&lt;&gt;"",N(N48)&gt;P_TolConso),"Surconsommation",IF(AND(O48&lt;&gt;"",N(O48)&lt;P_DispoMin),"Disponibilité faible","OK"))))</f>
        <v/>
      </c>
    </row>
    <row r="49" customFormat="false" ht="15" hidden="false" customHeight="false" outlineLevel="0" collapsed="false">
      <c r="A49" s="68"/>
      <c r="B49" s="25"/>
      <c r="C49" s="25"/>
      <c r="D49" s="68"/>
      <c r="E49" s="25"/>
      <c r="F49" s="28"/>
      <c r="G49" s="89"/>
      <c r="H49" s="68"/>
      <c r="I49" s="83" t="str">
        <f aca="false">IF(A49="","",SUMIFS(EJ_HM,EJ_Code,A49))</f>
        <v/>
      </c>
      <c r="J49" s="83" t="str">
        <f aca="false">IF(A49="","",SUMIFS(EJ_HP,EJ_Code,A49))</f>
        <v/>
      </c>
      <c r="K49" s="83" t="str">
        <f aca="false">IF(A49="","",SUMIFS(EJ_HI,EJ_Code,A49))</f>
        <v/>
      </c>
      <c r="L49" s="31" t="str">
        <f aca="false">IF(A49="","",SUMIFS(EJ_Gas,EJ_Code,A49))</f>
        <v/>
      </c>
      <c r="M49" s="90" t="str">
        <f aca="false">IF(OR(A49="",N(I49)=0),"",L49/I49)</f>
        <v/>
      </c>
      <c r="N49" s="73" t="str">
        <f aca="false">IF(OR(M49="",N(G49)=0),"",M49/G49-1)</f>
        <v/>
      </c>
      <c r="O49" s="73" t="str">
        <f aca="false">IF(OR(A49="",N(I49)+N(J49)=0),"",I49/(I49+J49))</f>
        <v/>
      </c>
      <c r="P49" s="31" t="str">
        <f aca="false">IF(A49="","",N(I49)*N(F49))</f>
        <v/>
      </c>
      <c r="Q49" s="74" t="str">
        <f aca="false">IF(A49="","",IF(H49="En panne","En panne",IF(AND(N49&lt;&gt;"",N(N49)&gt;P_TolConso),"Surconsommation",IF(AND(O49&lt;&gt;"",N(O49)&lt;P_DispoMin),"Disponibilité faible","OK"))))</f>
        <v/>
      </c>
    </row>
    <row r="50" customFormat="false" ht="15" hidden="false" customHeight="false" outlineLevel="0" collapsed="false">
      <c r="A50" s="68"/>
      <c r="B50" s="25"/>
      <c r="C50" s="25"/>
      <c r="D50" s="68"/>
      <c r="E50" s="25"/>
      <c r="F50" s="28"/>
      <c r="G50" s="89"/>
      <c r="H50" s="68"/>
      <c r="I50" s="83" t="str">
        <f aca="false">IF(A50="","",SUMIFS(EJ_HM,EJ_Code,A50))</f>
        <v/>
      </c>
      <c r="J50" s="83" t="str">
        <f aca="false">IF(A50="","",SUMIFS(EJ_HP,EJ_Code,A50))</f>
        <v/>
      </c>
      <c r="K50" s="83" t="str">
        <f aca="false">IF(A50="","",SUMIFS(EJ_HI,EJ_Code,A50))</f>
        <v/>
      </c>
      <c r="L50" s="31" t="str">
        <f aca="false">IF(A50="","",SUMIFS(EJ_Gas,EJ_Code,A50))</f>
        <v/>
      </c>
      <c r="M50" s="90" t="str">
        <f aca="false">IF(OR(A50="",N(I50)=0),"",L50/I50)</f>
        <v/>
      </c>
      <c r="N50" s="73" t="str">
        <f aca="false">IF(OR(M50="",N(G50)=0),"",M50/G50-1)</f>
        <v/>
      </c>
      <c r="O50" s="73" t="str">
        <f aca="false">IF(OR(A50="",N(I50)+N(J50)=0),"",I50/(I50+J50))</f>
        <v/>
      </c>
      <c r="P50" s="31" t="str">
        <f aca="false">IF(A50="","",N(I50)*N(F50))</f>
        <v/>
      </c>
      <c r="Q50" s="74" t="str">
        <f aca="false">IF(A50="","",IF(H50="En panne","En panne",IF(AND(N50&lt;&gt;"",N(N50)&gt;P_TolConso),"Surconsommation",IF(AND(O50&lt;&gt;"",N(O50)&lt;P_DispoMin),"Disponibilité faible","OK"))))</f>
        <v/>
      </c>
    </row>
    <row r="51" customFormat="false" ht="15" hidden="false" customHeight="false" outlineLevel="0" collapsed="false">
      <c r="A51" s="68"/>
      <c r="B51" s="25"/>
      <c r="C51" s="25"/>
      <c r="D51" s="68"/>
      <c r="E51" s="25"/>
      <c r="F51" s="28"/>
      <c r="G51" s="89"/>
      <c r="H51" s="68"/>
      <c r="I51" s="83" t="str">
        <f aca="false">IF(A51="","",SUMIFS(EJ_HM,EJ_Code,A51))</f>
        <v/>
      </c>
      <c r="J51" s="83" t="str">
        <f aca="false">IF(A51="","",SUMIFS(EJ_HP,EJ_Code,A51))</f>
        <v/>
      </c>
      <c r="K51" s="83" t="str">
        <f aca="false">IF(A51="","",SUMIFS(EJ_HI,EJ_Code,A51))</f>
        <v/>
      </c>
      <c r="L51" s="31" t="str">
        <f aca="false">IF(A51="","",SUMIFS(EJ_Gas,EJ_Code,A51))</f>
        <v/>
      </c>
      <c r="M51" s="90" t="str">
        <f aca="false">IF(OR(A51="",N(I51)=0),"",L51/I51)</f>
        <v/>
      </c>
      <c r="N51" s="73" t="str">
        <f aca="false">IF(OR(M51="",N(G51)=0),"",M51/G51-1)</f>
        <v/>
      </c>
      <c r="O51" s="73" t="str">
        <f aca="false">IF(OR(A51="",N(I51)+N(J51)=0),"",I51/(I51+J51))</f>
        <v/>
      </c>
      <c r="P51" s="31" t="str">
        <f aca="false">IF(A51="","",N(I51)*N(F51))</f>
        <v/>
      </c>
      <c r="Q51" s="74" t="str">
        <f aca="false">IF(A51="","",IF(H51="En panne","En panne",IF(AND(N51&lt;&gt;"",N(N51)&gt;P_TolConso),"Surconsommation",IF(AND(O51&lt;&gt;"",N(O51)&lt;P_DispoMin),"Disponibilité faible","OK"))))</f>
        <v/>
      </c>
    </row>
    <row r="52" customFormat="false" ht="15" hidden="false" customHeight="false" outlineLevel="0" collapsed="false">
      <c r="A52" s="68"/>
      <c r="B52" s="25"/>
      <c r="C52" s="25"/>
      <c r="D52" s="68"/>
      <c r="E52" s="25"/>
      <c r="F52" s="28"/>
      <c r="G52" s="89"/>
      <c r="H52" s="68"/>
      <c r="I52" s="83" t="str">
        <f aca="false">IF(A52="","",SUMIFS(EJ_HM,EJ_Code,A52))</f>
        <v/>
      </c>
      <c r="J52" s="83" t="str">
        <f aca="false">IF(A52="","",SUMIFS(EJ_HP,EJ_Code,A52))</f>
        <v/>
      </c>
      <c r="K52" s="83" t="str">
        <f aca="false">IF(A52="","",SUMIFS(EJ_HI,EJ_Code,A52))</f>
        <v/>
      </c>
      <c r="L52" s="31" t="str">
        <f aca="false">IF(A52="","",SUMIFS(EJ_Gas,EJ_Code,A52))</f>
        <v/>
      </c>
      <c r="M52" s="90" t="str">
        <f aca="false">IF(OR(A52="",N(I52)=0),"",L52/I52)</f>
        <v/>
      </c>
      <c r="N52" s="73" t="str">
        <f aca="false">IF(OR(M52="",N(G52)=0),"",M52/G52-1)</f>
        <v/>
      </c>
      <c r="O52" s="73" t="str">
        <f aca="false">IF(OR(A52="",N(I52)+N(J52)=0),"",I52/(I52+J52))</f>
        <v/>
      </c>
      <c r="P52" s="31" t="str">
        <f aca="false">IF(A52="","",N(I52)*N(F52))</f>
        <v/>
      </c>
      <c r="Q52" s="74" t="str">
        <f aca="false">IF(A52="","",IF(H52="En panne","En panne",IF(AND(N52&lt;&gt;"",N(N52)&gt;P_TolConso),"Surconsommation",IF(AND(O52&lt;&gt;"",N(O52)&lt;P_DispoMin),"Disponibilité faible","OK"))))</f>
        <v/>
      </c>
    </row>
    <row r="53" customFormat="false" ht="15" hidden="false" customHeight="false" outlineLevel="0" collapsed="false">
      <c r="A53" s="68"/>
      <c r="B53" s="25"/>
      <c r="C53" s="25"/>
      <c r="D53" s="68"/>
      <c r="E53" s="25"/>
      <c r="F53" s="28"/>
      <c r="G53" s="89"/>
      <c r="H53" s="68"/>
      <c r="I53" s="83" t="str">
        <f aca="false">IF(A53="","",SUMIFS(EJ_HM,EJ_Code,A53))</f>
        <v/>
      </c>
      <c r="J53" s="83" t="str">
        <f aca="false">IF(A53="","",SUMIFS(EJ_HP,EJ_Code,A53))</f>
        <v/>
      </c>
      <c r="K53" s="83" t="str">
        <f aca="false">IF(A53="","",SUMIFS(EJ_HI,EJ_Code,A53))</f>
        <v/>
      </c>
      <c r="L53" s="31" t="str">
        <f aca="false">IF(A53="","",SUMIFS(EJ_Gas,EJ_Code,A53))</f>
        <v/>
      </c>
      <c r="M53" s="90" t="str">
        <f aca="false">IF(OR(A53="",N(I53)=0),"",L53/I53)</f>
        <v/>
      </c>
      <c r="N53" s="73" t="str">
        <f aca="false">IF(OR(M53="",N(G53)=0),"",M53/G53-1)</f>
        <v/>
      </c>
      <c r="O53" s="73" t="str">
        <f aca="false">IF(OR(A53="",N(I53)+N(J53)=0),"",I53/(I53+J53))</f>
        <v/>
      </c>
      <c r="P53" s="31" t="str">
        <f aca="false">IF(A53="","",N(I53)*N(F53))</f>
        <v/>
      </c>
      <c r="Q53" s="74" t="str">
        <f aca="false">IF(A53="","",IF(H53="En panne","En panne",IF(AND(N53&lt;&gt;"",N(N53)&gt;P_TolConso),"Surconsommation",IF(AND(O53&lt;&gt;"",N(O53)&lt;P_DispoMin),"Disponibilité faible","OK"))))</f>
        <v/>
      </c>
    </row>
    <row r="54" customFormat="false" ht="15" hidden="false" customHeight="false" outlineLevel="0" collapsed="false">
      <c r="A54" s="68"/>
      <c r="B54" s="25"/>
      <c r="C54" s="25"/>
      <c r="D54" s="68"/>
      <c r="E54" s="25"/>
      <c r="F54" s="28"/>
      <c r="G54" s="89"/>
      <c r="H54" s="68"/>
      <c r="I54" s="83" t="str">
        <f aca="false">IF(A54="","",SUMIFS(EJ_HM,EJ_Code,A54))</f>
        <v/>
      </c>
      <c r="J54" s="83" t="str">
        <f aca="false">IF(A54="","",SUMIFS(EJ_HP,EJ_Code,A54))</f>
        <v/>
      </c>
      <c r="K54" s="83" t="str">
        <f aca="false">IF(A54="","",SUMIFS(EJ_HI,EJ_Code,A54))</f>
        <v/>
      </c>
      <c r="L54" s="31" t="str">
        <f aca="false">IF(A54="","",SUMIFS(EJ_Gas,EJ_Code,A54))</f>
        <v/>
      </c>
      <c r="M54" s="90" t="str">
        <f aca="false">IF(OR(A54="",N(I54)=0),"",L54/I54)</f>
        <v/>
      </c>
      <c r="N54" s="73" t="str">
        <f aca="false">IF(OR(M54="",N(G54)=0),"",M54/G54-1)</f>
        <v/>
      </c>
      <c r="O54" s="73" t="str">
        <f aca="false">IF(OR(A54="",N(I54)+N(J54)=0),"",I54/(I54+J54))</f>
        <v/>
      </c>
      <c r="P54" s="31" t="str">
        <f aca="false">IF(A54="","",N(I54)*N(F54))</f>
        <v/>
      </c>
      <c r="Q54" s="74" t="str">
        <f aca="false">IF(A54="","",IF(H54="En panne","En panne",IF(AND(N54&lt;&gt;"",N(N54)&gt;P_TolConso),"Surconsommation",IF(AND(O54&lt;&gt;"",N(O54)&lt;P_DispoMin),"Disponibilité faible","OK"))))</f>
        <v/>
      </c>
    </row>
    <row r="55" customFormat="false" ht="15" hidden="false" customHeight="false" outlineLevel="0" collapsed="false">
      <c r="A55" s="68"/>
      <c r="B55" s="25"/>
      <c r="C55" s="25"/>
      <c r="D55" s="68"/>
      <c r="E55" s="25"/>
      <c r="F55" s="28"/>
      <c r="G55" s="89"/>
      <c r="H55" s="68"/>
      <c r="I55" s="83" t="str">
        <f aca="false">IF(A55="","",SUMIFS(EJ_HM,EJ_Code,A55))</f>
        <v/>
      </c>
      <c r="J55" s="83" t="str">
        <f aca="false">IF(A55="","",SUMIFS(EJ_HP,EJ_Code,A55))</f>
        <v/>
      </c>
      <c r="K55" s="83" t="str">
        <f aca="false">IF(A55="","",SUMIFS(EJ_HI,EJ_Code,A55))</f>
        <v/>
      </c>
      <c r="L55" s="31" t="str">
        <f aca="false">IF(A55="","",SUMIFS(EJ_Gas,EJ_Code,A55))</f>
        <v/>
      </c>
      <c r="M55" s="90" t="str">
        <f aca="false">IF(OR(A55="",N(I55)=0),"",L55/I55)</f>
        <v/>
      </c>
      <c r="N55" s="73" t="str">
        <f aca="false">IF(OR(M55="",N(G55)=0),"",M55/G55-1)</f>
        <v/>
      </c>
      <c r="O55" s="73" t="str">
        <f aca="false">IF(OR(A55="",N(I55)+N(J55)=0),"",I55/(I55+J55))</f>
        <v/>
      </c>
      <c r="P55" s="31" t="str">
        <f aca="false">IF(A55="","",N(I55)*N(F55))</f>
        <v/>
      </c>
      <c r="Q55" s="74" t="str">
        <f aca="false">IF(A55="","",IF(H55="En panne","En panne",IF(AND(N55&lt;&gt;"",N(N55)&gt;P_TolConso),"Surconsommation",IF(AND(O55&lt;&gt;"",N(O55)&lt;P_DispoMin),"Disponibilité faible","OK"))))</f>
        <v/>
      </c>
    </row>
    <row r="56" customFormat="false" ht="15" hidden="false" customHeight="false" outlineLevel="0" collapsed="false">
      <c r="A56" s="68"/>
      <c r="B56" s="25"/>
      <c r="C56" s="25"/>
      <c r="D56" s="68"/>
      <c r="E56" s="25"/>
      <c r="F56" s="28"/>
      <c r="G56" s="89"/>
      <c r="H56" s="68"/>
      <c r="I56" s="83" t="str">
        <f aca="false">IF(A56="","",SUMIFS(EJ_HM,EJ_Code,A56))</f>
        <v/>
      </c>
      <c r="J56" s="83" t="str">
        <f aca="false">IF(A56="","",SUMIFS(EJ_HP,EJ_Code,A56))</f>
        <v/>
      </c>
      <c r="K56" s="83" t="str">
        <f aca="false">IF(A56="","",SUMIFS(EJ_HI,EJ_Code,A56))</f>
        <v/>
      </c>
      <c r="L56" s="31" t="str">
        <f aca="false">IF(A56="","",SUMIFS(EJ_Gas,EJ_Code,A56))</f>
        <v/>
      </c>
      <c r="M56" s="90" t="str">
        <f aca="false">IF(OR(A56="",N(I56)=0),"",L56/I56)</f>
        <v/>
      </c>
      <c r="N56" s="73" t="str">
        <f aca="false">IF(OR(M56="",N(G56)=0),"",M56/G56-1)</f>
        <v/>
      </c>
      <c r="O56" s="73" t="str">
        <f aca="false">IF(OR(A56="",N(I56)+N(J56)=0),"",I56/(I56+J56))</f>
        <v/>
      </c>
      <c r="P56" s="31" t="str">
        <f aca="false">IF(A56="","",N(I56)*N(F56))</f>
        <v/>
      </c>
      <c r="Q56" s="74" t="str">
        <f aca="false">IF(A56="","",IF(H56="En panne","En panne",IF(AND(N56&lt;&gt;"",N(N56)&gt;P_TolConso),"Surconsommation",IF(AND(O56&lt;&gt;"",N(O56)&lt;P_DispoMin),"Disponibilité faible","OK"))))</f>
        <v/>
      </c>
    </row>
  </sheetData>
  <autoFilter ref="A6:Q56"/>
  <mergeCells count="4">
    <mergeCell ref="A1:Q1"/>
    <mergeCell ref="A2:Q2"/>
    <mergeCell ref="A3:Q3"/>
    <mergeCell ref="A4:Q4"/>
  </mergeCells>
  <conditionalFormatting sqref="Q7:Q56">
    <cfRule type="cellIs" priority="2" operator="equal" aboveAverage="0" equalAverage="0" bottom="0" percent="0" rank="0" text="" dxfId="3">
      <formula>"En panne"</formula>
    </cfRule>
    <cfRule type="cellIs" priority="3" operator="equal" aboveAverage="0" equalAverage="0" bottom="0" percent="0" rank="0" text="" dxfId="2">
      <formula>"Surconsommation"</formula>
    </cfRule>
    <cfRule type="cellIs" priority="4" operator="equal" aboveAverage="0" equalAverage="0" bottom="0" percent="0" rank="0" text="" dxfId="2">
      <formula>"Disponibilité faible"</formula>
    </cfRule>
    <cfRule type="cellIs" priority="5" operator="equal" aboveAverage="0" equalAverage="0" bottom="0" percent="0" rank="0" text="" dxfId="1">
      <formula>"OK"</formula>
    </cfRule>
  </conditionalFormatting>
  <conditionalFormatting sqref="H7:H56">
    <cfRule type="cellIs" priority="6" operator="equal" aboveAverage="0" equalAverage="0" bottom="0" percent="0" rank="0" text="" dxfId="3">
      <formula>"En panne"</formula>
    </cfRule>
    <cfRule type="cellIs" priority="7" operator="equal" aboveAverage="0" equalAverage="0" bottom="0" percent="0" rank="0" text="" dxfId="3">
      <formula>"En réparation"</formula>
    </cfRule>
    <cfRule type="cellIs" priority="8" operator="equal" aboveAverage="0" equalAverage="0" bottom="0" percent="0" rank="0" text="" dxfId="1">
      <formula>"En service"</formula>
    </cfRule>
    <cfRule type="cellIs" priority="9" operator="equal" aboveAverage="0" equalAverage="0" bottom="0" percent="0" rank="0" text="" dxfId="5">
      <formula>"Non mobilisé"</formula>
    </cfRule>
    <cfRule type="cellIs" priority="10" operator="equal" aboveAverage="0" equalAverage="0" bottom="0" percent="0" rank="0" text="" dxfId="5">
      <formula>"Restitué"</formula>
    </cfRule>
  </conditionalFormatting>
  <dataValidations count="3">
    <dataValidation allowBlank="true" errorStyle="stop" operator="between" showDropDown="false" showErrorMessage="true" showInputMessage="false" sqref="D7:D56" type="list">
      <formula1>L_Propriete</formula1>
      <formula2>0</formula2>
    </dataValidation>
    <dataValidation allowBlank="true" errorStyle="stop" operator="between" showDropDown="false" showErrorMessage="false" showInputMessage="false" sqref="E7:E56" type="list">
      <formula1>L_Fourn</formula1>
      <formula2>0</formula2>
    </dataValidation>
    <dataValidation allowBlank="true" errorStyle="stop" operator="between" showDropDown="false" showErrorMessage="true" showInputMessage="false" sqref="H7:H56" type="list">
      <formula1>L_EtatEng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true"/>
  </sheetPr>
  <dimension ref="A1:Q1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5" min="4" style="0" width="20"/>
    <col collapsed="false" customWidth="true" hidden="false" outlineLevel="0" max="7" min="6" style="0" width="9"/>
    <col collapsed="false" customWidth="true" hidden="false" outlineLevel="0" max="11" min="8" style="0" width="8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4"/>
    <col collapsed="false" customWidth="true" hidden="false" outlineLevel="0" max="16" min="16" style="0" width="9"/>
    <col collapsed="false" customWidth="true" hidden="false" outlineLevel="0" max="17" min="17" style="0" width="28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customFormat="false" ht="19.5" hidden="false" customHeight="true" outlineLevel="0" collapsed="false">
      <c r="A2" s="20" t="s">
        <v>1047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30" hidden="false" customHeight="true" outlineLevel="0" collapsed="false">
      <c r="A4" s="21" t="s">
        <v>1048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6" customFormat="false" ht="31.5" hidden="false" customHeight="true" outlineLevel="0" collapsed="false">
      <c r="A6" s="23" t="s">
        <v>571</v>
      </c>
      <c r="B6" s="23" t="s">
        <v>1010</v>
      </c>
      <c r="C6" s="23" t="s">
        <v>436</v>
      </c>
      <c r="D6" s="23" t="s">
        <v>319</v>
      </c>
      <c r="E6" s="23" t="s">
        <v>1049</v>
      </c>
      <c r="F6" s="23" t="s">
        <v>1050</v>
      </c>
      <c r="G6" s="23" t="s">
        <v>1051</v>
      </c>
      <c r="H6" s="23" t="s">
        <v>1016</v>
      </c>
      <c r="I6" s="23" t="s">
        <v>1017</v>
      </c>
      <c r="J6" s="23" t="s">
        <v>1018</v>
      </c>
      <c r="K6" s="23" t="s">
        <v>1052</v>
      </c>
      <c r="L6" s="23" t="s">
        <v>1053</v>
      </c>
      <c r="M6" s="23" t="s">
        <v>1054</v>
      </c>
      <c r="N6" s="23" t="s">
        <v>1055</v>
      </c>
      <c r="O6" s="23" t="s">
        <v>1056</v>
      </c>
      <c r="P6" s="23" t="s">
        <v>1057</v>
      </c>
      <c r="Q6" s="23" t="s">
        <v>1058</v>
      </c>
    </row>
    <row r="7" customFormat="false" ht="23.85" hidden="false" customHeight="false" outlineLevel="0" collapsed="false">
      <c r="A7" s="69" t="n">
        <v>46307</v>
      </c>
      <c r="B7" s="68" t="s">
        <v>1023</v>
      </c>
      <c r="C7" s="76" t="str">
        <f aca="false">IF(B7="","",IFERROR(INDEX(EN_Des,MATCH(B7,EN_Code,0)),"Code inconnu"))</f>
        <v>Niveleuse 140 (reprofilage)</v>
      </c>
      <c r="D7" s="25" t="s">
        <v>151</v>
      </c>
      <c r="E7" s="25" t="s">
        <v>792</v>
      </c>
      <c r="F7" s="82" t="n">
        <v>2150</v>
      </c>
      <c r="G7" s="82" t="n">
        <v>2158</v>
      </c>
      <c r="H7" s="83" t="n">
        <f aca="false">IF(OR(F7="",G7=""),"",G7-F7)</f>
        <v>8</v>
      </c>
      <c r="I7" s="82"/>
      <c r="J7" s="82"/>
      <c r="K7" s="28" t="n">
        <v>144</v>
      </c>
      <c r="L7" s="90" t="n">
        <f aca="false">IF(OR(K7="",N(H7)=0),"",K7/H7)</f>
        <v>18</v>
      </c>
      <c r="M7" s="68" t="s">
        <v>583</v>
      </c>
      <c r="N7" s="28" t="n">
        <v>900</v>
      </c>
      <c r="O7" s="25" t="s">
        <v>1059</v>
      </c>
      <c r="P7" s="83" t="n">
        <f aca="false">IF(OR(N7="",N(H7)=0),"",N7/H7)</f>
        <v>112.5</v>
      </c>
      <c r="Q7" s="25"/>
    </row>
    <row r="8" customFormat="false" ht="23.85" hidden="false" customHeight="false" outlineLevel="0" collapsed="false">
      <c r="A8" s="69" t="n">
        <v>46307</v>
      </c>
      <c r="B8" s="68" t="s">
        <v>1026</v>
      </c>
      <c r="C8" s="76" t="str">
        <f aca="false">IF(B8="","",IFERROR(INDEX(EN_Des,MATCH(B8,EN_Code,0)),"Code inconnu"))</f>
        <v>Compacteur vibrant V5 – 12 t</v>
      </c>
      <c r="D8" s="25" t="s">
        <v>151</v>
      </c>
      <c r="E8" s="25" t="s">
        <v>792</v>
      </c>
      <c r="F8" s="82" t="n">
        <v>3420</v>
      </c>
      <c r="G8" s="82" t="n">
        <v>3428</v>
      </c>
      <c r="H8" s="83" t="n">
        <f aca="false">IF(OR(F8="",G8=""),"",G8-F8)</f>
        <v>8</v>
      </c>
      <c r="I8" s="82"/>
      <c r="J8" s="82"/>
      <c r="K8" s="28" t="n">
        <v>96</v>
      </c>
      <c r="L8" s="90" t="n">
        <f aca="false">IF(OR(K8="",N(H8)=0),"",K8/H8)</f>
        <v>12</v>
      </c>
      <c r="M8" s="68" t="s">
        <v>584</v>
      </c>
      <c r="N8" s="28" t="n">
        <v>850</v>
      </c>
      <c r="O8" s="25" t="s">
        <v>1060</v>
      </c>
      <c r="P8" s="83" t="n">
        <f aca="false">IF(OR(N8="",N(H8)=0),"",N8/H8)</f>
        <v>106.25</v>
      </c>
      <c r="Q8" s="25"/>
    </row>
    <row r="9" customFormat="false" ht="23.85" hidden="false" customHeight="false" outlineLevel="0" collapsed="false">
      <c r="A9" s="69" t="n">
        <v>46307</v>
      </c>
      <c r="B9" s="68" t="s">
        <v>1031</v>
      </c>
      <c r="C9" s="76" t="str">
        <f aca="false">IF(B9="","",IFERROR(INDEX(EN_Des,MATCH(B9,EN_Code,0)),"Code inconnu"))</f>
        <v>Chargeuse sur pneus (emprunt)</v>
      </c>
      <c r="D9" s="25" t="s">
        <v>151</v>
      </c>
      <c r="E9" s="25" t="s">
        <v>792</v>
      </c>
      <c r="F9" s="82" t="n">
        <v>4310</v>
      </c>
      <c r="G9" s="82" t="n">
        <v>4318</v>
      </c>
      <c r="H9" s="83" t="n">
        <f aca="false">IF(OR(F9="",G9=""),"",G9-F9)</f>
        <v>8</v>
      </c>
      <c r="I9" s="82"/>
      <c r="J9" s="82"/>
      <c r="K9" s="28" t="n">
        <v>128</v>
      </c>
      <c r="L9" s="90" t="n">
        <f aca="false">IF(OR(K9="",N(H9)=0),"",K9/H9)</f>
        <v>16</v>
      </c>
      <c r="M9" s="68" t="s">
        <v>583</v>
      </c>
      <c r="N9" s="28" t="n">
        <v>420</v>
      </c>
      <c r="O9" s="25" t="s">
        <v>1061</v>
      </c>
      <c r="P9" s="83" t="n">
        <f aca="false">IF(OR(N9="",N(H9)=0),"",N9/H9)</f>
        <v>52.5</v>
      </c>
      <c r="Q9" s="25"/>
    </row>
    <row r="10" customFormat="false" ht="23.85" hidden="false" customHeight="false" outlineLevel="0" collapsed="false">
      <c r="A10" s="69" t="n">
        <v>46307</v>
      </c>
      <c r="B10" s="68" t="s">
        <v>1034</v>
      </c>
      <c r="C10" s="76" t="str">
        <f aca="false">IF(B10="","",IFERROR(INDEX(EN_Des,MATCH(B10,EN_Code,0)),"Code inconnu"))</f>
        <v>Camion benne 20 m³</v>
      </c>
      <c r="D10" s="25" t="s">
        <v>151</v>
      </c>
      <c r="E10" s="25" t="s">
        <v>792</v>
      </c>
      <c r="F10" s="82" t="n">
        <v>8800</v>
      </c>
      <c r="G10" s="82" t="n">
        <v>8808</v>
      </c>
      <c r="H10" s="83" t="n">
        <f aca="false">IF(OR(F10="",G10=""),"",G10-F10)</f>
        <v>8</v>
      </c>
      <c r="I10" s="82"/>
      <c r="J10" s="82"/>
      <c r="K10" s="28" t="n">
        <v>112</v>
      </c>
      <c r="L10" s="90" t="n">
        <f aca="false">IF(OR(K10="",N(H10)=0),"",K10/H10)</f>
        <v>14</v>
      </c>
      <c r="M10" s="68" t="s">
        <v>585</v>
      </c>
      <c r="N10" s="28" t="n">
        <v>200</v>
      </c>
      <c r="O10" s="25" t="s">
        <v>1062</v>
      </c>
      <c r="P10" s="83" t="n">
        <f aca="false">IF(OR(N10="",N(H10)=0),"",N10/H10)</f>
        <v>25</v>
      </c>
      <c r="Q10" s="25"/>
    </row>
    <row r="11" customFormat="false" ht="23.85" hidden="false" customHeight="false" outlineLevel="0" collapsed="false">
      <c r="A11" s="69" t="n">
        <v>46307</v>
      </c>
      <c r="B11" s="68" t="s">
        <v>1037</v>
      </c>
      <c r="C11" s="76" t="str">
        <f aca="false">IF(B11="","",IFERROR(INDEX(EN_Des,MATCH(B11,EN_Code,0)),"Code inconnu"))</f>
        <v>Camion benne 20 m³</v>
      </c>
      <c r="D11" s="25" t="s">
        <v>151</v>
      </c>
      <c r="E11" s="25" t="s">
        <v>792</v>
      </c>
      <c r="F11" s="82" t="n">
        <v>9120</v>
      </c>
      <c r="G11" s="82" t="n">
        <v>9128</v>
      </c>
      <c r="H11" s="83" t="n">
        <f aca="false">IF(OR(F11="",G11=""),"",G11-F11)</f>
        <v>8</v>
      </c>
      <c r="I11" s="82"/>
      <c r="J11" s="82"/>
      <c r="K11" s="28" t="n">
        <v>146</v>
      </c>
      <c r="L11" s="90" t="n">
        <f aca="false">IF(OR(K11="",N(H11)=0),"",K11/H11)</f>
        <v>18.25</v>
      </c>
      <c r="M11" s="68" t="s">
        <v>585</v>
      </c>
      <c r="N11" s="28" t="n">
        <v>200</v>
      </c>
      <c r="O11" s="25" t="s">
        <v>1062</v>
      </c>
      <c r="P11" s="83" t="n">
        <f aca="false">IF(OR(N11="",N(H11)=0),"",N11/H11)</f>
        <v>25</v>
      </c>
      <c r="Q11" s="25"/>
    </row>
    <row r="12" customFormat="false" ht="23.85" hidden="false" customHeight="false" outlineLevel="0" collapsed="false">
      <c r="A12" s="69" t="n">
        <v>46307</v>
      </c>
      <c r="B12" s="68" t="s">
        <v>1038</v>
      </c>
      <c r="C12" s="76" t="str">
        <f aca="false">IF(B12="","",IFERROR(INDEX(EN_Des,MATCH(B12,EN_Code,0)),"Code inconnu"))</f>
        <v>Camion citerne à eau 10 000 l</v>
      </c>
      <c r="D12" s="25" t="s">
        <v>151</v>
      </c>
      <c r="E12" s="25" t="s">
        <v>792</v>
      </c>
      <c r="F12" s="82" t="n">
        <v>6200</v>
      </c>
      <c r="G12" s="82" t="n">
        <v>6208</v>
      </c>
      <c r="H12" s="83" t="n">
        <f aca="false">IF(OR(F12="",G12=""),"",G12-F12)</f>
        <v>8</v>
      </c>
      <c r="I12" s="82"/>
      <c r="J12" s="82"/>
      <c r="K12" s="28" t="n">
        <v>80</v>
      </c>
      <c r="L12" s="90" t="n">
        <f aca="false">IF(OR(K12="",N(H12)=0),"",K12/H12)</f>
        <v>10</v>
      </c>
      <c r="M12" s="68" t="s">
        <v>586</v>
      </c>
      <c r="N12" s="28" t="n">
        <v>60</v>
      </c>
      <c r="O12" s="25" t="s">
        <v>1063</v>
      </c>
      <c r="P12" s="83" t="n">
        <f aca="false">IF(OR(N12="",N(H12)=0),"",N12/H12)</f>
        <v>7.5</v>
      </c>
      <c r="Q12" s="25"/>
    </row>
    <row r="13" customFormat="false" ht="23.85" hidden="false" customHeight="false" outlineLevel="0" collapsed="false">
      <c r="A13" s="69" t="n">
        <v>46308</v>
      </c>
      <c r="B13" s="68" t="s">
        <v>1023</v>
      </c>
      <c r="C13" s="76" t="str">
        <f aca="false">IF(B13="","",IFERROR(INDEX(EN_Des,MATCH(B13,EN_Code,0)),"Code inconnu"))</f>
        <v>Niveleuse 140 (reprofilage)</v>
      </c>
      <c r="D13" s="25" t="s">
        <v>151</v>
      </c>
      <c r="E13" s="25" t="s">
        <v>792</v>
      </c>
      <c r="F13" s="82" t="n">
        <v>2158</v>
      </c>
      <c r="G13" s="82" t="n">
        <v>2162</v>
      </c>
      <c r="H13" s="83" t="n">
        <f aca="false">IF(OR(F13="",G13=""),"",G13-F13)</f>
        <v>4</v>
      </c>
      <c r="I13" s="82"/>
      <c r="J13" s="82" t="n">
        <v>4</v>
      </c>
      <c r="K13" s="28" t="n">
        <v>72</v>
      </c>
      <c r="L13" s="90" t="n">
        <f aca="false">IF(OR(K13="",N(H13)=0),"",K13/H13)</f>
        <v>18</v>
      </c>
      <c r="M13" s="68" t="s">
        <v>583</v>
      </c>
      <c r="N13" s="28" t="n">
        <v>450</v>
      </c>
      <c r="O13" s="25" t="s">
        <v>1059</v>
      </c>
      <c r="P13" s="83" t="n">
        <f aca="false">IF(OR(N13="",N(H13)=0),"",N13/H13)</f>
        <v>112.5</v>
      </c>
      <c r="Q13" s="25" t="s">
        <v>1064</v>
      </c>
    </row>
    <row r="14" customFormat="false" ht="23.85" hidden="false" customHeight="false" outlineLevel="0" collapsed="false">
      <c r="A14" s="69" t="n">
        <v>46308</v>
      </c>
      <c r="B14" s="68" t="s">
        <v>1026</v>
      </c>
      <c r="C14" s="76" t="str">
        <f aca="false">IF(B14="","",IFERROR(INDEX(EN_Des,MATCH(B14,EN_Code,0)),"Code inconnu"))</f>
        <v>Compacteur vibrant V5 – 12 t</v>
      </c>
      <c r="D14" s="25" t="s">
        <v>151</v>
      </c>
      <c r="E14" s="25" t="s">
        <v>792</v>
      </c>
      <c r="F14" s="82" t="n">
        <v>3428</v>
      </c>
      <c r="G14" s="82" t="n">
        <v>3432</v>
      </c>
      <c r="H14" s="83" t="n">
        <f aca="false">IF(OR(F14="",G14=""),"",G14-F14)</f>
        <v>4</v>
      </c>
      <c r="I14" s="82"/>
      <c r="J14" s="82" t="n">
        <v>4</v>
      </c>
      <c r="K14" s="28" t="n">
        <v>48</v>
      </c>
      <c r="L14" s="90" t="n">
        <f aca="false">IF(OR(K14="",N(H14)=0),"",K14/H14)</f>
        <v>12</v>
      </c>
      <c r="M14" s="68" t="s">
        <v>584</v>
      </c>
      <c r="N14" s="28" t="n">
        <v>425</v>
      </c>
      <c r="O14" s="25" t="s">
        <v>1060</v>
      </c>
      <c r="P14" s="83" t="n">
        <f aca="false">IF(OR(N14="",N(H14)=0),"",N14/H14)</f>
        <v>106.25</v>
      </c>
      <c r="Q14" s="25" t="s">
        <v>1064</v>
      </c>
    </row>
    <row r="15" customFormat="false" ht="23.85" hidden="false" customHeight="false" outlineLevel="0" collapsed="false">
      <c r="A15" s="69" t="n">
        <v>46308</v>
      </c>
      <c r="B15" s="68" t="s">
        <v>1031</v>
      </c>
      <c r="C15" s="76" t="str">
        <f aca="false">IF(B15="","",IFERROR(INDEX(EN_Des,MATCH(B15,EN_Code,0)),"Code inconnu"))</f>
        <v>Chargeuse sur pneus (emprunt)</v>
      </c>
      <c r="D15" s="25" t="s">
        <v>151</v>
      </c>
      <c r="E15" s="25" t="s">
        <v>792</v>
      </c>
      <c r="F15" s="82" t="n">
        <v>4318</v>
      </c>
      <c r="G15" s="82" t="n">
        <v>4322</v>
      </c>
      <c r="H15" s="83" t="n">
        <f aca="false">IF(OR(F15="",G15=""),"",G15-F15)</f>
        <v>4</v>
      </c>
      <c r="I15" s="82"/>
      <c r="J15" s="82" t="n">
        <v>4</v>
      </c>
      <c r="K15" s="28" t="n">
        <v>64</v>
      </c>
      <c r="L15" s="90" t="n">
        <f aca="false">IF(OR(K15="",N(H15)=0),"",K15/H15)</f>
        <v>16</v>
      </c>
      <c r="M15" s="68" t="s">
        <v>583</v>
      </c>
      <c r="N15" s="28" t="n">
        <v>210</v>
      </c>
      <c r="O15" s="25" t="s">
        <v>1061</v>
      </c>
      <c r="P15" s="83" t="n">
        <f aca="false">IF(OR(N15="",N(H15)=0),"",N15/H15)</f>
        <v>52.5</v>
      </c>
      <c r="Q15" s="25" t="s">
        <v>1064</v>
      </c>
    </row>
    <row r="16" customFormat="false" ht="23.85" hidden="false" customHeight="false" outlineLevel="0" collapsed="false">
      <c r="A16" s="69" t="n">
        <v>46308</v>
      </c>
      <c r="B16" s="68" t="s">
        <v>1034</v>
      </c>
      <c r="C16" s="76" t="str">
        <f aca="false">IF(B16="","",IFERROR(INDEX(EN_Des,MATCH(B16,EN_Code,0)),"Code inconnu"))</f>
        <v>Camion benne 20 m³</v>
      </c>
      <c r="D16" s="25" t="s">
        <v>151</v>
      </c>
      <c r="E16" s="25" t="s">
        <v>792</v>
      </c>
      <c r="F16" s="82" t="n">
        <v>8808</v>
      </c>
      <c r="G16" s="82" t="n">
        <v>8812</v>
      </c>
      <c r="H16" s="83" t="n">
        <f aca="false">IF(OR(F16="",G16=""),"",G16-F16)</f>
        <v>4</v>
      </c>
      <c r="I16" s="82"/>
      <c r="J16" s="82" t="n">
        <v>4</v>
      </c>
      <c r="K16" s="28" t="n">
        <v>56</v>
      </c>
      <c r="L16" s="90" t="n">
        <f aca="false">IF(OR(K16="",N(H16)=0),"",K16/H16)</f>
        <v>14</v>
      </c>
      <c r="M16" s="68" t="s">
        <v>585</v>
      </c>
      <c r="N16" s="28" t="n">
        <v>100</v>
      </c>
      <c r="O16" s="25" t="s">
        <v>1062</v>
      </c>
      <c r="P16" s="83" t="n">
        <f aca="false">IF(OR(N16="",N(H16)=0),"",N16/H16)</f>
        <v>25</v>
      </c>
      <c r="Q16" s="25" t="s">
        <v>1064</v>
      </c>
    </row>
    <row r="17" customFormat="false" ht="23.85" hidden="false" customHeight="false" outlineLevel="0" collapsed="false">
      <c r="A17" s="69" t="n">
        <v>46308</v>
      </c>
      <c r="B17" s="68" t="s">
        <v>1037</v>
      </c>
      <c r="C17" s="76" t="str">
        <f aca="false">IF(B17="","",IFERROR(INDEX(EN_Des,MATCH(B17,EN_Code,0)),"Code inconnu"))</f>
        <v>Camion benne 20 m³</v>
      </c>
      <c r="D17" s="25" t="s">
        <v>151</v>
      </c>
      <c r="E17" s="25" t="s">
        <v>792</v>
      </c>
      <c r="F17" s="82" t="n">
        <v>9128</v>
      </c>
      <c r="G17" s="82" t="n">
        <v>9132</v>
      </c>
      <c r="H17" s="83" t="n">
        <f aca="false">IF(OR(F17="",G17=""),"",G17-F17)</f>
        <v>4</v>
      </c>
      <c r="I17" s="82"/>
      <c r="J17" s="82" t="n">
        <v>4</v>
      </c>
      <c r="K17" s="28" t="n">
        <v>73</v>
      </c>
      <c r="L17" s="90" t="n">
        <f aca="false">IF(OR(K17="",N(H17)=0),"",K17/H17)</f>
        <v>18.25</v>
      </c>
      <c r="M17" s="68" t="s">
        <v>585</v>
      </c>
      <c r="N17" s="28" t="n">
        <v>100</v>
      </c>
      <c r="O17" s="25" t="s">
        <v>1062</v>
      </c>
      <c r="P17" s="83" t="n">
        <f aca="false">IF(OR(N17="",N(H17)=0),"",N17/H17)</f>
        <v>25</v>
      </c>
      <c r="Q17" s="25" t="s">
        <v>1064</v>
      </c>
    </row>
    <row r="18" customFormat="false" ht="23.85" hidden="false" customHeight="false" outlineLevel="0" collapsed="false">
      <c r="A18" s="69" t="n">
        <v>46308</v>
      </c>
      <c r="B18" s="68" t="s">
        <v>1038</v>
      </c>
      <c r="C18" s="76" t="str">
        <f aca="false">IF(B18="","",IFERROR(INDEX(EN_Des,MATCH(B18,EN_Code,0)),"Code inconnu"))</f>
        <v>Camion citerne à eau 10 000 l</v>
      </c>
      <c r="D18" s="25" t="s">
        <v>151</v>
      </c>
      <c r="E18" s="25" t="s">
        <v>792</v>
      </c>
      <c r="F18" s="82" t="n">
        <v>6208</v>
      </c>
      <c r="G18" s="82" t="n">
        <v>6212</v>
      </c>
      <c r="H18" s="83" t="n">
        <f aca="false">IF(OR(F18="",G18=""),"",G18-F18)</f>
        <v>4</v>
      </c>
      <c r="I18" s="82"/>
      <c r="J18" s="82" t="n">
        <v>4</v>
      </c>
      <c r="K18" s="28" t="n">
        <v>40</v>
      </c>
      <c r="L18" s="90" t="n">
        <f aca="false">IF(OR(K18="",N(H18)=0),"",K18/H18)</f>
        <v>10</v>
      </c>
      <c r="M18" s="68" t="s">
        <v>586</v>
      </c>
      <c r="N18" s="28" t="n">
        <v>30</v>
      </c>
      <c r="O18" s="25" t="s">
        <v>1063</v>
      </c>
      <c r="P18" s="83" t="n">
        <f aca="false">IF(OR(N18="",N(H18)=0),"",N18/H18)</f>
        <v>7.5</v>
      </c>
      <c r="Q18" s="25" t="s">
        <v>1064</v>
      </c>
    </row>
    <row r="19" customFormat="false" ht="23.85" hidden="false" customHeight="false" outlineLevel="0" collapsed="false">
      <c r="A19" s="69" t="n">
        <v>46309</v>
      </c>
      <c r="B19" s="68" t="s">
        <v>1023</v>
      </c>
      <c r="C19" s="76" t="str">
        <f aca="false">IF(B19="","",IFERROR(INDEX(EN_Des,MATCH(B19,EN_Code,0)),"Code inconnu"))</f>
        <v>Niveleuse 140 (reprofilage)</v>
      </c>
      <c r="D19" s="25" t="s">
        <v>151</v>
      </c>
      <c r="E19" s="25" t="s">
        <v>792</v>
      </c>
      <c r="F19" s="82" t="n">
        <v>2162</v>
      </c>
      <c r="G19" s="82" t="n">
        <v>2170</v>
      </c>
      <c r="H19" s="83" t="n">
        <f aca="false">IF(OR(F19="",G19=""),"",G19-F19)</f>
        <v>8</v>
      </c>
      <c r="I19" s="82"/>
      <c r="J19" s="82"/>
      <c r="K19" s="28" t="n">
        <v>144</v>
      </c>
      <c r="L19" s="90" t="n">
        <f aca="false">IF(OR(K19="",N(H19)=0),"",K19/H19)</f>
        <v>18</v>
      </c>
      <c r="M19" s="68" t="s">
        <v>583</v>
      </c>
      <c r="N19" s="28" t="n">
        <v>900</v>
      </c>
      <c r="O19" s="25" t="s">
        <v>1059</v>
      </c>
      <c r="P19" s="83" t="n">
        <f aca="false">IF(OR(N19="",N(H19)=0),"",N19/H19)</f>
        <v>112.5</v>
      </c>
      <c r="Q19" s="25"/>
    </row>
    <row r="20" customFormat="false" ht="23.85" hidden="false" customHeight="false" outlineLevel="0" collapsed="false">
      <c r="A20" s="69" t="n">
        <v>46309</v>
      </c>
      <c r="B20" s="68" t="s">
        <v>1026</v>
      </c>
      <c r="C20" s="76" t="str">
        <f aca="false">IF(B20="","",IFERROR(INDEX(EN_Des,MATCH(B20,EN_Code,0)),"Code inconnu"))</f>
        <v>Compacteur vibrant V5 – 12 t</v>
      </c>
      <c r="D20" s="25" t="s">
        <v>151</v>
      </c>
      <c r="E20" s="25" t="s">
        <v>792</v>
      </c>
      <c r="F20" s="82" t="n">
        <v>3432</v>
      </c>
      <c r="G20" s="82" t="n">
        <v>3440</v>
      </c>
      <c r="H20" s="83" t="n">
        <f aca="false">IF(OR(F20="",G20=""),"",G20-F20)</f>
        <v>8</v>
      </c>
      <c r="I20" s="82"/>
      <c r="J20" s="82"/>
      <c r="K20" s="28" t="n">
        <v>96</v>
      </c>
      <c r="L20" s="90" t="n">
        <f aca="false">IF(OR(K20="",N(H20)=0),"",K20/H20)</f>
        <v>12</v>
      </c>
      <c r="M20" s="68" t="s">
        <v>584</v>
      </c>
      <c r="N20" s="28" t="n">
        <v>850</v>
      </c>
      <c r="O20" s="25" t="s">
        <v>1060</v>
      </c>
      <c r="P20" s="83" t="n">
        <f aca="false">IF(OR(N20="",N(H20)=0),"",N20/H20)</f>
        <v>106.25</v>
      </c>
      <c r="Q20" s="25"/>
    </row>
    <row r="21" customFormat="false" ht="23.85" hidden="false" customHeight="false" outlineLevel="0" collapsed="false">
      <c r="A21" s="69" t="n">
        <v>46309</v>
      </c>
      <c r="B21" s="68" t="s">
        <v>1031</v>
      </c>
      <c r="C21" s="76" t="str">
        <f aca="false">IF(B21="","",IFERROR(INDEX(EN_Des,MATCH(B21,EN_Code,0)),"Code inconnu"))</f>
        <v>Chargeuse sur pneus (emprunt)</v>
      </c>
      <c r="D21" s="25" t="s">
        <v>151</v>
      </c>
      <c r="E21" s="25" t="s">
        <v>792</v>
      </c>
      <c r="F21" s="82" t="n">
        <v>4322</v>
      </c>
      <c r="G21" s="82" t="n">
        <v>4330</v>
      </c>
      <c r="H21" s="83" t="n">
        <f aca="false">IF(OR(F21="",G21=""),"",G21-F21)</f>
        <v>8</v>
      </c>
      <c r="I21" s="82"/>
      <c r="J21" s="82"/>
      <c r="K21" s="28" t="n">
        <v>128</v>
      </c>
      <c r="L21" s="90" t="n">
        <f aca="false">IF(OR(K21="",N(H21)=0),"",K21/H21)</f>
        <v>16</v>
      </c>
      <c r="M21" s="68" t="s">
        <v>583</v>
      </c>
      <c r="N21" s="28" t="n">
        <v>420</v>
      </c>
      <c r="O21" s="25" t="s">
        <v>1061</v>
      </c>
      <c r="P21" s="83" t="n">
        <f aca="false">IF(OR(N21="",N(H21)=0),"",N21/H21)</f>
        <v>52.5</v>
      </c>
      <c r="Q21" s="25"/>
    </row>
    <row r="22" customFormat="false" ht="23.85" hidden="false" customHeight="false" outlineLevel="0" collapsed="false">
      <c r="A22" s="69" t="n">
        <v>46309</v>
      </c>
      <c r="B22" s="68" t="s">
        <v>1034</v>
      </c>
      <c r="C22" s="76" t="str">
        <f aca="false">IF(B22="","",IFERROR(INDEX(EN_Des,MATCH(B22,EN_Code,0)),"Code inconnu"))</f>
        <v>Camion benne 20 m³</v>
      </c>
      <c r="D22" s="25" t="s">
        <v>151</v>
      </c>
      <c r="E22" s="25" t="s">
        <v>792</v>
      </c>
      <c r="F22" s="82" t="n">
        <v>8812</v>
      </c>
      <c r="G22" s="82" t="n">
        <v>8820</v>
      </c>
      <c r="H22" s="83" t="n">
        <f aca="false">IF(OR(F22="",G22=""),"",G22-F22)</f>
        <v>8</v>
      </c>
      <c r="I22" s="82"/>
      <c r="J22" s="82"/>
      <c r="K22" s="28" t="n">
        <v>112</v>
      </c>
      <c r="L22" s="90" t="n">
        <f aca="false">IF(OR(K22="",N(H22)=0),"",K22/H22)</f>
        <v>14</v>
      </c>
      <c r="M22" s="68" t="s">
        <v>585</v>
      </c>
      <c r="N22" s="28" t="n">
        <v>200</v>
      </c>
      <c r="O22" s="25" t="s">
        <v>1062</v>
      </c>
      <c r="P22" s="83" t="n">
        <f aca="false">IF(OR(N22="",N(H22)=0),"",N22/H22)</f>
        <v>25</v>
      </c>
      <c r="Q22" s="25"/>
    </row>
    <row r="23" customFormat="false" ht="23.85" hidden="false" customHeight="false" outlineLevel="0" collapsed="false">
      <c r="A23" s="69" t="n">
        <v>46309</v>
      </c>
      <c r="B23" s="68" t="s">
        <v>1037</v>
      </c>
      <c r="C23" s="76" t="str">
        <f aca="false">IF(B23="","",IFERROR(INDEX(EN_Des,MATCH(B23,EN_Code,0)),"Code inconnu"))</f>
        <v>Camion benne 20 m³</v>
      </c>
      <c r="D23" s="25" t="s">
        <v>151</v>
      </c>
      <c r="E23" s="25" t="s">
        <v>792</v>
      </c>
      <c r="F23" s="82" t="n">
        <v>9132</v>
      </c>
      <c r="G23" s="82" t="n">
        <v>9140</v>
      </c>
      <c r="H23" s="83" t="n">
        <f aca="false">IF(OR(F23="",G23=""),"",G23-F23)</f>
        <v>8</v>
      </c>
      <c r="I23" s="82"/>
      <c r="J23" s="82"/>
      <c r="K23" s="28" t="n">
        <v>146</v>
      </c>
      <c r="L23" s="90" t="n">
        <f aca="false">IF(OR(K23="",N(H23)=0),"",K23/H23)</f>
        <v>18.25</v>
      </c>
      <c r="M23" s="68" t="s">
        <v>585</v>
      </c>
      <c r="N23" s="28" t="n">
        <v>200</v>
      </c>
      <c r="O23" s="25" t="s">
        <v>1062</v>
      </c>
      <c r="P23" s="83" t="n">
        <f aca="false">IF(OR(N23="",N(H23)=0),"",N23/H23)</f>
        <v>25</v>
      </c>
      <c r="Q23" s="25"/>
    </row>
    <row r="24" customFormat="false" ht="23.85" hidden="false" customHeight="false" outlineLevel="0" collapsed="false">
      <c r="A24" s="69" t="n">
        <v>46309</v>
      </c>
      <c r="B24" s="68" t="s">
        <v>1038</v>
      </c>
      <c r="C24" s="76" t="str">
        <f aca="false">IF(B24="","",IFERROR(INDEX(EN_Des,MATCH(B24,EN_Code,0)),"Code inconnu"))</f>
        <v>Camion citerne à eau 10 000 l</v>
      </c>
      <c r="D24" s="25" t="s">
        <v>151</v>
      </c>
      <c r="E24" s="25" t="s">
        <v>792</v>
      </c>
      <c r="F24" s="82" t="n">
        <v>6212</v>
      </c>
      <c r="G24" s="82" t="n">
        <v>6220</v>
      </c>
      <c r="H24" s="83" t="n">
        <f aca="false">IF(OR(F24="",G24=""),"",G24-F24)</f>
        <v>8</v>
      </c>
      <c r="I24" s="82"/>
      <c r="J24" s="82"/>
      <c r="K24" s="28" t="n">
        <v>80</v>
      </c>
      <c r="L24" s="90" t="n">
        <f aca="false">IF(OR(K24="",N(H24)=0),"",K24/H24)</f>
        <v>10</v>
      </c>
      <c r="M24" s="68" t="s">
        <v>586</v>
      </c>
      <c r="N24" s="28" t="n">
        <v>60</v>
      </c>
      <c r="O24" s="25" t="s">
        <v>1063</v>
      </c>
      <c r="P24" s="83" t="n">
        <f aca="false">IF(OR(N24="",N(H24)=0),"",N24/H24)</f>
        <v>7.5</v>
      </c>
      <c r="Q24" s="25"/>
    </row>
    <row r="25" customFormat="false" ht="23.85" hidden="false" customHeight="false" outlineLevel="0" collapsed="false">
      <c r="A25" s="69" t="n">
        <v>46310</v>
      </c>
      <c r="B25" s="68" t="s">
        <v>1023</v>
      </c>
      <c r="C25" s="76" t="str">
        <f aca="false">IF(B25="","",IFERROR(INDEX(EN_Des,MATCH(B25,EN_Code,0)),"Code inconnu"))</f>
        <v>Niveleuse 140 (reprofilage)</v>
      </c>
      <c r="D25" s="25" t="s">
        <v>151</v>
      </c>
      <c r="E25" s="25" t="s">
        <v>792</v>
      </c>
      <c r="F25" s="82" t="n">
        <v>2170</v>
      </c>
      <c r="G25" s="82" t="n">
        <v>2178</v>
      </c>
      <c r="H25" s="83" t="n">
        <f aca="false">IF(OR(F25="",G25=""),"",G25-F25)</f>
        <v>8</v>
      </c>
      <c r="I25" s="82"/>
      <c r="J25" s="82"/>
      <c r="K25" s="28" t="n">
        <v>144</v>
      </c>
      <c r="L25" s="90" t="n">
        <f aca="false">IF(OR(K25="",N(H25)=0),"",K25/H25)</f>
        <v>18</v>
      </c>
      <c r="M25" s="68" t="s">
        <v>583</v>
      </c>
      <c r="N25" s="28" t="n">
        <v>900</v>
      </c>
      <c r="O25" s="25" t="s">
        <v>1059</v>
      </c>
      <c r="P25" s="83" t="n">
        <f aca="false">IF(OR(N25="",N(H25)=0),"",N25/H25)</f>
        <v>112.5</v>
      </c>
      <c r="Q25" s="25"/>
    </row>
    <row r="26" customFormat="false" ht="23.85" hidden="false" customHeight="false" outlineLevel="0" collapsed="false">
      <c r="A26" s="69" t="n">
        <v>46310</v>
      </c>
      <c r="B26" s="68" t="s">
        <v>1026</v>
      </c>
      <c r="C26" s="76" t="str">
        <f aca="false">IF(B26="","",IFERROR(INDEX(EN_Des,MATCH(B26,EN_Code,0)),"Code inconnu"))</f>
        <v>Compacteur vibrant V5 – 12 t</v>
      </c>
      <c r="D26" s="25" t="s">
        <v>151</v>
      </c>
      <c r="E26" s="25" t="s">
        <v>792</v>
      </c>
      <c r="F26" s="82" t="n">
        <v>3440</v>
      </c>
      <c r="G26" s="82" t="n">
        <v>3448</v>
      </c>
      <c r="H26" s="83" t="n">
        <f aca="false">IF(OR(F26="",G26=""),"",G26-F26)</f>
        <v>8</v>
      </c>
      <c r="I26" s="82"/>
      <c r="J26" s="82"/>
      <c r="K26" s="28" t="n">
        <v>96</v>
      </c>
      <c r="L26" s="90" t="n">
        <f aca="false">IF(OR(K26="",N(H26)=0),"",K26/H26)</f>
        <v>12</v>
      </c>
      <c r="M26" s="68" t="s">
        <v>584</v>
      </c>
      <c r="N26" s="28" t="n">
        <v>850</v>
      </c>
      <c r="O26" s="25" t="s">
        <v>1060</v>
      </c>
      <c r="P26" s="83" t="n">
        <f aca="false">IF(OR(N26="",N(H26)=0),"",N26/H26)</f>
        <v>106.25</v>
      </c>
      <c r="Q26" s="25"/>
    </row>
    <row r="27" customFormat="false" ht="23.85" hidden="false" customHeight="false" outlineLevel="0" collapsed="false">
      <c r="A27" s="69" t="n">
        <v>46310</v>
      </c>
      <c r="B27" s="68" t="s">
        <v>1031</v>
      </c>
      <c r="C27" s="76" t="str">
        <f aca="false">IF(B27="","",IFERROR(INDEX(EN_Des,MATCH(B27,EN_Code,0)),"Code inconnu"))</f>
        <v>Chargeuse sur pneus (emprunt)</v>
      </c>
      <c r="D27" s="25" t="s">
        <v>151</v>
      </c>
      <c r="E27" s="25" t="s">
        <v>792</v>
      </c>
      <c r="F27" s="82" t="n">
        <v>4330</v>
      </c>
      <c r="G27" s="82" t="n">
        <v>4338</v>
      </c>
      <c r="H27" s="83" t="n">
        <f aca="false">IF(OR(F27="",G27=""),"",G27-F27)</f>
        <v>8</v>
      </c>
      <c r="I27" s="82"/>
      <c r="J27" s="82"/>
      <c r="K27" s="28" t="n">
        <v>128</v>
      </c>
      <c r="L27" s="90" t="n">
        <f aca="false">IF(OR(K27="",N(H27)=0),"",K27/H27)</f>
        <v>16</v>
      </c>
      <c r="M27" s="68" t="s">
        <v>583</v>
      </c>
      <c r="N27" s="28" t="n">
        <v>420</v>
      </c>
      <c r="O27" s="25" t="s">
        <v>1061</v>
      </c>
      <c r="P27" s="83" t="n">
        <f aca="false">IF(OR(N27="",N(H27)=0),"",N27/H27)</f>
        <v>52.5</v>
      </c>
      <c r="Q27" s="25"/>
    </row>
    <row r="28" customFormat="false" ht="23.85" hidden="false" customHeight="false" outlineLevel="0" collapsed="false">
      <c r="A28" s="69" t="n">
        <v>46310</v>
      </c>
      <c r="B28" s="68" t="s">
        <v>1034</v>
      </c>
      <c r="C28" s="76" t="str">
        <f aca="false">IF(B28="","",IFERROR(INDEX(EN_Des,MATCH(B28,EN_Code,0)),"Code inconnu"))</f>
        <v>Camion benne 20 m³</v>
      </c>
      <c r="D28" s="25" t="s">
        <v>151</v>
      </c>
      <c r="E28" s="25" t="s">
        <v>792</v>
      </c>
      <c r="F28" s="82" t="n">
        <v>8820</v>
      </c>
      <c r="G28" s="82" t="n">
        <v>8828</v>
      </c>
      <c r="H28" s="83" t="n">
        <f aca="false">IF(OR(F28="",G28=""),"",G28-F28)</f>
        <v>8</v>
      </c>
      <c r="I28" s="82"/>
      <c r="J28" s="82"/>
      <c r="K28" s="28" t="n">
        <v>112</v>
      </c>
      <c r="L28" s="90" t="n">
        <f aca="false">IF(OR(K28="",N(H28)=0),"",K28/H28)</f>
        <v>14</v>
      </c>
      <c r="M28" s="68" t="s">
        <v>585</v>
      </c>
      <c r="N28" s="28" t="n">
        <v>200</v>
      </c>
      <c r="O28" s="25" t="s">
        <v>1062</v>
      </c>
      <c r="P28" s="83" t="n">
        <f aca="false">IF(OR(N28="",N(H28)=0),"",N28/H28)</f>
        <v>25</v>
      </c>
      <c r="Q28" s="25"/>
    </row>
    <row r="29" customFormat="false" ht="23.85" hidden="false" customHeight="false" outlineLevel="0" collapsed="false">
      <c r="A29" s="69" t="n">
        <v>46310</v>
      </c>
      <c r="B29" s="68" t="s">
        <v>1037</v>
      </c>
      <c r="C29" s="76" t="str">
        <f aca="false">IF(B29="","",IFERROR(INDEX(EN_Des,MATCH(B29,EN_Code,0)),"Code inconnu"))</f>
        <v>Camion benne 20 m³</v>
      </c>
      <c r="D29" s="25" t="s">
        <v>151</v>
      </c>
      <c r="E29" s="25" t="s">
        <v>792</v>
      </c>
      <c r="F29" s="82" t="n">
        <v>9140</v>
      </c>
      <c r="G29" s="82" t="n">
        <v>9148</v>
      </c>
      <c r="H29" s="83" t="n">
        <f aca="false">IF(OR(F29="",G29=""),"",G29-F29)</f>
        <v>8</v>
      </c>
      <c r="I29" s="82"/>
      <c r="J29" s="82"/>
      <c r="K29" s="28" t="n">
        <v>146</v>
      </c>
      <c r="L29" s="90" t="n">
        <f aca="false">IF(OR(K29="",N(H29)=0),"",K29/H29)</f>
        <v>18.25</v>
      </c>
      <c r="M29" s="68" t="s">
        <v>585</v>
      </c>
      <c r="N29" s="28" t="n">
        <v>200</v>
      </c>
      <c r="O29" s="25" t="s">
        <v>1062</v>
      </c>
      <c r="P29" s="83" t="n">
        <f aca="false">IF(OR(N29="",N(H29)=0),"",N29/H29)</f>
        <v>25</v>
      </c>
      <c r="Q29" s="25"/>
    </row>
    <row r="30" customFormat="false" ht="23.85" hidden="false" customHeight="false" outlineLevel="0" collapsed="false">
      <c r="A30" s="69" t="n">
        <v>46310</v>
      </c>
      <c r="B30" s="68" t="s">
        <v>1038</v>
      </c>
      <c r="C30" s="76" t="str">
        <f aca="false">IF(B30="","",IFERROR(INDEX(EN_Des,MATCH(B30,EN_Code,0)),"Code inconnu"))</f>
        <v>Camion citerne à eau 10 000 l</v>
      </c>
      <c r="D30" s="25" t="s">
        <v>151</v>
      </c>
      <c r="E30" s="25" t="s">
        <v>792</v>
      </c>
      <c r="F30" s="82" t="n">
        <v>6220</v>
      </c>
      <c r="G30" s="82" t="n">
        <v>6228</v>
      </c>
      <c r="H30" s="83" t="n">
        <f aca="false">IF(OR(F30="",G30=""),"",G30-F30)</f>
        <v>8</v>
      </c>
      <c r="I30" s="82"/>
      <c r="J30" s="82"/>
      <c r="K30" s="28" t="n">
        <v>80</v>
      </c>
      <c r="L30" s="90" t="n">
        <f aca="false">IF(OR(K30="",N(H30)=0),"",K30/H30)</f>
        <v>10</v>
      </c>
      <c r="M30" s="68" t="s">
        <v>586</v>
      </c>
      <c r="N30" s="28" t="n">
        <v>60</v>
      </c>
      <c r="O30" s="25" t="s">
        <v>1063</v>
      </c>
      <c r="P30" s="83" t="n">
        <f aca="false">IF(OR(N30="",N(H30)=0),"",N30/H30)</f>
        <v>7.5</v>
      </c>
      <c r="Q30" s="25"/>
    </row>
    <row r="31" customFormat="false" ht="23.85" hidden="false" customHeight="false" outlineLevel="0" collapsed="false">
      <c r="A31" s="69" t="n">
        <v>46311</v>
      </c>
      <c r="B31" s="68" t="s">
        <v>1023</v>
      </c>
      <c r="C31" s="76" t="str">
        <f aca="false">IF(B31="","",IFERROR(INDEX(EN_Des,MATCH(B31,EN_Code,0)),"Code inconnu"))</f>
        <v>Niveleuse 140 (reprofilage)</v>
      </c>
      <c r="D31" s="25" t="s">
        <v>151</v>
      </c>
      <c r="E31" s="25" t="s">
        <v>792</v>
      </c>
      <c r="F31" s="82" t="n">
        <v>2178</v>
      </c>
      <c r="G31" s="82" t="n">
        <v>2186</v>
      </c>
      <c r="H31" s="83" t="n">
        <f aca="false">IF(OR(F31="",G31=""),"",G31-F31)</f>
        <v>8</v>
      </c>
      <c r="I31" s="82"/>
      <c r="J31" s="82"/>
      <c r="K31" s="28" t="n">
        <v>144</v>
      </c>
      <c r="L31" s="90" t="n">
        <f aca="false">IF(OR(K31="",N(H31)=0),"",K31/H31)</f>
        <v>18</v>
      </c>
      <c r="M31" s="68" t="s">
        <v>583</v>
      </c>
      <c r="N31" s="28" t="n">
        <v>900</v>
      </c>
      <c r="O31" s="25" t="s">
        <v>1059</v>
      </c>
      <c r="P31" s="83" t="n">
        <f aca="false">IF(OR(N31="",N(H31)=0),"",N31/H31)</f>
        <v>112.5</v>
      </c>
      <c r="Q31" s="25"/>
    </row>
    <row r="32" customFormat="false" ht="23.85" hidden="false" customHeight="false" outlineLevel="0" collapsed="false">
      <c r="A32" s="69" t="n">
        <v>46311</v>
      </c>
      <c r="B32" s="68" t="s">
        <v>1026</v>
      </c>
      <c r="C32" s="76" t="str">
        <f aca="false">IF(B32="","",IFERROR(INDEX(EN_Des,MATCH(B32,EN_Code,0)),"Code inconnu"))</f>
        <v>Compacteur vibrant V5 – 12 t</v>
      </c>
      <c r="D32" s="25" t="s">
        <v>151</v>
      </c>
      <c r="E32" s="25" t="s">
        <v>792</v>
      </c>
      <c r="F32" s="82" t="n">
        <v>3448</v>
      </c>
      <c r="G32" s="82" t="n">
        <v>3450</v>
      </c>
      <c r="H32" s="83" t="n">
        <f aca="false">IF(OR(F32="",G32=""),"",G32-F32)</f>
        <v>2</v>
      </c>
      <c r="I32" s="82" t="n">
        <v>6</v>
      </c>
      <c r="J32" s="82"/>
      <c r="K32" s="28" t="n">
        <v>24</v>
      </c>
      <c r="L32" s="90" t="n">
        <f aca="false">IF(OR(K32="",N(H32)=0),"",K32/H32)</f>
        <v>12</v>
      </c>
      <c r="M32" s="68" t="s">
        <v>584</v>
      </c>
      <c r="N32" s="28" t="n">
        <v>212</v>
      </c>
      <c r="O32" s="25" t="s">
        <v>1060</v>
      </c>
      <c r="P32" s="83" t="n">
        <f aca="false">IF(OR(N32="",N(H32)=0),"",N32/H32)</f>
        <v>106</v>
      </c>
      <c r="Q32" s="25" t="s">
        <v>1065</v>
      </c>
    </row>
    <row r="33" customFormat="false" ht="23.85" hidden="false" customHeight="false" outlineLevel="0" collapsed="false">
      <c r="A33" s="69" t="n">
        <v>46311</v>
      </c>
      <c r="B33" s="68" t="s">
        <v>1029</v>
      </c>
      <c r="C33" s="76" t="str">
        <f aca="false">IF(B33="","",IFERROR(INDEX(EN_Des,MATCH(B33,EN_Code,0)),"Code inconnu"))</f>
        <v>Compacteur vibrant de remplacement</v>
      </c>
      <c r="D33" s="25" t="s">
        <v>151</v>
      </c>
      <c r="E33" s="25" t="s">
        <v>792</v>
      </c>
      <c r="F33" s="82" t="n">
        <v>5100</v>
      </c>
      <c r="G33" s="82" t="n">
        <v>5105</v>
      </c>
      <c r="H33" s="83" t="n">
        <f aca="false">IF(OR(F33="",G33=""),"",G33-F33)</f>
        <v>5</v>
      </c>
      <c r="I33" s="82"/>
      <c r="J33" s="82"/>
      <c r="K33" s="28" t="n">
        <v>60</v>
      </c>
      <c r="L33" s="90" t="n">
        <f aca="false">IF(OR(K33="",N(H33)=0),"",K33/H33)</f>
        <v>12</v>
      </c>
      <c r="M33" s="68" t="s">
        <v>584</v>
      </c>
      <c r="N33" s="28" t="n">
        <v>531</v>
      </c>
      <c r="O33" s="25" t="s">
        <v>1060</v>
      </c>
      <c r="P33" s="83" t="n">
        <f aca="false">IF(OR(N33="",N(H33)=0),"",N33/H33)</f>
        <v>106.2</v>
      </c>
      <c r="Q33" s="25" t="s">
        <v>1066</v>
      </c>
    </row>
    <row r="34" customFormat="false" ht="23.85" hidden="false" customHeight="false" outlineLevel="0" collapsed="false">
      <c r="A34" s="69" t="n">
        <v>46311</v>
      </c>
      <c r="B34" s="68" t="s">
        <v>1031</v>
      </c>
      <c r="C34" s="76" t="str">
        <f aca="false">IF(B34="","",IFERROR(INDEX(EN_Des,MATCH(B34,EN_Code,0)),"Code inconnu"))</f>
        <v>Chargeuse sur pneus (emprunt)</v>
      </c>
      <c r="D34" s="25" t="s">
        <v>151</v>
      </c>
      <c r="E34" s="25" t="s">
        <v>792</v>
      </c>
      <c r="F34" s="82" t="n">
        <v>4338</v>
      </c>
      <c r="G34" s="82" t="n">
        <v>4346</v>
      </c>
      <c r="H34" s="83" t="n">
        <f aca="false">IF(OR(F34="",G34=""),"",G34-F34)</f>
        <v>8</v>
      </c>
      <c r="I34" s="82"/>
      <c r="J34" s="82"/>
      <c r="K34" s="28" t="n">
        <v>128</v>
      </c>
      <c r="L34" s="90" t="n">
        <f aca="false">IF(OR(K34="",N(H34)=0),"",K34/H34)</f>
        <v>16</v>
      </c>
      <c r="M34" s="68" t="s">
        <v>583</v>
      </c>
      <c r="N34" s="28" t="n">
        <v>420</v>
      </c>
      <c r="O34" s="25" t="s">
        <v>1061</v>
      </c>
      <c r="P34" s="83" t="n">
        <f aca="false">IF(OR(N34="",N(H34)=0),"",N34/H34)</f>
        <v>52.5</v>
      </c>
      <c r="Q34" s="25"/>
    </row>
    <row r="35" customFormat="false" ht="23.85" hidden="false" customHeight="false" outlineLevel="0" collapsed="false">
      <c r="A35" s="69" t="n">
        <v>46311</v>
      </c>
      <c r="B35" s="68" t="s">
        <v>1034</v>
      </c>
      <c r="C35" s="76" t="str">
        <f aca="false">IF(B35="","",IFERROR(INDEX(EN_Des,MATCH(B35,EN_Code,0)),"Code inconnu"))</f>
        <v>Camion benne 20 m³</v>
      </c>
      <c r="D35" s="25" t="s">
        <v>151</v>
      </c>
      <c r="E35" s="25" t="s">
        <v>792</v>
      </c>
      <c r="F35" s="82" t="n">
        <v>8828</v>
      </c>
      <c r="G35" s="82" t="n">
        <v>8836</v>
      </c>
      <c r="H35" s="83" t="n">
        <f aca="false">IF(OR(F35="",G35=""),"",G35-F35)</f>
        <v>8</v>
      </c>
      <c r="I35" s="82"/>
      <c r="J35" s="82"/>
      <c r="K35" s="28" t="n">
        <v>112</v>
      </c>
      <c r="L35" s="90" t="n">
        <f aca="false">IF(OR(K35="",N(H35)=0),"",K35/H35)</f>
        <v>14</v>
      </c>
      <c r="M35" s="68" t="s">
        <v>585</v>
      </c>
      <c r="N35" s="28" t="n">
        <v>200</v>
      </c>
      <c r="O35" s="25" t="s">
        <v>1062</v>
      </c>
      <c r="P35" s="83" t="n">
        <f aca="false">IF(OR(N35="",N(H35)=0),"",N35/H35)</f>
        <v>25</v>
      </c>
      <c r="Q35" s="25"/>
    </row>
    <row r="36" customFormat="false" ht="23.85" hidden="false" customHeight="false" outlineLevel="0" collapsed="false">
      <c r="A36" s="69" t="n">
        <v>46311</v>
      </c>
      <c r="B36" s="68" t="s">
        <v>1037</v>
      </c>
      <c r="C36" s="76" t="str">
        <f aca="false">IF(B36="","",IFERROR(INDEX(EN_Des,MATCH(B36,EN_Code,0)),"Code inconnu"))</f>
        <v>Camion benne 20 m³</v>
      </c>
      <c r="D36" s="25" t="s">
        <v>151</v>
      </c>
      <c r="E36" s="25" t="s">
        <v>792</v>
      </c>
      <c r="F36" s="82" t="n">
        <v>9148</v>
      </c>
      <c r="G36" s="82" t="n">
        <v>9156</v>
      </c>
      <c r="H36" s="83" t="n">
        <f aca="false">IF(OR(F36="",G36=""),"",G36-F36)</f>
        <v>8</v>
      </c>
      <c r="I36" s="82"/>
      <c r="J36" s="82"/>
      <c r="K36" s="28" t="n">
        <v>146</v>
      </c>
      <c r="L36" s="90" t="n">
        <f aca="false">IF(OR(K36="",N(H36)=0),"",K36/H36)</f>
        <v>18.25</v>
      </c>
      <c r="M36" s="68" t="s">
        <v>585</v>
      </c>
      <c r="N36" s="28" t="n">
        <v>200</v>
      </c>
      <c r="O36" s="25" t="s">
        <v>1062</v>
      </c>
      <c r="P36" s="83" t="n">
        <f aca="false">IF(OR(N36="",N(H36)=0),"",N36/H36)</f>
        <v>25</v>
      </c>
      <c r="Q36" s="25"/>
    </row>
    <row r="37" customFormat="false" ht="23.85" hidden="false" customHeight="false" outlineLevel="0" collapsed="false">
      <c r="A37" s="69" t="n">
        <v>46311</v>
      </c>
      <c r="B37" s="68" t="s">
        <v>1038</v>
      </c>
      <c r="C37" s="76" t="str">
        <f aca="false">IF(B37="","",IFERROR(INDEX(EN_Des,MATCH(B37,EN_Code,0)),"Code inconnu"))</f>
        <v>Camion citerne à eau 10 000 l</v>
      </c>
      <c r="D37" s="25" t="s">
        <v>151</v>
      </c>
      <c r="E37" s="25" t="s">
        <v>792</v>
      </c>
      <c r="F37" s="82" t="n">
        <v>6228</v>
      </c>
      <c r="G37" s="82" t="n">
        <v>6236</v>
      </c>
      <c r="H37" s="83" t="n">
        <f aca="false">IF(OR(F37="",G37=""),"",G37-F37)</f>
        <v>8</v>
      </c>
      <c r="I37" s="82"/>
      <c r="J37" s="82"/>
      <c r="K37" s="28" t="n">
        <v>80</v>
      </c>
      <c r="L37" s="90" t="n">
        <f aca="false">IF(OR(K37="",N(H37)=0),"",K37/H37)</f>
        <v>10</v>
      </c>
      <c r="M37" s="68" t="s">
        <v>586</v>
      </c>
      <c r="N37" s="28" t="n">
        <v>60</v>
      </c>
      <c r="O37" s="25" t="s">
        <v>1063</v>
      </c>
      <c r="P37" s="83" t="n">
        <f aca="false">IF(OR(N37="",N(H37)=0),"",N37/H37)</f>
        <v>7.5</v>
      </c>
      <c r="Q37" s="25"/>
    </row>
    <row r="38" customFormat="false" ht="15" hidden="false" customHeight="false" outlineLevel="0" collapsed="false">
      <c r="A38" s="69"/>
      <c r="B38" s="68"/>
      <c r="C38" s="76" t="str">
        <f aca="false">IF(B38="","",IFERROR(INDEX(EN_Des,MATCH(B38,EN_Code,0)),"Code inconnu"))</f>
        <v/>
      </c>
      <c r="D38" s="25"/>
      <c r="E38" s="25"/>
      <c r="F38" s="82"/>
      <c r="G38" s="82"/>
      <c r="H38" s="83" t="str">
        <f aca="false">IF(OR(F38="",G38=""),"",G38-F38)</f>
        <v/>
      </c>
      <c r="I38" s="82"/>
      <c r="J38" s="82"/>
      <c r="K38" s="28"/>
      <c r="L38" s="90" t="str">
        <f aca="false">IF(OR(K38="",N(H38)=0),"",K38/H38)</f>
        <v/>
      </c>
      <c r="M38" s="68"/>
      <c r="N38" s="28"/>
      <c r="O38" s="25"/>
      <c r="P38" s="83" t="str">
        <f aca="false">IF(OR(N38="",N(H38)=0),"",N38/H38)</f>
        <v/>
      </c>
      <c r="Q38" s="25"/>
    </row>
    <row r="39" customFormat="false" ht="15" hidden="false" customHeight="false" outlineLevel="0" collapsed="false">
      <c r="A39" s="69"/>
      <c r="B39" s="68"/>
      <c r="C39" s="76" t="str">
        <f aca="false">IF(B39="","",IFERROR(INDEX(EN_Des,MATCH(B39,EN_Code,0)),"Code inconnu"))</f>
        <v/>
      </c>
      <c r="D39" s="25"/>
      <c r="E39" s="25"/>
      <c r="F39" s="82"/>
      <c r="G39" s="82"/>
      <c r="H39" s="83" t="str">
        <f aca="false">IF(OR(F39="",G39=""),"",G39-F39)</f>
        <v/>
      </c>
      <c r="I39" s="82"/>
      <c r="J39" s="82"/>
      <c r="K39" s="28"/>
      <c r="L39" s="90" t="str">
        <f aca="false">IF(OR(K39="",N(H39)=0),"",K39/H39)</f>
        <v/>
      </c>
      <c r="M39" s="68"/>
      <c r="N39" s="28"/>
      <c r="O39" s="25"/>
      <c r="P39" s="83" t="str">
        <f aca="false">IF(OR(N39="",N(H39)=0),"",N39/H39)</f>
        <v/>
      </c>
      <c r="Q39" s="25"/>
    </row>
    <row r="40" customFormat="false" ht="15" hidden="false" customHeight="false" outlineLevel="0" collapsed="false">
      <c r="A40" s="69"/>
      <c r="B40" s="68"/>
      <c r="C40" s="76" t="str">
        <f aca="false">IF(B40="","",IFERROR(INDEX(EN_Des,MATCH(B40,EN_Code,0)),"Code inconnu"))</f>
        <v/>
      </c>
      <c r="D40" s="25"/>
      <c r="E40" s="25"/>
      <c r="F40" s="82"/>
      <c r="G40" s="82"/>
      <c r="H40" s="83" t="str">
        <f aca="false">IF(OR(F40="",G40=""),"",G40-F40)</f>
        <v/>
      </c>
      <c r="I40" s="82"/>
      <c r="J40" s="82"/>
      <c r="K40" s="28"/>
      <c r="L40" s="90" t="str">
        <f aca="false">IF(OR(K40="",N(H40)=0),"",K40/H40)</f>
        <v/>
      </c>
      <c r="M40" s="68"/>
      <c r="N40" s="28"/>
      <c r="O40" s="25"/>
      <c r="P40" s="83" t="str">
        <f aca="false">IF(OR(N40="",N(H40)=0),"",N40/H40)</f>
        <v/>
      </c>
      <c r="Q40" s="25"/>
    </row>
    <row r="41" customFormat="false" ht="15" hidden="false" customHeight="false" outlineLevel="0" collapsed="false">
      <c r="A41" s="69"/>
      <c r="B41" s="68"/>
      <c r="C41" s="76" t="str">
        <f aca="false">IF(B41="","",IFERROR(INDEX(EN_Des,MATCH(B41,EN_Code,0)),"Code inconnu"))</f>
        <v/>
      </c>
      <c r="D41" s="25"/>
      <c r="E41" s="25"/>
      <c r="F41" s="82"/>
      <c r="G41" s="82"/>
      <c r="H41" s="83" t="str">
        <f aca="false">IF(OR(F41="",G41=""),"",G41-F41)</f>
        <v/>
      </c>
      <c r="I41" s="82"/>
      <c r="J41" s="82"/>
      <c r="K41" s="28"/>
      <c r="L41" s="90" t="str">
        <f aca="false">IF(OR(K41="",N(H41)=0),"",K41/H41)</f>
        <v/>
      </c>
      <c r="M41" s="68"/>
      <c r="N41" s="28"/>
      <c r="O41" s="25"/>
      <c r="P41" s="83" t="str">
        <f aca="false">IF(OR(N41="",N(H41)=0),"",N41/H41)</f>
        <v/>
      </c>
      <c r="Q41" s="25"/>
    </row>
    <row r="42" customFormat="false" ht="15" hidden="false" customHeight="false" outlineLevel="0" collapsed="false">
      <c r="A42" s="69"/>
      <c r="B42" s="68"/>
      <c r="C42" s="76" t="str">
        <f aca="false">IF(B42="","",IFERROR(INDEX(EN_Des,MATCH(B42,EN_Code,0)),"Code inconnu"))</f>
        <v/>
      </c>
      <c r="D42" s="25"/>
      <c r="E42" s="25"/>
      <c r="F42" s="82"/>
      <c r="G42" s="82"/>
      <c r="H42" s="83" t="str">
        <f aca="false">IF(OR(F42="",G42=""),"",G42-F42)</f>
        <v/>
      </c>
      <c r="I42" s="82"/>
      <c r="J42" s="82"/>
      <c r="K42" s="28"/>
      <c r="L42" s="90" t="str">
        <f aca="false">IF(OR(K42="",N(H42)=0),"",K42/H42)</f>
        <v/>
      </c>
      <c r="M42" s="68"/>
      <c r="N42" s="28"/>
      <c r="O42" s="25"/>
      <c r="P42" s="83" t="str">
        <f aca="false">IF(OR(N42="",N(H42)=0),"",N42/H42)</f>
        <v/>
      </c>
      <c r="Q42" s="25"/>
    </row>
    <row r="43" customFormat="false" ht="15" hidden="false" customHeight="false" outlineLevel="0" collapsed="false">
      <c r="A43" s="69"/>
      <c r="B43" s="68"/>
      <c r="C43" s="76" t="str">
        <f aca="false">IF(B43="","",IFERROR(INDEX(EN_Des,MATCH(B43,EN_Code,0)),"Code inconnu"))</f>
        <v/>
      </c>
      <c r="D43" s="25"/>
      <c r="E43" s="25"/>
      <c r="F43" s="82"/>
      <c r="G43" s="82"/>
      <c r="H43" s="83" t="str">
        <f aca="false">IF(OR(F43="",G43=""),"",G43-F43)</f>
        <v/>
      </c>
      <c r="I43" s="82"/>
      <c r="J43" s="82"/>
      <c r="K43" s="28"/>
      <c r="L43" s="90" t="str">
        <f aca="false">IF(OR(K43="",N(H43)=0),"",K43/H43)</f>
        <v/>
      </c>
      <c r="M43" s="68"/>
      <c r="N43" s="28"/>
      <c r="O43" s="25"/>
      <c r="P43" s="83" t="str">
        <f aca="false">IF(OR(N43="",N(H43)=0),"",N43/H43)</f>
        <v/>
      </c>
      <c r="Q43" s="25"/>
    </row>
    <row r="44" customFormat="false" ht="15" hidden="false" customHeight="false" outlineLevel="0" collapsed="false">
      <c r="A44" s="69"/>
      <c r="B44" s="68"/>
      <c r="C44" s="76" t="str">
        <f aca="false">IF(B44="","",IFERROR(INDEX(EN_Des,MATCH(B44,EN_Code,0)),"Code inconnu"))</f>
        <v/>
      </c>
      <c r="D44" s="25"/>
      <c r="E44" s="25"/>
      <c r="F44" s="82"/>
      <c r="G44" s="82"/>
      <c r="H44" s="83" t="str">
        <f aca="false">IF(OR(F44="",G44=""),"",G44-F44)</f>
        <v/>
      </c>
      <c r="I44" s="82"/>
      <c r="J44" s="82"/>
      <c r="K44" s="28"/>
      <c r="L44" s="90" t="str">
        <f aca="false">IF(OR(K44="",N(H44)=0),"",K44/H44)</f>
        <v/>
      </c>
      <c r="M44" s="68"/>
      <c r="N44" s="28"/>
      <c r="O44" s="25"/>
      <c r="P44" s="83" t="str">
        <f aca="false">IF(OR(N44="",N(H44)=0),"",N44/H44)</f>
        <v/>
      </c>
      <c r="Q44" s="25"/>
    </row>
    <row r="45" customFormat="false" ht="15" hidden="false" customHeight="false" outlineLevel="0" collapsed="false">
      <c r="A45" s="69"/>
      <c r="B45" s="68"/>
      <c r="C45" s="76" t="str">
        <f aca="false">IF(B45="","",IFERROR(INDEX(EN_Des,MATCH(B45,EN_Code,0)),"Code inconnu"))</f>
        <v/>
      </c>
      <c r="D45" s="25"/>
      <c r="E45" s="25"/>
      <c r="F45" s="82"/>
      <c r="G45" s="82"/>
      <c r="H45" s="83" t="str">
        <f aca="false">IF(OR(F45="",G45=""),"",G45-F45)</f>
        <v/>
      </c>
      <c r="I45" s="82"/>
      <c r="J45" s="82"/>
      <c r="K45" s="28"/>
      <c r="L45" s="90" t="str">
        <f aca="false">IF(OR(K45="",N(H45)=0),"",K45/H45)</f>
        <v/>
      </c>
      <c r="M45" s="68"/>
      <c r="N45" s="28"/>
      <c r="O45" s="25"/>
      <c r="P45" s="83" t="str">
        <f aca="false">IF(OR(N45="",N(H45)=0),"",N45/H45)</f>
        <v/>
      </c>
      <c r="Q45" s="25"/>
    </row>
    <row r="46" customFormat="false" ht="15" hidden="false" customHeight="false" outlineLevel="0" collapsed="false">
      <c r="A46" s="69"/>
      <c r="B46" s="68"/>
      <c r="C46" s="76" t="str">
        <f aca="false">IF(B46="","",IFERROR(INDEX(EN_Des,MATCH(B46,EN_Code,0)),"Code inconnu"))</f>
        <v/>
      </c>
      <c r="D46" s="25"/>
      <c r="E46" s="25"/>
      <c r="F46" s="82"/>
      <c r="G46" s="82"/>
      <c r="H46" s="83" t="str">
        <f aca="false">IF(OR(F46="",G46=""),"",G46-F46)</f>
        <v/>
      </c>
      <c r="I46" s="82"/>
      <c r="J46" s="82"/>
      <c r="K46" s="28"/>
      <c r="L46" s="90" t="str">
        <f aca="false">IF(OR(K46="",N(H46)=0),"",K46/H46)</f>
        <v/>
      </c>
      <c r="M46" s="68"/>
      <c r="N46" s="28"/>
      <c r="O46" s="25"/>
      <c r="P46" s="83" t="str">
        <f aca="false">IF(OR(N46="",N(H46)=0),"",N46/H46)</f>
        <v/>
      </c>
      <c r="Q46" s="25"/>
    </row>
    <row r="47" customFormat="false" ht="15" hidden="false" customHeight="false" outlineLevel="0" collapsed="false">
      <c r="A47" s="69"/>
      <c r="B47" s="68"/>
      <c r="C47" s="76" t="str">
        <f aca="false">IF(B47="","",IFERROR(INDEX(EN_Des,MATCH(B47,EN_Code,0)),"Code inconnu"))</f>
        <v/>
      </c>
      <c r="D47" s="25"/>
      <c r="E47" s="25"/>
      <c r="F47" s="82"/>
      <c r="G47" s="82"/>
      <c r="H47" s="83" t="str">
        <f aca="false">IF(OR(F47="",G47=""),"",G47-F47)</f>
        <v/>
      </c>
      <c r="I47" s="82"/>
      <c r="J47" s="82"/>
      <c r="K47" s="28"/>
      <c r="L47" s="90" t="str">
        <f aca="false">IF(OR(K47="",N(H47)=0),"",K47/H47)</f>
        <v/>
      </c>
      <c r="M47" s="68"/>
      <c r="N47" s="28"/>
      <c r="O47" s="25"/>
      <c r="P47" s="83" t="str">
        <f aca="false">IF(OR(N47="",N(H47)=0),"",N47/H47)</f>
        <v/>
      </c>
      <c r="Q47" s="25"/>
    </row>
    <row r="48" customFormat="false" ht="15" hidden="false" customHeight="false" outlineLevel="0" collapsed="false">
      <c r="A48" s="69"/>
      <c r="B48" s="68"/>
      <c r="C48" s="76" t="str">
        <f aca="false">IF(B48="","",IFERROR(INDEX(EN_Des,MATCH(B48,EN_Code,0)),"Code inconnu"))</f>
        <v/>
      </c>
      <c r="D48" s="25"/>
      <c r="E48" s="25"/>
      <c r="F48" s="82"/>
      <c r="G48" s="82"/>
      <c r="H48" s="83" t="str">
        <f aca="false">IF(OR(F48="",G48=""),"",G48-F48)</f>
        <v/>
      </c>
      <c r="I48" s="82"/>
      <c r="J48" s="82"/>
      <c r="K48" s="28"/>
      <c r="L48" s="90" t="str">
        <f aca="false">IF(OR(K48="",N(H48)=0),"",K48/H48)</f>
        <v/>
      </c>
      <c r="M48" s="68"/>
      <c r="N48" s="28"/>
      <c r="O48" s="25"/>
      <c r="P48" s="83" t="str">
        <f aca="false">IF(OR(N48="",N(H48)=0),"",N48/H48)</f>
        <v/>
      </c>
      <c r="Q48" s="25"/>
    </row>
    <row r="49" customFormat="false" ht="15" hidden="false" customHeight="false" outlineLevel="0" collapsed="false">
      <c r="A49" s="69"/>
      <c r="B49" s="68"/>
      <c r="C49" s="76" t="str">
        <f aca="false">IF(B49="","",IFERROR(INDEX(EN_Des,MATCH(B49,EN_Code,0)),"Code inconnu"))</f>
        <v/>
      </c>
      <c r="D49" s="25"/>
      <c r="E49" s="25"/>
      <c r="F49" s="82"/>
      <c r="G49" s="82"/>
      <c r="H49" s="83" t="str">
        <f aca="false">IF(OR(F49="",G49=""),"",G49-F49)</f>
        <v/>
      </c>
      <c r="I49" s="82"/>
      <c r="J49" s="82"/>
      <c r="K49" s="28"/>
      <c r="L49" s="90" t="str">
        <f aca="false">IF(OR(K49="",N(H49)=0),"",K49/H49)</f>
        <v/>
      </c>
      <c r="M49" s="68"/>
      <c r="N49" s="28"/>
      <c r="O49" s="25"/>
      <c r="P49" s="83" t="str">
        <f aca="false">IF(OR(N49="",N(H49)=0),"",N49/H49)</f>
        <v/>
      </c>
      <c r="Q49" s="25"/>
    </row>
    <row r="50" customFormat="false" ht="15" hidden="false" customHeight="false" outlineLevel="0" collapsed="false">
      <c r="A50" s="69"/>
      <c r="B50" s="68"/>
      <c r="C50" s="76" t="str">
        <f aca="false">IF(B50="","",IFERROR(INDEX(EN_Des,MATCH(B50,EN_Code,0)),"Code inconnu"))</f>
        <v/>
      </c>
      <c r="D50" s="25"/>
      <c r="E50" s="25"/>
      <c r="F50" s="82"/>
      <c r="G50" s="82"/>
      <c r="H50" s="83" t="str">
        <f aca="false">IF(OR(F50="",G50=""),"",G50-F50)</f>
        <v/>
      </c>
      <c r="I50" s="82"/>
      <c r="J50" s="82"/>
      <c r="K50" s="28"/>
      <c r="L50" s="90" t="str">
        <f aca="false">IF(OR(K50="",N(H50)=0),"",K50/H50)</f>
        <v/>
      </c>
      <c r="M50" s="68"/>
      <c r="N50" s="28"/>
      <c r="O50" s="25"/>
      <c r="P50" s="83" t="str">
        <f aca="false">IF(OR(N50="",N(H50)=0),"",N50/H50)</f>
        <v/>
      </c>
      <c r="Q50" s="25"/>
    </row>
    <row r="51" customFormat="false" ht="15" hidden="false" customHeight="false" outlineLevel="0" collapsed="false">
      <c r="A51" s="69"/>
      <c r="B51" s="68"/>
      <c r="C51" s="76" t="str">
        <f aca="false">IF(B51="","",IFERROR(INDEX(EN_Des,MATCH(B51,EN_Code,0)),"Code inconnu"))</f>
        <v/>
      </c>
      <c r="D51" s="25"/>
      <c r="E51" s="25"/>
      <c r="F51" s="82"/>
      <c r="G51" s="82"/>
      <c r="H51" s="83" t="str">
        <f aca="false">IF(OR(F51="",G51=""),"",G51-F51)</f>
        <v/>
      </c>
      <c r="I51" s="82"/>
      <c r="J51" s="82"/>
      <c r="K51" s="28"/>
      <c r="L51" s="90" t="str">
        <f aca="false">IF(OR(K51="",N(H51)=0),"",K51/H51)</f>
        <v/>
      </c>
      <c r="M51" s="68"/>
      <c r="N51" s="28"/>
      <c r="O51" s="25"/>
      <c r="P51" s="83" t="str">
        <f aca="false">IF(OR(N51="",N(H51)=0),"",N51/H51)</f>
        <v/>
      </c>
      <c r="Q51" s="25"/>
    </row>
    <row r="52" customFormat="false" ht="15" hidden="false" customHeight="false" outlineLevel="0" collapsed="false">
      <c r="A52" s="69"/>
      <c r="B52" s="68"/>
      <c r="C52" s="76" t="str">
        <f aca="false">IF(B52="","",IFERROR(INDEX(EN_Des,MATCH(B52,EN_Code,0)),"Code inconnu"))</f>
        <v/>
      </c>
      <c r="D52" s="25"/>
      <c r="E52" s="25"/>
      <c r="F52" s="82"/>
      <c r="G52" s="82"/>
      <c r="H52" s="83" t="str">
        <f aca="false">IF(OR(F52="",G52=""),"",G52-F52)</f>
        <v/>
      </c>
      <c r="I52" s="82"/>
      <c r="J52" s="82"/>
      <c r="K52" s="28"/>
      <c r="L52" s="90" t="str">
        <f aca="false">IF(OR(K52="",N(H52)=0),"",K52/H52)</f>
        <v/>
      </c>
      <c r="M52" s="68"/>
      <c r="N52" s="28"/>
      <c r="O52" s="25"/>
      <c r="P52" s="83" t="str">
        <f aca="false">IF(OR(N52="",N(H52)=0),"",N52/H52)</f>
        <v/>
      </c>
      <c r="Q52" s="25"/>
    </row>
    <row r="53" customFormat="false" ht="15" hidden="false" customHeight="false" outlineLevel="0" collapsed="false">
      <c r="A53" s="69"/>
      <c r="B53" s="68"/>
      <c r="C53" s="76" t="str">
        <f aca="false">IF(B53="","",IFERROR(INDEX(EN_Des,MATCH(B53,EN_Code,0)),"Code inconnu"))</f>
        <v/>
      </c>
      <c r="D53" s="25"/>
      <c r="E53" s="25"/>
      <c r="F53" s="82"/>
      <c r="G53" s="82"/>
      <c r="H53" s="83" t="str">
        <f aca="false">IF(OR(F53="",G53=""),"",G53-F53)</f>
        <v/>
      </c>
      <c r="I53" s="82"/>
      <c r="J53" s="82"/>
      <c r="K53" s="28"/>
      <c r="L53" s="90" t="str">
        <f aca="false">IF(OR(K53="",N(H53)=0),"",K53/H53)</f>
        <v/>
      </c>
      <c r="M53" s="68"/>
      <c r="N53" s="28"/>
      <c r="O53" s="25"/>
      <c r="P53" s="83" t="str">
        <f aca="false">IF(OR(N53="",N(H53)=0),"",N53/H53)</f>
        <v/>
      </c>
      <c r="Q53" s="25"/>
    </row>
    <row r="54" customFormat="false" ht="15" hidden="false" customHeight="false" outlineLevel="0" collapsed="false">
      <c r="A54" s="69"/>
      <c r="B54" s="68"/>
      <c r="C54" s="76" t="str">
        <f aca="false">IF(B54="","",IFERROR(INDEX(EN_Des,MATCH(B54,EN_Code,0)),"Code inconnu"))</f>
        <v/>
      </c>
      <c r="D54" s="25"/>
      <c r="E54" s="25"/>
      <c r="F54" s="82"/>
      <c r="G54" s="82"/>
      <c r="H54" s="83" t="str">
        <f aca="false">IF(OR(F54="",G54=""),"",G54-F54)</f>
        <v/>
      </c>
      <c r="I54" s="82"/>
      <c r="J54" s="82"/>
      <c r="K54" s="28"/>
      <c r="L54" s="90" t="str">
        <f aca="false">IF(OR(K54="",N(H54)=0),"",K54/H54)</f>
        <v/>
      </c>
      <c r="M54" s="68"/>
      <c r="N54" s="28"/>
      <c r="O54" s="25"/>
      <c r="P54" s="83" t="str">
        <f aca="false">IF(OR(N54="",N(H54)=0),"",N54/H54)</f>
        <v/>
      </c>
      <c r="Q54" s="25"/>
    </row>
    <row r="55" customFormat="false" ht="15" hidden="false" customHeight="false" outlineLevel="0" collapsed="false">
      <c r="A55" s="69"/>
      <c r="B55" s="68"/>
      <c r="C55" s="76" t="str">
        <f aca="false">IF(B55="","",IFERROR(INDEX(EN_Des,MATCH(B55,EN_Code,0)),"Code inconnu"))</f>
        <v/>
      </c>
      <c r="D55" s="25"/>
      <c r="E55" s="25"/>
      <c r="F55" s="82"/>
      <c r="G55" s="82"/>
      <c r="H55" s="83" t="str">
        <f aca="false">IF(OR(F55="",G55=""),"",G55-F55)</f>
        <v/>
      </c>
      <c r="I55" s="82"/>
      <c r="J55" s="82"/>
      <c r="K55" s="28"/>
      <c r="L55" s="90" t="str">
        <f aca="false">IF(OR(K55="",N(H55)=0),"",K55/H55)</f>
        <v/>
      </c>
      <c r="M55" s="68"/>
      <c r="N55" s="28"/>
      <c r="O55" s="25"/>
      <c r="P55" s="83" t="str">
        <f aca="false">IF(OR(N55="",N(H55)=0),"",N55/H55)</f>
        <v/>
      </c>
      <c r="Q55" s="25"/>
    </row>
    <row r="56" customFormat="false" ht="15" hidden="false" customHeight="false" outlineLevel="0" collapsed="false">
      <c r="A56" s="69"/>
      <c r="B56" s="68"/>
      <c r="C56" s="76" t="str">
        <f aca="false">IF(B56="","",IFERROR(INDEX(EN_Des,MATCH(B56,EN_Code,0)),"Code inconnu"))</f>
        <v/>
      </c>
      <c r="D56" s="25"/>
      <c r="E56" s="25"/>
      <c r="F56" s="82"/>
      <c r="G56" s="82"/>
      <c r="H56" s="83" t="str">
        <f aca="false">IF(OR(F56="",G56=""),"",G56-F56)</f>
        <v/>
      </c>
      <c r="I56" s="82"/>
      <c r="J56" s="82"/>
      <c r="K56" s="28"/>
      <c r="L56" s="90" t="str">
        <f aca="false">IF(OR(K56="",N(H56)=0),"",K56/H56)</f>
        <v/>
      </c>
      <c r="M56" s="68"/>
      <c r="N56" s="28"/>
      <c r="O56" s="25"/>
      <c r="P56" s="83" t="str">
        <f aca="false">IF(OR(N56="",N(H56)=0),"",N56/H56)</f>
        <v/>
      </c>
      <c r="Q56" s="25"/>
    </row>
    <row r="57" customFormat="false" ht="15" hidden="false" customHeight="false" outlineLevel="0" collapsed="false">
      <c r="A57" s="69"/>
      <c r="B57" s="68"/>
      <c r="C57" s="76" t="str">
        <f aca="false">IF(B57="","",IFERROR(INDEX(EN_Des,MATCH(B57,EN_Code,0)),"Code inconnu"))</f>
        <v/>
      </c>
      <c r="D57" s="25"/>
      <c r="E57" s="25"/>
      <c r="F57" s="82"/>
      <c r="G57" s="82"/>
      <c r="H57" s="83" t="str">
        <f aca="false">IF(OR(F57="",G57=""),"",G57-F57)</f>
        <v/>
      </c>
      <c r="I57" s="82"/>
      <c r="J57" s="82"/>
      <c r="K57" s="28"/>
      <c r="L57" s="90" t="str">
        <f aca="false">IF(OR(K57="",N(H57)=0),"",K57/H57)</f>
        <v/>
      </c>
      <c r="M57" s="68"/>
      <c r="N57" s="28"/>
      <c r="O57" s="25"/>
      <c r="P57" s="83" t="str">
        <f aca="false">IF(OR(N57="",N(H57)=0),"",N57/H57)</f>
        <v/>
      </c>
      <c r="Q57" s="25"/>
    </row>
    <row r="58" customFormat="false" ht="15" hidden="false" customHeight="false" outlineLevel="0" collapsed="false">
      <c r="A58" s="69"/>
      <c r="B58" s="68"/>
      <c r="C58" s="76" t="str">
        <f aca="false">IF(B58="","",IFERROR(INDEX(EN_Des,MATCH(B58,EN_Code,0)),"Code inconnu"))</f>
        <v/>
      </c>
      <c r="D58" s="25"/>
      <c r="E58" s="25"/>
      <c r="F58" s="82"/>
      <c r="G58" s="82"/>
      <c r="H58" s="83" t="str">
        <f aca="false">IF(OR(F58="",G58=""),"",G58-F58)</f>
        <v/>
      </c>
      <c r="I58" s="82"/>
      <c r="J58" s="82"/>
      <c r="K58" s="28"/>
      <c r="L58" s="90" t="str">
        <f aca="false">IF(OR(K58="",N(H58)=0),"",K58/H58)</f>
        <v/>
      </c>
      <c r="M58" s="68"/>
      <c r="N58" s="28"/>
      <c r="O58" s="25"/>
      <c r="P58" s="83" t="str">
        <f aca="false">IF(OR(N58="",N(H58)=0),"",N58/H58)</f>
        <v/>
      </c>
      <c r="Q58" s="25"/>
    </row>
    <row r="59" customFormat="false" ht="15" hidden="false" customHeight="false" outlineLevel="0" collapsed="false">
      <c r="A59" s="69"/>
      <c r="B59" s="68"/>
      <c r="C59" s="76" t="str">
        <f aca="false">IF(B59="","",IFERROR(INDEX(EN_Des,MATCH(B59,EN_Code,0)),"Code inconnu"))</f>
        <v/>
      </c>
      <c r="D59" s="25"/>
      <c r="E59" s="25"/>
      <c r="F59" s="82"/>
      <c r="G59" s="82"/>
      <c r="H59" s="83" t="str">
        <f aca="false">IF(OR(F59="",G59=""),"",G59-F59)</f>
        <v/>
      </c>
      <c r="I59" s="82"/>
      <c r="J59" s="82"/>
      <c r="K59" s="28"/>
      <c r="L59" s="90" t="str">
        <f aca="false">IF(OR(K59="",N(H59)=0),"",K59/H59)</f>
        <v/>
      </c>
      <c r="M59" s="68"/>
      <c r="N59" s="28"/>
      <c r="O59" s="25"/>
      <c r="P59" s="83" t="str">
        <f aca="false">IF(OR(N59="",N(H59)=0),"",N59/H59)</f>
        <v/>
      </c>
      <c r="Q59" s="25"/>
    </row>
    <row r="60" customFormat="false" ht="15" hidden="false" customHeight="false" outlineLevel="0" collapsed="false">
      <c r="A60" s="69"/>
      <c r="B60" s="68"/>
      <c r="C60" s="76" t="str">
        <f aca="false">IF(B60="","",IFERROR(INDEX(EN_Des,MATCH(B60,EN_Code,0)),"Code inconnu"))</f>
        <v/>
      </c>
      <c r="D60" s="25"/>
      <c r="E60" s="25"/>
      <c r="F60" s="82"/>
      <c r="G60" s="82"/>
      <c r="H60" s="83" t="str">
        <f aca="false">IF(OR(F60="",G60=""),"",G60-F60)</f>
        <v/>
      </c>
      <c r="I60" s="82"/>
      <c r="J60" s="82"/>
      <c r="K60" s="28"/>
      <c r="L60" s="90" t="str">
        <f aca="false">IF(OR(K60="",N(H60)=0),"",K60/H60)</f>
        <v/>
      </c>
      <c r="M60" s="68"/>
      <c r="N60" s="28"/>
      <c r="O60" s="25"/>
      <c r="P60" s="83" t="str">
        <f aca="false">IF(OR(N60="",N(H60)=0),"",N60/H60)</f>
        <v/>
      </c>
      <c r="Q60" s="25"/>
    </row>
    <row r="61" customFormat="false" ht="15" hidden="false" customHeight="false" outlineLevel="0" collapsed="false">
      <c r="A61" s="69"/>
      <c r="B61" s="68"/>
      <c r="C61" s="76" t="str">
        <f aca="false">IF(B61="","",IFERROR(INDEX(EN_Des,MATCH(B61,EN_Code,0)),"Code inconnu"))</f>
        <v/>
      </c>
      <c r="D61" s="25"/>
      <c r="E61" s="25"/>
      <c r="F61" s="82"/>
      <c r="G61" s="82"/>
      <c r="H61" s="83" t="str">
        <f aca="false">IF(OR(F61="",G61=""),"",G61-F61)</f>
        <v/>
      </c>
      <c r="I61" s="82"/>
      <c r="J61" s="82"/>
      <c r="K61" s="28"/>
      <c r="L61" s="90" t="str">
        <f aca="false">IF(OR(K61="",N(H61)=0),"",K61/H61)</f>
        <v/>
      </c>
      <c r="M61" s="68"/>
      <c r="N61" s="28"/>
      <c r="O61" s="25"/>
      <c r="P61" s="83" t="str">
        <f aca="false">IF(OR(N61="",N(H61)=0),"",N61/H61)</f>
        <v/>
      </c>
      <c r="Q61" s="25"/>
    </row>
    <row r="62" customFormat="false" ht="15" hidden="false" customHeight="false" outlineLevel="0" collapsed="false">
      <c r="A62" s="69"/>
      <c r="B62" s="68"/>
      <c r="C62" s="76" t="str">
        <f aca="false">IF(B62="","",IFERROR(INDEX(EN_Des,MATCH(B62,EN_Code,0)),"Code inconnu"))</f>
        <v/>
      </c>
      <c r="D62" s="25"/>
      <c r="E62" s="25"/>
      <c r="F62" s="82"/>
      <c r="G62" s="82"/>
      <c r="H62" s="83" t="str">
        <f aca="false">IF(OR(F62="",G62=""),"",G62-F62)</f>
        <v/>
      </c>
      <c r="I62" s="82"/>
      <c r="J62" s="82"/>
      <c r="K62" s="28"/>
      <c r="L62" s="90" t="str">
        <f aca="false">IF(OR(K62="",N(H62)=0),"",K62/H62)</f>
        <v/>
      </c>
      <c r="M62" s="68"/>
      <c r="N62" s="28"/>
      <c r="O62" s="25"/>
      <c r="P62" s="83" t="str">
        <f aca="false">IF(OR(N62="",N(H62)=0),"",N62/H62)</f>
        <v/>
      </c>
      <c r="Q62" s="25"/>
    </row>
    <row r="63" customFormat="false" ht="15" hidden="false" customHeight="false" outlineLevel="0" collapsed="false">
      <c r="A63" s="69"/>
      <c r="B63" s="68"/>
      <c r="C63" s="76" t="str">
        <f aca="false">IF(B63="","",IFERROR(INDEX(EN_Des,MATCH(B63,EN_Code,0)),"Code inconnu"))</f>
        <v/>
      </c>
      <c r="D63" s="25"/>
      <c r="E63" s="25"/>
      <c r="F63" s="82"/>
      <c r="G63" s="82"/>
      <c r="H63" s="83" t="str">
        <f aca="false">IF(OR(F63="",G63=""),"",G63-F63)</f>
        <v/>
      </c>
      <c r="I63" s="82"/>
      <c r="J63" s="82"/>
      <c r="K63" s="28"/>
      <c r="L63" s="90" t="str">
        <f aca="false">IF(OR(K63="",N(H63)=0),"",K63/H63)</f>
        <v/>
      </c>
      <c r="M63" s="68"/>
      <c r="N63" s="28"/>
      <c r="O63" s="25"/>
      <c r="P63" s="83" t="str">
        <f aca="false">IF(OR(N63="",N(H63)=0),"",N63/H63)</f>
        <v/>
      </c>
      <c r="Q63" s="25"/>
    </row>
    <row r="64" customFormat="false" ht="15" hidden="false" customHeight="false" outlineLevel="0" collapsed="false">
      <c r="A64" s="69"/>
      <c r="B64" s="68"/>
      <c r="C64" s="76" t="str">
        <f aca="false">IF(B64="","",IFERROR(INDEX(EN_Des,MATCH(B64,EN_Code,0)),"Code inconnu"))</f>
        <v/>
      </c>
      <c r="D64" s="25"/>
      <c r="E64" s="25"/>
      <c r="F64" s="82"/>
      <c r="G64" s="82"/>
      <c r="H64" s="83" t="str">
        <f aca="false">IF(OR(F64="",G64=""),"",G64-F64)</f>
        <v/>
      </c>
      <c r="I64" s="82"/>
      <c r="J64" s="82"/>
      <c r="K64" s="28"/>
      <c r="L64" s="90" t="str">
        <f aca="false">IF(OR(K64="",N(H64)=0),"",K64/H64)</f>
        <v/>
      </c>
      <c r="M64" s="68"/>
      <c r="N64" s="28"/>
      <c r="O64" s="25"/>
      <c r="P64" s="83" t="str">
        <f aca="false">IF(OR(N64="",N(H64)=0),"",N64/H64)</f>
        <v/>
      </c>
      <c r="Q64" s="25"/>
    </row>
    <row r="65" customFormat="false" ht="15" hidden="false" customHeight="false" outlineLevel="0" collapsed="false">
      <c r="A65" s="69"/>
      <c r="B65" s="68"/>
      <c r="C65" s="76" t="str">
        <f aca="false">IF(B65="","",IFERROR(INDEX(EN_Des,MATCH(B65,EN_Code,0)),"Code inconnu"))</f>
        <v/>
      </c>
      <c r="D65" s="25"/>
      <c r="E65" s="25"/>
      <c r="F65" s="82"/>
      <c r="G65" s="82"/>
      <c r="H65" s="83" t="str">
        <f aca="false">IF(OR(F65="",G65=""),"",G65-F65)</f>
        <v/>
      </c>
      <c r="I65" s="82"/>
      <c r="J65" s="82"/>
      <c r="K65" s="28"/>
      <c r="L65" s="90" t="str">
        <f aca="false">IF(OR(K65="",N(H65)=0),"",K65/H65)</f>
        <v/>
      </c>
      <c r="M65" s="68"/>
      <c r="N65" s="28"/>
      <c r="O65" s="25"/>
      <c r="P65" s="83" t="str">
        <f aca="false">IF(OR(N65="",N(H65)=0),"",N65/H65)</f>
        <v/>
      </c>
      <c r="Q65" s="25"/>
    </row>
    <row r="66" customFormat="false" ht="15" hidden="false" customHeight="false" outlineLevel="0" collapsed="false">
      <c r="A66" s="69"/>
      <c r="B66" s="68"/>
      <c r="C66" s="76" t="str">
        <f aca="false">IF(B66="","",IFERROR(INDEX(EN_Des,MATCH(B66,EN_Code,0)),"Code inconnu"))</f>
        <v/>
      </c>
      <c r="D66" s="25"/>
      <c r="E66" s="25"/>
      <c r="F66" s="82"/>
      <c r="G66" s="82"/>
      <c r="H66" s="83" t="str">
        <f aca="false">IF(OR(F66="",G66=""),"",G66-F66)</f>
        <v/>
      </c>
      <c r="I66" s="82"/>
      <c r="J66" s="82"/>
      <c r="K66" s="28"/>
      <c r="L66" s="90" t="str">
        <f aca="false">IF(OR(K66="",N(H66)=0),"",K66/H66)</f>
        <v/>
      </c>
      <c r="M66" s="68"/>
      <c r="N66" s="28"/>
      <c r="O66" s="25"/>
      <c r="P66" s="83" t="str">
        <f aca="false">IF(OR(N66="",N(H66)=0),"",N66/H66)</f>
        <v/>
      </c>
      <c r="Q66" s="25"/>
    </row>
    <row r="67" customFormat="false" ht="15" hidden="false" customHeight="false" outlineLevel="0" collapsed="false">
      <c r="A67" s="69"/>
      <c r="B67" s="68"/>
      <c r="C67" s="76" t="str">
        <f aca="false">IF(B67="","",IFERROR(INDEX(EN_Des,MATCH(B67,EN_Code,0)),"Code inconnu"))</f>
        <v/>
      </c>
      <c r="D67" s="25"/>
      <c r="E67" s="25"/>
      <c r="F67" s="82"/>
      <c r="G67" s="82"/>
      <c r="H67" s="83" t="str">
        <f aca="false">IF(OR(F67="",G67=""),"",G67-F67)</f>
        <v/>
      </c>
      <c r="I67" s="82"/>
      <c r="J67" s="82"/>
      <c r="K67" s="28"/>
      <c r="L67" s="90" t="str">
        <f aca="false">IF(OR(K67="",N(H67)=0),"",K67/H67)</f>
        <v/>
      </c>
      <c r="M67" s="68"/>
      <c r="N67" s="28"/>
      <c r="O67" s="25"/>
      <c r="P67" s="83" t="str">
        <f aca="false">IF(OR(N67="",N(H67)=0),"",N67/H67)</f>
        <v/>
      </c>
      <c r="Q67" s="25"/>
    </row>
    <row r="68" customFormat="false" ht="15" hidden="false" customHeight="false" outlineLevel="0" collapsed="false">
      <c r="A68" s="69"/>
      <c r="B68" s="68"/>
      <c r="C68" s="76" t="str">
        <f aca="false">IF(B68="","",IFERROR(INDEX(EN_Des,MATCH(B68,EN_Code,0)),"Code inconnu"))</f>
        <v/>
      </c>
      <c r="D68" s="25"/>
      <c r="E68" s="25"/>
      <c r="F68" s="82"/>
      <c r="G68" s="82"/>
      <c r="H68" s="83" t="str">
        <f aca="false">IF(OR(F68="",G68=""),"",G68-F68)</f>
        <v/>
      </c>
      <c r="I68" s="82"/>
      <c r="J68" s="82"/>
      <c r="K68" s="28"/>
      <c r="L68" s="90" t="str">
        <f aca="false">IF(OR(K68="",N(H68)=0),"",K68/H68)</f>
        <v/>
      </c>
      <c r="M68" s="68"/>
      <c r="N68" s="28"/>
      <c r="O68" s="25"/>
      <c r="P68" s="83" t="str">
        <f aca="false">IF(OR(N68="",N(H68)=0),"",N68/H68)</f>
        <v/>
      </c>
      <c r="Q68" s="25"/>
    </row>
    <row r="69" customFormat="false" ht="15" hidden="false" customHeight="false" outlineLevel="0" collapsed="false">
      <c r="A69" s="69"/>
      <c r="B69" s="68"/>
      <c r="C69" s="76" t="str">
        <f aca="false">IF(B69="","",IFERROR(INDEX(EN_Des,MATCH(B69,EN_Code,0)),"Code inconnu"))</f>
        <v/>
      </c>
      <c r="D69" s="25"/>
      <c r="E69" s="25"/>
      <c r="F69" s="82"/>
      <c r="G69" s="82"/>
      <c r="H69" s="83" t="str">
        <f aca="false">IF(OR(F69="",G69=""),"",G69-F69)</f>
        <v/>
      </c>
      <c r="I69" s="82"/>
      <c r="J69" s="82"/>
      <c r="K69" s="28"/>
      <c r="L69" s="90" t="str">
        <f aca="false">IF(OR(K69="",N(H69)=0),"",K69/H69)</f>
        <v/>
      </c>
      <c r="M69" s="68"/>
      <c r="N69" s="28"/>
      <c r="O69" s="25"/>
      <c r="P69" s="83" t="str">
        <f aca="false">IF(OR(N69="",N(H69)=0),"",N69/H69)</f>
        <v/>
      </c>
      <c r="Q69" s="25"/>
    </row>
    <row r="70" customFormat="false" ht="15" hidden="false" customHeight="false" outlineLevel="0" collapsed="false">
      <c r="A70" s="69"/>
      <c r="B70" s="68"/>
      <c r="C70" s="76" t="str">
        <f aca="false">IF(B70="","",IFERROR(INDEX(EN_Des,MATCH(B70,EN_Code,0)),"Code inconnu"))</f>
        <v/>
      </c>
      <c r="D70" s="25"/>
      <c r="E70" s="25"/>
      <c r="F70" s="82"/>
      <c r="G70" s="82"/>
      <c r="H70" s="83" t="str">
        <f aca="false">IF(OR(F70="",G70=""),"",G70-F70)</f>
        <v/>
      </c>
      <c r="I70" s="82"/>
      <c r="J70" s="82"/>
      <c r="K70" s="28"/>
      <c r="L70" s="90" t="str">
        <f aca="false">IF(OR(K70="",N(H70)=0),"",K70/H70)</f>
        <v/>
      </c>
      <c r="M70" s="68"/>
      <c r="N70" s="28"/>
      <c r="O70" s="25"/>
      <c r="P70" s="83" t="str">
        <f aca="false">IF(OR(N70="",N(H70)=0),"",N70/H70)</f>
        <v/>
      </c>
      <c r="Q70" s="25"/>
    </row>
    <row r="71" customFormat="false" ht="15" hidden="false" customHeight="false" outlineLevel="0" collapsed="false">
      <c r="A71" s="69"/>
      <c r="B71" s="68"/>
      <c r="C71" s="76" t="str">
        <f aca="false">IF(B71="","",IFERROR(INDEX(EN_Des,MATCH(B71,EN_Code,0)),"Code inconnu"))</f>
        <v/>
      </c>
      <c r="D71" s="25"/>
      <c r="E71" s="25"/>
      <c r="F71" s="82"/>
      <c r="G71" s="82"/>
      <c r="H71" s="83" t="str">
        <f aca="false">IF(OR(F71="",G71=""),"",G71-F71)</f>
        <v/>
      </c>
      <c r="I71" s="82"/>
      <c r="J71" s="82"/>
      <c r="K71" s="28"/>
      <c r="L71" s="90" t="str">
        <f aca="false">IF(OR(K71="",N(H71)=0),"",K71/H71)</f>
        <v/>
      </c>
      <c r="M71" s="68"/>
      <c r="N71" s="28"/>
      <c r="O71" s="25"/>
      <c r="P71" s="83" t="str">
        <f aca="false">IF(OR(N71="",N(H71)=0),"",N71/H71)</f>
        <v/>
      </c>
      <c r="Q71" s="25"/>
    </row>
    <row r="72" customFormat="false" ht="15" hidden="false" customHeight="false" outlineLevel="0" collapsed="false">
      <c r="A72" s="69"/>
      <c r="B72" s="68"/>
      <c r="C72" s="76" t="str">
        <f aca="false">IF(B72="","",IFERROR(INDEX(EN_Des,MATCH(B72,EN_Code,0)),"Code inconnu"))</f>
        <v/>
      </c>
      <c r="D72" s="25"/>
      <c r="E72" s="25"/>
      <c r="F72" s="82"/>
      <c r="G72" s="82"/>
      <c r="H72" s="83" t="str">
        <f aca="false">IF(OR(F72="",G72=""),"",G72-F72)</f>
        <v/>
      </c>
      <c r="I72" s="82"/>
      <c r="J72" s="82"/>
      <c r="K72" s="28"/>
      <c r="L72" s="90" t="str">
        <f aca="false">IF(OR(K72="",N(H72)=0),"",K72/H72)</f>
        <v/>
      </c>
      <c r="M72" s="68"/>
      <c r="N72" s="28"/>
      <c r="O72" s="25"/>
      <c r="P72" s="83" t="str">
        <f aca="false">IF(OR(N72="",N(H72)=0),"",N72/H72)</f>
        <v/>
      </c>
      <c r="Q72" s="25"/>
    </row>
    <row r="73" customFormat="false" ht="15" hidden="false" customHeight="false" outlineLevel="0" collapsed="false">
      <c r="A73" s="69"/>
      <c r="B73" s="68"/>
      <c r="C73" s="76" t="str">
        <f aca="false">IF(B73="","",IFERROR(INDEX(EN_Des,MATCH(B73,EN_Code,0)),"Code inconnu"))</f>
        <v/>
      </c>
      <c r="D73" s="25"/>
      <c r="E73" s="25"/>
      <c r="F73" s="82"/>
      <c r="G73" s="82"/>
      <c r="H73" s="83" t="str">
        <f aca="false">IF(OR(F73="",G73=""),"",G73-F73)</f>
        <v/>
      </c>
      <c r="I73" s="82"/>
      <c r="J73" s="82"/>
      <c r="K73" s="28"/>
      <c r="L73" s="90" t="str">
        <f aca="false">IF(OR(K73="",N(H73)=0),"",K73/H73)</f>
        <v/>
      </c>
      <c r="M73" s="68"/>
      <c r="N73" s="28"/>
      <c r="O73" s="25"/>
      <c r="P73" s="83" t="str">
        <f aca="false">IF(OR(N73="",N(H73)=0),"",N73/H73)</f>
        <v/>
      </c>
      <c r="Q73" s="25"/>
    </row>
    <row r="74" customFormat="false" ht="15" hidden="false" customHeight="false" outlineLevel="0" collapsed="false">
      <c r="A74" s="69"/>
      <c r="B74" s="68"/>
      <c r="C74" s="76" t="str">
        <f aca="false">IF(B74="","",IFERROR(INDEX(EN_Des,MATCH(B74,EN_Code,0)),"Code inconnu"))</f>
        <v/>
      </c>
      <c r="D74" s="25"/>
      <c r="E74" s="25"/>
      <c r="F74" s="82"/>
      <c r="G74" s="82"/>
      <c r="H74" s="83" t="str">
        <f aca="false">IF(OR(F74="",G74=""),"",G74-F74)</f>
        <v/>
      </c>
      <c r="I74" s="82"/>
      <c r="J74" s="82"/>
      <c r="K74" s="28"/>
      <c r="L74" s="90" t="str">
        <f aca="false">IF(OR(K74="",N(H74)=0),"",K74/H74)</f>
        <v/>
      </c>
      <c r="M74" s="68"/>
      <c r="N74" s="28"/>
      <c r="O74" s="25"/>
      <c r="P74" s="83" t="str">
        <f aca="false">IF(OR(N74="",N(H74)=0),"",N74/H74)</f>
        <v/>
      </c>
      <c r="Q74" s="25"/>
    </row>
    <row r="75" customFormat="false" ht="15" hidden="false" customHeight="false" outlineLevel="0" collapsed="false">
      <c r="A75" s="69"/>
      <c r="B75" s="68"/>
      <c r="C75" s="76" t="str">
        <f aca="false">IF(B75="","",IFERROR(INDEX(EN_Des,MATCH(B75,EN_Code,0)),"Code inconnu"))</f>
        <v/>
      </c>
      <c r="D75" s="25"/>
      <c r="E75" s="25"/>
      <c r="F75" s="82"/>
      <c r="G75" s="82"/>
      <c r="H75" s="83" t="str">
        <f aca="false">IF(OR(F75="",G75=""),"",G75-F75)</f>
        <v/>
      </c>
      <c r="I75" s="82"/>
      <c r="J75" s="82"/>
      <c r="K75" s="28"/>
      <c r="L75" s="90" t="str">
        <f aca="false">IF(OR(K75="",N(H75)=0),"",K75/H75)</f>
        <v/>
      </c>
      <c r="M75" s="68"/>
      <c r="N75" s="28"/>
      <c r="O75" s="25"/>
      <c r="P75" s="83" t="str">
        <f aca="false">IF(OR(N75="",N(H75)=0),"",N75/H75)</f>
        <v/>
      </c>
      <c r="Q75" s="25"/>
    </row>
    <row r="76" customFormat="false" ht="15" hidden="false" customHeight="false" outlineLevel="0" collapsed="false">
      <c r="A76" s="69"/>
      <c r="B76" s="68"/>
      <c r="C76" s="76" t="str">
        <f aca="false">IF(B76="","",IFERROR(INDEX(EN_Des,MATCH(B76,EN_Code,0)),"Code inconnu"))</f>
        <v/>
      </c>
      <c r="D76" s="25"/>
      <c r="E76" s="25"/>
      <c r="F76" s="82"/>
      <c r="G76" s="82"/>
      <c r="H76" s="83" t="str">
        <f aca="false">IF(OR(F76="",G76=""),"",G76-F76)</f>
        <v/>
      </c>
      <c r="I76" s="82"/>
      <c r="J76" s="82"/>
      <c r="K76" s="28"/>
      <c r="L76" s="90" t="str">
        <f aca="false">IF(OR(K76="",N(H76)=0),"",K76/H76)</f>
        <v/>
      </c>
      <c r="M76" s="68"/>
      <c r="N76" s="28"/>
      <c r="O76" s="25"/>
      <c r="P76" s="83" t="str">
        <f aca="false">IF(OR(N76="",N(H76)=0),"",N76/H76)</f>
        <v/>
      </c>
      <c r="Q76" s="25"/>
    </row>
    <row r="77" customFormat="false" ht="15" hidden="false" customHeight="false" outlineLevel="0" collapsed="false">
      <c r="A77" s="69"/>
      <c r="B77" s="68"/>
      <c r="C77" s="76" t="str">
        <f aca="false">IF(B77="","",IFERROR(INDEX(EN_Des,MATCH(B77,EN_Code,0)),"Code inconnu"))</f>
        <v/>
      </c>
      <c r="D77" s="25"/>
      <c r="E77" s="25"/>
      <c r="F77" s="82"/>
      <c r="G77" s="82"/>
      <c r="H77" s="83" t="str">
        <f aca="false">IF(OR(F77="",G77=""),"",G77-F77)</f>
        <v/>
      </c>
      <c r="I77" s="82"/>
      <c r="J77" s="82"/>
      <c r="K77" s="28"/>
      <c r="L77" s="90" t="str">
        <f aca="false">IF(OR(K77="",N(H77)=0),"",K77/H77)</f>
        <v/>
      </c>
      <c r="M77" s="68"/>
      <c r="N77" s="28"/>
      <c r="O77" s="25"/>
      <c r="P77" s="83" t="str">
        <f aca="false">IF(OR(N77="",N(H77)=0),"",N77/H77)</f>
        <v/>
      </c>
      <c r="Q77" s="25"/>
    </row>
    <row r="78" customFormat="false" ht="15" hidden="false" customHeight="false" outlineLevel="0" collapsed="false">
      <c r="A78" s="69"/>
      <c r="B78" s="68"/>
      <c r="C78" s="76" t="str">
        <f aca="false">IF(B78="","",IFERROR(INDEX(EN_Des,MATCH(B78,EN_Code,0)),"Code inconnu"))</f>
        <v/>
      </c>
      <c r="D78" s="25"/>
      <c r="E78" s="25"/>
      <c r="F78" s="82"/>
      <c r="G78" s="82"/>
      <c r="H78" s="83" t="str">
        <f aca="false">IF(OR(F78="",G78=""),"",G78-F78)</f>
        <v/>
      </c>
      <c r="I78" s="82"/>
      <c r="J78" s="82"/>
      <c r="K78" s="28"/>
      <c r="L78" s="90" t="str">
        <f aca="false">IF(OR(K78="",N(H78)=0),"",K78/H78)</f>
        <v/>
      </c>
      <c r="M78" s="68"/>
      <c r="N78" s="28"/>
      <c r="O78" s="25"/>
      <c r="P78" s="83" t="str">
        <f aca="false">IF(OR(N78="",N(H78)=0),"",N78/H78)</f>
        <v/>
      </c>
      <c r="Q78" s="25"/>
    </row>
    <row r="79" customFormat="false" ht="15" hidden="false" customHeight="false" outlineLevel="0" collapsed="false">
      <c r="A79" s="69"/>
      <c r="B79" s="68"/>
      <c r="C79" s="76" t="str">
        <f aca="false">IF(B79="","",IFERROR(INDEX(EN_Des,MATCH(B79,EN_Code,0)),"Code inconnu"))</f>
        <v/>
      </c>
      <c r="D79" s="25"/>
      <c r="E79" s="25"/>
      <c r="F79" s="82"/>
      <c r="G79" s="82"/>
      <c r="H79" s="83" t="str">
        <f aca="false">IF(OR(F79="",G79=""),"",G79-F79)</f>
        <v/>
      </c>
      <c r="I79" s="82"/>
      <c r="J79" s="82"/>
      <c r="K79" s="28"/>
      <c r="L79" s="90" t="str">
        <f aca="false">IF(OR(K79="",N(H79)=0),"",K79/H79)</f>
        <v/>
      </c>
      <c r="M79" s="68"/>
      <c r="N79" s="28"/>
      <c r="O79" s="25"/>
      <c r="P79" s="83" t="str">
        <f aca="false">IF(OR(N79="",N(H79)=0),"",N79/H79)</f>
        <v/>
      </c>
      <c r="Q79" s="25"/>
    </row>
    <row r="80" customFormat="false" ht="15" hidden="false" customHeight="false" outlineLevel="0" collapsed="false">
      <c r="A80" s="69"/>
      <c r="B80" s="68"/>
      <c r="C80" s="76" t="str">
        <f aca="false">IF(B80="","",IFERROR(INDEX(EN_Des,MATCH(B80,EN_Code,0)),"Code inconnu"))</f>
        <v/>
      </c>
      <c r="D80" s="25"/>
      <c r="E80" s="25"/>
      <c r="F80" s="82"/>
      <c r="G80" s="82"/>
      <c r="H80" s="83" t="str">
        <f aca="false">IF(OR(F80="",G80=""),"",G80-F80)</f>
        <v/>
      </c>
      <c r="I80" s="82"/>
      <c r="J80" s="82"/>
      <c r="K80" s="28"/>
      <c r="L80" s="90" t="str">
        <f aca="false">IF(OR(K80="",N(H80)=0),"",K80/H80)</f>
        <v/>
      </c>
      <c r="M80" s="68"/>
      <c r="N80" s="28"/>
      <c r="O80" s="25"/>
      <c r="P80" s="83" t="str">
        <f aca="false">IF(OR(N80="",N(H80)=0),"",N80/H80)</f>
        <v/>
      </c>
      <c r="Q80" s="25"/>
    </row>
    <row r="81" customFormat="false" ht="15" hidden="false" customHeight="false" outlineLevel="0" collapsed="false">
      <c r="A81" s="69"/>
      <c r="B81" s="68"/>
      <c r="C81" s="76" t="str">
        <f aca="false">IF(B81="","",IFERROR(INDEX(EN_Des,MATCH(B81,EN_Code,0)),"Code inconnu"))</f>
        <v/>
      </c>
      <c r="D81" s="25"/>
      <c r="E81" s="25"/>
      <c r="F81" s="82"/>
      <c r="G81" s="82"/>
      <c r="H81" s="83" t="str">
        <f aca="false">IF(OR(F81="",G81=""),"",G81-F81)</f>
        <v/>
      </c>
      <c r="I81" s="82"/>
      <c r="J81" s="82"/>
      <c r="K81" s="28"/>
      <c r="L81" s="90" t="str">
        <f aca="false">IF(OR(K81="",N(H81)=0),"",K81/H81)</f>
        <v/>
      </c>
      <c r="M81" s="68"/>
      <c r="N81" s="28"/>
      <c r="O81" s="25"/>
      <c r="P81" s="83" t="str">
        <f aca="false">IF(OR(N81="",N(H81)=0),"",N81/H81)</f>
        <v/>
      </c>
      <c r="Q81" s="25"/>
    </row>
    <row r="82" customFormat="false" ht="15" hidden="false" customHeight="false" outlineLevel="0" collapsed="false">
      <c r="A82" s="69"/>
      <c r="B82" s="68"/>
      <c r="C82" s="76" t="str">
        <f aca="false">IF(B82="","",IFERROR(INDEX(EN_Des,MATCH(B82,EN_Code,0)),"Code inconnu"))</f>
        <v/>
      </c>
      <c r="D82" s="25"/>
      <c r="E82" s="25"/>
      <c r="F82" s="82"/>
      <c r="G82" s="82"/>
      <c r="H82" s="83" t="str">
        <f aca="false">IF(OR(F82="",G82=""),"",G82-F82)</f>
        <v/>
      </c>
      <c r="I82" s="82"/>
      <c r="J82" s="82"/>
      <c r="K82" s="28"/>
      <c r="L82" s="90" t="str">
        <f aca="false">IF(OR(K82="",N(H82)=0),"",K82/H82)</f>
        <v/>
      </c>
      <c r="M82" s="68"/>
      <c r="N82" s="28"/>
      <c r="O82" s="25"/>
      <c r="P82" s="83" t="str">
        <f aca="false">IF(OR(N82="",N(H82)=0),"",N82/H82)</f>
        <v/>
      </c>
      <c r="Q82" s="25"/>
    </row>
    <row r="83" customFormat="false" ht="15" hidden="false" customHeight="false" outlineLevel="0" collapsed="false">
      <c r="A83" s="69"/>
      <c r="B83" s="68"/>
      <c r="C83" s="76" t="str">
        <f aca="false">IF(B83="","",IFERROR(INDEX(EN_Des,MATCH(B83,EN_Code,0)),"Code inconnu"))</f>
        <v/>
      </c>
      <c r="D83" s="25"/>
      <c r="E83" s="25"/>
      <c r="F83" s="82"/>
      <c r="G83" s="82"/>
      <c r="H83" s="83" t="str">
        <f aca="false">IF(OR(F83="",G83=""),"",G83-F83)</f>
        <v/>
      </c>
      <c r="I83" s="82"/>
      <c r="J83" s="82"/>
      <c r="K83" s="28"/>
      <c r="L83" s="90" t="str">
        <f aca="false">IF(OR(K83="",N(H83)=0),"",K83/H83)</f>
        <v/>
      </c>
      <c r="M83" s="68"/>
      <c r="N83" s="28"/>
      <c r="O83" s="25"/>
      <c r="P83" s="83" t="str">
        <f aca="false">IF(OR(N83="",N(H83)=0),"",N83/H83)</f>
        <v/>
      </c>
      <c r="Q83" s="25"/>
    </row>
    <row r="84" customFormat="false" ht="15" hidden="false" customHeight="false" outlineLevel="0" collapsed="false">
      <c r="A84" s="69"/>
      <c r="B84" s="68"/>
      <c r="C84" s="76" t="str">
        <f aca="false">IF(B84="","",IFERROR(INDEX(EN_Des,MATCH(B84,EN_Code,0)),"Code inconnu"))</f>
        <v/>
      </c>
      <c r="D84" s="25"/>
      <c r="E84" s="25"/>
      <c r="F84" s="82"/>
      <c r="G84" s="82"/>
      <c r="H84" s="83" t="str">
        <f aca="false">IF(OR(F84="",G84=""),"",G84-F84)</f>
        <v/>
      </c>
      <c r="I84" s="82"/>
      <c r="J84" s="82"/>
      <c r="K84" s="28"/>
      <c r="L84" s="90" t="str">
        <f aca="false">IF(OR(K84="",N(H84)=0),"",K84/H84)</f>
        <v/>
      </c>
      <c r="M84" s="68"/>
      <c r="N84" s="28"/>
      <c r="O84" s="25"/>
      <c r="P84" s="83" t="str">
        <f aca="false">IF(OR(N84="",N(H84)=0),"",N84/H84)</f>
        <v/>
      </c>
      <c r="Q84" s="25"/>
    </row>
    <row r="85" customFormat="false" ht="15" hidden="false" customHeight="false" outlineLevel="0" collapsed="false">
      <c r="A85" s="69"/>
      <c r="B85" s="68"/>
      <c r="C85" s="76" t="str">
        <f aca="false">IF(B85="","",IFERROR(INDEX(EN_Des,MATCH(B85,EN_Code,0)),"Code inconnu"))</f>
        <v/>
      </c>
      <c r="D85" s="25"/>
      <c r="E85" s="25"/>
      <c r="F85" s="82"/>
      <c r="G85" s="82"/>
      <c r="H85" s="83" t="str">
        <f aca="false">IF(OR(F85="",G85=""),"",G85-F85)</f>
        <v/>
      </c>
      <c r="I85" s="82"/>
      <c r="J85" s="82"/>
      <c r="K85" s="28"/>
      <c r="L85" s="90" t="str">
        <f aca="false">IF(OR(K85="",N(H85)=0),"",K85/H85)</f>
        <v/>
      </c>
      <c r="M85" s="68"/>
      <c r="N85" s="28"/>
      <c r="O85" s="25"/>
      <c r="P85" s="83" t="str">
        <f aca="false">IF(OR(N85="",N(H85)=0),"",N85/H85)</f>
        <v/>
      </c>
      <c r="Q85" s="25"/>
    </row>
    <row r="86" customFormat="false" ht="15" hidden="false" customHeight="false" outlineLevel="0" collapsed="false">
      <c r="A86" s="69"/>
      <c r="B86" s="68"/>
      <c r="C86" s="76" t="str">
        <f aca="false">IF(B86="","",IFERROR(INDEX(EN_Des,MATCH(B86,EN_Code,0)),"Code inconnu"))</f>
        <v/>
      </c>
      <c r="D86" s="25"/>
      <c r="E86" s="25"/>
      <c r="F86" s="82"/>
      <c r="G86" s="82"/>
      <c r="H86" s="83" t="str">
        <f aca="false">IF(OR(F86="",G86=""),"",G86-F86)</f>
        <v/>
      </c>
      <c r="I86" s="82"/>
      <c r="J86" s="82"/>
      <c r="K86" s="28"/>
      <c r="L86" s="90" t="str">
        <f aca="false">IF(OR(K86="",N(H86)=0),"",K86/H86)</f>
        <v/>
      </c>
      <c r="M86" s="68"/>
      <c r="N86" s="28"/>
      <c r="O86" s="25"/>
      <c r="P86" s="83" t="str">
        <f aca="false">IF(OR(N86="",N(H86)=0),"",N86/H86)</f>
        <v/>
      </c>
      <c r="Q86" s="25"/>
    </row>
    <row r="87" customFormat="false" ht="15" hidden="false" customHeight="false" outlineLevel="0" collapsed="false">
      <c r="A87" s="69"/>
      <c r="B87" s="68"/>
      <c r="C87" s="76" t="str">
        <f aca="false">IF(B87="","",IFERROR(INDEX(EN_Des,MATCH(B87,EN_Code,0)),"Code inconnu"))</f>
        <v/>
      </c>
      <c r="D87" s="25"/>
      <c r="E87" s="25"/>
      <c r="F87" s="82"/>
      <c r="G87" s="82"/>
      <c r="H87" s="83" t="str">
        <f aca="false">IF(OR(F87="",G87=""),"",G87-F87)</f>
        <v/>
      </c>
      <c r="I87" s="82"/>
      <c r="J87" s="82"/>
      <c r="K87" s="28"/>
      <c r="L87" s="90" t="str">
        <f aca="false">IF(OR(K87="",N(H87)=0),"",K87/H87)</f>
        <v/>
      </c>
      <c r="M87" s="68"/>
      <c r="N87" s="28"/>
      <c r="O87" s="25"/>
      <c r="P87" s="83" t="str">
        <f aca="false">IF(OR(N87="",N(H87)=0),"",N87/H87)</f>
        <v/>
      </c>
      <c r="Q87" s="25"/>
    </row>
    <row r="88" customFormat="false" ht="15" hidden="false" customHeight="false" outlineLevel="0" collapsed="false">
      <c r="A88" s="69"/>
      <c r="B88" s="68"/>
      <c r="C88" s="76" t="str">
        <f aca="false">IF(B88="","",IFERROR(INDEX(EN_Des,MATCH(B88,EN_Code,0)),"Code inconnu"))</f>
        <v/>
      </c>
      <c r="D88" s="25"/>
      <c r="E88" s="25"/>
      <c r="F88" s="82"/>
      <c r="G88" s="82"/>
      <c r="H88" s="83" t="str">
        <f aca="false">IF(OR(F88="",G88=""),"",G88-F88)</f>
        <v/>
      </c>
      <c r="I88" s="82"/>
      <c r="J88" s="82"/>
      <c r="K88" s="28"/>
      <c r="L88" s="90" t="str">
        <f aca="false">IF(OR(K88="",N(H88)=0),"",K88/H88)</f>
        <v/>
      </c>
      <c r="M88" s="68"/>
      <c r="N88" s="28"/>
      <c r="O88" s="25"/>
      <c r="P88" s="83" t="str">
        <f aca="false">IF(OR(N88="",N(H88)=0),"",N88/H88)</f>
        <v/>
      </c>
      <c r="Q88" s="25"/>
    </row>
    <row r="89" customFormat="false" ht="15" hidden="false" customHeight="false" outlineLevel="0" collapsed="false">
      <c r="A89" s="69"/>
      <c r="B89" s="68"/>
      <c r="C89" s="76" t="str">
        <f aca="false">IF(B89="","",IFERROR(INDEX(EN_Des,MATCH(B89,EN_Code,0)),"Code inconnu"))</f>
        <v/>
      </c>
      <c r="D89" s="25"/>
      <c r="E89" s="25"/>
      <c r="F89" s="82"/>
      <c r="G89" s="82"/>
      <c r="H89" s="83" t="str">
        <f aca="false">IF(OR(F89="",G89=""),"",G89-F89)</f>
        <v/>
      </c>
      <c r="I89" s="82"/>
      <c r="J89" s="82"/>
      <c r="K89" s="28"/>
      <c r="L89" s="90" t="str">
        <f aca="false">IF(OR(K89="",N(H89)=0),"",K89/H89)</f>
        <v/>
      </c>
      <c r="M89" s="68"/>
      <c r="N89" s="28"/>
      <c r="O89" s="25"/>
      <c r="P89" s="83" t="str">
        <f aca="false">IF(OR(N89="",N(H89)=0),"",N89/H89)</f>
        <v/>
      </c>
      <c r="Q89" s="25"/>
    </row>
    <row r="90" customFormat="false" ht="15" hidden="false" customHeight="false" outlineLevel="0" collapsed="false">
      <c r="A90" s="69"/>
      <c r="B90" s="68"/>
      <c r="C90" s="76" t="str">
        <f aca="false">IF(B90="","",IFERROR(INDEX(EN_Des,MATCH(B90,EN_Code,0)),"Code inconnu"))</f>
        <v/>
      </c>
      <c r="D90" s="25"/>
      <c r="E90" s="25"/>
      <c r="F90" s="82"/>
      <c r="G90" s="82"/>
      <c r="H90" s="83" t="str">
        <f aca="false">IF(OR(F90="",G90=""),"",G90-F90)</f>
        <v/>
      </c>
      <c r="I90" s="82"/>
      <c r="J90" s="82"/>
      <c r="K90" s="28"/>
      <c r="L90" s="90" t="str">
        <f aca="false">IF(OR(K90="",N(H90)=0),"",K90/H90)</f>
        <v/>
      </c>
      <c r="M90" s="68"/>
      <c r="N90" s="28"/>
      <c r="O90" s="25"/>
      <c r="P90" s="83" t="str">
        <f aca="false">IF(OR(N90="",N(H90)=0),"",N90/H90)</f>
        <v/>
      </c>
      <c r="Q90" s="25"/>
    </row>
    <row r="91" customFormat="false" ht="15" hidden="false" customHeight="false" outlineLevel="0" collapsed="false">
      <c r="A91" s="69"/>
      <c r="B91" s="68"/>
      <c r="C91" s="76" t="str">
        <f aca="false">IF(B91="","",IFERROR(INDEX(EN_Des,MATCH(B91,EN_Code,0)),"Code inconnu"))</f>
        <v/>
      </c>
      <c r="D91" s="25"/>
      <c r="E91" s="25"/>
      <c r="F91" s="82"/>
      <c r="G91" s="82"/>
      <c r="H91" s="83" t="str">
        <f aca="false">IF(OR(F91="",G91=""),"",G91-F91)</f>
        <v/>
      </c>
      <c r="I91" s="82"/>
      <c r="J91" s="82"/>
      <c r="K91" s="28"/>
      <c r="L91" s="90" t="str">
        <f aca="false">IF(OR(K91="",N(H91)=0),"",K91/H91)</f>
        <v/>
      </c>
      <c r="M91" s="68"/>
      <c r="N91" s="28"/>
      <c r="O91" s="25"/>
      <c r="P91" s="83" t="str">
        <f aca="false">IF(OR(N91="",N(H91)=0),"",N91/H91)</f>
        <v/>
      </c>
      <c r="Q91" s="25"/>
    </row>
    <row r="92" customFormat="false" ht="15" hidden="false" customHeight="false" outlineLevel="0" collapsed="false">
      <c r="A92" s="69"/>
      <c r="B92" s="68"/>
      <c r="C92" s="76" t="str">
        <f aca="false">IF(B92="","",IFERROR(INDEX(EN_Des,MATCH(B92,EN_Code,0)),"Code inconnu"))</f>
        <v/>
      </c>
      <c r="D92" s="25"/>
      <c r="E92" s="25"/>
      <c r="F92" s="82"/>
      <c r="G92" s="82"/>
      <c r="H92" s="83" t="str">
        <f aca="false">IF(OR(F92="",G92=""),"",G92-F92)</f>
        <v/>
      </c>
      <c r="I92" s="82"/>
      <c r="J92" s="82"/>
      <c r="K92" s="28"/>
      <c r="L92" s="90" t="str">
        <f aca="false">IF(OR(K92="",N(H92)=0),"",K92/H92)</f>
        <v/>
      </c>
      <c r="M92" s="68"/>
      <c r="N92" s="28"/>
      <c r="O92" s="25"/>
      <c r="P92" s="83" t="str">
        <f aca="false">IF(OR(N92="",N(H92)=0),"",N92/H92)</f>
        <v/>
      </c>
      <c r="Q92" s="25"/>
    </row>
    <row r="93" customFormat="false" ht="15" hidden="false" customHeight="false" outlineLevel="0" collapsed="false">
      <c r="A93" s="69"/>
      <c r="B93" s="68"/>
      <c r="C93" s="76" t="str">
        <f aca="false">IF(B93="","",IFERROR(INDEX(EN_Des,MATCH(B93,EN_Code,0)),"Code inconnu"))</f>
        <v/>
      </c>
      <c r="D93" s="25"/>
      <c r="E93" s="25"/>
      <c r="F93" s="82"/>
      <c r="G93" s="82"/>
      <c r="H93" s="83" t="str">
        <f aca="false">IF(OR(F93="",G93=""),"",G93-F93)</f>
        <v/>
      </c>
      <c r="I93" s="82"/>
      <c r="J93" s="82"/>
      <c r="K93" s="28"/>
      <c r="L93" s="90" t="str">
        <f aca="false">IF(OR(K93="",N(H93)=0),"",K93/H93)</f>
        <v/>
      </c>
      <c r="M93" s="68"/>
      <c r="N93" s="28"/>
      <c r="O93" s="25"/>
      <c r="P93" s="83" t="str">
        <f aca="false">IF(OR(N93="",N(H93)=0),"",N93/H93)</f>
        <v/>
      </c>
      <c r="Q93" s="25"/>
    </row>
    <row r="94" customFormat="false" ht="15" hidden="false" customHeight="false" outlineLevel="0" collapsed="false">
      <c r="A94" s="69"/>
      <c r="B94" s="68"/>
      <c r="C94" s="76" t="str">
        <f aca="false">IF(B94="","",IFERROR(INDEX(EN_Des,MATCH(B94,EN_Code,0)),"Code inconnu"))</f>
        <v/>
      </c>
      <c r="D94" s="25"/>
      <c r="E94" s="25"/>
      <c r="F94" s="82"/>
      <c r="G94" s="82"/>
      <c r="H94" s="83" t="str">
        <f aca="false">IF(OR(F94="",G94=""),"",G94-F94)</f>
        <v/>
      </c>
      <c r="I94" s="82"/>
      <c r="J94" s="82"/>
      <c r="K94" s="28"/>
      <c r="L94" s="90" t="str">
        <f aca="false">IF(OR(K94="",N(H94)=0),"",K94/H94)</f>
        <v/>
      </c>
      <c r="M94" s="68"/>
      <c r="N94" s="28"/>
      <c r="O94" s="25"/>
      <c r="P94" s="83" t="str">
        <f aca="false">IF(OR(N94="",N(H94)=0),"",N94/H94)</f>
        <v/>
      </c>
      <c r="Q94" s="25"/>
    </row>
    <row r="95" customFormat="false" ht="15" hidden="false" customHeight="false" outlineLevel="0" collapsed="false">
      <c r="A95" s="69"/>
      <c r="B95" s="68"/>
      <c r="C95" s="76" t="str">
        <f aca="false">IF(B95="","",IFERROR(INDEX(EN_Des,MATCH(B95,EN_Code,0)),"Code inconnu"))</f>
        <v/>
      </c>
      <c r="D95" s="25"/>
      <c r="E95" s="25"/>
      <c r="F95" s="82"/>
      <c r="G95" s="82"/>
      <c r="H95" s="83" t="str">
        <f aca="false">IF(OR(F95="",G95=""),"",G95-F95)</f>
        <v/>
      </c>
      <c r="I95" s="82"/>
      <c r="J95" s="82"/>
      <c r="K95" s="28"/>
      <c r="L95" s="90" t="str">
        <f aca="false">IF(OR(K95="",N(H95)=0),"",K95/H95)</f>
        <v/>
      </c>
      <c r="M95" s="68"/>
      <c r="N95" s="28"/>
      <c r="O95" s="25"/>
      <c r="P95" s="83" t="str">
        <f aca="false">IF(OR(N95="",N(H95)=0),"",N95/H95)</f>
        <v/>
      </c>
      <c r="Q95" s="25"/>
    </row>
    <row r="96" customFormat="false" ht="15" hidden="false" customHeight="false" outlineLevel="0" collapsed="false">
      <c r="A96" s="69"/>
      <c r="B96" s="68"/>
      <c r="C96" s="76" t="str">
        <f aca="false">IF(B96="","",IFERROR(INDEX(EN_Des,MATCH(B96,EN_Code,0)),"Code inconnu"))</f>
        <v/>
      </c>
      <c r="D96" s="25"/>
      <c r="E96" s="25"/>
      <c r="F96" s="82"/>
      <c r="G96" s="82"/>
      <c r="H96" s="83" t="str">
        <f aca="false">IF(OR(F96="",G96=""),"",G96-F96)</f>
        <v/>
      </c>
      <c r="I96" s="82"/>
      <c r="J96" s="82"/>
      <c r="K96" s="28"/>
      <c r="L96" s="90" t="str">
        <f aca="false">IF(OR(K96="",N(H96)=0),"",K96/H96)</f>
        <v/>
      </c>
      <c r="M96" s="68"/>
      <c r="N96" s="28"/>
      <c r="O96" s="25"/>
      <c r="P96" s="83" t="str">
        <f aca="false">IF(OR(N96="",N(H96)=0),"",N96/H96)</f>
        <v/>
      </c>
      <c r="Q96" s="25"/>
    </row>
    <row r="97" customFormat="false" ht="15" hidden="false" customHeight="false" outlineLevel="0" collapsed="false">
      <c r="A97" s="69"/>
      <c r="B97" s="68"/>
      <c r="C97" s="76" t="str">
        <f aca="false">IF(B97="","",IFERROR(INDEX(EN_Des,MATCH(B97,EN_Code,0)),"Code inconnu"))</f>
        <v/>
      </c>
      <c r="D97" s="25"/>
      <c r="E97" s="25"/>
      <c r="F97" s="82"/>
      <c r="G97" s="82"/>
      <c r="H97" s="83" t="str">
        <f aca="false">IF(OR(F97="",G97=""),"",G97-F97)</f>
        <v/>
      </c>
      <c r="I97" s="82"/>
      <c r="J97" s="82"/>
      <c r="K97" s="28"/>
      <c r="L97" s="90" t="str">
        <f aca="false">IF(OR(K97="",N(H97)=0),"",K97/H97)</f>
        <v/>
      </c>
      <c r="M97" s="68"/>
      <c r="N97" s="28"/>
      <c r="O97" s="25"/>
      <c r="P97" s="83" t="str">
        <f aca="false">IF(OR(N97="",N(H97)=0),"",N97/H97)</f>
        <v/>
      </c>
      <c r="Q97" s="25"/>
    </row>
    <row r="98" customFormat="false" ht="15" hidden="false" customHeight="false" outlineLevel="0" collapsed="false">
      <c r="A98" s="69"/>
      <c r="B98" s="68"/>
      <c r="C98" s="76" t="str">
        <f aca="false">IF(B98="","",IFERROR(INDEX(EN_Des,MATCH(B98,EN_Code,0)),"Code inconnu"))</f>
        <v/>
      </c>
      <c r="D98" s="25"/>
      <c r="E98" s="25"/>
      <c r="F98" s="82"/>
      <c r="G98" s="82"/>
      <c r="H98" s="83" t="str">
        <f aca="false">IF(OR(F98="",G98=""),"",G98-F98)</f>
        <v/>
      </c>
      <c r="I98" s="82"/>
      <c r="J98" s="82"/>
      <c r="K98" s="28"/>
      <c r="L98" s="90" t="str">
        <f aca="false">IF(OR(K98="",N(H98)=0),"",K98/H98)</f>
        <v/>
      </c>
      <c r="M98" s="68"/>
      <c r="N98" s="28"/>
      <c r="O98" s="25"/>
      <c r="P98" s="83" t="str">
        <f aca="false">IF(OR(N98="",N(H98)=0),"",N98/H98)</f>
        <v/>
      </c>
      <c r="Q98" s="25"/>
    </row>
    <row r="99" customFormat="false" ht="15" hidden="false" customHeight="false" outlineLevel="0" collapsed="false">
      <c r="A99" s="69"/>
      <c r="B99" s="68"/>
      <c r="C99" s="76" t="str">
        <f aca="false">IF(B99="","",IFERROR(INDEX(EN_Des,MATCH(B99,EN_Code,0)),"Code inconnu"))</f>
        <v/>
      </c>
      <c r="D99" s="25"/>
      <c r="E99" s="25"/>
      <c r="F99" s="82"/>
      <c r="G99" s="82"/>
      <c r="H99" s="83" t="str">
        <f aca="false">IF(OR(F99="",G99=""),"",G99-F99)</f>
        <v/>
      </c>
      <c r="I99" s="82"/>
      <c r="J99" s="82"/>
      <c r="K99" s="28"/>
      <c r="L99" s="90" t="str">
        <f aca="false">IF(OR(K99="",N(H99)=0),"",K99/H99)</f>
        <v/>
      </c>
      <c r="M99" s="68"/>
      <c r="N99" s="28"/>
      <c r="O99" s="25"/>
      <c r="P99" s="83" t="str">
        <f aca="false">IF(OR(N99="",N(H99)=0),"",N99/H99)</f>
        <v/>
      </c>
      <c r="Q99" s="25"/>
    </row>
    <row r="100" customFormat="false" ht="15" hidden="false" customHeight="false" outlineLevel="0" collapsed="false">
      <c r="A100" s="69"/>
      <c r="B100" s="68"/>
      <c r="C100" s="76" t="str">
        <f aca="false">IF(B100="","",IFERROR(INDEX(EN_Des,MATCH(B100,EN_Code,0)),"Code inconnu"))</f>
        <v/>
      </c>
      <c r="D100" s="25"/>
      <c r="E100" s="25"/>
      <c r="F100" s="82"/>
      <c r="G100" s="82"/>
      <c r="H100" s="83" t="str">
        <f aca="false">IF(OR(F100="",G100=""),"",G100-F100)</f>
        <v/>
      </c>
      <c r="I100" s="82"/>
      <c r="J100" s="82"/>
      <c r="K100" s="28"/>
      <c r="L100" s="90" t="str">
        <f aca="false">IF(OR(K100="",N(H100)=0),"",K100/H100)</f>
        <v/>
      </c>
      <c r="M100" s="68"/>
      <c r="N100" s="28"/>
      <c r="O100" s="25"/>
      <c r="P100" s="83" t="str">
        <f aca="false">IF(OR(N100="",N(H100)=0),"",N100/H100)</f>
        <v/>
      </c>
      <c r="Q100" s="25"/>
    </row>
    <row r="101" customFormat="false" ht="15" hidden="false" customHeight="false" outlineLevel="0" collapsed="false">
      <c r="A101" s="69"/>
      <c r="B101" s="68"/>
      <c r="C101" s="76" t="str">
        <f aca="false">IF(B101="","",IFERROR(INDEX(EN_Des,MATCH(B101,EN_Code,0)),"Code inconnu"))</f>
        <v/>
      </c>
      <c r="D101" s="25"/>
      <c r="E101" s="25"/>
      <c r="F101" s="82"/>
      <c r="G101" s="82"/>
      <c r="H101" s="83" t="str">
        <f aca="false">IF(OR(F101="",G101=""),"",G101-F101)</f>
        <v/>
      </c>
      <c r="I101" s="82"/>
      <c r="J101" s="82"/>
      <c r="K101" s="28"/>
      <c r="L101" s="90" t="str">
        <f aca="false">IF(OR(K101="",N(H101)=0),"",K101/H101)</f>
        <v/>
      </c>
      <c r="M101" s="68"/>
      <c r="N101" s="28"/>
      <c r="O101" s="25"/>
      <c r="P101" s="83" t="str">
        <f aca="false">IF(OR(N101="",N(H101)=0),"",N101/H101)</f>
        <v/>
      </c>
      <c r="Q101" s="25"/>
    </row>
    <row r="102" customFormat="false" ht="15" hidden="false" customHeight="false" outlineLevel="0" collapsed="false">
      <c r="A102" s="69"/>
      <c r="B102" s="68"/>
      <c r="C102" s="76" t="str">
        <f aca="false">IF(B102="","",IFERROR(INDEX(EN_Des,MATCH(B102,EN_Code,0)),"Code inconnu"))</f>
        <v/>
      </c>
      <c r="D102" s="25"/>
      <c r="E102" s="25"/>
      <c r="F102" s="82"/>
      <c r="G102" s="82"/>
      <c r="H102" s="83" t="str">
        <f aca="false">IF(OR(F102="",G102=""),"",G102-F102)</f>
        <v/>
      </c>
      <c r="I102" s="82"/>
      <c r="J102" s="82"/>
      <c r="K102" s="28"/>
      <c r="L102" s="90" t="str">
        <f aca="false">IF(OR(K102="",N(H102)=0),"",K102/H102)</f>
        <v/>
      </c>
      <c r="M102" s="68"/>
      <c r="N102" s="28"/>
      <c r="O102" s="25"/>
      <c r="P102" s="83" t="str">
        <f aca="false">IF(OR(N102="",N(H102)=0),"",N102/H102)</f>
        <v/>
      </c>
      <c r="Q102" s="25"/>
    </row>
    <row r="103" customFormat="false" ht="15" hidden="false" customHeight="false" outlineLevel="0" collapsed="false">
      <c r="A103" s="69"/>
      <c r="B103" s="68"/>
      <c r="C103" s="76" t="str">
        <f aca="false">IF(B103="","",IFERROR(INDEX(EN_Des,MATCH(B103,EN_Code,0)),"Code inconnu"))</f>
        <v/>
      </c>
      <c r="D103" s="25"/>
      <c r="E103" s="25"/>
      <c r="F103" s="82"/>
      <c r="G103" s="82"/>
      <c r="H103" s="83" t="str">
        <f aca="false">IF(OR(F103="",G103=""),"",G103-F103)</f>
        <v/>
      </c>
      <c r="I103" s="82"/>
      <c r="J103" s="82"/>
      <c r="K103" s="28"/>
      <c r="L103" s="90" t="str">
        <f aca="false">IF(OR(K103="",N(H103)=0),"",K103/H103)</f>
        <v/>
      </c>
      <c r="M103" s="68"/>
      <c r="N103" s="28"/>
      <c r="O103" s="25"/>
      <c r="P103" s="83" t="str">
        <f aca="false">IF(OR(N103="",N(H103)=0),"",N103/H103)</f>
        <v/>
      </c>
      <c r="Q103" s="25"/>
    </row>
    <row r="104" customFormat="false" ht="15" hidden="false" customHeight="false" outlineLevel="0" collapsed="false">
      <c r="A104" s="69"/>
      <c r="B104" s="68"/>
      <c r="C104" s="76" t="str">
        <f aca="false">IF(B104="","",IFERROR(INDEX(EN_Des,MATCH(B104,EN_Code,0)),"Code inconnu"))</f>
        <v/>
      </c>
      <c r="D104" s="25"/>
      <c r="E104" s="25"/>
      <c r="F104" s="82"/>
      <c r="G104" s="82"/>
      <c r="H104" s="83" t="str">
        <f aca="false">IF(OR(F104="",G104=""),"",G104-F104)</f>
        <v/>
      </c>
      <c r="I104" s="82"/>
      <c r="J104" s="82"/>
      <c r="K104" s="28"/>
      <c r="L104" s="90" t="str">
        <f aca="false">IF(OR(K104="",N(H104)=0),"",K104/H104)</f>
        <v/>
      </c>
      <c r="M104" s="68"/>
      <c r="N104" s="28"/>
      <c r="O104" s="25"/>
      <c r="P104" s="83" t="str">
        <f aca="false">IF(OR(N104="",N(H104)=0),"",N104/H104)</f>
        <v/>
      </c>
      <c r="Q104" s="25"/>
    </row>
    <row r="105" customFormat="false" ht="15" hidden="false" customHeight="false" outlineLevel="0" collapsed="false">
      <c r="A105" s="69"/>
      <c r="B105" s="68"/>
      <c r="C105" s="76" t="str">
        <f aca="false">IF(B105="","",IFERROR(INDEX(EN_Des,MATCH(B105,EN_Code,0)),"Code inconnu"))</f>
        <v/>
      </c>
      <c r="D105" s="25"/>
      <c r="E105" s="25"/>
      <c r="F105" s="82"/>
      <c r="G105" s="82"/>
      <c r="H105" s="83" t="str">
        <f aca="false">IF(OR(F105="",G105=""),"",G105-F105)</f>
        <v/>
      </c>
      <c r="I105" s="82"/>
      <c r="J105" s="82"/>
      <c r="K105" s="28"/>
      <c r="L105" s="90" t="str">
        <f aca="false">IF(OR(K105="",N(H105)=0),"",K105/H105)</f>
        <v/>
      </c>
      <c r="M105" s="68"/>
      <c r="N105" s="28"/>
      <c r="O105" s="25"/>
      <c r="P105" s="83" t="str">
        <f aca="false">IF(OR(N105="",N(H105)=0),"",N105/H105)</f>
        <v/>
      </c>
      <c r="Q105" s="25"/>
    </row>
    <row r="106" customFormat="false" ht="15" hidden="false" customHeight="false" outlineLevel="0" collapsed="false">
      <c r="A106" s="69"/>
      <c r="B106" s="68"/>
      <c r="C106" s="76" t="str">
        <f aca="false">IF(B106="","",IFERROR(INDEX(EN_Des,MATCH(B106,EN_Code,0)),"Code inconnu"))</f>
        <v/>
      </c>
      <c r="D106" s="25"/>
      <c r="E106" s="25"/>
      <c r="F106" s="82"/>
      <c r="G106" s="82"/>
      <c r="H106" s="83" t="str">
        <f aca="false">IF(OR(F106="",G106=""),"",G106-F106)</f>
        <v/>
      </c>
      <c r="I106" s="82"/>
      <c r="J106" s="82"/>
      <c r="K106" s="28"/>
      <c r="L106" s="90" t="str">
        <f aca="false">IF(OR(K106="",N(H106)=0),"",K106/H106)</f>
        <v/>
      </c>
      <c r="M106" s="68"/>
      <c r="N106" s="28"/>
      <c r="O106" s="25"/>
      <c r="P106" s="83" t="str">
        <f aca="false">IF(OR(N106="",N(H106)=0),"",N106/H106)</f>
        <v/>
      </c>
      <c r="Q106" s="25"/>
    </row>
    <row r="107" customFormat="false" ht="15" hidden="false" customHeight="false" outlineLevel="0" collapsed="false">
      <c r="A107" s="69"/>
      <c r="B107" s="68"/>
      <c r="C107" s="76" t="str">
        <f aca="false">IF(B107="","",IFERROR(INDEX(EN_Des,MATCH(B107,EN_Code,0)),"Code inconnu"))</f>
        <v/>
      </c>
      <c r="D107" s="25"/>
      <c r="E107" s="25"/>
      <c r="F107" s="82"/>
      <c r="G107" s="82"/>
      <c r="H107" s="83" t="str">
        <f aca="false">IF(OR(F107="",G107=""),"",G107-F107)</f>
        <v/>
      </c>
      <c r="I107" s="82"/>
      <c r="J107" s="82"/>
      <c r="K107" s="28"/>
      <c r="L107" s="90" t="str">
        <f aca="false">IF(OR(K107="",N(H107)=0),"",K107/H107)</f>
        <v/>
      </c>
      <c r="M107" s="68"/>
      <c r="N107" s="28"/>
      <c r="O107" s="25"/>
      <c r="P107" s="83" t="str">
        <f aca="false">IF(OR(N107="",N(H107)=0),"",N107/H107)</f>
        <v/>
      </c>
      <c r="Q107" s="25"/>
    </row>
    <row r="108" customFormat="false" ht="15" hidden="false" customHeight="false" outlineLevel="0" collapsed="false">
      <c r="A108" s="69"/>
      <c r="B108" s="68"/>
      <c r="C108" s="76" t="str">
        <f aca="false">IF(B108="","",IFERROR(INDEX(EN_Des,MATCH(B108,EN_Code,0)),"Code inconnu"))</f>
        <v/>
      </c>
      <c r="D108" s="25"/>
      <c r="E108" s="25"/>
      <c r="F108" s="82"/>
      <c r="G108" s="82"/>
      <c r="H108" s="83" t="str">
        <f aca="false">IF(OR(F108="",G108=""),"",G108-F108)</f>
        <v/>
      </c>
      <c r="I108" s="82"/>
      <c r="J108" s="82"/>
      <c r="K108" s="28"/>
      <c r="L108" s="90" t="str">
        <f aca="false">IF(OR(K108="",N(H108)=0),"",K108/H108)</f>
        <v/>
      </c>
      <c r="M108" s="68"/>
      <c r="N108" s="28"/>
      <c r="O108" s="25"/>
      <c r="P108" s="83" t="str">
        <f aca="false">IF(OR(N108="",N(H108)=0),"",N108/H108)</f>
        <v/>
      </c>
      <c r="Q108" s="25"/>
    </row>
    <row r="109" customFormat="false" ht="15" hidden="false" customHeight="false" outlineLevel="0" collapsed="false">
      <c r="A109" s="69"/>
      <c r="B109" s="68"/>
      <c r="C109" s="76" t="str">
        <f aca="false">IF(B109="","",IFERROR(INDEX(EN_Des,MATCH(B109,EN_Code,0)),"Code inconnu"))</f>
        <v/>
      </c>
      <c r="D109" s="25"/>
      <c r="E109" s="25"/>
      <c r="F109" s="82"/>
      <c r="G109" s="82"/>
      <c r="H109" s="83" t="str">
        <f aca="false">IF(OR(F109="",G109=""),"",G109-F109)</f>
        <v/>
      </c>
      <c r="I109" s="82"/>
      <c r="J109" s="82"/>
      <c r="K109" s="28"/>
      <c r="L109" s="90" t="str">
        <f aca="false">IF(OR(K109="",N(H109)=0),"",K109/H109)</f>
        <v/>
      </c>
      <c r="M109" s="68"/>
      <c r="N109" s="28"/>
      <c r="O109" s="25"/>
      <c r="P109" s="83" t="str">
        <f aca="false">IF(OR(N109="",N(H109)=0),"",N109/H109)</f>
        <v/>
      </c>
      <c r="Q109" s="25"/>
    </row>
    <row r="110" customFormat="false" ht="15" hidden="false" customHeight="false" outlineLevel="0" collapsed="false">
      <c r="A110" s="69"/>
      <c r="B110" s="68"/>
      <c r="C110" s="76" t="str">
        <f aca="false">IF(B110="","",IFERROR(INDEX(EN_Des,MATCH(B110,EN_Code,0)),"Code inconnu"))</f>
        <v/>
      </c>
      <c r="D110" s="25"/>
      <c r="E110" s="25"/>
      <c r="F110" s="82"/>
      <c r="G110" s="82"/>
      <c r="H110" s="83" t="str">
        <f aca="false">IF(OR(F110="",G110=""),"",G110-F110)</f>
        <v/>
      </c>
      <c r="I110" s="82"/>
      <c r="J110" s="82"/>
      <c r="K110" s="28"/>
      <c r="L110" s="90" t="str">
        <f aca="false">IF(OR(K110="",N(H110)=0),"",K110/H110)</f>
        <v/>
      </c>
      <c r="M110" s="68"/>
      <c r="N110" s="28"/>
      <c r="O110" s="25"/>
      <c r="P110" s="83" t="str">
        <f aca="false">IF(OR(N110="",N(H110)=0),"",N110/H110)</f>
        <v/>
      </c>
      <c r="Q110" s="25"/>
    </row>
    <row r="111" customFormat="false" ht="15" hidden="false" customHeight="false" outlineLevel="0" collapsed="false">
      <c r="A111" s="69"/>
      <c r="B111" s="68"/>
      <c r="C111" s="76" t="str">
        <f aca="false">IF(B111="","",IFERROR(INDEX(EN_Des,MATCH(B111,EN_Code,0)),"Code inconnu"))</f>
        <v/>
      </c>
      <c r="D111" s="25"/>
      <c r="E111" s="25"/>
      <c r="F111" s="82"/>
      <c r="G111" s="82"/>
      <c r="H111" s="83" t="str">
        <f aca="false">IF(OR(F111="",G111=""),"",G111-F111)</f>
        <v/>
      </c>
      <c r="I111" s="82"/>
      <c r="J111" s="82"/>
      <c r="K111" s="28"/>
      <c r="L111" s="90" t="str">
        <f aca="false">IF(OR(K111="",N(H111)=0),"",K111/H111)</f>
        <v/>
      </c>
      <c r="M111" s="68"/>
      <c r="N111" s="28"/>
      <c r="O111" s="25"/>
      <c r="P111" s="83" t="str">
        <f aca="false">IF(OR(N111="",N(H111)=0),"",N111/H111)</f>
        <v/>
      </c>
      <c r="Q111" s="25"/>
    </row>
    <row r="112" customFormat="false" ht="15" hidden="false" customHeight="false" outlineLevel="0" collapsed="false">
      <c r="A112" s="69"/>
      <c r="B112" s="68"/>
      <c r="C112" s="76" t="str">
        <f aca="false">IF(B112="","",IFERROR(INDEX(EN_Des,MATCH(B112,EN_Code,0)),"Code inconnu"))</f>
        <v/>
      </c>
      <c r="D112" s="25"/>
      <c r="E112" s="25"/>
      <c r="F112" s="82"/>
      <c r="G112" s="82"/>
      <c r="H112" s="83" t="str">
        <f aca="false">IF(OR(F112="",G112=""),"",G112-F112)</f>
        <v/>
      </c>
      <c r="I112" s="82"/>
      <c r="J112" s="82"/>
      <c r="K112" s="28"/>
      <c r="L112" s="90" t="str">
        <f aca="false">IF(OR(K112="",N(H112)=0),"",K112/H112)</f>
        <v/>
      </c>
      <c r="M112" s="68"/>
      <c r="N112" s="28"/>
      <c r="O112" s="25"/>
      <c r="P112" s="83" t="str">
        <f aca="false">IF(OR(N112="",N(H112)=0),"",N112/H112)</f>
        <v/>
      </c>
      <c r="Q112" s="25"/>
    </row>
    <row r="113" customFormat="false" ht="15" hidden="false" customHeight="false" outlineLevel="0" collapsed="false">
      <c r="A113" s="69"/>
      <c r="B113" s="68"/>
      <c r="C113" s="76" t="str">
        <f aca="false">IF(B113="","",IFERROR(INDEX(EN_Des,MATCH(B113,EN_Code,0)),"Code inconnu"))</f>
        <v/>
      </c>
      <c r="D113" s="25"/>
      <c r="E113" s="25"/>
      <c r="F113" s="82"/>
      <c r="G113" s="82"/>
      <c r="H113" s="83" t="str">
        <f aca="false">IF(OR(F113="",G113=""),"",G113-F113)</f>
        <v/>
      </c>
      <c r="I113" s="82"/>
      <c r="J113" s="82"/>
      <c r="K113" s="28"/>
      <c r="L113" s="90" t="str">
        <f aca="false">IF(OR(K113="",N(H113)=0),"",K113/H113)</f>
        <v/>
      </c>
      <c r="M113" s="68"/>
      <c r="N113" s="28"/>
      <c r="O113" s="25"/>
      <c r="P113" s="83" t="str">
        <f aca="false">IF(OR(N113="",N(H113)=0),"",N113/H113)</f>
        <v/>
      </c>
      <c r="Q113" s="25"/>
    </row>
    <row r="114" customFormat="false" ht="15" hidden="false" customHeight="false" outlineLevel="0" collapsed="false">
      <c r="A114" s="69"/>
      <c r="B114" s="68"/>
      <c r="C114" s="76" t="str">
        <f aca="false">IF(B114="","",IFERROR(INDEX(EN_Des,MATCH(B114,EN_Code,0)),"Code inconnu"))</f>
        <v/>
      </c>
      <c r="D114" s="25"/>
      <c r="E114" s="25"/>
      <c r="F114" s="82"/>
      <c r="G114" s="82"/>
      <c r="H114" s="83" t="str">
        <f aca="false">IF(OR(F114="",G114=""),"",G114-F114)</f>
        <v/>
      </c>
      <c r="I114" s="82"/>
      <c r="J114" s="82"/>
      <c r="K114" s="28"/>
      <c r="L114" s="90" t="str">
        <f aca="false">IF(OR(K114="",N(H114)=0),"",K114/H114)</f>
        <v/>
      </c>
      <c r="M114" s="68"/>
      <c r="N114" s="28"/>
      <c r="O114" s="25"/>
      <c r="P114" s="83" t="str">
        <f aca="false">IF(OR(N114="",N(H114)=0),"",N114/H114)</f>
        <v/>
      </c>
      <c r="Q114" s="25"/>
    </row>
    <row r="115" customFormat="false" ht="15" hidden="false" customHeight="false" outlineLevel="0" collapsed="false">
      <c r="A115" s="69"/>
      <c r="B115" s="68"/>
      <c r="C115" s="76" t="str">
        <f aca="false">IF(B115="","",IFERROR(INDEX(EN_Des,MATCH(B115,EN_Code,0)),"Code inconnu"))</f>
        <v/>
      </c>
      <c r="D115" s="25"/>
      <c r="E115" s="25"/>
      <c r="F115" s="82"/>
      <c r="G115" s="82"/>
      <c r="H115" s="83" t="str">
        <f aca="false">IF(OR(F115="",G115=""),"",G115-F115)</f>
        <v/>
      </c>
      <c r="I115" s="82"/>
      <c r="J115" s="82"/>
      <c r="K115" s="28"/>
      <c r="L115" s="90" t="str">
        <f aca="false">IF(OR(K115="",N(H115)=0),"",K115/H115)</f>
        <v/>
      </c>
      <c r="M115" s="68"/>
      <c r="N115" s="28"/>
      <c r="O115" s="25"/>
      <c r="P115" s="83" t="str">
        <f aca="false">IF(OR(N115="",N(H115)=0),"",N115/H115)</f>
        <v/>
      </c>
      <c r="Q115" s="25"/>
    </row>
    <row r="116" customFormat="false" ht="15" hidden="false" customHeight="false" outlineLevel="0" collapsed="false">
      <c r="A116" s="69"/>
      <c r="B116" s="68"/>
      <c r="C116" s="76" t="str">
        <f aca="false">IF(B116="","",IFERROR(INDEX(EN_Des,MATCH(B116,EN_Code,0)),"Code inconnu"))</f>
        <v/>
      </c>
      <c r="D116" s="25"/>
      <c r="E116" s="25"/>
      <c r="F116" s="82"/>
      <c r="G116" s="82"/>
      <c r="H116" s="83" t="str">
        <f aca="false">IF(OR(F116="",G116=""),"",G116-F116)</f>
        <v/>
      </c>
      <c r="I116" s="82"/>
      <c r="J116" s="82"/>
      <c r="K116" s="28"/>
      <c r="L116" s="90" t="str">
        <f aca="false">IF(OR(K116="",N(H116)=0),"",K116/H116)</f>
        <v/>
      </c>
      <c r="M116" s="68"/>
      <c r="N116" s="28"/>
      <c r="O116" s="25"/>
      <c r="P116" s="83" t="str">
        <f aca="false">IF(OR(N116="",N(H116)=0),"",N116/H116)</f>
        <v/>
      </c>
      <c r="Q116" s="25"/>
    </row>
    <row r="117" customFormat="false" ht="15" hidden="false" customHeight="false" outlineLevel="0" collapsed="false">
      <c r="A117" s="69"/>
      <c r="B117" s="68"/>
      <c r="C117" s="76" t="str">
        <f aca="false">IF(B117="","",IFERROR(INDEX(EN_Des,MATCH(B117,EN_Code,0)),"Code inconnu"))</f>
        <v/>
      </c>
      <c r="D117" s="25"/>
      <c r="E117" s="25"/>
      <c r="F117" s="82"/>
      <c r="G117" s="82"/>
      <c r="H117" s="83" t="str">
        <f aca="false">IF(OR(F117="",G117=""),"",G117-F117)</f>
        <v/>
      </c>
      <c r="I117" s="82"/>
      <c r="J117" s="82"/>
      <c r="K117" s="28"/>
      <c r="L117" s="90" t="str">
        <f aca="false">IF(OR(K117="",N(H117)=0),"",K117/H117)</f>
        <v/>
      </c>
      <c r="M117" s="68"/>
      <c r="N117" s="28"/>
      <c r="O117" s="25"/>
      <c r="P117" s="83" t="str">
        <f aca="false">IF(OR(N117="",N(H117)=0),"",N117/H117)</f>
        <v/>
      </c>
      <c r="Q117" s="25"/>
    </row>
    <row r="118" customFormat="false" ht="15" hidden="false" customHeight="false" outlineLevel="0" collapsed="false">
      <c r="A118" s="69"/>
      <c r="B118" s="68"/>
      <c r="C118" s="76" t="str">
        <f aca="false">IF(B118="","",IFERROR(INDEX(EN_Des,MATCH(B118,EN_Code,0)),"Code inconnu"))</f>
        <v/>
      </c>
      <c r="D118" s="25"/>
      <c r="E118" s="25"/>
      <c r="F118" s="82"/>
      <c r="G118" s="82"/>
      <c r="H118" s="83" t="str">
        <f aca="false">IF(OR(F118="",G118=""),"",G118-F118)</f>
        <v/>
      </c>
      <c r="I118" s="82"/>
      <c r="J118" s="82"/>
      <c r="K118" s="28"/>
      <c r="L118" s="90" t="str">
        <f aca="false">IF(OR(K118="",N(H118)=0),"",K118/H118)</f>
        <v/>
      </c>
      <c r="M118" s="68"/>
      <c r="N118" s="28"/>
      <c r="O118" s="25"/>
      <c r="P118" s="83" t="str">
        <f aca="false">IF(OR(N118="",N(H118)=0),"",N118/H118)</f>
        <v/>
      </c>
      <c r="Q118" s="25"/>
    </row>
    <row r="119" customFormat="false" ht="15" hidden="false" customHeight="false" outlineLevel="0" collapsed="false">
      <c r="A119" s="69"/>
      <c r="B119" s="68"/>
      <c r="C119" s="76" t="str">
        <f aca="false">IF(B119="","",IFERROR(INDEX(EN_Des,MATCH(B119,EN_Code,0)),"Code inconnu"))</f>
        <v/>
      </c>
      <c r="D119" s="25"/>
      <c r="E119" s="25"/>
      <c r="F119" s="82"/>
      <c r="G119" s="82"/>
      <c r="H119" s="83" t="str">
        <f aca="false">IF(OR(F119="",G119=""),"",G119-F119)</f>
        <v/>
      </c>
      <c r="I119" s="82"/>
      <c r="J119" s="82"/>
      <c r="K119" s="28"/>
      <c r="L119" s="90" t="str">
        <f aca="false">IF(OR(K119="",N(H119)=0),"",K119/H119)</f>
        <v/>
      </c>
      <c r="M119" s="68"/>
      <c r="N119" s="28"/>
      <c r="O119" s="25"/>
      <c r="P119" s="83" t="str">
        <f aca="false">IF(OR(N119="",N(H119)=0),"",N119/H119)</f>
        <v/>
      </c>
      <c r="Q119" s="25"/>
    </row>
    <row r="120" customFormat="false" ht="15" hidden="false" customHeight="false" outlineLevel="0" collapsed="false">
      <c r="A120" s="69"/>
      <c r="B120" s="68"/>
      <c r="C120" s="76" t="str">
        <f aca="false">IF(B120="","",IFERROR(INDEX(EN_Des,MATCH(B120,EN_Code,0)),"Code inconnu"))</f>
        <v/>
      </c>
      <c r="D120" s="25"/>
      <c r="E120" s="25"/>
      <c r="F120" s="82"/>
      <c r="G120" s="82"/>
      <c r="H120" s="83" t="str">
        <f aca="false">IF(OR(F120="",G120=""),"",G120-F120)</f>
        <v/>
      </c>
      <c r="I120" s="82"/>
      <c r="J120" s="82"/>
      <c r="K120" s="28"/>
      <c r="L120" s="90" t="str">
        <f aca="false">IF(OR(K120="",N(H120)=0),"",K120/H120)</f>
        <v/>
      </c>
      <c r="M120" s="68"/>
      <c r="N120" s="28"/>
      <c r="O120" s="25"/>
      <c r="P120" s="83" t="str">
        <f aca="false">IF(OR(N120="",N(H120)=0),"",N120/H120)</f>
        <v/>
      </c>
      <c r="Q120" s="25"/>
    </row>
    <row r="121" customFormat="false" ht="15" hidden="false" customHeight="false" outlineLevel="0" collapsed="false">
      <c r="A121" s="69"/>
      <c r="B121" s="68"/>
      <c r="C121" s="76" t="str">
        <f aca="false">IF(B121="","",IFERROR(INDEX(EN_Des,MATCH(B121,EN_Code,0)),"Code inconnu"))</f>
        <v/>
      </c>
      <c r="D121" s="25"/>
      <c r="E121" s="25"/>
      <c r="F121" s="82"/>
      <c r="G121" s="82"/>
      <c r="H121" s="83" t="str">
        <f aca="false">IF(OR(F121="",G121=""),"",G121-F121)</f>
        <v/>
      </c>
      <c r="I121" s="82"/>
      <c r="J121" s="82"/>
      <c r="K121" s="28"/>
      <c r="L121" s="90" t="str">
        <f aca="false">IF(OR(K121="",N(H121)=0),"",K121/H121)</f>
        <v/>
      </c>
      <c r="M121" s="68"/>
      <c r="N121" s="28"/>
      <c r="O121" s="25"/>
      <c r="P121" s="83" t="str">
        <f aca="false">IF(OR(N121="",N(H121)=0),"",N121/H121)</f>
        <v/>
      </c>
      <c r="Q121" s="25"/>
    </row>
    <row r="122" customFormat="false" ht="15" hidden="false" customHeight="false" outlineLevel="0" collapsed="false">
      <c r="A122" s="69"/>
      <c r="B122" s="68"/>
      <c r="C122" s="76" t="str">
        <f aca="false">IF(B122="","",IFERROR(INDEX(EN_Des,MATCH(B122,EN_Code,0)),"Code inconnu"))</f>
        <v/>
      </c>
      <c r="D122" s="25"/>
      <c r="E122" s="25"/>
      <c r="F122" s="82"/>
      <c r="G122" s="82"/>
      <c r="H122" s="83" t="str">
        <f aca="false">IF(OR(F122="",G122=""),"",G122-F122)</f>
        <v/>
      </c>
      <c r="I122" s="82"/>
      <c r="J122" s="82"/>
      <c r="K122" s="28"/>
      <c r="L122" s="90" t="str">
        <f aca="false">IF(OR(K122="",N(H122)=0),"",K122/H122)</f>
        <v/>
      </c>
      <c r="M122" s="68"/>
      <c r="N122" s="28"/>
      <c r="O122" s="25"/>
      <c r="P122" s="83" t="str">
        <f aca="false">IF(OR(N122="",N(H122)=0),"",N122/H122)</f>
        <v/>
      </c>
      <c r="Q122" s="25"/>
    </row>
    <row r="123" customFormat="false" ht="15" hidden="false" customHeight="false" outlineLevel="0" collapsed="false">
      <c r="A123" s="69"/>
      <c r="B123" s="68"/>
      <c r="C123" s="76" t="str">
        <f aca="false">IF(B123="","",IFERROR(INDEX(EN_Des,MATCH(B123,EN_Code,0)),"Code inconnu"))</f>
        <v/>
      </c>
      <c r="D123" s="25"/>
      <c r="E123" s="25"/>
      <c r="F123" s="82"/>
      <c r="G123" s="82"/>
      <c r="H123" s="83" t="str">
        <f aca="false">IF(OR(F123="",G123=""),"",G123-F123)</f>
        <v/>
      </c>
      <c r="I123" s="82"/>
      <c r="J123" s="82"/>
      <c r="K123" s="28"/>
      <c r="L123" s="90" t="str">
        <f aca="false">IF(OR(K123="",N(H123)=0),"",K123/H123)</f>
        <v/>
      </c>
      <c r="M123" s="68"/>
      <c r="N123" s="28"/>
      <c r="O123" s="25"/>
      <c r="P123" s="83" t="str">
        <f aca="false">IF(OR(N123="",N(H123)=0),"",N123/H123)</f>
        <v/>
      </c>
      <c r="Q123" s="25"/>
    </row>
    <row r="124" customFormat="false" ht="15" hidden="false" customHeight="false" outlineLevel="0" collapsed="false">
      <c r="A124" s="69"/>
      <c r="B124" s="68"/>
      <c r="C124" s="76" t="str">
        <f aca="false">IF(B124="","",IFERROR(INDEX(EN_Des,MATCH(B124,EN_Code,0)),"Code inconnu"))</f>
        <v/>
      </c>
      <c r="D124" s="25"/>
      <c r="E124" s="25"/>
      <c r="F124" s="82"/>
      <c r="G124" s="82"/>
      <c r="H124" s="83" t="str">
        <f aca="false">IF(OR(F124="",G124=""),"",G124-F124)</f>
        <v/>
      </c>
      <c r="I124" s="82"/>
      <c r="J124" s="82"/>
      <c r="K124" s="28"/>
      <c r="L124" s="90" t="str">
        <f aca="false">IF(OR(K124="",N(H124)=0),"",K124/H124)</f>
        <v/>
      </c>
      <c r="M124" s="68"/>
      <c r="N124" s="28"/>
      <c r="O124" s="25"/>
      <c r="P124" s="83" t="str">
        <f aca="false">IF(OR(N124="",N(H124)=0),"",N124/H124)</f>
        <v/>
      </c>
      <c r="Q124" s="25"/>
    </row>
    <row r="125" customFormat="false" ht="15" hidden="false" customHeight="false" outlineLevel="0" collapsed="false">
      <c r="A125" s="69"/>
      <c r="B125" s="68"/>
      <c r="C125" s="76" t="str">
        <f aca="false">IF(B125="","",IFERROR(INDEX(EN_Des,MATCH(B125,EN_Code,0)),"Code inconnu"))</f>
        <v/>
      </c>
      <c r="D125" s="25"/>
      <c r="E125" s="25"/>
      <c r="F125" s="82"/>
      <c r="G125" s="82"/>
      <c r="H125" s="83" t="str">
        <f aca="false">IF(OR(F125="",G125=""),"",G125-F125)</f>
        <v/>
      </c>
      <c r="I125" s="82"/>
      <c r="J125" s="82"/>
      <c r="K125" s="28"/>
      <c r="L125" s="90" t="str">
        <f aca="false">IF(OR(K125="",N(H125)=0),"",K125/H125)</f>
        <v/>
      </c>
      <c r="M125" s="68"/>
      <c r="N125" s="28"/>
      <c r="O125" s="25"/>
      <c r="P125" s="83" t="str">
        <f aca="false">IF(OR(N125="",N(H125)=0),"",N125/H125)</f>
        <v/>
      </c>
      <c r="Q125" s="25"/>
    </row>
    <row r="126" customFormat="false" ht="15" hidden="false" customHeight="false" outlineLevel="0" collapsed="false">
      <c r="A126" s="69"/>
      <c r="B126" s="68"/>
      <c r="C126" s="76" t="str">
        <f aca="false">IF(B126="","",IFERROR(INDEX(EN_Des,MATCH(B126,EN_Code,0)),"Code inconnu"))</f>
        <v/>
      </c>
      <c r="D126" s="25"/>
      <c r="E126" s="25"/>
      <c r="F126" s="82"/>
      <c r="G126" s="82"/>
      <c r="H126" s="83" t="str">
        <f aca="false">IF(OR(F126="",G126=""),"",G126-F126)</f>
        <v/>
      </c>
      <c r="I126" s="82"/>
      <c r="J126" s="82"/>
      <c r="K126" s="28"/>
      <c r="L126" s="90" t="str">
        <f aca="false">IF(OR(K126="",N(H126)=0),"",K126/H126)</f>
        <v/>
      </c>
      <c r="M126" s="68"/>
      <c r="N126" s="28"/>
      <c r="O126" s="25"/>
      <c r="P126" s="83" t="str">
        <f aca="false">IF(OR(N126="",N(H126)=0),"",N126/H126)</f>
        <v/>
      </c>
      <c r="Q126" s="25"/>
    </row>
    <row r="127" customFormat="false" ht="15" hidden="false" customHeight="false" outlineLevel="0" collapsed="false">
      <c r="A127" s="69"/>
      <c r="B127" s="68"/>
      <c r="C127" s="76" t="str">
        <f aca="false">IF(B127="","",IFERROR(INDEX(EN_Des,MATCH(B127,EN_Code,0)),"Code inconnu"))</f>
        <v/>
      </c>
      <c r="D127" s="25"/>
      <c r="E127" s="25"/>
      <c r="F127" s="82"/>
      <c r="G127" s="82"/>
      <c r="H127" s="83" t="str">
        <f aca="false">IF(OR(F127="",G127=""),"",G127-F127)</f>
        <v/>
      </c>
      <c r="I127" s="82"/>
      <c r="J127" s="82"/>
      <c r="K127" s="28"/>
      <c r="L127" s="90" t="str">
        <f aca="false">IF(OR(K127="",N(H127)=0),"",K127/H127)</f>
        <v/>
      </c>
      <c r="M127" s="68"/>
      <c r="N127" s="28"/>
      <c r="O127" s="25"/>
      <c r="P127" s="83" t="str">
        <f aca="false">IF(OR(N127="",N(H127)=0),"",N127/H127)</f>
        <v/>
      </c>
      <c r="Q127" s="25"/>
    </row>
    <row r="128" customFormat="false" ht="15" hidden="false" customHeight="false" outlineLevel="0" collapsed="false">
      <c r="A128" s="69"/>
      <c r="B128" s="68"/>
      <c r="C128" s="76" t="str">
        <f aca="false">IF(B128="","",IFERROR(INDEX(EN_Des,MATCH(B128,EN_Code,0)),"Code inconnu"))</f>
        <v/>
      </c>
      <c r="D128" s="25"/>
      <c r="E128" s="25"/>
      <c r="F128" s="82"/>
      <c r="G128" s="82"/>
      <c r="H128" s="83" t="str">
        <f aca="false">IF(OR(F128="",G128=""),"",G128-F128)</f>
        <v/>
      </c>
      <c r="I128" s="82"/>
      <c r="J128" s="82"/>
      <c r="K128" s="28"/>
      <c r="L128" s="90" t="str">
        <f aca="false">IF(OR(K128="",N(H128)=0),"",K128/H128)</f>
        <v/>
      </c>
      <c r="M128" s="68"/>
      <c r="N128" s="28"/>
      <c r="O128" s="25"/>
      <c r="P128" s="83" t="str">
        <f aca="false">IF(OR(N128="",N(H128)=0),"",N128/H128)</f>
        <v/>
      </c>
      <c r="Q128" s="25"/>
    </row>
    <row r="129" customFormat="false" ht="15" hidden="false" customHeight="false" outlineLevel="0" collapsed="false">
      <c r="A129" s="69"/>
      <c r="B129" s="68"/>
      <c r="C129" s="76" t="str">
        <f aca="false">IF(B129="","",IFERROR(INDEX(EN_Des,MATCH(B129,EN_Code,0)),"Code inconnu"))</f>
        <v/>
      </c>
      <c r="D129" s="25"/>
      <c r="E129" s="25"/>
      <c r="F129" s="82"/>
      <c r="G129" s="82"/>
      <c r="H129" s="83" t="str">
        <f aca="false">IF(OR(F129="",G129=""),"",G129-F129)</f>
        <v/>
      </c>
      <c r="I129" s="82"/>
      <c r="J129" s="82"/>
      <c r="K129" s="28"/>
      <c r="L129" s="90" t="str">
        <f aca="false">IF(OR(K129="",N(H129)=0),"",K129/H129)</f>
        <v/>
      </c>
      <c r="M129" s="68"/>
      <c r="N129" s="28"/>
      <c r="O129" s="25"/>
      <c r="P129" s="83" t="str">
        <f aca="false">IF(OR(N129="",N(H129)=0),"",N129/H129)</f>
        <v/>
      </c>
      <c r="Q129" s="25"/>
    </row>
    <row r="130" customFormat="false" ht="15" hidden="false" customHeight="false" outlineLevel="0" collapsed="false">
      <c r="A130" s="69"/>
      <c r="B130" s="68"/>
      <c r="C130" s="76" t="str">
        <f aca="false">IF(B130="","",IFERROR(INDEX(EN_Des,MATCH(B130,EN_Code,0)),"Code inconnu"))</f>
        <v/>
      </c>
      <c r="D130" s="25"/>
      <c r="E130" s="25"/>
      <c r="F130" s="82"/>
      <c r="G130" s="82"/>
      <c r="H130" s="83" t="str">
        <f aca="false">IF(OR(F130="",G130=""),"",G130-F130)</f>
        <v/>
      </c>
      <c r="I130" s="82"/>
      <c r="J130" s="82"/>
      <c r="K130" s="28"/>
      <c r="L130" s="90" t="str">
        <f aca="false">IF(OR(K130="",N(H130)=0),"",K130/H130)</f>
        <v/>
      </c>
      <c r="M130" s="68"/>
      <c r="N130" s="28"/>
      <c r="O130" s="25"/>
      <c r="P130" s="83" t="str">
        <f aca="false">IF(OR(N130="",N(H130)=0),"",N130/H130)</f>
        <v/>
      </c>
      <c r="Q130" s="25"/>
    </row>
    <row r="131" customFormat="false" ht="15" hidden="false" customHeight="false" outlineLevel="0" collapsed="false">
      <c r="A131" s="69"/>
      <c r="B131" s="68"/>
      <c r="C131" s="76" t="str">
        <f aca="false">IF(B131="","",IFERROR(INDEX(EN_Des,MATCH(B131,EN_Code,0)),"Code inconnu"))</f>
        <v/>
      </c>
      <c r="D131" s="25"/>
      <c r="E131" s="25"/>
      <c r="F131" s="82"/>
      <c r="G131" s="82"/>
      <c r="H131" s="83" t="str">
        <f aca="false">IF(OR(F131="",G131=""),"",G131-F131)</f>
        <v/>
      </c>
      <c r="I131" s="82"/>
      <c r="J131" s="82"/>
      <c r="K131" s="28"/>
      <c r="L131" s="90" t="str">
        <f aca="false">IF(OR(K131="",N(H131)=0),"",K131/H131)</f>
        <v/>
      </c>
      <c r="M131" s="68"/>
      <c r="N131" s="28"/>
      <c r="O131" s="25"/>
      <c r="P131" s="83" t="str">
        <f aca="false">IF(OR(N131="",N(H131)=0),"",N131/H131)</f>
        <v/>
      </c>
      <c r="Q131" s="25"/>
    </row>
    <row r="132" customFormat="false" ht="15" hidden="false" customHeight="false" outlineLevel="0" collapsed="false">
      <c r="A132" s="69"/>
      <c r="B132" s="68"/>
      <c r="C132" s="76" t="str">
        <f aca="false">IF(B132="","",IFERROR(INDEX(EN_Des,MATCH(B132,EN_Code,0)),"Code inconnu"))</f>
        <v/>
      </c>
      <c r="D132" s="25"/>
      <c r="E132" s="25"/>
      <c r="F132" s="82"/>
      <c r="G132" s="82"/>
      <c r="H132" s="83" t="str">
        <f aca="false">IF(OR(F132="",G132=""),"",G132-F132)</f>
        <v/>
      </c>
      <c r="I132" s="82"/>
      <c r="J132" s="82"/>
      <c r="K132" s="28"/>
      <c r="L132" s="90" t="str">
        <f aca="false">IF(OR(K132="",N(H132)=0),"",K132/H132)</f>
        <v/>
      </c>
      <c r="M132" s="68"/>
      <c r="N132" s="28"/>
      <c r="O132" s="25"/>
      <c r="P132" s="83" t="str">
        <f aca="false">IF(OR(N132="",N(H132)=0),"",N132/H132)</f>
        <v/>
      </c>
      <c r="Q132" s="25"/>
    </row>
    <row r="133" customFormat="false" ht="15" hidden="false" customHeight="false" outlineLevel="0" collapsed="false">
      <c r="A133" s="69"/>
      <c r="B133" s="68"/>
      <c r="C133" s="76" t="str">
        <f aca="false">IF(B133="","",IFERROR(INDEX(EN_Des,MATCH(B133,EN_Code,0)),"Code inconnu"))</f>
        <v/>
      </c>
      <c r="D133" s="25"/>
      <c r="E133" s="25"/>
      <c r="F133" s="82"/>
      <c r="G133" s="82"/>
      <c r="H133" s="83" t="str">
        <f aca="false">IF(OR(F133="",G133=""),"",G133-F133)</f>
        <v/>
      </c>
      <c r="I133" s="82"/>
      <c r="J133" s="82"/>
      <c r="K133" s="28"/>
      <c r="L133" s="90" t="str">
        <f aca="false">IF(OR(K133="",N(H133)=0),"",K133/H133)</f>
        <v/>
      </c>
      <c r="M133" s="68"/>
      <c r="N133" s="28"/>
      <c r="O133" s="25"/>
      <c r="P133" s="83" t="str">
        <f aca="false">IF(OR(N133="",N(H133)=0),"",N133/H133)</f>
        <v/>
      </c>
      <c r="Q133" s="25"/>
    </row>
    <row r="134" customFormat="false" ht="15" hidden="false" customHeight="false" outlineLevel="0" collapsed="false">
      <c r="A134" s="69"/>
      <c r="B134" s="68"/>
      <c r="C134" s="76" t="str">
        <f aca="false">IF(B134="","",IFERROR(INDEX(EN_Des,MATCH(B134,EN_Code,0)),"Code inconnu"))</f>
        <v/>
      </c>
      <c r="D134" s="25"/>
      <c r="E134" s="25"/>
      <c r="F134" s="82"/>
      <c r="G134" s="82"/>
      <c r="H134" s="83" t="str">
        <f aca="false">IF(OR(F134="",G134=""),"",G134-F134)</f>
        <v/>
      </c>
      <c r="I134" s="82"/>
      <c r="J134" s="82"/>
      <c r="K134" s="28"/>
      <c r="L134" s="90" t="str">
        <f aca="false">IF(OR(K134="",N(H134)=0),"",K134/H134)</f>
        <v/>
      </c>
      <c r="M134" s="68"/>
      <c r="N134" s="28"/>
      <c r="O134" s="25"/>
      <c r="P134" s="83" t="str">
        <f aca="false">IF(OR(N134="",N(H134)=0),"",N134/H134)</f>
        <v/>
      </c>
      <c r="Q134" s="25"/>
    </row>
    <row r="135" customFormat="false" ht="15" hidden="false" customHeight="false" outlineLevel="0" collapsed="false">
      <c r="A135" s="69"/>
      <c r="B135" s="68"/>
      <c r="C135" s="76" t="str">
        <f aca="false">IF(B135="","",IFERROR(INDEX(EN_Des,MATCH(B135,EN_Code,0)),"Code inconnu"))</f>
        <v/>
      </c>
      <c r="D135" s="25"/>
      <c r="E135" s="25"/>
      <c r="F135" s="82"/>
      <c r="G135" s="82"/>
      <c r="H135" s="83" t="str">
        <f aca="false">IF(OR(F135="",G135=""),"",G135-F135)</f>
        <v/>
      </c>
      <c r="I135" s="82"/>
      <c r="J135" s="82"/>
      <c r="K135" s="28"/>
      <c r="L135" s="90" t="str">
        <f aca="false">IF(OR(K135="",N(H135)=0),"",K135/H135)</f>
        <v/>
      </c>
      <c r="M135" s="68"/>
      <c r="N135" s="28"/>
      <c r="O135" s="25"/>
      <c r="P135" s="83" t="str">
        <f aca="false">IF(OR(N135="",N(H135)=0),"",N135/H135)</f>
        <v/>
      </c>
      <c r="Q135" s="25"/>
    </row>
    <row r="136" customFormat="false" ht="15" hidden="false" customHeight="false" outlineLevel="0" collapsed="false">
      <c r="A136" s="69"/>
      <c r="B136" s="68"/>
      <c r="C136" s="76" t="str">
        <f aca="false">IF(B136="","",IFERROR(INDEX(EN_Des,MATCH(B136,EN_Code,0)),"Code inconnu"))</f>
        <v/>
      </c>
      <c r="D136" s="25"/>
      <c r="E136" s="25"/>
      <c r="F136" s="82"/>
      <c r="G136" s="82"/>
      <c r="H136" s="83" t="str">
        <f aca="false">IF(OR(F136="",G136=""),"",G136-F136)</f>
        <v/>
      </c>
      <c r="I136" s="82"/>
      <c r="J136" s="82"/>
      <c r="K136" s="28"/>
      <c r="L136" s="90" t="str">
        <f aca="false">IF(OR(K136="",N(H136)=0),"",K136/H136)</f>
        <v/>
      </c>
      <c r="M136" s="68"/>
      <c r="N136" s="28"/>
      <c r="O136" s="25"/>
      <c r="P136" s="83" t="str">
        <f aca="false">IF(OR(N136="",N(H136)=0),"",N136/H136)</f>
        <v/>
      </c>
      <c r="Q136" s="25"/>
    </row>
    <row r="137" customFormat="false" ht="15" hidden="false" customHeight="false" outlineLevel="0" collapsed="false">
      <c r="A137" s="69"/>
      <c r="B137" s="68"/>
      <c r="C137" s="76" t="str">
        <f aca="false">IF(B137="","",IFERROR(INDEX(EN_Des,MATCH(B137,EN_Code,0)),"Code inconnu"))</f>
        <v/>
      </c>
      <c r="D137" s="25"/>
      <c r="E137" s="25"/>
      <c r="F137" s="82"/>
      <c r="G137" s="82"/>
      <c r="H137" s="83" t="str">
        <f aca="false">IF(OR(F137="",G137=""),"",G137-F137)</f>
        <v/>
      </c>
      <c r="I137" s="82"/>
      <c r="J137" s="82"/>
      <c r="K137" s="28"/>
      <c r="L137" s="90" t="str">
        <f aca="false">IF(OR(K137="",N(H137)=0),"",K137/H137)</f>
        <v/>
      </c>
      <c r="M137" s="68"/>
      <c r="N137" s="28"/>
      <c r="O137" s="25"/>
      <c r="P137" s="83" t="str">
        <f aca="false">IF(OR(N137="",N(H137)=0),"",N137/H137)</f>
        <v/>
      </c>
      <c r="Q137" s="25"/>
    </row>
    <row r="138" customFormat="false" ht="15" hidden="false" customHeight="false" outlineLevel="0" collapsed="false">
      <c r="A138" s="69"/>
      <c r="B138" s="68"/>
      <c r="C138" s="76" t="str">
        <f aca="false">IF(B138="","",IFERROR(INDEX(EN_Des,MATCH(B138,EN_Code,0)),"Code inconnu"))</f>
        <v/>
      </c>
      <c r="D138" s="25"/>
      <c r="E138" s="25"/>
      <c r="F138" s="82"/>
      <c r="G138" s="82"/>
      <c r="H138" s="83" t="str">
        <f aca="false">IF(OR(F138="",G138=""),"",G138-F138)</f>
        <v/>
      </c>
      <c r="I138" s="82"/>
      <c r="J138" s="82"/>
      <c r="K138" s="28"/>
      <c r="L138" s="90" t="str">
        <f aca="false">IF(OR(K138="",N(H138)=0),"",K138/H138)</f>
        <v/>
      </c>
      <c r="M138" s="68"/>
      <c r="N138" s="28"/>
      <c r="O138" s="25"/>
      <c r="P138" s="83" t="str">
        <f aca="false">IF(OR(N138="",N(H138)=0),"",N138/H138)</f>
        <v/>
      </c>
      <c r="Q138" s="25"/>
    </row>
    <row r="139" customFormat="false" ht="15" hidden="false" customHeight="false" outlineLevel="0" collapsed="false">
      <c r="A139" s="69"/>
      <c r="B139" s="68"/>
      <c r="C139" s="76" t="str">
        <f aca="false">IF(B139="","",IFERROR(INDEX(EN_Des,MATCH(B139,EN_Code,0)),"Code inconnu"))</f>
        <v/>
      </c>
      <c r="D139" s="25"/>
      <c r="E139" s="25"/>
      <c r="F139" s="82"/>
      <c r="G139" s="82"/>
      <c r="H139" s="83" t="str">
        <f aca="false">IF(OR(F139="",G139=""),"",G139-F139)</f>
        <v/>
      </c>
      <c r="I139" s="82"/>
      <c r="J139" s="82"/>
      <c r="K139" s="28"/>
      <c r="L139" s="90" t="str">
        <f aca="false">IF(OR(K139="",N(H139)=0),"",K139/H139)</f>
        <v/>
      </c>
      <c r="M139" s="68"/>
      <c r="N139" s="28"/>
      <c r="O139" s="25"/>
      <c r="P139" s="83" t="str">
        <f aca="false">IF(OR(N139="",N(H139)=0),"",N139/H139)</f>
        <v/>
      </c>
      <c r="Q139" s="25"/>
    </row>
    <row r="140" customFormat="false" ht="15" hidden="false" customHeight="false" outlineLevel="0" collapsed="false">
      <c r="A140" s="69"/>
      <c r="B140" s="68"/>
      <c r="C140" s="76" t="str">
        <f aca="false">IF(B140="","",IFERROR(INDEX(EN_Des,MATCH(B140,EN_Code,0)),"Code inconnu"))</f>
        <v/>
      </c>
      <c r="D140" s="25"/>
      <c r="E140" s="25"/>
      <c r="F140" s="82"/>
      <c r="G140" s="82"/>
      <c r="H140" s="83" t="str">
        <f aca="false">IF(OR(F140="",G140=""),"",G140-F140)</f>
        <v/>
      </c>
      <c r="I140" s="82"/>
      <c r="J140" s="82"/>
      <c r="K140" s="28"/>
      <c r="L140" s="90" t="str">
        <f aca="false">IF(OR(K140="",N(H140)=0),"",K140/H140)</f>
        <v/>
      </c>
      <c r="M140" s="68"/>
      <c r="N140" s="28"/>
      <c r="O140" s="25"/>
      <c r="P140" s="83" t="str">
        <f aca="false">IF(OR(N140="",N(H140)=0),"",N140/H140)</f>
        <v/>
      </c>
      <c r="Q140" s="25"/>
    </row>
    <row r="141" customFormat="false" ht="15" hidden="false" customHeight="false" outlineLevel="0" collapsed="false">
      <c r="A141" s="69"/>
      <c r="B141" s="68"/>
      <c r="C141" s="76" t="str">
        <f aca="false">IF(B141="","",IFERROR(INDEX(EN_Des,MATCH(B141,EN_Code,0)),"Code inconnu"))</f>
        <v/>
      </c>
      <c r="D141" s="25"/>
      <c r="E141" s="25"/>
      <c r="F141" s="82"/>
      <c r="G141" s="82"/>
      <c r="H141" s="83" t="str">
        <f aca="false">IF(OR(F141="",G141=""),"",G141-F141)</f>
        <v/>
      </c>
      <c r="I141" s="82"/>
      <c r="J141" s="82"/>
      <c r="K141" s="28"/>
      <c r="L141" s="90" t="str">
        <f aca="false">IF(OR(K141="",N(H141)=0),"",K141/H141)</f>
        <v/>
      </c>
      <c r="M141" s="68"/>
      <c r="N141" s="28"/>
      <c r="O141" s="25"/>
      <c r="P141" s="83" t="str">
        <f aca="false">IF(OR(N141="",N(H141)=0),"",N141/H141)</f>
        <v/>
      </c>
      <c r="Q141" s="25"/>
    </row>
    <row r="142" customFormat="false" ht="15" hidden="false" customHeight="false" outlineLevel="0" collapsed="false">
      <c r="A142" s="69"/>
      <c r="B142" s="68"/>
      <c r="C142" s="76" t="str">
        <f aca="false">IF(B142="","",IFERROR(INDEX(EN_Des,MATCH(B142,EN_Code,0)),"Code inconnu"))</f>
        <v/>
      </c>
      <c r="D142" s="25"/>
      <c r="E142" s="25"/>
      <c r="F142" s="82"/>
      <c r="G142" s="82"/>
      <c r="H142" s="83" t="str">
        <f aca="false">IF(OR(F142="",G142=""),"",G142-F142)</f>
        <v/>
      </c>
      <c r="I142" s="82"/>
      <c r="J142" s="82"/>
      <c r="K142" s="28"/>
      <c r="L142" s="90" t="str">
        <f aca="false">IF(OR(K142="",N(H142)=0),"",K142/H142)</f>
        <v/>
      </c>
      <c r="M142" s="68"/>
      <c r="N142" s="28"/>
      <c r="O142" s="25"/>
      <c r="P142" s="83" t="str">
        <f aca="false">IF(OR(N142="",N(H142)=0),"",N142/H142)</f>
        <v/>
      </c>
      <c r="Q142" s="25"/>
    </row>
    <row r="143" customFormat="false" ht="15" hidden="false" customHeight="false" outlineLevel="0" collapsed="false">
      <c r="A143" s="69"/>
      <c r="B143" s="68"/>
      <c r="C143" s="76" t="str">
        <f aca="false">IF(B143="","",IFERROR(INDEX(EN_Des,MATCH(B143,EN_Code,0)),"Code inconnu"))</f>
        <v/>
      </c>
      <c r="D143" s="25"/>
      <c r="E143" s="25"/>
      <c r="F143" s="82"/>
      <c r="G143" s="82"/>
      <c r="H143" s="83" t="str">
        <f aca="false">IF(OR(F143="",G143=""),"",G143-F143)</f>
        <v/>
      </c>
      <c r="I143" s="82"/>
      <c r="J143" s="82"/>
      <c r="K143" s="28"/>
      <c r="L143" s="90" t="str">
        <f aca="false">IF(OR(K143="",N(H143)=0),"",K143/H143)</f>
        <v/>
      </c>
      <c r="M143" s="68"/>
      <c r="N143" s="28"/>
      <c r="O143" s="25"/>
      <c r="P143" s="83" t="str">
        <f aca="false">IF(OR(N143="",N(H143)=0),"",N143/H143)</f>
        <v/>
      </c>
      <c r="Q143" s="25"/>
    </row>
    <row r="144" customFormat="false" ht="15" hidden="false" customHeight="false" outlineLevel="0" collapsed="false">
      <c r="A144" s="69"/>
      <c r="B144" s="68"/>
      <c r="C144" s="76" t="str">
        <f aca="false">IF(B144="","",IFERROR(INDEX(EN_Des,MATCH(B144,EN_Code,0)),"Code inconnu"))</f>
        <v/>
      </c>
      <c r="D144" s="25"/>
      <c r="E144" s="25"/>
      <c r="F144" s="82"/>
      <c r="G144" s="82"/>
      <c r="H144" s="83" t="str">
        <f aca="false">IF(OR(F144="",G144=""),"",G144-F144)</f>
        <v/>
      </c>
      <c r="I144" s="82"/>
      <c r="J144" s="82"/>
      <c r="K144" s="28"/>
      <c r="L144" s="90" t="str">
        <f aca="false">IF(OR(K144="",N(H144)=0),"",K144/H144)</f>
        <v/>
      </c>
      <c r="M144" s="68"/>
      <c r="N144" s="28"/>
      <c r="O144" s="25"/>
      <c r="P144" s="83" t="str">
        <f aca="false">IF(OR(N144="",N(H144)=0),"",N144/H144)</f>
        <v/>
      </c>
      <c r="Q144" s="25"/>
    </row>
    <row r="145" customFormat="false" ht="15" hidden="false" customHeight="false" outlineLevel="0" collapsed="false">
      <c r="A145" s="69"/>
      <c r="B145" s="68"/>
      <c r="C145" s="76" t="str">
        <f aca="false">IF(B145="","",IFERROR(INDEX(EN_Des,MATCH(B145,EN_Code,0)),"Code inconnu"))</f>
        <v/>
      </c>
      <c r="D145" s="25"/>
      <c r="E145" s="25"/>
      <c r="F145" s="82"/>
      <c r="G145" s="82"/>
      <c r="H145" s="83" t="str">
        <f aca="false">IF(OR(F145="",G145=""),"",G145-F145)</f>
        <v/>
      </c>
      <c r="I145" s="82"/>
      <c r="J145" s="82"/>
      <c r="K145" s="28"/>
      <c r="L145" s="90" t="str">
        <f aca="false">IF(OR(K145="",N(H145)=0),"",K145/H145)</f>
        <v/>
      </c>
      <c r="M145" s="68"/>
      <c r="N145" s="28"/>
      <c r="O145" s="25"/>
      <c r="P145" s="83" t="str">
        <f aca="false">IF(OR(N145="",N(H145)=0),"",N145/H145)</f>
        <v/>
      </c>
      <c r="Q145" s="25"/>
    </row>
    <row r="146" customFormat="false" ht="15" hidden="false" customHeight="false" outlineLevel="0" collapsed="false">
      <c r="A146" s="69"/>
      <c r="B146" s="68"/>
      <c r="C146" s="76" t="str">
        <f aca="false">IF(B146="","",IFERROR(INDEX(EN_Des,MATCH(B146,EN_Code,0)),"Code inconnu"))</f>
        <v/>
      </c>
      <c r="D146" s="25"/>
      <c r="E146" s="25"/>
      <c r="F146" s="82"/>
      <c r="G146" s="82"/>
      <c r="H146" s="83" t="str">
        <f aca="false">IF(OR(F146="",G146=""),"",G146-F146)</f>
        <v/>
      </c>
      <c r="I146" s="82"/>
      <c r="J146" s="82"/>
      <c r="K146" s="28"/>
      <c r="L146" s="90" t="str">
        <f aca="false">IF(OR(K146="",N(H146)=0),"",K146/H146)</f>
        <v/>
      </c>
      <c r="M146" s="68"/>
      <c r="N146" s="28"/>
      <c r="O146" s="25"/>
      <c r="P146" s="83" t="str">
        <f aca="false">IF(OR(N146="",N(H146)=0),"",N146/H146)</f>
        <v/>
      </c>
      <c r="Q146" s="25"/>
    </row>
    <row r="147" customFormat="false" ht="15" hidden="false" customHeight="false" outlineLevel="0" collapsed="false">
      <c r="A147" s="69"/>
      <c r="B147" s="68"/>
      <c r="C147" s="76" t="str">
        <f aca="false">IF(B147="","",IFERROR(INDEX(EN_Des,MATCH(B147,EN_Code,0)),"Code inconnu"))</f>
        <v/>
      </c>
      <c r="D147" s="25"/>
      <c r="E147" s="25"/>
      <c r="F147" s="82"/>
      <c r="G147" s="82"/>
      <c r="H147" s="83" t="str">
        <f aca="false">IF(OR(F147="",G147=""),"",G147-F147)</f>
        <v/>
      </c>
      <c r="I147" s="82"/>
      <c r="J147" s="82"/>
      <c r="K147" s="28"/>
      <c r="L147" s="90" t="str">
        <f aca="false">IF(OR(K147="",N(H147)=0),"",K147/H147)</f>
        <v/>
      </c>
      <c r="M147" s="68"/>
      <c r="N147" s="28"/>
      <c r="O147" s="25"/>
      <c r="P147" s="83" t="str">
        <f aca="false">IF(OR(N147="",N(H147)=0),"",N147/H147)</f>
        <v/>
      </c>
      <c r="Q147" s="25"/>
    </row>
    <row r="148" customFormat="false" ht="15" hidden="false" customHeight="false" outlineLevel="0" collapsed="false">
      <c r="A148" s="69"/>
      <c r="B148" s="68"/>
      <c r="C148" s="76" t="str">
        <f aca="false">IF(B148="","",IFERROR(INDEX(EN_Des,MATCH(B148,EN_Code,0)),"Code inconnu"))</f>
        <v/>
      </c>
      <c r="D148" s="25"/>
      <c r="E148" s="25"/>
      <c r="F148" s="82"/>
      <c r="G148" s="82"/>
      <c r="H148" s="83" t="str">
        <f aca="false">IF(OR(F148="",G148=""),"",G148-F148)</f>
        <v/>
      </c>
      <c r="I148" s="82"/>
      <c r="J148" s="82"/>
      <c r="K148" s="28"/>
      <c r="L148" s="90" t="str">
        <f aca="false">IF(OR(K148="",N(H148)=0),"",K148/H148)</f>
        <v/>
      </c>
      <c r="M148" s="68"/>
      <c r="N148" s="28"/>
      <c r="O148" s="25"/>
      <c r="P148" s="83" t="str">
        <f aca="false">IF(OR(N148="",N(H148)=0),"",N148/H148)</f>
        <v/>
      </c>
      <c r="Q148" s="25"/>
    </row>
    <row r="149" customFormat="false" ht="15" hidden="false" customHeight="false" outlineLevel="0" collapsed="false">
      <c r="A149" s="69"/>
      <c r="B149" s="68"/>
      <c r="C149" s="76" t="str">
        <f aca="false">IF(B149="","",IFERROR(INDEX(EN_Des,MATCH(B149,EN_Code,0)),"Code inconnu"))</f>
        <v/>
      </c>
      <c r="D149" s="25"/>
      <c r="E149" s="25"/>
      <c r="F149" s="82"/>
      <c r="G149" s="82"/>
      <c r="H149" s="83" t="str">
        <f aca="false">IF(OR(F149="",G149=""),"",G149-F149)</f>
        <v/>
      </c>
      <c r="I149" s="82"/>
      <c r="J149" s="82"/>
      <c r="K149" s="28"/>
      <c r="L149" s="90" t="str">
        <f aca="false">IF(OR(K149="",N(H149)=0),"",K149/H149)</f>
        <v/>
      </c>
      <c r="M149" s="68"/>
      <c r="N149" s="28"/>
      <c r="O149" s="25"/>
      <c r="P149" s="83" t="str">
        <f aca="false">IF(OR(N149="",N(H149)=0),"",N149/H149)</f>
        <v/>
      </c>
      <c r="Q149" s="25"/>
    </row>
    <row r="150" customFormat="false" ht="15" hidden="false" customHeight="false" outlineLevel="0" collapsed="false">
      <c r="A150" s="69"/>
      <c r="B150" s="68"/>
      <c r="C150" s="76" t="str">
        <f aca="false">IF(B150="","",IFERROR(INDEX(EN_Des,MATCH(B150,EN_Code,0)),"Code inconnu"))</f>
        <v/>
      </c>
      <c r="D150" s="25"/>
      <c r="E150" s="25"/>
      <c r="F150" s="82"/>
      <c r="G150" s="82"/>
      <c r="H150" s="83" t="str">
        <f aca="false">IF(OR(F150="",G150=""),"",G150-F150)</f>
        <v/>
      </c>
      <c r="I150" s="82"/>
      <c r="J150" s="82"/>
      <c r="K150" s="28"/>
      <c r="L150" s="90" t="str">
        <f aca="false">IF(OR(K150="",N(H150)=0),"",K150/H150)</f>
        <v/>
      </c>
      <c r="M150" s="68"/>
      <c r="N150" s="28"/>
      <c r="O150" s="25"/>
      <c r="P150" s="83" t="str">
        <f aca="false">IF(OR(N150="",N(H150)=0),"",N150/H150)</f>
        <v/>
      </c>
      <c r="Q150" s="25"/>
    </row>
    <row r="151" customFormat="false" ht="15" hidden="false" customHeight="false" outlineLevel="0" collapsed="false">
      <c r="A151" s="69"/>
      <c r="B151" s="68"/>
      <c r="C151" s="76" t="str">
        <f aca="false">IF(B151="","",IFERROR(INDEX(EN_Des,MATCH(B151,EN_Code,0)),"Code inconnu"))</f>
        <v/>
      </c>
      <c r="D151" s="25"/>
      <c r="E151" s="25"/>
      <c r="F151" s="82"/>
      <c r="G151" s="82"/>
      <c r="H151" s="83" t="str">
        <f aca="false">IF(OR(F151="",G151=""),"",G151-F151)</f>
        <v/>
      </c>
      <c r="I151" s="82"/>
      <c r="J151" s="82"/>
      <c r="K151" s="28"/>
      <c r="L151" s="90" t="str">
        <f aca="false">IF(OR(K151="",N(H151)=0),"",K151/H151)</f>
        <v/>
      </c>
      <c r="M151" s="68"/>
      <c r="N151" s="28"/>
      <c r="O151" s="25"/>
      <c r="P151" s="83" t="str">
        <f aca="false">IF(OR(N151="",N(H151)=0),"",N151/H151)</f>
        <v/>
      </c>
      <c r="Q151" s="25"/>
    </row>
    <row r="152" customFormat="false" ht="15" hidden="false" customHeight="false" outlineLevel="0" collapsed="false">
      <c r="A152" s="69"/>
      <c r="B152" s="68"/>
      <c r="C152" s="76" t="str">
        <f aca="false">IF(B152="","",IFERROR(INDEX(EN_Des,MATCH(B152,EN_Code,0)),"Code inconnu"))</f>
        <v/>
      </c>
      <c r="D152" s="25"/>
      <c r="E152" s="25"/>
      <c r="F152" s="82"/>
      <c r="G152" s="82"/>
      <c r="H152" s="83" t="str">
        <f aca="false">IF(OR(F152="",G152=""),"",G152-F152)</f>
        <v/>
      </c>
      <c r="I152" s="82"/>
      <c r="J152" s="82"/>
      <c r="K152" s="28"/>
      <c r="L152" s="90" t="str">
        <f aca="false">IF(OR(K152="",N(H152)=0),"",K152/H152)</f>
        <v/>
      </c>
      <c r="M152" s="68"/>
      <c r="N152" s="28"/>
      <c r="O152" s="25"/>
      <c r="P152" s="83" t="str">
        <f aca="false">IF(OR(N152="",N(H152)=0),"",N152/H152)</f>
        <v/>
      </c>
      <c r="Q152" s="25"/>
    </row>
    <row r="153" customFormat="false" ht="15" hidden="false" customHeight="false" outlineLevel="0" collapsed="false">
      <c r="A153" s="69"/>
      <c r="B153" s="68"/>
      <c r="C153" s="76" t="str">
        <f aca="false">IF(B153="","",IFERROR(INDEX(EN_Des,MATCH(B153,EN_Code,0)),"Code inconnu"))</f>
        <v/>
      </c>
      <c r="D153" s="25"/>
      <c r="E153" s="25"/>
      <c r="F153" s="82"/>
      <c r="G153" s="82"/>
      <c r="H153" s="83" t="str">
        <f aca="false">IF(OR(F153="",G153=""),"",G153-F153)</f>
        <v/>
      </c>
      <c r="I153" s="82"/>
      <c r="J153" s="82"/>
      <c r="K153" s="28"/>
      <c r="L153" s="90" t="str">
        <f aca="false">IF(OR(K153="",N(H153)=0),"",K153/H153)</f>
        <v/>
      </c>
      <c r="M153" s="68"/>
      <c r="N153" s="28"/>
      <c r="O153" s="25"/>
      <c r="P153" s="83" t="str">
        <f aca="false">IF(OR(N153="",N(H153)=0),"",N153/H153)</f>
        <v/>
      </c>
      <c r="Q153" s="25"/>
    </row>
    <row r="154" customFormat="false" ht="15" hidden="false" customHeight="false" outlineLevel="0" collapsed="false">
      <c r="A154" s="69"/>
      <c r="B154" s="68"/>
      <c r="C154" s="76" t="str">
        <f aca="false">IF(B154="","",IFERROR(INDEX(EN_Des,MATCH(B154,EN_Code,0)),"Code inconnu"))</f>
        <v/>
      </c>
      <c r="D154" s="25"/>
      <c r="E154" s="25"/>
      <c r="F154" s="82"/>
      <c r="G154" s="82"/>
      <c r="H154" s="83" t="str">
        <f aca="false">IF(OR(F154="",G154=""),"",G154-F154)</f>
        <v/>
      </c>
      <c r="I154" s="82"/>
      <c r="J154" s="82"/>
      <c r="K154" s="28"/>
      <c r="L154" s="90" t="str">
        <f aca="false">IF(OR(K154="",N(H154)=0),"",K154/H154)</f>
        <v/>
      </c>
      <c r="M154" s="68"/>
      <c r="N154" s="28"/>
      <c r="O154" s="25"/>
      <c r="P154" s="83" t="str">
        <f aca="false">IF(OR(N154="",N(H154)=0),"",N154/H154)</f>
        <v/>
      </c>
      <c r="Q154" s="25"/>
    </row>
    <row r="155" customFormat="false" ht="15" hidden="false" customHeight="false" outlineLevel="0" collapsed="false">
      <c r="A155" s="69"/>
      <c r="B155" s="68"/>
      <c r="C155" s="76" t="str">
        <f aca="false">IF(B155="","",IFERROR(INDEX(EN_Des,MATCH(B155,EN_Code,0)),"Code inconnu"))</f>
        <v/>
      </c>
      <c r="D155" s="25"/>
      <c r="E155" s="25"/>
      <c r="F155" s="82"/>
      <c r="G155" s="82"/>
      <c r="H155" s="83" t="str">
        <f aca="false">IF(OR(F155="",G155=""),"",G155-F155)</f>
        <v/>
      </c>
      <c r="I155" s="82"/>
      <c r="J155" s="82"/>
      <c r="K155" s="28"/>
      <c r="L155" s="90" t="str">
        <f aca="false">IF(OR(K155="",N(H155)=0),"",K155/H155)</f>
        <v/>
      </c>
      <c r="M155" s="68"/>
      <c r="N155" s="28"/>
      <c r="O155" s="25"/>
      <c r="P155" s="83" t="str">
        <f aca="false">IF(OR(N155="",N(H155)=0),"",N155/H155)</f>
        <v/>
      </c>
      <c r="Q155" s="25"/>
    </row>
    <row r="156" customFormat="false" ht="15" hidden="false" customHeight="false" outlineLevel="0" collapsed="false">
      <c r="A156" s="69"/>
      <c r="B156" s="68"/>
      <c r="C156" s="76" t="str">
        <f aca="false">IF(B156="","",IFERROR(INDEX(EN_Des,MATCH(B156,EN_Code,0)),"Code inconnu"))</f>
        <v/>
      </c>
      <c r="D156" s="25"/>
      <c r="E156" s="25"/>
      <c r="F156" s="82"/>
      <c r="G156" s="82"/>
      <c r="H156" s="83" t="str">
        <f aca="false">IF(OR(F156="",G156=""),"",G156-F156)</f>
        <v/>
      </c>
      <c r="I156" s="82"/>
      <c r="J156" s="82"/>
      <c r="K156" s="28"/>
      <c r="L156" s="90" t="str">
        <f aca="false">IF(OR(K156="",N(H156)=0),"",K156/H156)</f>
        <v/>
      </c>
      <c r="M156" s="68"/>
      <c r="N156" s="28"/>
      <c r="O156" s="25"/>
      <c r="P156" s="83" t="str">
        <f aca="false">IF(OR(N156="",N(H156)=0),"",N156/H156)</f>
        <v/>
      </c>
      <c r="Q156" s="25"/>
    </row>
    <row r="157" customFormat="false" ht="15" hidden="false" customHeight="false" outlineLevel="0" collapsed="false">
      <c r="A157" s="69"/>
      <c r="B157" s="68"/>
      <c r="C157" s="76" t="str">
        <f aca="false">IF(B157="","",IFERROR(INDEX(EN_Des,MATCH(B157,EN_Code,0)),"Code inconnu"))</f>
        <v/>
      </c>
      <c r="D157" s="25"/>
      <c r="E157" s="25"/>
      <c r="F157" s="82"/>
      <c r="G157" s="82"/>
      <c r="H157" s="83" t="str">
        <f aca="false">IF(OR(F157="",G157=""),"",G157-F157)</f>
        <v/>
      </c>
      <c r="I157" s="82"/>
      <c r="J157" s="82"/>
      <c r="K157" s="28"/>
      <c r="L157" s="90" t="str">
        <f aca="false">IF(OR(K157="",N(H157)=0),"",K157/H157)</f>
        <v/>
      </c>
      <c r="M157" s="68"/>
      <c r="N157" s="28"/>
      <c r="O157" s="25"/>
      <c r="P157" s="83" t="str">
        <f aca="false">IF(OR(N157="",N(H157)=0),"",N157/H157)</f>
        <v/>
      </c>
      <c r="Q157" s="25"/>
    </row>
    <row r="158" customFormat="false" ht="15" hidden="false" customHeight="false" outlineLevel="0" collapsed="false">
      <c r="A158" s="69"/>
      <c r="B158" s="68"/>
      <c r="C158" s="76" t="str">
        <f aca="false">IF(B158="","",IFERROR(INDEX(EN_Des,MATCH(B158,EN_Code,0)),"Code inconnu"))</f>
        <v/>
      </c>
      <c r="D158" s="25"/>
      <c r="E158" s="25"/>
      <c r="F158" s="82"/>
      <c r="G158" s="82"/>
      <c r="H158" s="83" t="str">
        <f aca="false">IF(OR(F158="",G158=""),"",G158-F158)</f>
        <v/>
      </c>
      <c r="I158" s="82"/>
      <c r="J158" s="82"/>
      <c r="K158" s="28"/>
      <c r="L158" s="90" t="str">
        <f aca="false">IF(OR(K158="",N(H158)=0),"",K158/H158)</f>
        <v/>
      </c>
      <c r="M158" s="68"/>
      <c r="N158" s="28"/>
      <c r="O158" s="25"/>
      <c r="P158" s="83" t="str">
        <f aca="false">IF(OR(N158="",N(H158)=0),"",N158/H158)</f>
        <v/>
      </c>
      <c r="Q158" s="25"/>
    </row>
    <row r="159" customFormat="false" ht="15" hidden="false" customHeight="false" outlineLevel="0" collapsed="false">
      <c r="A159" s="69"/>
      <c r="B159" s="68"/>
      <c r="C159" s="76" t="str">
        <f aca="false">IF(B159="","",IFERROR(INDEX(EN_Des,MATCH(B159,EN_Code,0)),"Code inconnu"))</f>
        <v/>
      </c>
      <c r="D159" s="25"/>
      <c r="E159" s="25"/>
      <c r="F159" s="82"/>
      <c r="G159" s="82"/>
      <c r="H159" s="83" t="str">
        <f aca="false">IF(OR(F159="",G159=""),"",G159-F159)</f>
        <v/>
      </c>
      <c r="I159" s="82"/>
      <c r="J159" s="82"/>
      <c r="K159" s="28"/>
      <c r="L159" s="90" t="str">
        <f aca="false">IF(OR(K159="",N(H159)=0),"",K159/H159)</f>
        <v/>
      </c>
      <c r="M159" s="68"/>
      <c r="N159" s="28"/>
      <c r="O159" s="25"/>
      <c r="P159" s="83" t="str">
        <f aca="false">IF(OR(N159="",N(H159)=0),"",N159/H159)</f>
        <v/>
      </c>
      <c r="Q159" s="25"/>
    </row>
    <row r="160" customFormat="false" ht="15" hidden="false" customHeight="false" outlineLevel="0" collapsed="false">
      <c r="A160" s="69"/>
      <c r="B160" s="68"/>
      <c r="C160" s="76" t="str">
        <f aca="false">IF(B160="","",IFERROR(INDEX(EN_Des,MATCH(B160,EN_Code,0)),"Code inconnu"))</f>
        <v/>
      </c>
      <c r="D160" s="25"/>
      <c r="E160" s="25"/>
      <c r="F160" s="82"/>
      <c r="G160" s="82"/>
      <c r="H160" s="83" t="str">
        <f aca="false">IF(OR(F160="",G160=""),"",G160-F160)</f>
        <v/>
      </c>
      <c r="I160" s="82"/>
      <c r="J160" s="82"/>
      <c r="K160" s="28"/>
      <c r="L160" s="90" t="str">
        <f aca="false">IF(OR(K160="",N(H160)=0),"",K160/H160)</f>
        <v/>
      </c>
      <c r="M160" s="68"/>
      <c r="N160" s="28"/>
      <c r="O160" s="25"/>
      <c r="P160" s="83" t="str">
        <f aca="false">IF(OR(N160="",N(H160)=0),"",N160/H160)</f>
        <v/>
      </c>
      <c r="Q160" s="25"/>
    </row>
    <row r="161" customFormat="false" ht="15" hidden="false" customHeight="false" outlineLevel="0" collapsed="false">
      <c r="A161" s="69"/>
      <c r="B161" s="68"/>
      <c r="C161" s="76" t="str">
        <f aca="false">IF(B161="","",IFERROR(INDEX(EN_Des,MATCH(B161,EN_Code,0)),"Code inconnu"))</f>
        <v/>
      </c>
      <c r="D161" s="25"/>
      <c r="E161" s="25"/>
      <c r="F161" s="82"/>
      <c r="G161" s="82"/>
      <c r="H161" s="83" t="str">
        <f aca="false">IF(OR(F161="",G161=""),"",G161-F161)</f>
        <v/>
      </c>
      <c r="I161" s="82"/>
      <c r="J161" s="82"/>
      <c r="K161" s="28"/>
      <c r="L161" s="90" t="str">
        <f aca="false">IF(OR(K161="",N(H161)=0),"",K161/H161)</f>
        <v/>
      </c>
      <c r="M161" s="68"/>
      <c r="N161" s="28"/>
      <c r="O161" s="25"/>
      <c r="P161" s="83" t="str">
        <f aca="false">IF(OR(N161="",N(H161)=0),"",N161/H161)</f>
        <v/>
      </c>
      <c r="Q161" s="25"/>
    </row>
    <row r="162" customFormat="false" ht="15" hidden="false" customHeight="false" outlineLevel="0" collapsed="false">
      <c r="A162" s="69"/>
      <c r="B162" s="68"/>
      <c r="C162" s="76" t="str">
        <f aca="false">IF(B162="","",IFERROR(INDEX(EN_Des,MATCH(B162,EN_Code,0)),"Code inconnu"))</f>
        <v/>
      </c>
      <c r="D162" s="25"/>
      <c r="E162" s="25"/>
      <c r="F162" s="82"/>
      <c r="G162" s="82"/>
      <c r="H162" s="83" t="str">
        <f aca="false">IF(OR(F162="",G162=""),"",G162-F162)</f>
        <v/>
      </c>
      <c r="I162" s="82"/>
      <c r="J162" s="82"/>
      <c r="K162" s="28"/>
      <c r="L162" s="90" t="str">
        <f aca="false">IF(OR(K162="",N(H162)=0),"",K162/H162)</f>
        <v/>
      </c>
      <c r="M162" s="68"/>
      <c r="N162" s="28"/>
      <c r="O162" s="25"/>
      <c r="P162" s="83" t="str">
        <f aca="false">IF(OR(N162="",N(H162)=0),"",N162/H162)</f>
        <v/>
      </c>
      <c r="Q162" s="25"/>
    </row>
    <row r="163" customFormat="false" ht="15" hidden="false" customHeight="false" outlineLevel="0" collapsed="false">
      <c r="A163" s="69"/>
      <c r="B163" s="68"/>
      <c r="C163" s="76" t="str">
        <f aca="false">IF(B163="","",IFERROR(INDEX(EN_Des,MATCH(B163,EN_Code,0)),"Code inconnu"))</f>
        <v/>
      </c>
      <c r="D163" s="25"/>
      <c r="E163" s="25"/>
      <c r="F163" s="82"/>
      <c r="G163" s="82"/>
      <c r="H163" s="83" t="str">
        <f aca="false">IF(OR(F163="",G163=""),"",G163-F163)</f>
        <v/>
      </c>
      <c r="I163" s="82"/>
      <c r="J163" s="82"/>
      <c r="K163" s="28"/>
      <c r="L163" s="90" t="str">
        <f aca="false">IF(OR(K163="",N(H163)=0),"",K163/H163)</f>
        <v/>
      </c>
      <c r="M163" s="68"/>
      <c r="N163" s="28"/>
      <c r="O163" s="25"/>
      <c r="P163" s="83" t="str">
        <f aca="false">IF(OR(N163="",N(H163)=0),"",N163/H163)</f>
        <v/>
      </c>
      <c r="Q163" s="25"/>
    </row>
    <row r="164" customFormat="false" ht="15" hidden="false" customHeight="false" outlineLevel="0" collapsed="false">
      <c r="A164" s="69"/>
      <c r="B164" s="68"/>
      <c r="C164" s="76" t="str">
        <f aca="false">IF(B164="","",IFERROR(INDEX(EN_Des,MATCH(B164,EN_Code,0)),"Code inconnu"))</f>
        <v/>
      </c>
      <c r="D164" s="25"/>
      <c r="E164" s="25"/>
      <c r="F164" s="82"/>
      <c r="G164" s="82"/>
      <c r="H164" s="83" t="str">
        <f aca="false">IF(OR(F164="",G164=""),"",G164-F164)</f>
        <v/>
      </c>
      <c r="I164" s="82"/>
      <c r="J164" s="82"/>
      <c r="K164" s="28"/>
      <c r="L164" s="90" t="str">
        <f aca="false">IF(OR(K164="",N(H164)=0),"",K164/H164)</f>
        <v/>
      </c>
      <c r="M164" s="68"/>
      <c r="N164" s="28"/>
      <c r="O164" s="25"/>
      <c r="P164" s="83" t="str">
        <f aca="false">IF(OR(N164="",N(H164)=0),"",N164/H164)</f>
        <v/>
      </c>
      <c r="Q164" s="25"/>
    </row>
    <row r="165" customFormat="false" ht="15" hidden="false" customHeight="false" outlineLevel="0" collapsed="false">
      <c r="A165" s="69"/>
      <c r="B165" s="68"/>
      <c r="C165" s="76" t="str">
        <f aca="false">IF(B165="","",IFERROR(INDEX(EN_Des,MATCH(B165,EN_Code,0)),"Code inconnu"))</f>
        <v/>
      </c>
      <c r="D165" s="25"/>
      <c r="E165" s="25"/>
      <c r="F165" s="82"/>
      <c r="G165" s="82"/>
      <c r="H165" s="83" t="str">
        <f aca="false">IF(OR(F165="",G165=""),"",G165-F165)</f>
        <v/>
      </c>
      <c r="I165" s="82"/>
      <c r="J165" s="82"/>
      <c r="K165" s="28"/>
      <c r="L165" s="90" t="str">
        <f aca="false">IF(OR(K165="",N(H165)=0),"",K165/H165)</f>
        <v/>
      </c>
      <c r="M165" s="68"/>
      <c r="N165" s="28"/>
      <c r="O165" s="25"/>
      <c r="P165" s="83" t="str">
        <f aca="false">IF(OR(N165="",N(H165)=0),"",N165/H165)</f>
        <v/>
      </c>
      <c r="Q165" s="25"/>
    </row>
    <row r="166" customFormat="false" ht="15" hidden="false" customHeight="false" outlineLevel="0" collapsed="false">
      <c r="A166" s="69"/>
      <c r="B166" s="68"/>
      <c r="C166" s="76" t="str">
        <f aca="false">IF(B166="","",IFERROR(INDEX(EN_Des,MATCH(B166,EN_Code,0)),"Code inconnu"))</f>
        <v/>
      </c>
      <c r="D166" s="25"/>
      <c r="E166" s="25"/>
      <c r="F166" s="82"/>
      <c r="G166" s="82"/>
      <c r="H166" s="83" t="str">
        <f aca="false">IF(OR(F166="",G166=""),"",G166-F166)</f>
        <v/>
      </c>
      <c r="I166" s="82"/>
      <c r="J166" s="82"/>
      <c r="K166" s="28"/>
      <c r="L166" s="90" t="str">
        <f aca="false">IF(OR(K166="",N(H166)=0),"",K166/H166)</f>
        <v/>
      </c>
      <c r="M166" s="68"/>
      <c r="N166" s="28"/>
      <c r="O166" s="25"/>
      <c r="P166" s="83" t="str">
        <f aca="false">IF(OR(N166="",N(H166)=0),"",N166/H166)</f>
        <v/>
      </c>
      <c r="Q166" s="25"/>
    </row>
    <row r="167" customFormat="false" ht="15" hidden="false" customHeight="false" outlineLevel="0" collapsed="false">
      <c r="A167" s="69"/>
      <c r="B167" s="68"/>
      <c r="C167" s="76" t="str">
        <f aca="false">IF(B167="","",IFERROR(INDEX(EN_Des,MATCH(B167,EN_Code,0)),"Code inconnu"))</f>
        <v/>
      </c>
      <c r="D167" s="25"/>
      <c r="E167" s="25"/>
      <c r="F167" s="82"/>
      <c r="G167" s="82"/>
      <c r="H167" s="83" t="str">
        <f aca="false">IF(OR(F167="",G167=""),"",G167-F167)</f>
        <v/>
      </c>
      <c r="I167" s="82"/>
      <c r="J167" s="82"/>
      <c r="K167" s="28"/>
      <c r="L167" s="90" t="str">
        <f aca="false">IF(OR(K167="",N(H167)=0),"",K167/H167)</f>
        <v/>
      </c>
      <c r="M167" s="68"/>
      <c r="N167" s="28"/>
      <c r="O167" s="25"/>
      <c r="P167" s="83" t="str">
        <f aca="false">IF(OR(N167="",N(H167)=0),"",N167/H167)</f>
        <v/>
      </c>
      <c r="Q167" s="25"/>
    </row>
    <row r="168" customFormat="false" ht="15" hidden="false" customHeight="false" outlineLevel="0" collapsed="false">
      <c r="A168" s="69"/>
      <c r="B168" s="68"/>
      <c r="C168" s="76" t="str">
        <f aca="false">IF(B168="","",IFERROR(INDEX(EN_Des,MATCH(B168,EN_Code,0)),"Code inconnu"))</f>
        <v/>
      </c>
      <c r="D168" s="25"/>
      <c r="E168" s="25"/>
      <c r="F168" s="82"/>
      <c r="G168" s="82"/>
      <c r="H168" s="83" t="str">
        <f aca="false">IF(OR(F168="",G168=""),"",G168-F168)</f>
        <v/>
      </c>
      <c r="I168" s="82"/>
      <c r="J168" s="82"/>
      <c r="K168" s="28"/>
      <c r="L168" s="90" t="str">
        <f aca="false">IF(OR(K168="",N(H168)=0),"",K168/H168)</f>
        <v/>
      </c>
      <c r="M168" s="68"/>
      <c r="N168" s="28"/>
      <c r="O168" s="25"/>
      <c r="P168" s="83" t="str">
        <f aca="false">IF(OR(N168="",N(H168)=0),"",N168/H168)</f>
        <v/>
      </c>
      <c r="Q168" s="25"/>
    </row>
    <row r="169" customFormat="false" ht="15" hidden="false" customHeight="false" outlineLevel="0" collapsed="false">
      <c r="A169" s="69"/>
      <c r="B169" s="68"/>
      <c r="C169" s="76" t="str">
        <f aca="false">IF(B169="","",IFERROR(INDEX(EN_Des,MATCH(B169,EN_Code,0)),"Code inconnu"))</f>
        <v/>
      </c>
      <c r="D169" s="25"/>
      <c r="E169" s="25"/>
      <c r="F169" s="82"/>
      <c r="G169" s="82"/>
      <c r="H169" s="83" t="str">
        <f aca="false">IF(OR(F169="",G169=""),"",G169-F169)</f>
        <v/>
      </c>
      <c r="I169" s="82"/>
      <c r="J169" s="82"/>
      <c r="K169" s="28"/>
      <c r="L169" s="90" t="str">
        <f aca="false">IF(OR(K169="",N(H169)=0),"",K169/H169)</f>
        <v/>
      </c>
      <c r="M169" s="68"/>
      <c r="N169" s="28"/>
      <c r="O169" s="25"/>
      <c r="P169" s="83" t="str">
        <f aca="false">IF(OR(N169="",N(H169)=0),"",N169/H169)</f>
        <v/>
      </c>
      <c r="Q169" s="25"/>
    </row>
    <row r="170" customFormat="false" ht="15" hidden="false" customHeight="false" outlineLevel="0" collapsed="false">
      <c r="A170" s="69"/>
      <c r="B170" s="68"/>
      <c r="C170" s="76" t="str">
        <f aca="false">IF(B170="","",IFERROR(INDEX(EN_Des,MATCH(B170,EN_Code,0)),"Code inconnu"))</f>
        <v/>
      </c>
      <c r="D170" s="25"/>
      <c r="E170" s="25"/>
      <c r="F170" s="82"/>
      <c r="G170" s="82"/>
      <c r="H170" s="83" t="str">
        <f aca="false">IF(OR(F170="",G170=""),"",G170-F170)</f>
        <v/>
      </c>
      <c r="I170" s="82"/>
      <c r="J170" s="82"/>
      <c r="K170" s="28"/>
      <c r="L170" s="90" t="str">
        <f aca="false">IF(OR(K170="",N(H170)=0),"",K170/H170)</f>
        <v/>
      </c>
      <c r="M170" s="68"/>
      <c r="N170" s="28"/>
      <c r="O170" s="25"/>
      <c r="P170" s="83" t="str">
        <f aca="false">IF(OR(N170="",N(H170)=0),"",N170/H170)</f>
        <v/>
      </c>
      <c r="Q170" s="25"/>
    </row>
    <row r="171" customFormat="false" ht="15" hidden="false" customHeight="false" outlineLevel="0" collapsed="false">
      <c r="A171" s="69"/>
      <c r="B171" s="68"/>
      <c r="C171" s="76" t="str">
        <f aca="false">IF(B171="","",IFERROR(INDEX(EN_Des,MATCH(B171,EN_Code,0)),"Code inconnu"))</f>
        <v/>
      </c>
      <c r="D171" s="25"/>
      <c r="E171" s="25"/>
      <c r="F171" s="82"/>
      <c r="G171" s="82"/>
      <c r="H171" s="83" t="str">
        <f aca="false">IF(OR(F171="",G171=""),"",G171-F171)</f>
        <v/>
      </c>
      <c r="I171" s="82"/>
      <c r="J171" s="82"/>
      <c r="K171" s="28"/>
      <c r="L171" s="90" t="str">
        <f aca="false">IF(OR(K171="",N(H171)=0),"",K171/H171)</f>
        <v/>
      </c>
      <c r="M171" s="68"/>
      <c r="N171" s="28"/>
      <c r="O171" s="25"/>
      <c r="P171" s="83" t="str">
        <f aca="false">IF(OR(N171="",N(H171)=0),"",N171/H171)</f>
        <v/>
      </c>
      <c r="Q171" s="25"/>
    </row>
    <row r="172" customFormat="false" ht="15" hidden="false" customHeight="false" outlineLevel="0" collapsed="false">
      <c r="A172" s="69"/>
      <c r="B172" s="68"/>
      <c r="C172" s="76" t="str">
        <f aca="false">IF(B172="","",IFERROR(INDEX(EN_Des,MATCH(B172,EN_Code,0)),"Code inconnu"))</f>
        <v/>
      </c>
      <c r="D172" s="25"/>
      <c r="E172" s="25"/>
      <c r="F172" s="82"/>
      <c r="G172" s="82"/>
      <c r="H172" s="83" t="str">
        <f aca="false">IF(OR(F172="",G172=""),"",G172-F172)</f>
        <v/>
      </c>
      <c r="I172" s="82"/>
      <c r="J172" s="82"/>
      <c r="K172" s="28"/>
      <c r="L172" s="90" t="str">
        <f aca="false">IF(OR(K172="",N(H172)=0),"",K172/H172)</f>
        <v/>
      </c>
      <c r="M172" s="68"/>
      <c r="N172" s="28"/>
      <c r="O172" s="25"/>
      <c r="P172" s="83" t="str">
        <f aca="false">IF(OR(N172="",N(H172)=0),"",N172/H172)</f>
        <v/>
      </c>
      <c r="Q172" s="25"/>
    </row>
    <row r="173" customFormat="false" ht="15" hidden="false" customHeight="false" outlineLevel="0" collapsed="false">
      <c r="A173" s="69"/>
      <c r="B173" s="68"/>
      <c r="C173" s="76" t="str">
        <f aca="false">IF(B173="","",IFERROR(INDEX(EN_Des,MATCH(B173,EN_Code,0)),"Code inconnu"))</f>
        <v/>
      </c>
      <c r="D173" s="25"/>
      <c r="E173" s="25"/>
      <c r="F173" s="82"/>
      <c r="G173" s="82"/>
      <c r="H173" s="83" t="str">
        <f aca="false">IF(OR(F173="",G173=""),"",G173-F173)</f>
        <v/>
      </c>
      <c r="I173" s="82"/>
      <c r="J173" s="82"/>
      <c r="K173" s="28"/>
      <c r="L173" s="90" t="str">
        <f aca="false">IF(OR(K173="",N(H173)=0),"",K173/H173)</f>
        <v/>
      </c>
      <c r="M173" s="68"/>
      <c r="N173" s="28"/>
      <c r="O173" s="25"/>
      <c r="P173" s="83" t="str">
        <f aca="false">IF(OR(N173="",N(H173)=0),"",N173/H173)</f>
        <v/>
      </c>
      <c r="Q173" s="25"/>
    </row>
    <row r="174" customFormat="false" ht="15" hidden="false" customHeight="false" outlineLevel="0" collapsed="false">
      <c r="A174" s="69"/>
      <c r="B174" s="68"/>
      <c r="C174" s="76" t="str">
        <f aca="false">IF(B174="","",IFERROR(INDEX(EN_Des,MATCH(B174,EN_Code,0)),"Code inconnu"))</f>
        <v/>
      </c>
      <c r="D174" s="25"/>
      <c r="E174" s="25"/>
      <c r="F174" s="82"/>
      <c r="G174" s="82"/>
      <c r="H174" s="83" t="str">
        <f aca="false">IF(OR(F174="",G174=""),"",G174-F174)</f>
        <v/>
      </c>
      <c r="I174" s="82"/>
      <c r="J174" s="82"/>
      <c r="K174" s="28"/>
      <c r="L174" s="90" t="str">
        <f aca="false">IF(OR(K174="",N(H174)=0),"",K174/H174)</f>
        <v/>
      </c>
      <c r="M174" s="68"/>
      <c r="N174" s="28"/>
      <c r="O174" s="25"/>
      <c r="P174" s="83" t="str">
        <f aca="false">IF(OR(N174="",N(H174)=0),"",N174/H174)</f>
        <v/>
      </c>
      <c r="Q174" s="25"/>
    </row>
    <row r="175" customFormat="false" ht="15" hidden="false" customHeight="false" outlineLevel="0" collapsed="false">
      <c r="A175" s="69"/>
      <c r="B175" s="68"/>
      <c r="C175" s="76" t="str">
        <f aca="false">IF(B175="","",IFERROR(INDEX(EN_Des,MATCH(B175,EN_Code,0)),"Code inconnu"))</f>
        <v/>
      </c>
      <c r="D175" s="25"/>
      <c r="E175" s="25"/>
      <c r="F175" s="82"/>
      <c r="G175" s="82"/>
      <c r="H175" s="83" t="str">
        <f aca="false">IF(OR(F175="",G175=""),"",G175-F175)</f>
        <v/>
      </c>
      <c r="I175" s="82"/>
      <c r="J175" s="82"/>
      <c r="K175" s="28"/>
      <c r="L175" s="90" t="str">
        <f aca="false">IF(OR(K175="",N(H175)=0),"",K175/H175)</f>
        <v/>
      </c>
      <c r="M175" s="68"/>
      <c r="N175" s="28"/>
      <c r="O175" s="25"/>
      <c r="P175" s="83" t="str">
        <f aca="false">IF(OR(N175="",N(H175)=0),"",N175/H175)</f>
        <v/>
      </c>
      <c r="Q175" s="25"/>
    </row>
    <row r="176" customFormat="false" ht="15" hidden="false" customHeight="false" outlineLevel="0" collapsed="false">
      <c r="A176" s="69"/>
      <c r="B176" s="68"/>
      <c r="C176" s="76" t="str">
        <f aca="false">IF(B176="","",IFERROR(INDEX(EN_Des,MATCH(B176,EN_Code,0)),"Code inconnu"))</f>
        <v/>
      </c>
      <c r="D176" s="25"/>
      <c r="E176" s="25"/>
      <c r="F176" s="82"/>
      <c r="G176" s="82"/>
      <c r="H176" s="83" t="str">
        <f aca="false">IF(OR(F176="",G176=""),"",G176-F176)</f>
        <v/>
      </c>
      <c r="I176" s="82"/>
      <c r="J176" s="82"/>
      <c r="K176" s="28"/>
      <c r="L176" s="90" t="str">
        <f aca="false">IF(OR(K176="",N(H176)=0),"",K176/H176)</f>
        <v/>
      </c>
      <c r="M176" s="68"/>
      <c r="N176" s="28"/>
      <c r="O176" s="25"/>
      <c r="P176" s="83" t="str">
        <f aca="false">IF(OR(N176="",N(H176)=0),"",N176/H176)</f>
        <v/>
      </c>
      <c r="Q176" s="25"/>
    </row>
    <row r="177" customFormat="false" ht="15" hidden="false" customHeight="false" outlineLevel="0" collapsed="false">
      <c r="A177" s="69"/>
      <c r="B177" s="68"/>
      <c r="C177" s="76" t="str">
        <f aca="false">IF(B177="","",IFERROR(INDEX(EN_Des,MATCH(B177,EN_Code,0)),"Code inconnu"))</f>
        <v/>
      </c>
      <c r="D177" s="25"/>
      <c r="E177" s="25"/>
      <c r="F177" s="82"/>
      <c r="G177" s="82"/>
      <c r="H177" s="83" t="str">
        <f aca="false">IF(OR(F177="",G177=""),"",G177-F177)</f>
        <v/>
      </c>
      <c r="I177" s="82"/>
      <c r="J177" s="82"/>
      <c r="K177" s="28"/>
      <c r="L177" s="90" t="str">
        <f aca="false">IF(OR(K177="",N(H177)=0),"",K177/H177)</f>
        <v/>
      </c>
      <c r="M177" s="68"/>
      <c r="N177" s="28"/>
      <c r="O177" s="25"/>
      <c r="P177" s="83" t="str">
        <f aca="false">IF(OR(N177="",N(H177)=0),"",N177/H177)</f>
        <v/>
      </c>
      <c r="Q177" s="25"/>
    </row>
    <row r="178" customFormat="false" ht="15" hidden="false" customHeight="false" outlineLevel="0" collapsed="false">
      <c r="A178" s="69"/>
      <c r="B178" s="68"/>
      <c r="C178" s="76" t="str">
        <f aca="false">IF(B178="","",IFERROR(INDEX(EN_Des,MATCH(B178,EN_Code,0)),"Code inconnu"))</f>
        <v/>
      </c>
      <c r="D178" s="25"/>
      <c r="E178" s="25"/>
      <c r="F178" s="82"/>
      <c r="G178" s="82"/>
      <c r="H178" s="83" t="str">
        <f aca="false">IF(OR(F178="",G178=""),"",G178-F178)</f>
        <v/>
      </c>
      <c r="I178" s="82"/>
      <c r="J178" s="82"/>
      <c r="K178" s="28"/>
      <c r="L178" s="90" t="str">
        <f aca="false">IF(OR(K178="",N(H178)=0),"",K178/H178)</f>
        <v/>
      </c>
      <c r="M178" s="68"/>
      <c r="N178" s="28"/>
      <c r="O178" s="25"/>
      <c r="P178" s="83" t="str">
        <f aca="false">IF(OR(N178="",N(H178)=0),"",N178/H178)</f>
        <v/>
      </c>
      <c r="Q178" s="25"/>
    </row>
    <row r="179" customFormat="false" ht="15" hidden="false" customHeight="false" outlineLevel="0" collapsed="false">
      <c r="A179" s="69"/>
      <c r="B179" s="68"/>
      <c r="C179" s="76" t="str">
        <f aca="false">IF(B179="","",IFERROR(INDEX(EN_Des,MATCH(B179,EN_Code,0)),"Code inconnu"))</f>
        <v/>
      </c>
      <c r="D179" s="25"/>
      <c r="E179" s="25"/>
      <c r="F179" s="82"/>
      <c r="G179" s="82"/>
      <c r="H179" s="83" t="str">
        <f aca="false">IF(OR(F179="",G179=""),"",G179-F179)</f>
        <v/>
      </c>
      <c r="I179" s="82"/>
      <c r="J179" s="82"/>
      <c r="K179" s="28"/>
      <c r="L179" s="90" t="str">
        <f aca="false">IF(OR(K179="",N(H179)=0),"",K179/H179)</f>
        <v/>
      </c>
      <c r="M179" s="68"/>
      <c r="N179" s="28"/>
      <c r="O179" s="25"/>
      <c r="P179" s="83" t="str">
        <f aca="false">IF(OR(N179="",N(H179)=0),"",N179/H179)</f>
        <v/>
      </c>
      <c r="Q179" s="25"/>
    </row>
    <row r="180" customFormat="false" ht="15" hidden="false" customHeight="false" outlineLevel="0" collapsed="false">
      <c r="A180" s="69"/>
      <c r="B180" s="68"/>
      <c r="C180" s="76" t="str">
        <f aca="false">IF(B180="","",IFERROR(INDEX(EN_Des,MATCH(B180,EN_Code,0)),"Code inconnu"))</f>
        <v/>
      </c>
      <c r="D180" s="25"/>
      <c r="E180" s="25"/>
      <c r="F180" s="82"/>
      <c r="G180" s="82"/>
      <c r="H180" s="83" t="str">
        <f aca="false">IF(OR(F180="",G180=""),"",G180-F180)</f>
        <v/>
      </c>
      <c r="I180" s="82"/>
      <c r="J180" s="82"/>
      <c r="K180" s="28"/>
      <c r="L180" s="90" t="str">
        <f aca="false">IF(OR(K180="",N(H180)=0),"",K180/H180)</f>
        <v/>
      </c>
      <c r="M180" s="68"/>
      <c r="N180" s="28"/>
      <c r="O180" s="25"/>
      <c r="P180" s="83" t="str">
        <f aca="false">IF(OR(N180="",N(H180)=0),"",N180/H180)</f>
        <v/>
      </c>
      <c r="Q180" s="25"/>
    </row>
    <row r="181" customFormat="false" ht="15" hidden="false" customHeight="false" outlineLevel="0" collapsed="false">
      <c r="A181" s="69"/>
      <c r="B181" s="68"/>
      <c r="C181" s="76" t="str">
        <f aca="false">IF(B181="","",IFERROR(INDEX(EN_Des,MATCH(B181,EN_Code,0)),"Code inconnu"))</f>
        <v/>
      </c>
      <c r="D181" s="25"/>
      <c r="E181" s="25"/>
      <c r="F181" s="82"/>
      <c r="G181" s="82"/>
      <c r="H181" s="83" t="str">
        <f aca="false">IF(OR(F181="",G181=""),"",G181-F181)</f>
        <v/>
      </c>
      <c r="I181" s="82"/>
      <c r="J181" s="82"/>
      <c r="K181" s="28"/>
      <c r="L181" s="90" t="str">
        <f aca="false">IF(OR(K181="",N(H181)=0),"",K181/H181)</f>
        <v/>
      </c>
      <c r="M181" s="68"/>
      <c r="N181" s="28"/>
      <c r="O181" s="25"/>
      <c r="P181" s="83" t="str">
        <f aca="false">IF(OR(N181="",N(H181)=0),"",N181/H181)</f>
        <v/>
      </c>
      <c r="Q181" s="25"/>
    </row>
    <row r="182" customFormat="false" ht="15" hidden="false" customHeight="false" outlineLevel="0" collapsed="false">
      <c r="A182" s="69"/>
      <c r="B182" s="68"/>
      <c r="C182" s="76" t="str">
        <f aca="false">IF(B182="","",IFERROR(INDEX(EN_Des,MATCH(B182,EN_Code,0)),"Code inconnu"))</f>
        <v/>
      </c>
      <c r="D182" s="25"/>
      <c r="E182" s="25"/>
      <c r="F182" s="82"/>
      <c r="G182" s="82"/>
      <c r="H182" s="83" t="str">
        <f aca="false">IF(OR(F182="",G182=""),"",G182-F182)</f>
        <v/>
      </c>
      <c r="I182" s="82"/>
      <c r="J182" s="82"/>
      <c r="K182" s="28"/>
      <c r="L182" s="90" t="str">
        <f aca="false">IF(OR(K182="",N(H182)=0),"",K182/H182)</f>
        <v/>
      </c>
      <c r="M182" s="68"/>
      <c r="N182" s="28"/>
      <c r="O182" s="25"/>
      <c r="P182" s="83" t="str">
        <f aca="false">IF(OR(N182="",N(H182)=0),"",N182/H182)</f>
        <v/>
      </c>
      <c r="Q182" s="25"/>
    </row>
    <row r="183" customFormat="false" ht="15" hidden="false" customHeight="false" outlineLevel="0" collapsed="false">
      <c r="A183" s="69"/>
      <c r="B183" s="68"/>
      <c r="C183" s="76" t="str">
        <f aca="false">IF(B183="","",IFERROR(INDEX(EN_Des,MATCH(B183,EN_Code,0)),"Code inconnu"))</f>
        <v/>
      </c>
      <c r="D183" s="25"/>
      <c r="E183" s="25"/>
      <c r="F183" s="82"/>
      <c r="G183" s="82"/>
      <c r="H183" s="83" t="str">
        <f aca="false">IF(OR(F183="",G183=""),"",G183-F183)</f>
        <v/>
      </c>
      <c r="I183" s="82"/>
      <c r="J183" s="82"/>
      <c r="K183" s="28"/>
      <c r="L183" s="90" t="str">
        <f aca="false">IF(OR(K183="",N(H183)=0),"",K183/H183)</f>
        <v/>
      </c>
      <c r="M183" s="68"/>
      <c r="N183" s="28"/>
      <c r="O183" s="25"/>
      <c r="P183" s="83" t="str">
        <f aca="false">IF(OR(N183="",N(H183)=0),"",N183/H183)</f>
        <v/>
      </c>
      <c r="Q183" s="25"/>
    </row>
    <row r="184" customFormat="false" ht="15" hidden="false" customHeight="false" outlineLevel="0" collapsed="false">
      <c r="A184" s="69"/>
      <c r="B184" s="68"/>
      <c r="C184" s="76" t="str">
        <f aca="false">IF(B184="","",IFERROR(INDEX(EN_Des,MATCH(B184,EN_Code,0)),"Code inconnu"))</f>
        <v/>
      </c>
      <c r="D184" s="25"/>
      <c r="E184" s="25"/>
      <c r="F184" s="82"/>
      <c r="G184" s="82"/>
      <c r="H184" s="83" t="str">
        <f aca="false">IF(OR(F184="",G184=""),"",G184-F184)</f>
        <v/>
      </c>
      <c r="I184" s="82"/>
      <c r="J184" s="82"/>
      <c r="K184" s="28"/>
      <c r="L184" s="90" t="str">
        <f aca="false">IF(OR(K184="",N(H184)=0),"",K184/H184)</f>
        <v/>
      </c>
      <c r="M184" s="68"/>
      <c r="N184" s="28"/>
      <c r="O184" s="25"/>
      <c r="P184" s="83" t="str">
        <f aca="false">IF(OR(N184="",N(H184)=0),"",N184/H184)</f>
        <v/>
      </c>
      <c r="Q184" s="25"/>
    </row>
    <row r="185" customFormat="false" ht="15" hidden="false" customHeight="false" outlineLevel="0" collapsed="false">
      <c r="A185" s="69"/>
      <c r="B185" s="68"/>
      <c r="C185" s="76" t="str">
        <f aca="false">IF(B185="","",IFERROR(INDEX(EN_Des,MATCH(B185,EN_Code,0)),"Code inconnu"))</f>
        <v/>
      </c>
      <c r="D185" s="25"/>
      <c r="E185" s="25"/>
      <c r="F185" s="82"/>
      <c r="G185" s="82"/>
      <c r="H185" s="83" t="str">
        <f aca="false">IF(OR(F185="",G185=""),"",G185-F185)</f>
        <v/>
      </c>
      <c r="I185" s="82"/>
      <c r="J185" s="82"/>
      <c r="K185" s="28"/>
      <c r="L185" s="90" t="str">
        <f aca="false">IF(OR(K185="",N(H185)=0),"",K185/H185)</f>
        <v/>
      </c>
      <c r="M185" s="68"/>
      <c r="N185" s="28"/>
      <c r="O185" s="25"/>
      <c r="P185" s="83" t="str">
        <f aca="false">IF(OR(N185="",N(H185)=0),"",N185/H185)</f>
        <v/>
      </c>
      <c r="Q185" s="25"/>
    </row>
    <row r="186" customFormat="false" ht="15" hidden="false" customHeight="false" outlineLevel="0" collapsed="false">
      <c r="A186" s="69"/>
      <c r="B186" s="68"/>
      <c r="C186" s="76" t="str">
        <f aca="false">IF(B186="","",IFERROR(INDEX(EN_Des,MATCH(B186,EN_Code,0)),"Code inconnu"))</f>
        <v/>
      </c>
      <c r="D186" s="25"/>
      <c r="E186" s="25"/>
      <c r="F186" s="82"/>
      <c r="G186" s="82"/>
      <c r="H186" s="83" t="str">
        <f aca="false">IF(OR(F186="",G186=""),"",G186-F186)</f>
        <v/>
      </c>
      <c r="I186" s="82"/>
      <c r="J186" s="82"/>
      <c r="K186" s="28"/>
      <c r="L186" s="90" t="str">
        <f aca="false">IF(OR(K186="",N(H186)=0),"",K186/H186)</f>
        <v/>
      </c>
      <c r="M186" s="68"/>
      <c r="N186" s="28"/>
      <c r="O186" s="25"/>
      <c r="P186" s="83" t="str">
        <f aca="false">IF(OR(N186="",N(H186)=0),"",N186/H186)</f>
        <v/>
      </c>
      <c r="Q186" s="25"/>
    </row>
    <row r="187" customFormat="false" ht="15" hidden="false" customHeight="false" outlineLevel="0" collapsed="false">
      <c r="A187" s="69"/>
      <c r="B187" s="68"/>
      <c r="C187" s="76" t="str">
        <f aca="false">IF(B187="","",IFERROR(INDEX(EN_Des,MATCH(B187,EN_Code,0)),"Code inconnu"))</f>
        <v/>
      </c>
      <c r="D187" s="25"/>
      <c r="E187" s="25"/>
      <c r="F187" s="82"/>
      <c r="G187" s="82"/>
      <c r="H187" s="83" t="str">
        <f aca="false">IF(OR(F187="",G187=""),"",G187-F187)</f>
        <v/>
      </c>
      <c r="I187" s="82"/>
      <c r="J187" s="82"/>
      <c r="K187" s="28"/>
      <c r="L187" s="90" t="str">
        <f aca="false">IF(OR(K187="",N(H187)=0),"",K187/H187)</f>
        <v/>
      </c>
      <c r="M187" s="68"/>
      <c r="N187" s="28"/>
      <c r="O187" s="25"/>
      <c r="P187" s="83" t="str">
        <f aca="false">IF(OR(N187="",N(H187)=0),"",N187/H187)</f>
        <v/>
      </c>
      <c r="Q187" s="25"/>
    </row>
    <row r="188" customFormat="false" ht="15" hidden="false" customHeight="false" outlineLevel="0" collapsed="false">
      <c r="A188" s="69"/>
      <c r="B188" s="68"/>
      <c r="C188" s="76" t="str">
        <f aca="false">IF(B188="","",IFERROR(INDEX(EN_Des,MATCH(B188,EN_Code,0)),"Code inconnu"))</f>
        <v/>
      </c>
      <c r="D188" s="25"/>
      <c r="E188" s="25"/>
      <c r="F188" s="82"/>
      <c r="G188" s="82"/>
      <c r="H188" s="83" t="str">
        <f aca="false">IF(OR(F188="",G188=""),"",G188-F188)</f>
        <v/>
      </c>
      <c r="I188" s="82"/>
      <c r="J188" s="82"/>
      <c r="K188" s="28"/>
      <c r="L188" s="90" t="str">
        <f aca="false">IF(OR(K188="",N(H188)=0),"",K188/H188)</f>
        <v/>
      </c>
      <c r="M188" s="68"/>
      <c r="N188" s="28"/>
      <c r="O188" s="25"/>
      <c r="P188" s="83" t="str">
        <f aca="false">IF(OR(N188="",N(H188)=0),"",N188/H188)</f>
        <v/>
      </c>
      <c r="Q188" s="25"/>
    </row>
    <row r="189" customFormat="false" ht="15" hidden="false" customHeight="false" outlineLevel="0" collapsed="false">
      <c r="A189" s="69"/>
      <c r="B189" s="68"/>
      <c r="C189" s="76" t="str">
        <f aca="false">IF(B189="","",IFERROR(INDEX(EN_Des,MATCH(B189,EN_Code,0)),"Code inconnu"))</f>
        <v/>
      </c>
      <c r="D189" s="25"/>
      <c r="E189" s="25"/>
      <c r="F189" s="82"/>
      <c r="G189" s="82"/>
      <c r="H189" s="83" t="str">
        <f aca="false">IF(OR(F189="",G189=""),"",G189-F189)</f>
        <v/>
      </c>
      <c r="I189" s="82"/>
      <c r="J189" s="82"/>
      <c r="K189" s="28"/>
      <c r="L189" s="90" t="str">
        <f aca="false">IF(OR(K189="",N(H189)=0),"",K189/H189)</f>
        <v/>
      </c>
      <c r="M189" s="68"/>
      <c r="N189" s="28"/>
      <c r="O189" s="25"/>
      <c r="P189" s="83" t="str">
        <f aca="false">IF(OR(N189="",N(H189)=0),"",N189/H189)</f>
        <v/>
      </c>
      <c r="Q189" s="25"/>
    </row>
    <row r="190" customFormat="false" ht="15" hidden="false" customHeight="false" outlineLevel="0" collapsed="false">
      <c r="A190" s="69"/>
      <c r="B190" s="68"/>
      <c r="C190" s="76" t="str">
        <f aca="false">IF(B190="","",IFERROR(INDEX(EN_Des,MATCH(B190,EN_Code,0)),"Code inconnu"))</f>
        <v/>
      </c>
      <c r="D190" s="25"/>
      <c r="E190" s="25"/>
      <c r="F190" s="82"/>
      <c r="G190" s="82"/>
      <c r="H190" s="83" t="str">
        <f aca="false">IF(OR(F190="",G190=""),"",G190-F190)</f>
        <v/>
      </c>
      <c r="I190" s="82"/>
      <c r="J190" s="82"/>
      <c r="K190" s="28"/>
      <c r="L190" s="90" t="str">
        <f aca="false">IF(OR(K190="",N(H190)=0),"",K190/H190)</f>
        <v/>
      </c>
      <c r="M190" s="68"/>
      <c r="N190" s="28"/>
      <c r="O190" s="25"/>
      <c r="P190" s="83" t="str">
        <f aca="false">IF(OR(N190="",N(H190)=0),"",N190/H190)</f>
        <v/>
      </c>
      <c r="Q190" s="25"/>
    </row>
    <row r="191" customFormat="false" ht="15" hidden="false" customHeight="false" outlineLevel="0" collapsed="false">
      <c r="A191" s="69"/>
      <c r="B191" s="68"/>
      <c r="C191" s="76" t="str">
        <f aca="false">IF(B191="","",IFERROR(INDEX(EN_Des,MATCH(B191,EN_Code,0)),"Code inconnu"))</f>
        <v/>
      </c>
      <c r="D191" s="25"/>
      <c r="E191" s="25"/>
      <c r="F191" s="82"/>
      <c r="G191" s="82"/>
      <c r="H191" s="83" t="str">
        <f aca="false">IF(OR(F191="",G191=""),"",G191-F191)</f>
        <v/>
      </c>
      <c r="I191" s="82"/>
      <c r="J191" s="82"/>
      <c r="K191" s="28"/>
      <c r="L191" s="90" t="str">
        <f aca="false">IF(OR(K191="",N(H191)=0),"",K191/H191)</f>
        <v/>
      </c>
      <c r="M191" s="68"/>
      <c r="N191" s="28"/>
      <c r="O191" s="25"/>
      <c r="P191" s="83" t="str">
        <f aca="false">IF(OR(N191="",N(H191)=0),"",N191/H191)</f>
        <v/>
      </c>
      <c r="Q191" s="25"/>
    </row>
    <row r="192" customFormat="false" ht="15" hidden="false" customHeight="false" outlineLevel="0" collapsed="false">
      <c r="A192" s="69"/>
      <c r="B192" s="68"/>
      <c r="C192" s="76" t="str">
        <f aca="false">IF(B192="","",IFERROR(INDEX(EN_Des,MATCH(B192,EN_Code,0)),"Code inconnu"))</f>
        <v/>
      </c>
      <c r="D192" s="25"/>
      <c r="E192" s="25"/>
      <c r="F192" s="82"/>
      <c r="G192" s="82"/>
      <c r="H192" s="83" t="str">
        <f aca="false">IF(OR(F192="",G192=""),"",G192-F192)</f>
        <v/>
      </c>
      <c r="I192" s="82"/>
      <c r="J192" s="82"/>
      <c r="K192" s="28"/>
      <c r="L192" s="90" t="str">
        <f aca="false">IF(OR(K192="",N(H192)=0),"",K192/H192)</f>
        <v/>
      </c>
      <c r="M192" s="68"/>
      <c r="N192" s="28"/>
      <c r="O192" s="25"/>
      <c r="P192" s="83" t="str">
        <f aca="false">IF(OR(N192="",N(H192)=0),"",N192/H192)</f>
        <v/>
      </c>
      <c r="Q192" s="25"/>
    </row>
    <row r="193" customFormat="false" ht="15" hidden="false" customHeight="false" outlineLevel="0" collapsed="false">
      <c r="A193" s="69"/>
      <c r="B193" s="68"/>
      <c r="C193" s="76" t="str">
        <f aca="false">IF(B193="","",IFERROR(INDEX(EN_Des,MATCH(B193,EN_Code,0)),"Code inconnu"))</f>
        <v/>
      </c>
      <c r="D193" s="25"/>
      <c r="E193" s="25"/>
      <c r="F193" s="82"/>
      <c r="G193" s="82"/>
      <c r="H193" s="83" t="str">
        <f aca="false">IF(OR(F193="",G193=""),"",G193-F193)</f>
        <v/>
      </c>
      <c r="I193" s="82"/>
      <c r="J193" s="82"/>
      <c r="K193" s="28"/>
      <c r="L193" s="90" t="str">
        <f aca="false">IF(OR(K193="",N(H193)=0),"",K193/H193)</f>
        <v/>
      </c>
      <c r="M193" s="68"/>
      <c r="N193" s="28"/>
      <c r="O193" s="25"/>
      <c r="P193" s="83" t="str">
        <f aca="false">IF(OR(N193="",N(H193)=0),"",N193/H193)</f>
        <v/>
      </c>
      <c r="Q193" s="25"/>
    </row>
    <row r="194" customFormat="false" ht="15" hidden="false" customHeight="false" outlineLevel="0" collapsed="false">
      <c r="A194" s="69"/>
      <c r="B194" s="68"/>
      <c r="C194" s="76" t="str">
        <f aca="false">IF(B194="","",IFERROR(INDEX(EN_Des,MATCH(B194,EN_Code,0)),"Code inconnu"))</f>
        <v/>
      </c>
      <c r="D194" s="25"/>
      <c r="E194" s="25"/>
      <c r="F194" s="82"/>
      <c r="G194" s="82"/>
      <c r="H194" s="83" t="str">
        <f aca="false">IF(OR(F194="",G194=""),"",G194-F194)</f>
        <v/>
      </c>
      <c r="I194" s="82"/>
      <c r="J194" s="82"/>
      <c r="K194" s="28"/>
      <c r="L194" s="90" t="str">
        <f aca="false">IF(OR(K194="",N(H194)=0),"",K194/H194)</f>
        <v/>
      </c>
      <c r="M194" s="68"/>
      <c r="N194" s="28"/>
      <c r="O194" s="25"/>
      <c r="P194" s="83" t="str">
        <f aca="false">IF(OR(N194="",N(H194)=0),"",N194/H194)</f>
        <v/>
      </c>
      <c r="Q194" s="25"/>
    </row>
    <row r="195" customFormat="false" ht="15" hidden="false" customHeight="false" outlineLevel="0" collapsed="false">
      <c r="A195" s="69"/>
      <c r="B195" s="68"/>
      <c r="C195" s="76" t="str">
        <f aca="false">IF(B195="","",IFERROR(INDEX(EN_Des,MATCH(B195,EN_Code,0)),"Code inconnu"))</f>
        <v/>
      </c>
      <c r="D195" s="25"/>
      <c r="E195" s="25"/>
      <c r="F195" s="82"/>
      <c r="G195" s="82"/>
      <c r="H195" s="83" t="str">
        <f aca="false">IF(OR(F195="",G195=""),"",G195-F195)</f>
        <v/>
      </c>
      <c r="I195" s="82"/>
      <c r="J195" s="82"/>
      <c r="K195" s="28"/>
      <c r="L195" s="90" t="str">
        <f aca="false">IF(OR(K195="",N(H195)=0),"",K195/H195)</f>
        <v/>
      </c>
      <c r="M195" s="68"/>
      <c r="N195" s="28"/>
      <c r="O195" s="25"/>
      <c r="P195" s="83" t="str">
        <f aca="false">IF(OR(N195="",N(H195)=0),"",N195/H195)</f>
        <v/>
      </c>
      <c r="Q195" s="25"/>
    </row>
    <row r="196" customFormat="false" ht="15" hidden="false" customHeight="false" outlineLevel="0" collapsed="false">
      <c r="A196" s="69"/>
      <c r="B196" s="68"/>
      <c r="C196" s="76" t="str">
        <f aca="false">IF(B196="","",IFERROR(INDEX(EN_Des,MATCH(B196,EN_Code,0)),"Code inconnu"))</f>
        <v/>
      </c>
      <c r="D196" s="25"/>
      <c r="E196" s="25"/>
      <c r="F196" s="82"/>
      <c r="G196" s="82"/>
      <c r="H196" s="83" t="str">
        <f aca="false">IF(OR(F196="",G196=""),"",G196-F196)</f>
        <v/>
      </c>
      <c r="I196" s="82"/>
      <c r="J196" s="82"/>
      <c r="K196" s="28"/>
      <c r="L196" s="90" t="str">
        <f aca="false">IF(OR(K196="",N(H196)=0),"",K196/H196)</f>
        <v/>
      </c>
      <c r="M196" s="68"/>
      <c r="N196" s="28"/>
      <c r="O196" s="25"/>
      <c r="P196" s="83" t="str">
        <f aca="false">IF(OR(N196="",N(H196)=0),"",N196/H196)</f>
        <v/>
      </c>
      <c r="Q196" s="25"/>
    </row>
    <row r="197" customFormat="false" ht="15" hidden="false" customHeight="false" outlineLevel="0" collapsed="false">
      <c r="A197" s="69"/>
      <c r="B197" s="68"/>
      <c r="C197" s="76" t="str">
        <f aca="false">IF(B197="","",IFERROR(INDEX(EN_Des,MATCH(B197,EN_Code,0)),"Code inconnu"))</f>
        <v/>
      </c>
      <c r="D197" s="25"/>
      <c r="E197" s="25"/>
      <c r="F197" s="82"/>
      <c r="G197" s="82"/>
      <c r="H197" s="83" t="str">
        <f aca="false">IF(OR(F197="",G197=""),"",G197-F197)</f>
        <v/>
      </c>
      <c r="I197" s="82"/>
      <c r="J197" s="82"/>
      <c r="K197" s="28"/>
      <c r="L197" s="90" t="str">
        <f aca="false">IF(OR(K197="",N(H197)=0),"",K197/H197)</f>
        <v/>
      </c>
      <c r="M197" s="68"/>
      <c r="N197" s="28"/>
      <c r="O197" s="25"/>
      <c r="P197" s="83" t="str">
        <f aca="false">IF(OR(N197="",N(H197)=0),"",N197/H197)</f>
        <v/>
      </c>
      <c r="Q197" s="25"/>
    </row>
    <row r="198" customFormat="false" ht="15" hidden="false" customHeight="false" outlineLevel="0" collapsed="false">
      <c r="A198" s="69"/>
      <c r="B198" s="68"/>
      <c r="C198" s="76" t="str">
        <f aca="false">IF(B198="","",IFERROR(INDEX(EN_Des,MATCH(B198,EN_Code,0)),"Code inconnu"))</f>
        <v/>
      </c>
      <c r="D198" s="25"/>
      <c r="E198" s="25"/>
      <c r="F198" s="82"/>
      <c r="G198" s="82"/>
      <c r="H198" s="83" t="str">
        <f aca="false">IF(OR(F198="",G198=""),"",G198-F198)</f>
        <v/>
      </c>
      <c r="I198" s="82"/>
      <c r="J198" s="82"/>
      <c r="K198" s="28"/>
      <c r="L198" s="90" t="str">
        <f aca="false">IF(OR(K198="",N(H198)=0),"",K198/H198)</f>
        <v/>
      </c>
      <c r="M198" s="68"/>
      <c r="N198" s="28"/>
      <c r="O198" s="25"/>
      <c r="P198" s="83" t="str">
        <f aca="false">IF(OR(N198="",N(H198)=0),"",N198/H198)</f>
        <v/>
      </c>
      <c r="Q198" s="25"/>
    </row>
    <row r="199" customFormat="false" ht="15" hidden="false" customHeight="false" outlineLevel="0" collapsed="false">
      <c r="A199" s="69"/>
      <c r="B199" s="68"/>
      <c r="C199" s="76" t="str">
        <f aca="false">IF(B199="","",IFERROR(INDEX(EN_Des,MATCH(B199,EN_Code,0)),"Code inconnu"))</f>
        <v/>
      </c>
      <c r="D199" s="25"/>
      <c r="E199" s="25"/>
      <c r="F199" s="82"/>
      <c r="G199" s="82"/>
      <c r="H199" s="83" t="str">
        <f aca="false">IF(OR(F199="",G199=""),"",G199-F199)</f>
        <v/>
      </c>
      <c r="I199" s="82"/>
      <c r="J199" s="82"/>
      <c r="K199" s="28"/>
      <c r="L199" s="90" t="str">
        <f aca="false">IF(OR(K199="",N(H199)=0),"",K199/H199)</f>
        <v/>
      </c>
      <c r="M199" s="68"/>
      <c r="N199" s="28"/>
      <c r="O199" s="25"/>
      <c r="P199" s="83" t="str">
        <f aca="false">IF(OR(N199="",N(H199)=0),"",N199/H199)</f>
        <v/>
      </c>
      <c r="Q199" s="25"/>
    </row>
    <row r="200" customFormat="false" ht="15" hidden="false" customHeight="false" outlineLevel="0" collapsed="false">
      <c r="A200" s="69"/>
      <c r="B200" s="68"/>
      <c r="C200" s="76" t="str">
        <f aca="false">IF(B200="","",IFERROR(INDEX(EN_Des,MATCH(B200,EN_Code,0)),"Code inconnu"))</f>
        <v/>
      </c>
      <c r="D200" s="25"/>
      <c r="E200" s="25"/>
      <c r="F200" s="82"/>
      <c r="G200" s="82"/>
      <c r="H200" s="83" t="str">
        <f aca="false">IF(OR(F200="",G200=""),"",G200-F200)</f>
        <v/>
      </c>
      <c r="I200" s="82"/>
      <c r="J200" s="82"/>
      <c r="K200" s="28"/>
      <c r="L200" s="90" t="str">
        <f aca="false">IF(OR(K200="",N(H200)=0),"",K200/H200)</f>
        <v/>
      </c>
      <c r="M200" s="68"/>
      <c r="N200" s="28"/>
      <c r="O200" s="25"/>
      <c r="P200" s="83" t="str">
        <f aca="false">IF(OR(N200="",N(H200)=0),"",N200/H200)</f>
        <v/>
      </c>
      <c r="Q200" s="25"/>
    </row>
    <row r="201" customFormat="false" ht="15" hidden="false" customHeight="false" outlineLevel="0" collapsed="false">
      <c r="A201" s="69"/>
      <c r="B201" s="68"/>
      <c r="C201" s="76" t="str">
        <f aca="false">IF(B201="","",IFERROR(INDEX(EN_Des,MATCH(B201,EN_Code,0)),"Code inconnu"))</f>
        <v/>
      </c>
      <c r="D201" s="25"/>
      <c r="E201" s="25"/>
      <c r="F201" s="82"/>
      <c r="G201" s="82"/>
      <c r="H201" s="83" t="str">
        <f aca="false">IF(OR(F201="",G201=""),"",G201-F201)</f>
        <v/>
      </c>
      <c r="I201" s="82"/>
      <c r="J201" s="82"/>
      <c r="K201" s="28"/>
      <c r="L201" s="90" t="str">
        <f aca="false">IF(OR(K201="",N(H201)=0),"",K201/H201)</f>
        <v/>
      </c>
      <c r="M201" s="68"/>
      <c r="N201" s="28"/>
      <c r="O201" s="25"/>
      <c r="P201" s="83" t="str">
        <f aca="false">IF(OR(N201="",N(H201)=0),"",N201/H201)</f>
        <v/>
      </c>
      <c r="Q201" s="25"/>
    </row>
    <row r="202" customFormat="false" ht="15" hidden="false" customHeight="false" outlineLevel="0" collapsed="false">
      <c r="A202" s="69"/>
      <c r="B202" s="68"/>
      <c r="C202" s="76" t="str">
        <f aca="false">IF(B202="","",IFERROR(INDEX(EN_Des,MATCH(B202,EN_Code,0)),"Code inconnu"))</f>
        <v/>
      </c>
      <c r="D202" s="25"/>
      <c r="E202" s="25"/>
      <c r="F202" s="82"/>
      <c r="G202" s="82"/>
      <c r="H202" s="83" t="str">
        <f aca="false">IF(OR(F202="",G202=""),"",G202-F202)</f>
        <v/>
      </c>
      <c r="I202" s="82"/>
      <c r="J202" s="82"/>
      <c r="K202" s="28"/>
      <c r="L202" s="90" t="str">
        <f aca="false">IF(OR(K202="",N(H202)=0),"",K202/H202)</f>
        <v/>
      </c>
      <c r="M202" s="68"/>
      <c r="N202" s="28"/>
      <c r="O202" s="25"/>
      <c r="P202" s="83" t="str">
        <f aca="false">IF(OR(N202="",N(H202)=0),"",N202/H202)</f>
        <v/>
      </c>
      <c r="Q202" s="25"/>
    </row>
    <row r="203" customFormat="false" ht="15" hidden="false" customHeight="false" outlineLevel="0" collapsed="false">
      <c r="A203" s="69"/>
      <c r="B203" s="68"/>
      <c r="C203" s="76" t="str">
        <f aca="false">IF(B203="","",IFERROR(INDEX(EN_Des,MATCH(B203,EN_Code,0)),"Code inconnu"))</f>
        <v/>
      </c>
      <c r="D203" s="25"/>
      <c r="E203" s="25"/>
      <c r="F203" s="82"/>
      <c r="G203" s="82"/>
      <c r="H203" s="83" t="str">
        <f aca="false">IF(OR(F203="",G203=""),"",G203-F203)</f>
        <v/>
      </c>
      <c r="I203" s="82"/>
      <c r="J203" s="82"/>
      <c r="K203" s="28"/>
      <c r="L203" s="90" t="str">
        <f aca="false">IF(OR(K203="",N(H203)=0),"",K203/H203)</f>
        <v/>
      </c>
      <c r="M203" s="68"/>
      <c r="N203" s="28"/>
      <c r="O203" s="25"/>
      <c r="P203" s="83" t="str">
        <f aca="false">IF(OR(N203="",N(H203)=0),"",N203/H203)</f>
        <v/>
      </c>
      <c r="Q203" s="25"/>
    </row>
    <row r="204" customFormat="false" ht="15" hidden="false" customHeight="false" outlineLevel="0" collapsed="false">
      <c r="A204" s="69"/>
      <c r="B204" s="68"/>
      <c r="C204" s="76" t="str">
        <f aca="false">IF(B204="","",IFERROR(INDEX(EN_Des,MATCH(B204,EN_Code,0)),"Code inconnu"))</f>
        <v/>
      </c>
      <c r="D204" s="25"/>
      <c r="E204" s="25"/>
      <c r="F204" s="82"/>
      <c r="G204" s="82"/>
      <c r="H204" s="83" t="str">
        <f aca="false">IF(OR(F204="",G204=""),"",G204-F204)</f>
        <v/>
      </c>
      <c r="I204" s="82"/>
      <c r="J204" s="82"/>
      <c r="K204" s="28"/>
      <c r="L204" s="90" t="str">
        <f aca="false">IF(OR(K204="",N(H204)=0),"",K204/H204)</f>
        <v/>
      </c>
      <c r="M204" s="68"/>
      <c r="N204" s="28"/>
      <c r="O204" s="25"/>
      <c r="P204" s="83" t="str">
        <f aca="false">IF(OR(N204="",N(H204)=0),"",N204/H204)</f>
        <v/>
      </c>
      <c r="Q204" s="25"/>
    </row>
    <row r="205" customFormat="false" ht="15" hidden="false" customHeight="false" outlineLevel="0" collapsed="false">
      <c r="A205" s="69"/>
      <c r="B205" s="68"/>
      <c r="C205" s="76" t="str">
        <f aca="false">IF(B205="","",IFERROR(INDEX(EN_Des,MATCH(B205,EN_Code,0)),"Code inconnu"))</f>
        <v/>
      </c>
      <c r="D205" s="25"/>
      <c r="E205" s="25"/>
      <c r="F205" s="82"/>
      <c r="G205" s="82"/>
      <c r="H205" s="83" t="str">
        <f aca="false">IF(OR(F205="",G205=""),"",G205-F205)</f>
        <v/>
      </c>
      <c r="I205" s="82"/>
      <c r="J205" s="82"/>
      <c r="K205" s="28"/>
      <c r="L205" s="90" t="str">
        <f aca="false">IF(OR(K205="",N(H205)=0),"",K205/H205)</f>
        <v/>
      </c>
      <c r="M205" s="68"/>
      <c r="N205" s="28"/>
      <c r="O205" s="25"/>
      <c r="P205" s="83" t="str">
        <f aca="false">IF(OR(N205="",N(H205)=0),"",N205/H205)</f>
        <v/>
      </c>
      <c r="Q205" s="25"/>
    </row>
    <row r="206" customFormat="false" ht="15" hidden="false" customHeight="false" outlineLevel="0" collapsed="false">
      <c r="A206" s="69"/>
      <c r="B206" s="68"/>
      <c r="C206" s="76" t="str">
        <f aca="false">IF(B206="","",IFERROR(INDEX(EN_Des,MATCH(B206,EN_Code,0)),"Code inconnu"))</f>
        <v/>
      </c>
      <c r="D206" s="25"/>
      <c r="E206" s="25"/>
      <c r="F206" s="82"/>
      <c r="G206" s="82"/>
      <c r="H206" s="83" t="str">
        <f aca="false">IF(OR(F206="",G206=""),"",G206-F206)</f>
        <v/>
      </c>
      <c r="I206" s="82"/>
      <c r="J206" s="82"/>
      <c r="K206" s="28"/>
      <c r="L206" s="90" t="str">
        <f aca="false">IF(OR(K206="",N(H206)=0),"",K206/H206)</f>
        <v/>
      </c>
      <c r="M206" s="68"/>
      <c r="N206" s="28"/>
      <c r="O206" s="25"/>
      <c r="P206" s="83" t="str">
        <f aca="false">IF(OR(N206="",N(H206)=0),"",N206/H206)</f>
        <v/>
      </c>
      <c r="Q206" s="25"/>
    </row>
    <row r="207" customFormat="false" ht="15" hidden="false" customHeight="false" outlineLevel="0" collapsed="false">
      <c r="A207" s="69"/>
      <c r="B207" s="68"/>
      <c r="C207" s="76" t="str">
        <f aca="false">IF(B207="","",IFERROR(INDEX(EN_Des,MATCH(B207,EN_Code,0)),"Code inconnu"))</f>
        <v/>
      </c>
      <c r="D207" s="25"/>
      <c r="E207" s="25"/>
      <c r="F207" s="82"/>
      <c r="G207" s="82"/>
      <c r="H207" s="83" t="str">
        <f aca="false">IF(OR(F207="",G207=""),"",G207-F207)</f>
        <v/>
      </c>
      <c r="I207" s="82"/>
      <c r="J207" s="82"/>
      <c r="K207" s="28"/>
      <c r="L207" s="90" t="str">
        <f aca="false">IF(OR(K207="",N(H207)=0),"",K207/H207)</f>
        <v/>
      </c>
      <c r="M207" s="68"/>
      <c r="N207" s="28"/>
      <c r="O207" s="25"/>
      <c r="P207" s="83" t="str">
        <f aca="false">IF(OR(N207="",N(H207)=0),"",N207/H207)</f>
        <v/>
      </c>
      <c r="Q207" s="25"/>
    </row>
    <row r="208" customFormat="false" ht="15" hidden="false" customHeight="false" outlineLevel="0" collapsed="false">
      <c r="A208" s="69"/>
      <c r="B208" s="68"/>
      <c r="C208" s="76" t="str">
        <f aca="false">IF(B208="","",IFERROR(INDEX(EN_Des,MATCH(B208,EN_Code,0)),"Code inconnu"))</f>
        <v/>
      </c>
      <c r="D208" s="25"/>
      <c r="E208" s="25"/>
      <c r="F208" s="82"/>
      <c r="G208" s="82"/>
      <c r="H208" s="83" t="str">
        <f aca="false">IF(OR(F208="",G208=""),"",G208-F208)</f>
        <v/>
      </c>
      <c r="I208" s="82"/>
      <c r="J208" s="82"/>
      <c r="K208" s="28"/>
      <c r="L208" s="90" t="str">
        <f aca="false">IF(OR(K208="",N(H208)=0),"",K208/H208)</f>
        <v/>
      </c>
      <c r="M208" s="68"/>
      <c r="N208" s="28"/>
      <c r="O208" s="25"/>
      <c r="P208" s="83" t="str">
        <f aca="false">IF(OR(N208="",N(H208)=0),"",N208/H208)</f>
        <v/>
      </c>
      <c r="Q208" s="25"/>
    </row>
    <row r="209" customFormat="false" ht="15" hidden="false" customHeight="false" outlineLevel="0" collapsed="false">
      <c r="A209" s="69"/>
      <c r="B209" s="68"/>
      <c r="C209" s="76" t="str">
        <f aca="false">IF(B209="","",IFERROR(INDEX(EN_Des,MATCH(B209,EN_Code,0)),"Code inconnu"))</f>
        <v/>
      </c>
      <c r="D209" s="25"/>
      <c r="E209" s="25"/>
      <c r="F209" s="82"/>
      <c r="G209" s="82"/>
      <c r="H209" s="83" t="str">
        <f aca="false">IF(OR(F209="",G209=""),"",G209-F209)</f>
        <v/>
      </c>
      <c r="I209" s="82"/>
      <c r="J209" s="82"/>
      <c r="K209" s="28"/>
      <c r="L209" s="90" t="str">
        <f aca="false">IF(OR(K209="",N(H209)=0),"",K209/H209)</f>
        <v/>
      </c>
      <c r="M209" s="68"/>
      <c r="N209" s="28"/>
      <c r="O209" s="25"/>
      <c r="P209" s="83" t="str">
        <f aca="false">IF(OR(N209="",N(H209)=0),"",N209/H209)</f>
        <v/>
      </c>
      <c r="Q209" s="25"/>
    </row>
    <row r="210" customFormat="false" ht="15" hidden="false" customHeight="false" outlineLevel="0" collapsed="false">
      <c r="A210" s="69"/>
      <c r="B210" s="68"/>
      <c r="C210" s="76" t="str">
        <f aca="false">IF(B210="","",IFERROR(INDEX(EN_Des,MATCH(B210,EN_Code,0)),"Code inconnu"))</f>
        <v/>
      </c>
      <c r="D210" s="25"/>
      <c r="E210" s="25"/>
      <c r="F210" s="82"/>
      <c r="G210" s="82"/>
      <c r="H210" s="83" t="str">
        <f aca="false">IF(OR(F210="",G210=""),"",G210-F210)</f>
        <v/>
      </c>
      <c r="I210" s="82"/>
      <c r="J210" s="82"/>
      <c r="K210" s="28"/>
      <c r="L210" s="90" t="str">
        <f aca="false">IF(OR(K210="",N(H210)=0),"",K210/H210)</f>
        <v/>
      </c>
      <c r="M210" s="68"/>
      <c r="N210" s="28"/>
      <c r="O210" s="25"/>
      <c r="P210" s="83" t="str">
        <f aca="false">IF(OR(N210="",N(H210)=0),"",N210/H210)</f>
        <v/>
      </c>
      <c r="Q210" s="25"/>
    </row>
    <row r="211" customFormat="false" ht="15" hidden="false" customHeight="false" outlineLevel="0" collapsed="false">
      <c r="A211" s="69"/>
      <c r="B211" s="68"/>
      <c r="C211" s="76" t="str">
        <f aca="false">IF(B211="","",IFERROR(INDEX(EN_Des,MATCH(B211,EN_Code,0)),"Code inconnu"))</f>
        <v/>
      </c>
      <c r="D211" s="25"/>
      <c r="E211" s="25"/>
      <c r="F211" s="82"/>
      <c r="G211" s="82"/>
      <c r="H211" s="83" t="str">
        <f aca="false">IF(OR(F211="",G211=""),"",G211-F211)</f>
        <v/>
      </c>
      <c r="I211" s="82"/>
      <c r="J211" s="82"/>
      <c r="K211" s="28"/>
      <c r="L211" s="90" t="str">
        <f aca="false">IF(OR(K211="",N(H211)=0),"",K211/H211)</f>
        <v/>
      </c>
      <c r="M211" s="68"/>
      <c r="N211" s="28"/>
      <c r="O211" s="25"/>
      <c r="P211" s="83" t="str">
        <f aca="false">IF(OR(N211="",N(H211)=0),"",N211/H211)</f>
        <v/>
      </c>
      <c r="Q211" s="25"/>
    </row>
    <row r="212" customFormat="false" ht="15" hidden="false" customHeight="false" outlineLevel="0" collapsed="false">
      <c r="A212" s="69"/>
      <c r="B212" s="68"/>
      <c r="C212" s="76" t="str">
        <f aca="false">IF(B212="","",IFERROR(INDEX(EN_Des,MATCH(B212,EN_Code,0)),"Code inconnu"))</f>
        <v/>
      </c>
      <c r="D212" s="25"/>
      <c r="E212" s="25"/>
      <c r="F212" s="82"/>
      <c r="G212" s="82"/>
      <c r="H212" s="83" t="str">
        <f aca="false">IF(OR(F212="",G212=""),"",G212-F212)</f>
        <v/>
      </c>
      <c r="I212" s="82"/>
      <c r="J212" s="82"/>
      <c r="K212" s="28"/>
      <c r="L212" s="90" t="str">
        <f aca="false">IF(OR(K212="",N(H212)=0),"",K212/H212)</f>
        <v/>
      </c>
      <c r="M212" s="68"/>
      <c r="N212" s="28"/>
      <c r="O212" s="25"/>
      <c r="P212" s="83" t="str">
        <f aca="false">IF(OR(N212="",N(H212)=0),"",N212/H212)</f>
        <v/>
      </c>
      <c r="Q212" s="25"/>
    </row>
    <row r="213" customFormat="false" ht="15" hidden="false" customHeight="false" outlineLevel="0" collapsed="false">
      <c r="A213" s="69"/>
      <c r="B213" s="68"/>
      <c r="C213" s="76" t="str">
        <f aca="false">IF(B213="","",IFERROR(INDEX(EN_Des,MATCH(B213,EN_Code,0)),"Code inconnu"))</f>
        <v/>
      </c>
      <c r="D213" s="25"/>
      <c r="E213" s="25"/>
      <c r="F213" s="82"/>
      <c r="G213" s="82"/>
      <c r="H213" s="83" t="str">
        <f aca="false">IF(OR(F213="",G213=""),"",G213-F213)</f>
        <v/>
      </c>
      <c r="I213" s="82"/>
      <c r="J213" s="82"/>
      <c r="K213" s="28"/>
      <c r="L213" s="90" t="str">
        <f aca="false">IF(OR(K213="",N(H213)=0),"",K213/H213)</f>
        <v/>
      </c>
      <c r="M213" s="68"/>
      <c r="N213" s="28"/>
      <c r="O213" s="25"/>
      <c r="P213" s="83" t="str">
        <f aca="false">IF(OR(N213="",N(H213)=0),"",N213/H213)</f>
        <v/>
      </c>
      <c r="Q213" s="25"/>
    </row>
    <row r="214" customFormat="false" ht="15" hidden="false" customHeight="false" outlineLevel="0" collapsed="false">
      <c r="A214" s="69"/>
      <c r="B214" s="68"/>
      <c r="C214" s="76" t="str">
        <f aca="false">IF(B214="","",IFERROR(INDEX(EN_Des,MATCH(B214,EN_Code,0)),"Code inconnu"))</f>
        <v/>
      </c>
      <c r="D214" s="25"/>
      <c r="E214" s="25"/>
      <c r="F214" s="82"/>
      <c r="G214" s="82"/>
      <c r="H214" s="83" t="str">
        <f aca="false">IF(OR(F214="",G214=""),"",G214-F214)</f>
        <v/>
      </c>
      <c r="I214" s="82"/>
      <c r="J214" s="82"/>
      <c r="K214" s="28"/>
      <c r="L214" s="90" t="str">
        <f aca="false">IF(OR(K214="",N(H214)=0),"",K214/H214)</f>
        <v/>
      </c>
      <c r="M214" s="68"/>
      <c r="N214" s="28"/>
      <c r="O214" s="25"/>
      <c r="P214" s="83" t="str">
        <f aca="false">IF(OR(N214="",N(H214)=0),"",N214/H214)</f>
        <v/>
      </c>
      <c r="Q214" s="25"/>
    </row>
    <row r="215" customFormat="false" ht="15" hidden="false" customHeight="false" outlineLevel="0" collapsed="false">
      <c r="A215" s="69"/>
      <c r="B215" s="68"/>
      <c r="C215" s="76" t="str">
        <f aca="false">IF(B215="","",IFERROR(INDEX(EN_Des,MATCH(B215,EN_Code,0)),"Code inconnu"))</f>
        <v/>
      </c>
      <c r="D215" s="25"/>
      <c r="E215" s="25"/>
      <c r="F215" s="82"/>
      <c r="G215" s="82"/>
      <c r="H215" s="83" t="str">
        <f aca="false">IF(OR(F215="",G215=""),"",G215-F215)</f>
        <v/>
      </c>
      <c r="I215" s="82"/>
      <c r="J215" s="82"/>
      <c r="K215" s="28"/>
      <c r="L215" s="90" t="str">
        <f aca="false">IF(OR(K215="",N(H215)=0),"",K215/H215)</f>
        <v/>
      </c>
      <c r="M215" s="68"/>
      <c r="N215" s="28"/>
      <c r="O215" s="25"/>
      <c r="P215" s="83" t="str">
        <f aca="false">IF(OR(N215="",N(H215)=0),"",N215/H215)</f>
        <v/>
      </c>
      <c r="Q215" s="25"/>
    </row>
    <row r="216" customFormat="false" ht="15" hidden="false" customHeight="false" outlineLevel="0" collapsed="false">
      <c r="A216" s="69"/>
      <c r="B216" s="68"/>
      <c r="C216" s="76" t="str">
        <f aca="false">IF(B216="","",IFERROR(INDEX(EN_Des,MATCH(B216,EN_Code,0)),"Code inconnu"))</f>
        <v/>
      </c>
      <c r="D216" s="25"/>
      <c r="E216" s="25"/>
      <c r="F216" s="82"/>
      <c r="G216" s="82"/>
      <c r="H216" s="83" t="str">
        <f aca="false">IF(OR(F216="",G216=""),"",G216-F216)</f>
        <v/>
      </c>
      <c r="I216" s="82"/>
      <c r="J216" s="82"/>
      <c r="K216" s="28"/>
      <c r="L216" s="90" t="str">
        <f aca="false">IF(OR(K216="",N(H216)=0),"",K216/H216)</f>
        <v/>
      </c>
      <c r="M216" s="68"/>
      <c r="N216" s="28"/>
      <c r="O216" s="25"/>
      <c r="P216" s="83" t="str">
        <f aca="false">IF(OR(N216="",N(H216)=0),"",N216/H216)</f>
        <v/>
      </c>
      <c r="Q216" s="25"/>
    </row>
    <row r="217" customFormat="false" ht="15" hidden="false" customHeight="false" outlineLevel="0" collapsed="false">
      <c r="A217" s="69"/>
      <c r="B217" s="68"/>
      <c r="C217" s="76" t="str">
        <f aca="false">IF(B217="","",IFERROR(INDEX(EN_Des,MATCH(B217,EN_Code,0)),"Code inconnu"))</f>
        <v/>
      </c>
      <c r="D217" s="25"/>
      <c r="E217" s="25"/>
      <c r="F217" s="82"/>
      <c r="G217" s="82"/>
      <c r="H217" s="83" t="str">
        <f aca="false">IF(OR(F217="",G217=""),"",G217-F217)</f>
        <v/>
      </c>
      <c r="I217" s="82"/>
      <c r="J217" s="82"/>
      <c r="K217" s="28"/>
      <c r="L217" s="90" t="str">
        <f aca="false">IF(OR(K217="",N(H217)=0),"",K217/H217)</f>
        <v/>
      </c>
      <c r="M217" s="68"/>
      <c r="N217" s="28"/>
      <c r="O217" s="25"/>
      <c r="P217" s="83" t="str">
        <f aca="false">IF(OR(N217="",N(H217)=0),"",N217/H217)</f>
        <v/>
      </c>
      <c r="Q217" s="25"/>
    </row>
    <row r="218" customFormat="false" ht="15" hidden="false" customHeight="false" outlineLevel="0" collapsed="false">
      <c r="A218" s="69"/>
      <c r="B218" s="68"/>
      <c r="C218" s="76" t="str">
        <f aca="false">IF(B218="","",IFERROR(INDEX(EN_Des,MATCH(B218,EN_Code,0)),"Code inconnu"))</f>
        <v/>
      </c>
      <c r="D218" s="25"/>
      <c r="E218" s="25"/>
      <c r="F218" s="82"/>
      <c r="G218" s="82"/>
      <c r="H218" s="83" t="str">
        <f aca="false">IF(OR(F218="",G218=""),"",G218-F218)</f>
        <v/>
      </c>
      <c r="I218" s="82"/>
      <c r="J218" s="82"/>
      <c r="K218" s="28"/>
      <c r="L218" s="90" t="str">
        <f aca="false">IF(OR(K218="",N(H218)=0),"",K218/H218)</f>
        <v/>
      </c>
      <c r="M218" s="68"/>
      <c r="N218" s="28"/>
      <c r="O218" s="25"/>
      <c r="P218" s="83" t="str">
        <f aca="false">IF(OR(N218="",N(H218)=0),"",N218/H218)</f>
        <v/>
      </c>
      <c r="Q218" s="25"/>
    </row>
    <row r="219" customFormat="false" ht="15" hidden="false" customHeight="false" outlineLevel="0" collapsed="false">
      <c r="A219" s="69"/>
      <c r="B219" s="68"/>
      <c r="C219" s="76" t="str">
        <f aca="false">IF(B219="","",IFERROR(INDEX(EN_Des,MATCH(B219,EN_Code,0)),"Code inconnu"))</f>
        <v/>
      </c>
      <c r="D219" s="25"/>
      <c r="E219" s="25"/>
      <c r="F219" s="82"/>
      <c r="G219" s="82"/>
      <c r="H219" s="83" t="str">
        <f aca="false">IF(OR(F219="",G219=""),"",G219-F219)</f>
        <v/>
      </c>
      <c r="I219" s="82"/>
      <c r="J219" s="82"/>
      <c r="K219" s="28"/>
      <c r="L219" s="90" t="str">
        <f aca="false">IF(OR(K219="",N(H219)=0),"",K219/H219)</f>
        <v/>
      </c>
      <c r="M219" s="68"/>
      <c r="N219" s="28"/>
      <c r="O219" s="25"/>
      <c r="P219" s="83" t="str">
        <f aca="false">IF(OR(N219="",N(H219)=0),"",N219/H219)</f>
        <v/>
      </c>
      <c r="Q219" s="25"/>
    </row>
    <row r="220" customFormat="false" ht="15" hidden="false" customHeight="false" outlineLevel="0" collapsed="false">
      <c r="A220" s="69"/>
      <c r="B220" s="68"/>
      <c r="C220" s="76" t="str">
        <f aca="false">IF(B220="","",IFERROR(INDEX(EN_Des,MATCH(B220,EN_Code,0)),"Code inconnu"))</f>
        <v/>
      </c>
      <c r="D220" s="25"/>
      <c r="E220" s="25"/>
      <c r="F220" s="82"/>
      <c r="G220" s="82"/>
      <c r="H220" s="83" t="str">
        <f aca="false">IF(OR(F220="",G220=""),"",G220-F220)</f>
        <v/>
      </c>
      <c r="I220" s="82"/>
      <c r="J220" s="82"/>
      <c r="K220" s="28"/>
      <c r="L220" s="90" t="str">
        <f aca="false">IF(OR(K220="",N(H220)=0),"",K220/H220)</f>
        <v/>
      </c>
      <c r="M220" s="68"/>
      <c r="N220" s="28"/>
      <c r="O220" s="25"/>
      <c r="P220" s="83" t="str">
        <f aca="false">IF(OR(N220="",N(H220)=0),"",N220/H220)</f>
        <v/>
      </c>
      <c r="Q220" s="25"/>
    </row>
    <row r="221" customFormat="false" ht="15" hidden="false" customHeight="false" outlineLevel="0" collapsed="false">
      <c r="A221" s="69"/>
      <c r="B221" s="68"/>
      <c r="C221" s="76" t="str">
        <f aca="false">IF(B221="","",IFERROR(INDEX(EN_Des,MATCH(B221,EN_Code,0)),"Code inconnu"))</f>
        <v/>
      </c>
      <c r="D221" s="25"/>
      <c r="E221" s="25"/>
      <c r="F221" s="82"/>
      <c r="G221" s="82"/>
      <c r="H221" s="83" t="str">
        <f aca="false">IF(OR(F221="",G221=""),"",G221-F221)</f>
        <v/>
      </c>
      <c r="I221" s="82"/>
      <c r="J221" s="82"/>
      <c r="K221" s="28"/>
      <c r="L221" s="90" t="str">
        <f aca="false">IF(OR(K221="",N(H221)=0),"",K221/H221)</f>
        <v/>
      </c>
      <c r="M221" s="68"/>
      <c r="N221" s="28"/>
      <c r="O221" s="25"/>
      <c r="P221" s="83" t="str">
        <f aca="false">IF(OR(N221="",N(H221)=0),"",N221/H221)</f>
        <v/>
      </c>
      <c r="Q221" s="25"/>
    </row>
    <row r="222" customFormat="false" ht="15" hidden="false" customHeight="false" outlineLevel="0" collapsed="false">
      <c r="A222" s="69"/>
      <c r="B222" s="68"/>
      <c r="C222" s="76" t="str">
        <f aca="false">IF(B222="","",IFERROR(INDEX(EN_Des,MATCH(B222,EN_Code,0)),"Code inconnu"))</f>
        <v/>
      </c>
      <c r="D222" s="25"/>
      <c r="E222" s="25"/>
      <c r="F222" s="82"/>
      <c r="G222" s="82"/>
      <c r="H222" s="83" t="str">
        <f aca="false">IF(OR(F222="",G222=""),"",G222-F222)</f>
        <v/>
      </c>
      <c r="I222" s="82"/>
      <c r="J222" s="82"/>
      <c r="K222" s="28"/>
      <c r="L222" s="90" t="str">
        <f aca="false">IF(OR(K222="",N(H222)=0),"",K222/H222)</f>
        <v/>
      </c>
      <c r="M222" s="68"/>
      <c r="N222" s="28"/>
      <c r="O222" s="25"/>
      <c r="P222" s="83" t="str">
        <f aca="false">IF(OR(N222="",N(H222)=0),"",N222/H222)</f>
        <v/>
      </c>
      <c r="Q222" s="25"/>
    </row>
    <row r="223" customFormat="false" ht="15" hidden="false" customHeight="false" outlineLevel="0" collapsed="false">
      <c r="A223" s="69"/>
      <c r="B223" s="68"/>
      <c r="C223" s="76" t="str">
        <f aca="false">IF(B223="","",IFERROR(INDEX(EN_Des,MATCH(B223,EN_Code,0)),"Code inconnu"))</f>
        <v/>
      </c>
      <c r="D223" s="25"/>
      <c r="E223" s="25"/>
      <c r="F223" s="82"/>
      <c r="G223" s="82"/>
      <c r="H223" s="83" t="str">
        <f aca="false">IF(OR(F223="",G223=""),"",G223-F223)</f>
        <v/>
      </c>
      <c r="I223" s="82"/>
      <c r="J223" s="82"/>
      <c r="K223" s="28"/>
      <c r="L223" s="90" t="str">
        <f aca="false">IF(OR(K223="",N(H223)=0),"",K223/H223)</f>
        <v/>
      </c>
      <c r="M223" s="68"/>
      <c r="N223" s="28"/>
      <c r="O223" s="25"/>
      <c r="P223" s="83" t="str">
        <f aca="false">IF(OR(N223="",N(H223)=0),"",N223/H223)</f>
        <v/>
      </c>
      <c r="Q223" s="25"/>
    </row>
    <row r="224" customFormat="false" ht="15" hidden="false" customHeight="false" outlineLevel="0" collapsed="false">
      <c r="A224" s="69"/>
      <c r="B224" s="68"/>
      <c r="C224" s="76" t="str">
        <f aca="false">IF(B224="","",IFERROR(INDEX(EN_Des,MATCH(B224,EN_Code,0)),"Code inconnu"))</f>
        <v/>
      </c>
      <c r="D224" s="25"/>
      <c r="E224" s="25"/>
      <c r="F224" s="82"/>
      <c r="G224" s="82"/>
      <c r="H224" s="83" t="str">
        <f aca="false">IF(OR(F224="",G224=""),"",G224-F224)</f>
        <v/>
      </c>
      <c r="I224" s="82"/>
      <c r="J224" s="82"/>
      <c r="K224" s="28"/>
      <c r="L224" s="90" t="str">
        <f aca="false">IF(OR(K224="",N(H224)=0),"",K224/H224)</f>
        <v/>
      </c>
      <c r="M224" s="68"/>
      <c r="N224" s="28"/>
      <c r="O224" s="25"/>
      <c r="P224" s="83" t="str">
        <f aca="false">IF(OR(N224="",N(H224)=0),"",N224/H224)</f>
        <v/>
      </c>
      <c r="Q224" s="25"/>
    </row>
    <row r="225" customFormat="false" ht="15" hidden="false" customHeight="false" outlineLevel="0" collapsed="false">
      <c r="A225" s="69"/>
      <c r="B225" s="68"/>
      <c r="C225" s="76" t="str">
        <f aca="false">IF(B225="","",IFERROR(INDEX(EN_Des,MATCH(B225,EN_Code,0)),"Code inconnu"))</f>
        <v/>
      </c>
      <c r="D225" s="25"/>
      <c r="E225" s="25"/>
      <c r="F225" s="82"/>
      <c r="G225" s="82"/>
      <c r="H225" s="83" t="str">
        <f aca="false">IF(OR(F225="",G225=""),"",G225-F225)</f>
        <v/>
      </c>
      <c r="I225" s="82"/>
      <c r="J225" s="82"/>
      <c r="K225" s="28"/>
      <c r="L225" s="90" t="str">
        <f aca="false">IF(OR(K225="",N(H225)=0),"",K225/H225)</f>
        <v/>
      </c>
      <c r="M225" s="68"/>
      <c r="N225" s="28"/>
      <c r="O225" s="25"/>
      <c r="P225" s="83" t="str">
        <f aca="false">IF(OR(N225="",N(H225)=0),"",N225/H225)</f>
        <v/>
      </c>
      <c r="Q225" s="25"/>
    </row>
    <row r="226" customFormat="false" ht="15" hidden="false" customHeight="false" outlineLevel="0" collapsed="false">
      <c r="A226" s="69"/>
      <c r="B226" s="68"/>
      <c r="C226" s="76" t="str">
        <f aca="false">IF(B226="","",IFERROR(INDEX(EN_Des,MATCH(B226,EN_Code,0)),"Code inconnu"))</f>
        <v/>
      </c>
      <c r="D226" s="25"/>
      <c r="E226" s="25"/>
      <c r="F226" s="82"/>
      <c r="G226" s="82"/>
      <c r="H226" s="83" t="str">
        <f aca="false">IF(OR(F226="",G226=""),"",G226-F226)</f>
        <v/>
      </c>
      <c r="I226" s="82"/>
      <c r="J226" s="82"/>
      <c r="K226" s="28"/>
      <c r="L226" s="90" t="str">
        <f aca="false">IF(OR(K226="",N(H226)=0),"",K226/H226)</f>
        <v/>
      </c>
      <c r="M226" s="68"/>
      <c r="N226" s="28"/>
      <c r="O226" s="25"/>
      <c r="P226" s="83" t="str">
        <f aca="false">IF(OR(N226="",N(H226)=0),"",N226/H226)</f>
        <v/>
      </c>
      <c r="Q226" s="25"/>
    </row>
    <row r="227" customFormat="false" ht="15" hidden="false" customHeight="false" outlineLevel="0" collapsed="false">
      <c r="A227" s="69"/>
      <c r="B227" s="68"/>
      <c r="C227" s="76" t="str">
        <f aca="false">IF(B227="","",IFERROR(INDEX(EN_Des,MATCH(B227,EN_Code,0)),"Code inconnu"))</f>
        <v/>
      </c>
      <c r="D227" s="25"/>
      <c r="E227" s="25"/>
      <c r="F227" s="82"/>
      <c r="G227" s="82"/>
      <c r="H227" s="83" t="str">
        <f aca="false">IF(OR(F227="",G227=""),"",G227-F227)</f>
        <v/>
      </c>
      <c r="I227" s="82"/>
      <c r="J227" s="82"/>
      <c r="K227" s="28"/>
      <c r="L227" s="90" t="str">
        <f aca="false">IF(OR(K227="",N(H227)=0),"",K227/H227)</f>
        <v/>
      </c>
      <c r="M227" s="68"/>
      <c r="N227" s="28"/>
      <c r="O227" s="25"/>
      <c r="P227" s="83" t="str">
        <f aca="false">IF(OR(N227="",N(H227)=0),"",N227/H227)</f>
        <v/>
      </c>
      <c r="Q227" s="25"/>
    </row>
    <row r="228" customFormat="false" ht="15" hidden="false" customHeight="false" outlineLevel="0" collapsed="false">
      <c r="A228" s="69"/>
      <c r="B228" s="68"/>
      <c r="C228" s="76" t="str">
        <f aca="false">IF(B228="","",IFERROR(INDEX(EN_Des,MATCH(B228,EN_Code,0)),"Code inconnu"))</f>
        <v/>
      </c>
      <c r="D228" s="25"/>
      <c r="E228" s="25"/>
      <c r="F228" s="82"/>
      <c r="G228" s="82"/>
      <c r="H228" s="83" t="str">
        <f aca="false">IF(OR(F228="",G228=""),"",G228-F228)</f>
        <v/>
      </c>
      <c r="I228" s="82"/>
      <c r="J228" s="82"/>
      <c r="K228" s="28"/>
      <c r="L228" s="90" t="str">
        <f aca="false">IF(OR(K228="",N(H228)=0),"",K228/H228)</f>
        <v/>
      </c>
      <c r="M228" s="68"/>
      <c r="N228" s="28"/>
      <c r="O228" s="25"/>
      <c r="P228" s="83" t="str">
        <f aca="false">IF(OR(N228="",N(H228)=0),"",N228/H228)</f>
        <v/>
      </c>
      <c r="Q228" s="25"/>
    </row>
    <row r="229" customFormat="false" ht="15" hidden="false" customHeight="false" outlineLevel="0" collapsed="false">
      <c r="A229" s="69"/>
      <c r="B229" s="68"/>
      <c r="C229" s="76" t="str">
        <f aca="false">IF(B229="","",IFERROR(INDEX(EN_Des,MATCH(B229,EN_Code,0)),"Code inconnu"))</f>
        <v/>
      </c>
      <c r="D229" s="25"/>
      <c r="E229" s="25"/>
      <c r="F229" s="82"/>
      <c r="G229" s="82"/>
      <c r="H229" s="83" t="str">
        <f aca="false">IF(OR(F229="",G229=""),"",G229-F229)</f>
        <v/>
      </c>
      <c r="I229" s="82"/>
      <c r="J229" s="82"/>
      <c r="K229" s="28"/>
      <c r="L229" s="90" t="str">
        <f aca="false">IF(OR(K229="",N(H229)=0),"",K229/H229)</f>
        <v/>
      </c>
      <c r="M229" s="68"/>
      <c r="N229" s="28"/>
      <c r="O229" s="25"/>
      <c r="P229" s="83" t="str">
        <f aca="false">IF(OR(N229="",N(H229)=0),"",N229/H229)</f>
        <v/>
      </c>
      <c r="Q229" s="25"/>
    </row>
    <row r="230" customFormat="false" ht="15" hidden="false" customHeight="false" outlineLevel="0" collapsed="false">
      <c r="A230" s="69"/>
      <c r="B230" s="68"/>
      <c r="C230" s="76" t="str">
        <f aca="false">IF(B230="","",IFERROR(INDEX(EN_Des,MATCH(B230,EN_Code,0)),"Code inconnu"))</f>
        <v/>
      </c>
      <c r="D230" s="25"/>
      <c r="E230" s="25"/>
      <c r="F230" s="82"/>
      <c r="G230" s="82"/>
      <c r="H230" s="83" t="str">
        <f aca="false">IF(OR(F230="",G230=""),"",G230-F230)</f>
        <v/>
      </c>
      <c r="I230" s="82"/>
      <c r="J230" s="82"/>
      <c r="K230" s="28"/>
      <c r="L230" s="90" t="str">
        <f aca="false">IF(OR(K230="",N(H230)=0),"",K230/H230)</f>
        <v/>
      </c>
      <c r="M230" s="68"/>
      <c r="N230" s="28"/>
      <c r="O230" s="25"/>
      <c r="P230" s="83" t="str">
        <f aca="false">IF(OR(N230="",N(H230)=0),"",N230/H230)</f>
        <v/>
      </c>
      <c r="Q230" s="25"/>
    </row>
    <row r="231" customFormat="false" ht="15" hidden="false" customHeight="false" outlineLevel="0" collapsed="false">
      <c r="A231" s="69"/>
      <c r="B231" s="68"/>
      <c r="C231" s="76" t="str">
        <f aca="false">IF(B231="","",IFERROR(INDEX(EN_Des,MATCH(B231,EN_Code,0)),"Code inconnu"))</f>
        <v/>
      </c>
      <c r="D231" s="25"/>
      <c r="E231" s="25"/>
      <c r="F231" s="82"/>
      <c r="G231" s="82"/>
      <c r="H231" s="83" t="str">
        <f aca="false">IF(OR(F231="",G231=""),"",G231-F231)</f>
        <v/>
      </c>
      <c r="I231" s="82"/>
      <c r="J231" s="82"/>
      <c r="K231" s="28"/>
      <c r="L231" s="90" t="str">
        <f aca="false">IF(OR(K231="",N(H231)=0),"",K231/H231)</f>
        <v/>
      </c>
      <c r="M231" s="68"/>
      <c r="N231" s="28"/>
      <c r="O231" s="25"/>
      <c r="P231" s="83" t="str">
        <f aca="false">IF(OR(N231="",N(H231)=0),"",N231/H231)</f>
        <v/>
      </c>
      <c r="Q231" s="25"/>
    </row>
    <row r="232" customFormat="false" ht="15" hidden="false" customHeight="false" outlineLevel="0" collapsed="false">
      <c r="A232" s="69"/>
      <c r="B232" s="68"/>
      <c r="C232" s="76" t="str">
        <f aca="false">IF(B232="","",IFERROR(INDEX(EN_Des,MATCH(B232,EN_Code,0)),"Code inconnu"))</f>
        <v/>
      </c>
      <c r="D232" s="25"/>
      <c r="E232" s="25"/>
      <c r="F232" s="82"/>
      <c r="G232" s="82"/>
      <c r="H232" s="83" t="str">
        <f aca="false">IF(OR(F232="",G232=""),"",G232-F232)</f>
        <v/>
      </c>
      <c r="I232" s="82"/>
      <c r="J232" s="82"/>
      <c r="K232" s="28"/>
      <c r="L232" s="90" t="str">
        <f aca="false">IF(OR(K232="",N(H232)=0),"",K232/H232)</f>
        <v/>
      </c>
      <c r="M232" s="68"/>
      <c r="N232" s="28"/>
      <c r="O232" s="25"/>
      <c r="P232" s="83" t="str">
        <f aca="false">IF(OR(N232="",N(H232)=0),"",N232/H232)</f>
        <v/>
      </c>
      <c r="Q232" s="25"/>
    </row>
    <row r="233" customFormat="false" ht="15" hidden="false" customHeight="false" outlineLevel="0" collapsed="false">
      <c r="A233" s="69"/>
      <c r="B233" s="68"/>
      <c r="C233" s="76" t="str">
        <f aca="false">IF(B233="","",IFERROR(INDEX(EN_Des,MATCH(B233,EN_Code,0)),"Code inconnu"))</f>
        <v/>
      </c>
      <c r="D233" s="25"/>
      <c r="E233" s="25"/>
      <c r="F233" s="82"/>
      <c r="G233" s="82"/>
      <c r="H233" s="83" t="str">
        <f aca="false">IF(OR(F233="",G233=""),"",G233-F233)</f>
        <v/>
      </c>
      <c r="I233" s="82"/>
      <c r="J233" s="82"/>
      <c r="K233" s="28"/>
      <c r="L233" s="90" t="str">
        <f aca="false">IF(OR(K233="",N(H233)=0),"",K233/H233)</f>
        <v/>
      </c>
      <c r="M233" s="68"/>
      <c r="N233" s="28"/>
      <c r="O233" s="25"/>
      <c r="P233" s="83" t="str">
        <f aca="false">IF(OR(N233="",N(H233)=0),"",N233/H233)</f>
        <v/>
      </c>
      <c r="Q233" s="25"/>
    </row>
    <row r="234" customFormat="false" ht="15" hidden="false" customHeight="false" outlineLevel="0" collapsed="false">
      <c r="A234" s="69"/>
      <c r="B234" s="68"/>
      <c r="C234" s="76" t="str">
        <f aca="false">IF(B234="","",IFERROR(INDEX(EN_Des,MATCH(B234,EN_Code,0)),"Code inconnu"))</f>
        <v/>
      </c>
      <c r="D234" s="25"/>
      <c r="E234" s="25"/>
      <c r="F234" s="82"/>
      <c r="G234" s="82"/>
      <c r="H234" s="83" t="str">
        <f aca="false">IF(OR(F234="",G234=""),"",G234-F234)</f>
        <v/>
      </c>
      <c r="I234" s="82"/>
      <c r="J234" s="82"/>
      <c r="K234" s="28"/>
      <c r="L234" s="90" t="str">
        <f aca="false">IF(OR(K234="",N(H234)=0),"",K234/H234)</f>
        <v/>
      </c>
      <c r="M234" s="68"/>
      <c r="N234" s="28"/>
      <c r="O234" s="25"/>
      <c r="P234" s="83" t="str">
        <f aca="false">IF(OR(N234="",N(H234)=0),"",N234/H234)</f>
        <v/>
      </c>
      <c r="Q234" s="25"/>
    </row>
    <row r="235" customFormat="false" ht="15" hidden="false" customHeight="false" outlineLevel="0" collapsed="false">
      <c r="A235" s="69"/>
      <c r="B235" s="68"/>
      <c r="C235" s="76" t="str">
        <f aca="false">IF(B235="","",IFERROR(INDEX(EN_Des,MATCH(B235,EN_Code,0)),"Code inconnu"))</f>
        <v/>
      </c>
      <c r="D235" s="25"/>
      <c r="E235" s="25"/>
      <c r="F235" s="82"/>
      <c r="G235" s="82"/>
      <c r="H235" s="83" t="str">
        <f aca="false">IF(OR(F235="",G235=""),"",G235-F235)</f>
        <v/>
      </c>
      <c r="I235" s="82"/>
      <c r="J235" s="82"/>
      <c r="K235" s="28"/>
      <c r="L235" s="90" t="str">
        <f aca="false">IF(OR(K235="",N(H235)=0),"",K235/H235)</f>
        <v/>
      </c>
      <c r="M235" s="68"/>
      <c r="N235" s="28"/>
      <c r="O235" s="25"/>
      <c r="P235" s="83" t="str">
        <f aca="false">IF(OR(N235="",N(H235)=0),"",N235/H235)</f>
        <v/>
      </c>
      <c r="Q235" s="25"/>
    </row>
    <row r="236" customFormat="false" ht="15" hidden="false" customHeight="false" outlineLevel="0" collapsed="false">
      <c r="A236" s="69"/>
      <c r="B236" s="68"/>
      <c r="C236" s="76" t="str">
        <f aca="false">IF(B236="","",IFERROR(INDEX(EN_Des,MATCH(B236,EN_Code,0)),"Code inconnu"))</f>
        <v/>
      </c>
      <c r="D236" s="25"/>
      <c r="E236" s="25"/>
      <c r="F236" s="82"/>
      <c r="G236" s="82"/>
      <c r="H236" s="83" t="str">
        <f aca="false">IF(OR(F236="",G236=""),"",G236-F236)</f>
        <v/>
      </c>
      <c r="I236" s="82"/>
      <c r="J236" s="82"/>
      <c r="K236" s="28"/>
      <c r="L236" s="90" t="str">
        <f aca="false">IF(OR(K236="",N(H236)=0),"",K236/H236)</f>
        <v/>
      </c>
      <c r="M236" s="68"/>
      <c r="N236" s="28"/>
      <c r="O236" s="25"/>
      <c r="P236" s="83" t="str">
        <f aca="false">IF(OR(N236="",N(H236)=0),"",N236/H236)</f>
        <v/>
      </c>
      <c r="Q236" s="25"/>
    </row>
    <row r="237" customFormat="false" ht="15" hidden="false" customHeight="false" outlineLevel="0" collapsed="false">
      <c r="A237" s="69"/>
      <c r="B237" s="68"/>
      <c r="C237" s="76" t="str">
        <f aca="false">IF(B237="","",IFERROR(INDEX(EN_Des,MATCH(B237,EN_Code,0)),"Code inconnu"))</f>
        <v/>
      </c>
      <c r="D237" s="25"/>
      <c r="E237" s="25"/>
      <c r="F237" s="82"/>
      <c r="G237" s="82"/>
      <c r="H237" s="83" t="str">
        <f aca="false">IF(OR(F237="",G237=""),"",G237-F237)</f>
        <v/>
      </c>
      <c r="I237" s="82"/>
      <c r="J237" s="82"/>
      <c r="K237" s="28"/>
      <c r="L237" s="90" t="str">
        <f aca="false">IF(OR(K237="",N(H237)=0),"",K237/H237)</f>
        <v/>
      </c>
      <c r="M237" s="68"/>
      <c r="N237" s="28"/>
      <c r="O237" s="25"/>
      <c r="P237" s="83" t="str">
        <f aca="false">IF(OR(N237="",N(H237)=0),"",N237/H237)</f>
        <v/>
      </c>
      <c r="Q237" s="25"/>
    </row>
    <row r="238" customFormat="false" ht="15" hidden="false" customHeight="false" outlineLevel="0" collapsed="false">
      <c r="A238" s="69"/>
      <c r="B238" s="68"/>
      <c r="C238" s="76" t="str">
        <f aca="false">IF(B238="","",IFERROR(INDEX(EN_Des,MATCH(B238,EN_Code,0)),"Code inconnu"))</f>
        <v/>
      </c>
      <c r="D238" s="25"/>
      <c r="E238" s="25"/>
      <c r="F238" s="82"/>
      <c r="G238" s="82"/>
      <c r="H238" s="83" t="str">
        <f aca="false">IF(OR(F238="",G238=""),"",G238-F238)</f>
        <v/>
      </c>
      <c r="I238" s="82"/>
      <c r="J238" s="82"/>
      <c r="K238" s="28"/>
      <c r="L238" s="90" t="str">
        <f aca="false">IF(OR(K238="",N(H238)=0),"",K238/H238)</f>
        <v/>
      </c>
      <c r="M238" s="68"/>
      <c r="N238" s="28"/>
      <c r="O238" s="25"/>
      <c r="P238" s="83" t="str">
        <f aca="false">IF(OR(N238="",N(H238)=0),"",N238/H238)</f>
        <v/>
      </c>
      <c r="Q238" s="25"/>
    </row>
    <row r="239" customFormat="false" ht="15" hidden="false" customHeight="false" outlineLevel="0" collapsed="false">
      <c r="A239" s="69"/>
      <c r="B239" s="68"/>
      <c r="C239" s="76" t="str">
        <f aca="false">IF(B239="","",IFERROR(INDEX(EN_Des,MATCH(B239,EN_Code,0)),"Code inconnu"))</f>
        <v/>
      </c>
      <c r="D239" s="25"/>
      <c r="E239" s="25"/>
      <c r="F239" s="82"/>
      <c r="G239" s="82"/>
      <c r="H239" s="83" t="str">
        <f aca="false">IF(OR(F239="",G239=""),"",G239-F239)</f>
        <v/>
      </c>
      <c r="I239" s="82"/>
      <c r="J239" s="82"/>
      <c r="K239" s="28"/>
      <c r="L239" s="90" t="str">
        <f aca="false">IF(OR(K239="",N(H239)=0),"",K239/H239)</f>
        <v/>
      </c>
      <c r="M239" s="68"/>
      <c r="N239" s="28"/>
      <c r="O239" s="25"/>
      <c r="P239" s="83" t="str">
        <f aca="false">IF(OR(N239="",N(H239)=0),"",N239/H239)</f>
        <v/>
      </c>
      <c r="Q239" s="25"/>
    </row>
    <row r="240" customFormat="false" ht="15" hidden="false" customHeight="false" outlineLevel="0" collapsed="false">
      <c r="A240" s="69"/>
      <c r="B240" s="68"/>
      <c r="C240" s="76" t="str">
        <f aca="false">IF(B240="","",IFERROR(INDEX(EN_Des,MATCH(B240,EN_Code,0)),"Code inconnu"))</f>
        <v/>
      </c>
      <c r="D240" s="25"/>
      <c r="E240" s="25"/>
      <c r="F240" s="82"/>
      <c r="G240" s="82"/>
      <c r="H240" s="83" t="str">
        <f aca="false">IF(OR(F240="",G240=""),"",G240-F240)</f>
        <v/>
      </c>
      <c r="I240" s="82"/>
      <c r="J240" s="82"/>
      <c r="K240" s="28"/>
      <c r="L240" s="90" t="str">
        <f aca="false">IF(OR(K240="",N(H240)=0),"",K240/H240)</f>
        <v/>
      </c>
      <c r="M240" s="68"/>
      <c r="N240" s="28"/>
      <c r="O240" s="25"/>
      <c r="P240" s="83" t="str">
        <f aca="false">IF(OR(N240="",N(H240)=0),"",N240/H240)</f>
        <v/>
      </c>
      <c r="Q240" s="25"/>
    </row>
    <row r="241" customFormat="false" ht="15" hidden="false" customHeight="false" outlineLevel="0" collapsed="false">
      <c r="A241" s="69"/>
      <c r="B241" s="68"/>
      <c r="C241" s="76" t="str">
        <f aca="false">IF(B241="","",IFERROR(INDEX(EN_Des,MATCH(B241,EN_Code,0)),"Code inconnu"))</f>
        <v/>
      </c>
      <c r="D241" s="25"/>
      <c r="E241" s="25"/>
      <c r="F241" s="82"/>
      <c r="G241" s="82"/>
      <c r="H241" s="83" t="str">
        <f aca="false">IF(OR(F241="",G241=""),"",G241-F241)</f>
        <v/>
      </c>
      <c r="I241" s="82"/>
      <c r="J241" s="82"/>
      <c r="K241" s="28"/>
      <c r="L241" s="90" t="str">
        <f aca="false">IF(OR(K241="",N(H241)=0),"",K241/H241)</f>
        <v/>
      </c>
      <c r="M241" s="68"/>
      <c r="N241" s="28"/>
      <c r="O241" s="25"/>
      <c r="P241" s="83" t="str">
        <f aca="false">IF(OR(N241="",N(H241)=0),"",N241/H241)</f>
        <v/>
      </c>
      <c r="Q241" s="25"/>
    </row>
    <row r="242" customFormat="false" ht="15" hidden="false" customHeight="false" outlineLevel="0" collapsed="false">
      <c r="A242" s="69"/>
      <c r="B242" s="68"/>
      <c r="C242" s="76" t="str">
        <f aca="false">IF(B242="","",IFERROR(INDEX(EN_Des,MATCH(B242,EN_Code,0)),"Code inconnu"))</f>
        <v/>
      </c>
      <c r="D242" s="25"/>
      <c r="E242" s="25"/>
      <c r="F242" s="82"/>
      <c r="G242" s="82"/>
      <c r="H242" s="83" t="str">
        <f aca="false">IF(OR(F242="",G242=""),"",G242-F242)</f>
        <v/>
      </c>
      <c r="I242" s="82"/>
      <c r="J242" s="82"/>
      <c r="K242" s="28"/>
      <c r="L242" s="90" t="str">
        <f aca="false">IF(OR(K242="",N(H242)=0),"",K242/H242)</f>
        <v/>
      </c>
      <c r="M242" s="68"/>
      <c r="N242" s="28"/>
      <c r="O242" s="25"/>
      <c r="P242" s="83" t="str">
        <f aca="false">IF(OR(N242="",N(H242)=0),"",N242/H242)</f>
        <v/>
      </c>
      <c r="Q242" s="25"/>
    </row>
    <row r="243" customFormat="false" ht="15" hidden="false" customHeight="false" outlineLevel="0" collapsed="false">
      <c r="A243" s="69"/>
      <c r="B243" s="68"/>
      <c r="C243" s="76" t="str">
        <f aca="false">IF(B243="","",IFERROR(INDEX(EN_Des,MATCH(B243,EN_Code,0)),"Code inconnu"))</f>
        <v/>
      </c>
      <c r="D243" s="25"/>
      <c r="E243" s="25"/>
      <c r="F243" s="82"/>
      <c r="G243" s="82"/>
      <c r="H243" s="83" t="str">
        <f aca="false">IF(OR(F243="",G243=""),"",G243-F243)</f>
        <v/>
      </c>
      <c r="I243" s="82"/>
      <c r="J243" s="82"/>
      <c r="K243" s="28"/>
      <c r="L243" s="90" t="str">
        <f aca="false">IF(OR(K243="",N(H243)=0),"",K243/H243)</f>
        <v/>
      </c>
      <c r="M243" s="68"/>
      <c r="N243" s="28"/>
      <c r="O243" s="25"/>
      <c r="P243" s="83" t="str">
        <f aca="false">IF(OR(N243="",N(H243)=0),"",N243/H243)</f>
        <v/>
      </c>
      <c r="Q243" s="25"/>
    </row>
    <row r="244" customFormat="false" ht="15" hidden="false" customHeight="false" outlineLevel="0" collapsed="false">
      <c r="A244" s="69"/>
      <c r="B244" s="68"/>
      <c r="C244" s="76" t="str">
        <f aca="false">IF(B244="","",IFERROR(INDEX(EN_Des,MATCH(B244,EN_Code,0)),"Code inconnu"))</f>
        <v/>
      </c>
      <c r="D244" s="25"/>
      <c r="E244" s="25"/>
      <c r="F244" s="82"/>
      <c r="G244" s="82"/>
      <c r="H244" s="83" t="str">
        <f aca="false">IF(OR(F244="",G244=""),"",G244-F244)</f>
        <v/>
      </c>
      <c r="I244" s="82"/>
      <c r="J244" s="82"/>
      <c r="K244" s="28"/>
      <c r="L244" s="90" t="str">
        <f aca="false">IF(OR(K244="",N(H244)=0),"",K244/H244)</f>
        <v/>
      </c>
      <c r="M244" s="68"/>
      <c r="N244" s="28"/>
      <c r="O244" s="25"/>
      <c r="P244" s="83" t="str">
        <f aca="false">IF(OR(N244="",N(H244)=0),"",N244/H244)</f>
        <v/>
      </c>
      <c r="Q244" s="25"/>
    </row>
    <row r="245" customFormat="false" ht="15" hidden="false" customHeight="false" outlineLevel="0" collapsed="false">
      <c r="A245" s="69"/>
      <c r="B245" s="68"/>
      <c r="C245" s="76" t="str">
        <f aca="false">IF(B245="","",IFERROR(INDEX(EN_Des,MATCH(B245,EN_Code,0)),"Code inconnu"))</f>
        <v/>
      </c>
      <c r="D245" s="25"/>
      <c r="E245" s="25"/>
      <c r="F245" s="82"/>
      <c r="G245" s="82"/>
      <c r="H245" s="83" t="str">
        <f aca="false">IF(OR(F245="",G245=""),"",G245-F245)</f>
        <v/>
      </c>
      <c r="I245" s="82"/>
      <c r="J245" s="82"/>
      <c r="K245" s="28"/>
      <c r="L245" s="90" t="str">
        <f aca="false">IF(OR(K245="",N(H245)=0),"",K245/H245)</f>
        <v/>
      </c>
      <c r="M245" s="68"/>
      <c r="N245" s="28"/>
      <c r="O245" s="25"/>
      <c r="P245" s="83" t="str">
        <f aca="false">IF(OR(N245="",N(H245)=0),"",N245/H245)</f>
        <v/>
      </c>
      <c r="Q245" s="25"/>
    </row>
    <row r="246" customFormat="false" ht="15" hidden="false" customHeight="false" outlineLevel="0" collapsed="false">
      <c r="A246" s="69"/>
      <c r="B246" s="68"/>
      <c r="C246" s="76" t="str">
        <f aca="false">IF(B246="","",IFERROR(INDEX(EN_Des,MATCH(B246,EN_Code,0)),"Code inconnu"))</f>
        <v/>
      </c>
      <c r="D246" s="25"/>
      <c r="E246" s="25"/>
      <c r="F246" s="82"/>
      <c r="G246" s="82"/>
      <c r="H246" s="83" t="str">
        <f aca="false">IF(OR(F246="",G246=""),"",G246-F246)</f>
        <v/>
      </c>
      <c r="I246" s="82"/>
      <c r="J246" s="82"/>
      <c r="K246" s="28"/>
      <c r="L246" s="90" t="str">
        <f aca="false">IF(OR(K246="",N(H246)=0),"",K246/H246)</f>
        <v/>
      </c>
      <c r="M246" s="68"/>
      <c r="N246" s="28"/>
      <c r="O246" s="25"/>
      <c r="P246" s="83" t="str">
        <f aca="false">IF(OR(N246="",N(H246)=0),"",N246/H246)</f>
        <v/>
      </c>
      <c r="Q246" s="25"/>
    </row>
    <row r="247" customFormat="false" ht="15" hidden="false" customHeight="false" outlineLevel="0" collapsed="false">
      <c r="A247" s="69"/>
      <c r="B247" s="68"/>
      <c r="C247" s="76" t="str">
        <f aca="false">IF(B247="","",IFERROR(INDEX(EN_Des,MATCH(B247,EN_Code,0)),"Code inconnu"))</f>
        <v/>
      </c>
      <c r="D247" s="25"/>
      <c r="E247" s="25"/>
      <c r="F247" s="82"/>
      <c r="G247" s="82"/>
      <c r="H247" s="83" t="str">
        <f aca="false">IF(OR(F247="",G247=""),"",G247-F247)</f>
        <v/>
      </c>
      <c r="I247" s="82"/>
      <c r="J247" s="82"/>
      <c r="K247" s="28"/>
      <c r="L247" s="90" t="str">
        <f aca="false">IF(OR(K247="",N(H247)=0),"",K247/H247)</f>
        <v/>
      </c>
      <c r="M247" s="68"/>
      <c r="N247" s="28"/>
      <c r="O247" s="25"/>
      <c r="P247" s="83" t="str">
        <f aca="false">IF(OR(N247="",N(H247)=0),"",N247/H247)</f>
        <v/>
      </c>
      <c r="Q247" s="25"/>
    </row>
    <row r="248" customFormat="false" ht="15" hidden="false" customHeight="false" outlineLevel="0" collapsed="false">
      <c r="A248" s="69"/>
      <c r="B248" s="68"/>
      <c r="C248" s="76" t="str">
        <f aca="false">IF(B248="","",IFERROR(INDEX(EN_Des,MATCH(B248,EN_Code,0)),"Code inconnu"))</f>
        <v/>
      </c>
      <c r="D248" s="25"/>
      <c r="E248" s="25"/>
      <c r="F248" s="82"/>
      <c r="G248" s="82"/>
      <c r="H248" s="83" t="str">
        <f aca="false">IF(OR(F248="",G248=""),"",G248-F248)</f>
        <v/>
      </c>
      <c r="I248" s="82"/>
      <c r="J248" s="82"/>
      <c r="K248" s="28"/>
      <c r="L248" s="90" t="str">
        <f aca="false">IF(OR(K248="",N(H248)=0),"",K248/H248)</f>
        <v/>
      </c>
      <c r="M248" s="68"/>
      <c r="N248" s="28"/>
      <c r="O248" s="25"/>
      <c r="P248" s="83" t="str">
        <f aca="false">IF(OR(N248="",N(H248)=0),"",N248/H248)</f>
        <v/>
      </c>
      <c r="Q248" s="25"/>
    </row>
    <row r="249" customFormat="false" ht="15" hidden="false" customHeight="false" outlineLevel="0" collapsed="false">
      <c r="A249" s="69"/>
      <c r="B249" s="68"/>
      <c r="C249" s="76" t="str">
        <f aca="false">IF(B249="","",IFERROR(INDEX(EN_Des,MATCH(B249,EN_Code,0)),"Code inconnu"))</f>
        <v/>
      </c>
      <c r="D249" s="25"/>
      <c r="E249" s="25"/>
      <c r="F249" s="82"/>
      <c r="G249" s="82"/>
      <c r="H249" s="83" t="str">
        <f aca="false">IF(OR(F249="",G249=""),"",G249-F249)</f>
        <v/>
      </c>
      <c r="I249" s="82"/>
      <c r="J249" s="82"/>
      <c r="K249" s="28"/>
      <c r="L249" s="90" t="str">
        <f aca="false">IF(OR(K249="",N(H249)=0),"",K249/H249)</f>
        <v/>
      </c>
      <c r="M249" s="68"/>
      <c r="N249" s="28"/>
      <c r="O249" s="25"/>
      <c r="P249" s="83" t="str">
        <f aca="false">IF(OR(N249="",N(H249)=0),"",N249/H249)</f>
        <v/>
      </c>
      <c r="Q249" s="25"/>
    </row>
    <row r="250" customFormat="false" ht="15" hidden="false" customHeight="false" outlineLevel="0" collapsed="false">
      <c r="A250" s="69"/>
      <c r="B250" s="68"/>
      <c r="C250" s="76" t="str">
        <f aca="false">IF(B250="","",IFERROR(INDEX(EN_Des,MATCH(B250,EN_Code,0)),"Code inconnu"))</f>
        <v/>
      </c>
      <c r="D250" s="25"/>
      <c r="E250" s="25"/>
      <c r="F250" s="82"/>
      <c r="G250" s="82"/>
      <c r="H250" s="83" t="str">
        <f aca="false">IF(OR(F250="",G250=""),"",G250-F250)</f>
        <v/>
      </c>
      <c r="I250" s="82"/>
      <c r="J250" s="82"/>
      <c r="K250" s="28"/>
      <c r="L250" s="90" t="str">
        <f aca="false">IF(OR(K250="",N(H250)=0),"",K250/H250)</f>
        <v/>
      </c>
      <c r="M250" s="68"/>
      <c r="N250" s="28"/>
      <c r="O250" s="25"/>
      <c r="P250" s="83" t="str">
        <f aca="false">IF(OR(N250="",N(H250)=0),"",N250/H250)</f>
        <v/>
      </c>
      <c r="Q250" s="25"/>
    </row>
    <row r="251" customFormat="false" ht="15" hidden="false" customHeight="false" outlineLevel="0" collapsed="false">
      <c r="A251" s="69"/>
      <c r="B251" s="68"/>
      <c r="C251" s="76" t="str">
        <f aca="false">IF(B251="","",IFERROR(INDEX(EN_Des,MATCH(B251,EN_Code,0)),"Code inconnu"))</f>
        <v/>
      </c>
      <c r="D251" s="25"/>
      <c r="E251" s="25"/>
      <c r="F251" s="82"/>
      <c r="G251" s="82"/>
      <c r="H251" s="83" t="str">
        <f aca="false">IF(OR(F251="",G251=""),"",G251-F251)</f>
        <v/>
      </c>
      <c r="I251" s="82"/>
      <c r="J251" s="82"/>
      <c r="K251" s="28"/>
      <c r="L251" s="90" t="str">
        <f aca="false">IF(OR(K251="",N(H251)=0),"",K251/H251)</f>
        <v/>
      </c>
      <c r="M251" s="68"/>
      <c r="N251" s="28"/>
      <c r="O251" s="25"/>
      <c r="P251" s="83" t="str">
        <f aca="false">IF(OR(N251="",N(H251)=0),"",N251/H251)</f>
        <v/>
      </c>
      <c r="Q251" s="25"/>
    </row>
    <row r="252" customFormat="false" ht="15" hidden="false" customHeight="false" outlineLevel="0" collapsed="false">
      <c r="A252" s="69"/>
      <c r="B252" s="68"/>
      <c r="C252" s="76" t="str">
        <f aca="false">IF(B252="","",IFERROR(INDEX(EN_Des,MATCH(B252,EN_Code,0)),"Code inconnu"))</f>
        <v/>
      </c>
      <c r="D252" s="25"/>
      <c r="E252" s="25"/>
      <c r="F252" s="82"/>
      <c r="G252" s="82"/>
      <c r="H252" s="83" t="str">
        <f aca="false">IF(OR(F252="",G252=""),"",G252-F252)</f>
        <v/>
      </c>
      <c r="I252" s="82"/>
      <c r="J252" s="82"/>
      <c r="K252" s="28"/>
      <c r="L252" s="90" t="str">
        <f aca="false">IF(OR(K252="",N(H252)=0),"",K252/H252)</f>
        <v/>
      </c>
      <c r="M252" s="68"/>
      <c r="N252" s="28"/>
      <c r="O252" s="25"/>
      <c r="P252" s="83" t="str">
        <f aca="false">IF(OR(N252="",N(H252)=0),"",N252/H252)</f>
        <v/>
      </c>
      <c r="Q252" s="25"/>
    </row>
    <row r="253" customFormat="false" ht="15" hidden="false" customHeight="false" outlineLevel="0" collapsed="false">
      <c r="A253" s="69"/>
      <c r="B253" s="68"/>
      <c r="C253" s="76" t="str">
        <f aca="false">IF(B253="","",IFERROR(INDEX(EN_Des,MATCH(B253,EN_Code,0)),"Code inconnu"))</f>
        <v/>
      </c>
      <c r="D253" s="25"/>
      <c r="E253" s="25"/>
      <c r="F253" s="82"/>
      <c r="G253" s="82"/>
      <c r="H253" s="83" t="str">
        <f aca="false">IF(OR(F253="",G253=""),"",G253-F253)</f>
        <v/>
      </c>
      <c r="I253" s="82"/>
      <c r="J253" s="82"/>
      <c r="K253" s="28"/>
      <c r="L253" s="90" t="str">
        <f aca="false">IF(OR(K253="",N(H253)=0),"",K253/H253)</f>
        <v/>
      </c>
      <c r="M253" s="68"/>
      <c r="N253" s="28"/>
      <c r="O253" s="25"/>
      <c r="P253" s="83" t="str">
        <f aca="false">IF(OR(N253="",N(H253)=0),"",N253/H253)</f>
        <v/>
      </c>
      <c r="Q253" s="25"/>
    </row>
    <row r="254" customFormat="false" ht="15" hidden="false" customHeight="false" outlineLevel="0" collapsed="false">
      <c r="A254" s="69"/>
      <c r="B254" s="68"/>
      <c r="C254" s="76" t="str">
        <f aca="false">IF(B254="","",IFERROR(INDEX(EN_Des,MATCH(B254,EN_Code,0)),"Code inconnu"))</f>
        <v/>
      </c>
      <c r="D254" s="25"/>
      <c r="E254" s="25"/>
      <c r="F254" s="82"/>
      <c r="G254" s="82"/>
      <c r="H254" s="83" t="str">
        <f aca="false">IF(OR(F254="",G254=""),"",G254-F254)</f>
        <v/>
      </c>
      <c r="I254" s="82"/>
      <c r="J254" s="82"/>
      <c r="K254" s="28"/>
      <c r="L254" s="90" t="str">
        <f aca="false">IF(OR(K254="",N(H254)=0),"",K254/H254)</f>
        <v/>
      </c>
      <c r="M254" s="68"/>
      <c r="N254" s="28"/>
      <c r="O254" s="25"/>
      <c r="P254" s="83" t="str">
        <f aca="false">IF(OR(N254="",N(H254)=0),"",N254/H254)</f>
        <v/>
      </c>
      <c r="Q254" s="25"/>
    </row>
    <row r="255" customFormat="false" ht="15" hidden="false" customHeight="false" outlineLevel="0" collapsed="false">
      <c r="A255" s="69"/>
      <c r="B255" s="68"/>
      <c r="C255" s="76" t="str">
        <f aca="false">IF(B255="","",IFERROR(INDEX(EN_Des,MATCH(B255,EN_Code,0)),"Code inconnu"))</f>
        <v/>
      </c>
      <c r="D255" s="25"/>
      <c r="E255" s="25"/>
      <c r="F255" s="82"/>
      <c r="G255" s="82"/>
      <c r="H255" s="83" t="str">
        <f aca="false">IF(OR(F255="",G255=""),"",G255-F255)</f>
        <v/>
      </c>
      <c r="I255" s="82"/>
      <c r="J255" s="82"/>
      <c r="K255" s="28"/>
      <c r="L255" s="90" t="str">
        <f aca="false">IF(OR(K255="",N(H255)=0),"",K255/H255)</f>
        <v/>
      </c>
      <c r="M255" s="68"/>
      <c r="N255" s="28"/>
      <c r="O255" s="25"/>
      <c r="P255" s="83" t="str">
        <f aca="false">IF(OR(N255="",N(H255)=0),"",N255/H255)</f>
        <v/>
      </c>
      <c r="Q255" s="25"/>
    </row>
    <row r="256" customFormat="false" ht="15" hidden="false" customHeight="false" outlineLevel="0" collapsed="false">
      <c r="A256" s="69"/>
      <c r="B256" s="68"/>
      <c r="C256" s="76" t="str">
        <f aca="false">IF(B256="","",IFERROR(INDEX(EN_Des,MATCH(B256,EN_Code,0)),"Code inconnu"))</f>
        <v/>
      </c>
      <c r="D256" s="25"/>
      <c r="E256" s="25"/>
      <c r="F256" s="82"/>
      <c r="G256" s="82"/>
      <c r="H256" s="83" t="str">
        <f aca="false">IF(OR(F256="",G256=""),"",G256-F256)</f>
        <v/>
      </c>
      <c r="I256" s="82"/>
      <c r="J256" s="82"/>
      <c r="K256" s="28"/>
      <c r="L256" s="90" t="str">
        <f aca="false">IF(OR(K256="",N(H256)=0),"",K256/H256)</f>
        <v/>
      </c>
      <c r="M256" s="68"/>
      <c r="N256" s="28"/>
      <c r="O256" s="25"/>
      <c r="P256" s="83" t="str">
        <f aca="false">IF(OR(N256="",N(H256)=0),"",N256/H256)</f>
        <v/>
      </c>
      <c r="Q256" s="25"/>
    </row>
    <row r="257" customFormat="false" ht="15" hidden="false" customHeight="false" outlineLevel="0" collapsed="false">
      <c r="A257" s="69"/>
      <c r="B257" s="68"/>
      <c r="C257" s="76" t="str">
        <f aca="false">IF(B257="","",IFERROR(INDEX(EN_Des,MATCH(B257,EN_Code,0)),"Code inconnu"))</f>
        <v/>
      </c>
      <c r="D257" s="25"/>
      <c r="E257" s="25"/>
      <c r="F257" s="82"/>
      <c r="G257" s="82"/>
      <c r="H257" s="83" t="str">
        <f aca="false">IF(OR(F257="",G257=""),"",G257-F257)</f>
        <v/>
      </c>
      <c r="I257" s="82"/>
      <c r="J257" s="82"/>
      <c r="K257" s="28"/>
      <c r="L257" s="90" t="str">
        <f aca="false">IF(OR(K257="",N(H257)=0),"",K257/H257)</f>
        <v/>
      </c>
      <c r="M257" s="68"/>
      <c r="N257" s="28"/>
      <c r="O257" s="25"/>
      <c r="P257" s="83" t="str">
        <f aca="false">IF(OR(N257="",N(H257)=0),"",N257/H257)</f>
        <v/>
      </c>
      <c r="Q257" s="25"/>
    </row>
    <row r="258" customFormat="false" ht="15" hidden="false" customHeight="false" outlineLevel="0" collapsed="false">
      <c r="A258" s="69"/>
      <c r="B258" s="68"/>
      <c r="C258" s="76" t="str">
        <f aca="false">IF(B258="","",IFERROR(INDEX(EN_Des,MATCH(B258,EN_Code,0)),"Code inconnu"))</f>
        <v/>
      </c>
      <c r="D258" s="25"/>
      <c r="E258" s="25"/>
      <c r="F258" s="82"/>
      <c r="G258" s="82"/>
      <c r="H258" s="83" t="str">
        <f aca="false">IF(OR(F258="",G258=""),"",G258-F258)</f>
        <v/>
      </c>
      <c r="I258" s="82"/>
      <c r="J258" s="82"/>
      <c r="K258" s="28"/>
      <c r="L258" s="90" t="str">
        <f aca="false">IF(OR(K258="",N(H258)=0),"",K258/H258)</f>
        <v/>
      </c>
      <c r="M258" s="68"/>
      <c r="N258" s="28"/>
      <c r="O258" s="25"/>
      <c r="P258" s="83" t="str">
        <f aca="false">IF(OR(N258="",N(H258)=0),"",N258/H258)</f>
        <v/>
      </c>
      <c r="Q258" s="25"/>
    </row>
    <row r="259" customFormat="false" ht="15" hidden="false" customHeight="false" outlineLevel="0" collapsed="false">
      <c r="A259" s="69"/>
      <c r="B259" s="68"/>
      <c r="C259" s="76" t="str">
        <f aca="false">IF(B259="","",IFERROR(INDEX(EN_Des,MATCH(B259,EN_Code,0)),"Code inconnu"))</f>
        <v/>
      </c>
      <c r="D259" s="25"/>
      <c r="E259" s="25"/>
      <c r="F259" s="82"/>
      <c r="G259" s="82"/>
      <c r="H259" s="83" t="str">
        <f aca="false">IF(OR(F259="",G259=""),"",G259-F259)</f>
        <v/>
      </c>
      <c r="I259" s="82"/>
      <c r="J259" s="82"/>
      <c r="K259" s="28"/>
      <c r="L259" s="90" t="str">
        <f aca="false">IF(OR(K259="",N(H259)=0),"",K259/H259)</f>
        <v/>
      </c>
      <c r="M259" s="68"/>
      <c r="N259" s="28"/>
      <c r="O259" s="25"/>
      <c r="P259" s="83" t="str">
        <f aca="false">IF(OR(N259="",N(H259)=0),"",N259/H259)</f>
        <v/>
      </c>
      <c r="Q259" s="25"/>
    </row>
    <row r="260" customFormat="false" ht="15" hidden="false" customHeight="false" outlineLevel="0" collapsed="false">
      <c r="A260" s="69"/>
      <c r="B260" s="68"/>
      <c r="C260" s="76" t="str">
        <f aca="false">IF(B260="","",IFERROR(INDEX(EN_Des,MATCH(B260,EN_Code,0)),"Code inconnu"))</f>
        <v/>
      </c>
      <c r="D260" s="25"/>
      <c r="E260" s="25"/>
      <c r="F260" s="82"/>
      <c r="G260" s="82"/>
      <c r="H260" s="83" t="str">
        <f aca="false">IF(OR(F260="",G260=""),"",G260-F260)</f>
        <v/>
      </c>
      <c r="I260" s="82"/>
      <c r="J260" s="82"/>
      <c r="K260" s="28"/>
      <c r="L260" s="90" t="str">
        <f aca="false">IF(OR(K260="",N(H260)=0),"",K260/H260)</f>
        <v/>
      </c>
      <c r="M260" s="68"/>
      <c r="N260" s="28"/>
      <c r="O260" s="25"/>
      <c r="P260" s="83" t="str">
        <f aca="false">IF(OR(N260="",N(H260)=0),"",N260/H260)</f>
        <v/>
      </c>
      <c r="Q260" s="25"/>
    </row>
    <row r="261" customFormat="false" ht="15" hidden="false" customHeight="false" outlineLevel="0" collapsed="false">
      <c r="A261" s="69"/>
      <c r="B261" s="68"/>
      <c r="C261" s="76" t="str">
        <f aca="false">IF(B261="","",IFERROR(INDEX(EN_Des,MATCH(B261,EN_Code,0)),"Code inconnu"))</f>
        <v/>
      </c>
      <c r="D261" s="25"/>
      <c r="E261" s="25"/>
      <c r="F261" s="82"/>
      <c r="G261" s="82"/>
      <c r="H261" s="83" t="str">
        <f aca="false">IF(OR(F261="",G261=""),"",G261-F261)</f>
        <v/>
      </c>
      <c r="I261" s="82"/>
      <c r="J261" s="82"/>
      <c r="K261" s="28"/>
      <c r="L261" s="90" t="str">
        <f aca="false">IF(OR(K261="",N(H261)=0),"",K261/H261)</f>
        <v/>
      </c>
      <c r="M261" s="68"/>
      <c r="N261" s="28"/>
      <c r="O261" s="25"/>
      <c r="P261" s="83" t="str">
        <f aca="false">IF(OR(N261="",N(H261)=0),"",N261/H261)</f>
        <v/>
      </c>
      <c r="Q261" s="25"/>
    </row>
    <row r="262" customFormat="false" ht="15" hidden="false" customHeight="false" outlineLevel="0" collapsed="false">
      <c r="A262" s="69"/>
      <c r="B262" s="68"/>
      <c r="C262" s="76" t="str">
        <f aca="false">IF(B262="","",IFERROR(INDEX(EN_Des,MATCH(B262,EN_Code,0)),"Code inconnu"))</f>
        <v/>
      </c>
      <c r="D262" s="25"/>
      <c r="E262" s="25"/>
      <c r="F262" s="82"/>
      <c r="G262" s="82"/>
      <c r="H262" s="83" t="str">
        <f aca="false">IF(OR(F262="",G262=""),"",G262-F262)</f>
        <v/>
      </c>
      <c r="I262" s="82"/>
      <c r="J262" s="82"/>
      <c r="K262" s="28"/>
      <c r="L262" s="90" t="str">
        <f aca="false">IF(OR(K262="",N(H262)=0),"",K262/H262)</f>
        <v/>
      </c>
      <c r="M262" s="68"/>
      <c r="N262" s="28"/>
      <c r="O262" s="25"/>
      <c r="P262" s="83" t="str">
        <f aca="false">IF(OR(N262="",N(H262)=0),"",N262/H262)</f>
        <v/>
      </c>
      <c r="Q262" s="25"/>
    </row>
    <row r="263" customFormat="false" ht="15" hidden="false" customHeight="false" outlineLevel="0" collapsed="false">
      <c r="A263" s="69"/>
      <c r="B263" s="68"/>
      <c r="C263" s="76" t="str">
        <f aca="false">IF(B263="","",IFERROR(INDEX(EN_Des,MATCH(B263,EN_Code,0)),"Code inconnu"))</f>
        <v/>
      </c>
      <c r="D263" s="25"/>
      <c r="E263" s="25"/>
      <c r="F263" s="82"/>
      <c r="G263" s="82"/>
      <c r="H263" s="83" t="str">
        <f aca="false">IF(OR(F263="",G263=""),"",G263-F263)</f>
        <v/>
      </c>
      <c r="I263" s="82"/>
      <c r="J263" s="82"/>
      <c r="K263" s="28"/>
      <c r="L263" s="90" t="str">
        <f aca="false">IF(OR(K263="",N(H263)=0),"",K263/H263)</f>
        <v/>
      </c>
      <c r="M263" s="68"/>
      <c r="N263" s="28"/>
      <c r="O263" s="25"/>
      <c r="P263" s="83" t="str">
        <f aca="false">IF(OR(N263="",N(H263)=0),"",N263/H263)</f>
        <v/>
      </c>
      <c r="Q263" s="25"/>
    </row>
    <row r="264" customFormat="false" ht="15" hidden="false" customHeight="false" outlineLevel="0" collapsed="false">
      <c r="A264" s="69"/>
      <c r="B264" s="68"/>
      <c r="C264" s="76" t="str">
        <f aca="false">IF(B264="","",IFERROR(INDEX(EN_Des,MATCH(B264,EN_Code,0)),"Code inconnu"))</f>
        <v/>
      </c>
      <c r="D264" s="25"/>
      <c r="E264" s="25"/>
      <c r="F264" s="82"/>
      <c r="G264" s="82"/>
      <c r="H264" s="83" t="str">
        <f aca="false">IF(OR(F264="",G264=""),"",G264-F264)</f>
        <v/>
      </c>
      <c r="I264" s="82"/>
      <c r="J264" s="82"/>
      <c r="K264" s="28"/>
      <c r="L264" s="90" t="str">
        <f aca="false">IF(OR(K264="",N(H264)=0),"",K264/H264)</f>
        <v/>
      </c>
      <c r="M264" s="68"/>
      <c r="N264" s="28"/>
      <c r="O264" s="25"/>
      <c r="P264" s="83" t="str">
        <f aca="false">IF(OR(N264="",N(H264)=0),"",N264/H264)</f>
        <v/>
      </c>
      <c r="Q264" s="25"/>
    </row>
    <row r="265" customFormat="false" ht="15" hidden="false" customHeight="false" outlineLevel="0" collapsed="false">
      <c r="A265" s="69"/>
      <c r="B265" s="68"/>
      <c r="C265" s="76" t="str">
        <f aca="false">IF(B265="","",IFERROR(INDEX(EN_Des,MATCH(B265,EN_Code,0)),"Code inconnu"))</f>
        <v/>
      </c>
      <c r="D265" s="25"/>
      <c r="E265" s="25"/>
      <c r="F265" s="82"/>
      <c r="G265" s="82"/>
      <c r="H265" s="83" t="str">
        <f aca="false">IF(OR(F265="",G265=""),"",G265-F265)</f>
        <v/>
      </c>
      <c r="I265" s="82"/>
      <c r="J265" s="82"/>
      <c r="K265" s="28"/>
      <c r="L265" s="90" t="str">
        <f aca="false">IF(OR(K265="",N(H265)=0),"",K265/H265)</f>
        <v/>
      </c>
      <c r="M265" s="68"/>
      <c r="N265" s="28"/>
      <c r="O265" s="25"/>
      <c r="P265" s="83" t="str">
        <f aca="false">IF(OR(N265="",N(H265)=0),"",N265/H265)</f>
        <v/>
      </c>
      <c r="Q265" s="25"/>
    </row>
    <row r="266" customFormat="false" ht="15" hidden="false" customHeight="false" outlineLevel="0" collapsed="false">
      <c r="A266" s="69"/>
      <c r="B266" s="68"/>
      <c r="C266" s="76" t="str">
        <f aca="false">IF(B266="","",IFERROR(INDEX(EN_Des,MATCH(B266,EN_Code,0)),"Code inconnu"))</f>
        <v/>
      </c>
      <c r="D266" s="25"/>
      <c r="E266" s="25"/>
      <c r="F266" s="82"/>
      <c r="G266" s="82"/>
      <c r="H266" s="83" t="str">
        <f aca="false">IF(OR(F266="",G266=""),"",G266-F266)</f>
        <v/>
      </c>
      <c r="I266" s="82"/>
      <c r="J266" s="82"/>
      <c r="K266" s="28"/>
      <c r="L266" s="90" t="str">
        <f aca="false">IF(OR(K266="",N(H266)=0),"",K266/H266)</f>
        <v/>
      </c>
      <c r="M266" s="68"/>
      <c r="N266" s="28"/>
      <c r="O266" s="25"/>
      <c r="P266" s="83" t="str">
        <f aca="false">IF(OR(N266="",N(H266)=0),"",N266/H266)</f>
        <v/>
      </c>
      <c r="Q266" s="25"/>
    </row>
    <row r="267" customFormat="false" ht="15" hidden="false" customHeight="false" outlineLevel="0" collapsed="false">
      <c r="A267" s="69"/>
      <c r="B267" s="68"/>
      <c r="C267" s="76" t="str">
        <f aca="false">IF(B267="","",IFERROR(INDEX(EN_Des,MATCH(B267,EN_Code,0)),"Code inconnu"))</f>
        <v/>
      </c>
      <c r="D267" s="25"/>
      <c r="E267" s="25"/>
      <c r="F267" s="82"/>
      <c r="G267" s="82"/>
      <c r="H267" s="83" t="str">
        <f aca="false">IF(OR(F267="",G267=""),"",G267-F267)</f>
        <v/>
      </c>
      <c r="I267" s="82"/>
      <c r="J267" s="82"/>
      <c r="K267" s="28"/>
      <c r="L267" s="90" t="str">
        <f aca="false">IF(OR(K267="",N(H267)=0),"",K267/H267)</f>
        <v/>
      </c>
      <c r="M267" s="68"/>
      <c r="N267" s="28"/>
      <c r="O267" s="25"/>
      <c r="P267" s="83" t="str">
        <f aca="false">IF(OR(N267="",N(H267)=0),"",N267/H267)</f>
        <v/>
      </c>
      <c r="Q267" s="25"/>
    </row>
    <row r="268" customFormat="false" ht="15" hidden="false" customHeight="false" outlineLevel="0" collapsed="false">
      <c r="A268" s="69"/>
      <c r="B268" s="68"/>
      <c r="C268" s="76" t="str">
        <f aca="false">IF(B268="","",IFERROR(INDEX(EN_Des,MATCH(B268,EN_Code,0)),"Code inconnu"))</f>
        <v/>
      </c>
      <c r="D268" s="25"/>
      <c r="E268" s="25"/>
      <c r="F268" s="82"/>
      <c r="G268" s="82"/>
      <c r="H268" s="83" t="str">
        <f aca="false">IF(OR(F268="",G268=""),"",G268-F268)</f>
        <v/>
      </c>
      <c r="I268" s="82"/>
      <c r="J268" s="82"/>
      <c r="K268" s="28"/>
      <c r="L268" s="90" t="str">
        <f aca="false">IF(OR(K268="",N(H268)=0),"",K268/H268)</f>
        <v/>
      </c>
      <c r="M268" s="68"/>
      <c r="N268" s="28"/>
      <c r="O268" s="25"/>
      <c r="P268" s="83" t="str">
        <f aca="false">IF(OR(N268="",N(H268)=0),"",N268/H268)</f>
        <v/>
      </c>
      <c r="Q268" s="25"/>
    </row>
    <row r="269" customFormat="false" ht="15" hidden="false" customHeight="false" outlineLevel="0" collapsed="false">
      <c r="A269" s="69"/>
      <c r="B269" s="68"/>
      <c r="C269" s="76" t="str">
        <f aca="false">IF(B269="","",IFERROR(INDEX(EN_Des,MATCH(B269,EN_Code,0)),"Code inconnu"))</f>
        <v/>
      </c>
      <c r="D269" s="25"/>
      <c r="E269" s="25"/>
      <c r="F269" s="82"/>
      <c r="G269" s="82"/>
      <c r="H269" s="83" t="str">
        <f aca="false">IF(OR(F269="",G269=""),"",G269-F269)</f>
        <v/>
      </c>
      <c r="I269" s="82"/>
      <c r="J269" s="82"/>
      <c r="K269" s="28"/>
      <c r="L269" s="90" t="str">
        <f aca="false">IF(OR(K269="",N(H269)=0),"",K269/H269)</f>
        <v/>
      </c>
      <c r="M269" s="68"/>
      <c r="N269" s="28"/>
      <c r="O269" s="25"/>
      <c r="P269" s="83" t="str">
        <f aca="false">IF(OR(N269="",N(H269)=0),"",N269/H269)</f>
        <v/>
      </c>
      <c r="Q269" s="25"/>
    </row>
    <row r="270" customFormat="false" ht="15" hidden="false" customHeight="false" outlineLevel="0" collapsed="false">
      <c r="A270" s="69"/>
      <c r="B270" s="68"/>
      <c r="C270" s="76" t="str">
        <f aca="false">IF(B270="","",IFERROR(INDEX(EN_Des,MATCH(B270,EN_Code,0)),"Code inconnu"))</f>
        <v/>
      </c>
      <c r="D270" s="25"/>
      <c r="E270" s="25"/>
      <c r="F270" s="82"/>
      <c r="G270" s="82"/>
      <c r="H270" s="83" t="str">
        <f aca="false">IF(OR(F270="",G270=""),"",G270-F270)</f>
        <v/>
      </c>
      <c r="I270" s="82"/>
      <c r="J270" s="82"/>
      <c r="K270" s="28"/>
      <c r="L270" s="90" t="str">
        <f aca="false">IF(OR(K270="",N(H270)=0),"",K270/H270)</f>
        <v/>
      </c>
      <c r="M270" s="68"/>
      <c r="N270" s="28"/>
      <c r="O270" s="25"/>
      <c r="P270" s="83" t="str">
        <f aca="false">IF(OR(N270="",N(H270)=0),"",N270/H270)</f>
        <v/>
      </c>
      <c r="Q270" s="25"/>
    </row>
    <row r="271" customFormat="false" ht="15" hidden="false" customHeight="false" outlineLevel="0" collapsed="false">
      <c r="A271" s="69"/>
      <c r="B271" s="68"/>
      <c r="C271" s="76" t="str">
        <f aca="false">IF(B271="","",IFERROR(INDEX(EN_Des,MATCH(B271,EN_Code,0)),"Code inconnu"))</f>
        <v/>
      </c>
      <c r="D271" s="25"/>
      <c r="E271" s="25"/>
      <c r="F271" s="82"/>
      <c r="G271" s="82"/>
      <c r="H271" s="83" t="str">
        <f aca="false">IF(OR(F271="",G271=""),"",G271-F271)</f>
        <v/>
      </c>
      <c r="I271" s="82"/>
      <c r="J271" s="82"/>
      <c r="K271" s="28"/>
      <c r="L271" s="90" t="str">
        <f aca="false">IF(OR(K271="",N(H271)=0),"",K271/H271)</f>
        <v/>
      </c>
      <c r="M271" s="68"/>
      <c r="N271" s="28"/>
      <c r="O271" s="25"/>
      <c r="P271" s="83" t="str">
        <f aca="false">IF(OR(N271="",N(H271)=0),"",N271/H271)</f>
        <v/>
      </c>
      <c r="Q271" s="25"/>
    </row>
    <row r="272" customFormat="false" ht="15" hidden="false" customHeight="false" outlineLevel="0" collapsed="false">
      <c r="A272" s="69"/>
      <c r="B272" s="68"/>
      <c r="C272" s="76" t="str">
        <f aca="false">IF(B272="","",IFERROR(INDEX(EN_Des,MATCH(B272,EN_Code,0)),"Code inconnu"))</f>
        <v/>
      </c>
      <c r="D272" s="25"/>
      <c r="E272" s="25"/>
      <c r="F272" s="82"/>
      <c r="G272" s="82"/>
      <c r="H272" s="83" t="str">
        <f aca="false">IF(OR(F272="",G272=""),"",G272-F272)</f>
        <v/>
      </c>
      <c r="I272" s="82"/>
      <c r="J272" s="82"/>
      <c r="K272" s="28"/>
      <c r="L272" s="90" t="str">
        <f aca="false">IF(OR(K272="",N(H272)=0),"",K272/H272)</f>
        <v/>
      </c>
      <c r="M272" s="68"/>
      <c r="N272" s="28"/>
      <c r="O272" s="25"/>
      <c r="P272" s="83" t="str">
        <f aca="false">IF(OR(N272="",N(H272)=0),"",N272/H272)</f>
        <v/>
      </c>
      <c r="Q272" s="25"/>
    </row>
    <row r="273" customFormat="false" ht="15" hidden="false" customHeight="false" outlineLevel="0" collapsed="false">
      <c r="A273" s="69"/>
      <c r="B273" s="68"/>
      <c r="C273" s="76" t="str">
        <f aca="false">IF(B273="","",IFERROR(INDEX(EN_Des,MATCH(B273,EN_Code,0)),"Code inconnu"))</f>
        <v/>
      </c>
      <c r="D273" s="25"/>
      <c r="E273" s="25"/>
      <c r="F273" s="82"/>
      <c r="G273" s="82"/>
      <c r="H273" s="83" t="str">
        <f aca="false">IF(OR(F273="",G273=""),"",G273-F273)</f>
        <v/>
      </c>
      <c r="I273" s="82"/>
      <c r="J273" s="82"/>
      <c r="K273" s="28"/>
      <c r="L273" s="90" t="str">
        <f aca="false">IF(OR(K273="",N(H273)=0),"",K273/H273)</f>
        <v/>
      </c>
      <c r="M273" s="68"/>
      <c r="N273" s="28"/>
      <c r="O273" s="25"/>
      <c r="P273" s="83" t="str">
        <f aca="false">IF(OR(N273="",N(H273)=0),"",N273/H273)</f>
        <v/>
      </c>
      <c r="Q273" s="25"/>
    </row>
    <row r="274" customFormat="false" ht="15" hidden="false" customHeight="false" outlineLevel="0" collapsed="false">
      <c r="A274" s="69"/>
      <c r="B274" s="68"/>
      <c r="C274" s="76" t="str">
        <f aca="false">IF(B274="","",IFERROR(INDEX(EN_Des,MATCH(B274,EN_Code,0)),"Code inconnu"))</f>
        <v/>
      </c>
      <c r="D274" s="25"/>
      <c r="E274" s="25"/>
      <c r="F274" s="82"/>
      <c r="G274" s="82"/>
      <c r="H274" s="83" t="str">
        <f aca="false">IF(OR(F274="",G274=""),"",G274-F274)</f>
        <v/>
      </c>
      <c r="I274" s="82"/>
      <c r="J274" s="82"/>
      <c r="K274" s="28"/>
      <c r="L274" s="90" t="str">
        <f aca="false">IF(OR(K274="",N(H274)=0),"",K274/H274)</f>
        <v/>
      </c>
      <c r="M274" s="68"/>
      <c r="N274" s="28"/>
      <c r="O274" s="25"/>
      <c r="P274" s="83" t="str">
        <f aca="false">IF(OR(N274="",N(H274)=0),"",N274/H274)</f>
        <v/>
      </c>
      <c r="Q274" s="25"/>
    </row>
    <row r="275" customFormat="false" ht="15" hidden="false" customHeight="false" outlineLevel="0" collapsed="false">
      <c r="A275" s="69"/>
      <c r="B275" s="68"/>
      <c r="C275" s="76" t="str">
        <f aca="false">IF(B275="","",IFERROR(INDEX(EN_Des,MATCH(B275,EN_Code,0)),"Code inconnu"))</f>
        <v/>
      </c>
      <c r="D275" s="25"/>
      <c r="E275" s="25"/>
      <c r="F275" s="82"/>
      <c r="G275" s="82"/>
      <c r="H275" s="83" t="str">
        <f aca="false">IF(OR(F275="",G275=""),"",G275-F275)</f>
        <v/>
      </c>
      <c r="I275" s="82"/>
      <c r="J275" s="82"/>
      <c r="K275" s="28"/>
      <c r="L275" s="90" t="str">
        <f aca="false">IF(OR(K275="",N(H275)=0),"",K275/H275)</f>
        <v/>
      </c>
      <c r="M275" s="68"/>
      <c r="N275" s="28"/>
      <c r="O275" s="25"/>
      <c r="P275" s="83" t="str">
        <f aca="false">IF(OR(N275="",N(H275)=0),"",N275/H275)</f>
        <v/>
      </c>
      <c r="Q275" s="25"/>
    </row>
    <row r="276" customFormat="false" ht="15" hidden="false" customHeight="false" outlineLevel="0" collapsed="false">
      <c r="A276" s="69"/>
      <c r="B276" s="68"/>
      <c r="C276" s="76" t="str">
        <f aca="false">IF(B276="","",IFERROR(INDEX(EN_Des,MATCH(B276,EN_Code,0)),"Code inconnu"))</f>
        <v/>
      </c>
      <c r="D276" s="25"/>
      <c r="E276" s="25"/>
      <c r="F276" s="82"/>
      <c r="G276" s="82"/>
      <c r="H276" s="83" t="str">
        <f aca="false">IF(OR(F276="",G276=""),"",G276-F276)</f>
        <v/>
      </c>
      <c r="I276" s="82"/>
      <c r="J276" s="82"/>
      <c r="K276" s="28"/>
      <c r="L276" s="90" t="str">
        <f aca="false">IF(OR(K276="",N(H276)=0),"",K276/H276)</f>
        <v/>
      </c>
      <c r="M276" s="68"/>
      <c r="N276" s="28"/>
      <c r="O276" s="25"/>
      <c r="P276" s="83" t="str">
        <f aca="false">IF(OR(N276="",N(H276)=0),"",N276/H276)</f>
        <v/>
      </c>
      <c r="Q276" s="25"/>
    </row>
    <row r="277" customFormat="false" ht="15" hidden="false" customHeight="false" outlineLevel="0" collapsed="false">
      <c r="A277" s="69"/>
      <c r="B277" s="68"/>
      <c r="C277" s="76" t="str">
        <f aca="false">IF(B277="","",IFERROR(INDEX(EN_Des,MATCH(B277,EN_Code,0)),"Code inconnu"))</f>
        <v/>
      </c>
      <c r="D277" s="25"/>
      <c r="E277" s="25"/>
      <c r="F277" s="82"/>
      <c r="G277" s="82"/>
      <c r="H277" s="83" t="str">
        <f aca="false">IF(OR(F277="",G277=""),"",G277-F277)</f>
        <v/>
      </c>
      <c r="I277" s="82"/>
      <c r="J277" s="82"/>
      <c r="K277" s="28"/>
      <c r="L277" s="90" t="str">
        <f aca="false">IF(OR(K277="",N(H277)=0),"",K277/H277)</f>
        <v/>
      </c>
      <c r="M277" s="68"/>
      <c r="N277" s="28"/>
      <c r="O277" s="25"/>
      <c r="P277" s="83" t="str">
        <f aca="false">IF(OR(N277="",N(H277)=0),"",N277/H277)</f>
        <v/>
      </c>
      <c r="Q277" s="25"/>
    </row>
    <row r="278" customFormat="false" ht="15" hidden="false" customHeight="false" outlineLevel="0" collapsed="false">
      <c r="A278" s="69"/>
      <c r="B278" s="68"/>
      <c r="C278" s="76" t="str">
        <f aca="false">IF(B278="","",IFERROR(INDEX(EN_Des,MATCH(B278,EN_Code,0)),"Code inconnu"))</f>
        <v/>
      </c>
      <c r="D278" s="25"/>
      <c r="E278" s="25"/>
      <c r="F278" s="82"/>
      <c r="G278" s="82"/>
      <c r="H278" s="83" t="str">
        <f aca="false">IF(OR(F278="",G278=""),"",G278-F278)</f>
        <v/>
      </c>
      <c r="I278" s="82"/>
      <c r="J278" s="82"/>
      <c r="K278" s="28"/>
      <c r="L278" s="90" t="str">
        <f aca="false">IF(OR(K278="",N(H278)=0),"",K278/H278)</f>
        <v/>
      </c>
      <c r="M278" s="68"/>
      <c r="N278" s="28"/>
      <c r="O278" s="25"/>
      <c r="P278" s="83" t="str">
        <f aca="false">IF(OR(N278="",N(H278)=0),"",N278/H278)</f>
        <v/>
      </c>
      <c r="Q278" s="25"/>
    </row>
    <row r="279" customFormat="false" ht="15" hidden="false" customHeight="false" outlineLevel="0" collapsed="false">
      <c r="A279" s="69"/>
      <c r="B279" s="68"/>
      <c r="C279" s="76" t="str">
        <f aca="false">IF(B279="","",IFERROR(INDEX(EN_Des,MATCH(B279,EN_Code,0)),"Code inconnu"))</f>
        <v/>
      </c>
      <c r="D279" s="25"/>
      <c r="E279" s="25"/>
      <c r="F279" s="82"/>
      <c r="G279" s="82"/>
      <c r="H279" s="83" t="str">
        <f aca="false">IF(OR(F279="",G279=""),"",G279-F279)</f>
        <v/>
      </c>
      <c r="I279" s="82"/>
      <c r="J279" s="82"/>
      <c r="K279" s="28"/>
      <c r="L279" s="90" t="str">
        <f aca="false">IF(OR(K279="",N(H279)=0),"",K279/H279)</f>
        <v/>
      </c>
      <c r="M279" s="68"/>
      <c r="N279" s="28"/>
      <c r="O279" s="25"/>
      <c r="P279" s="83" t="str">
        <f aca="false">IF(OR(N279="",N(H279)=0),"",N279/H279)</f>
        <v/>
      </c>
      <c r="Q279" s="25"/>
    </row>
    <row r="280" customFormat="false" ht="15" hidden="false" customHeight="false" outlineLevel="0" collapsed="false">
      <c r="A280" s="69"/>
      <c r="B280" s="68"/>
      <c r="C280" s="76" t="str">
        <f aca="false">IF(B280="","",IFERROR(INDEX(EN_Des,MATCH(B280,EN_Code,0)),"Code inconnu"))</f>
        <v/>
      </c>
      <c r="D280" s="25"/>
      <c r="E280" s="25"/>
      <c r="F280" s="82"/>
      <c r="G280" s="82"/>
      <c r="H280" s="83" t="str">
        <f aca="false">IF(OR(F280="",G280=""),"",G280-F280)</f>
        <v/>
      </c>
      <c r="I280" s="82"/>
      <c r="J280" s="82"/>
      <c r="K280" s="28"/>
      <c r="L280" s="90" t="str">
        <f aca="false">IF(OR(K280="",N(H280)=0),"",K280/H280)</f>
        <v/>
      </c>
      <c r="M280" s="68"/>
      <c r="N280" s="28"/>
      <c r="O280" s="25"/>
      <c r="P280" s="83" t="str">
        <f aca="false">IF(OR(N280="",N(H280)=0),"",N280/H280)</f>
        <v/>
      </c>
      <c r="Q280" s="25"/>
    </row>
    <row r="281" customFormat="false" ht="15" hidden="false" customHeight="false" outlineLevel="0" collapsed="false">
      <c r="A281" s="69"/>
      <c r="B281" s="68"/>
      <c r="C281" s="76" t="str">
        <f aca="false">IF(B281="","",IFERROR(INDEX(EN_Des,MATCH(B281,EN_Code,0)),"Code inconnu"))</f>
        <v/>
      </c>
      <c r="D281" s="25"/>
      <c r="E281" s="25"/>
      <c r="F281" s="82"/>
      <c r="G281" s="82"/>
      <c r="H281" s="83" t="str">
        <f aca="false">IF(OR(F281="",G281=""),"",G281-F281)</f>
        <v/>
      </c>
      <c r="I281" s="82"/>
      <c r="J281" s="82"/>
      <c r="K281" s="28"/>
      <c r="L281" s="90" t="str">
        <f aca="false">IF(OR(K281="",N(H281)=0),"",K281/H281)</f>
        <v/>
      </c>
      <c r="M281" s="68"/>
      <c r="N281" s="28"/>
      <c r="O281" s="25"/>
      <c r="P281" s="83" t="str">
        <f aca="false">IF(OR(N281="",N(H281)=0),"",N281/H281)</f>
        <v/>
      </c>
      <c r="Q281" s="25"/>
    </row>
    <row r="282" customFormat="false" ht="15" hidden="false" customHeight="false" outlineLevel="0" collapsed="false">
      <c r="A282" s="69"/>
      <c r="B282" s="68"/>
      <c r="C282" s="76" t="str">
        <f aca="false">IF(B282="","",IFERROR(INDEX(EN_Des,MATCH(B282,EN_Code,0)),"Code inconnu"))</f>
        <v/>
      </c>
      <c r="D282" s="25"/>
      <c r="E282" s="25"/>
      <c r="F282" s="82"/>
      <c r="G282" s="82"/>
      <c r="H282" s="83" t="str">
        <f aca="false">IF(OR(F282="",G282=""),"",G282-F282)</f>
        <v/>
      </c>
      <c r="I282" s="82"/>
      <c r="J282" s="82"/>
      <c r="K282" s="28"/>
      <c r="L282" s="90" t="str">
        <f aca="false">IF(OR(K282="",N(H282)=0),"",K282/H282)</f>
        <v/>
      </c>
      <c r="M282" s="68"/>
      <c r="N282" s="28"/>
      <c r="O282" s="25"/>
      <c r="P282" s="83" t="str">
        <f aca="false">IF(OR(N282="",N(H282)=0),"",N282/H282)</f>
        <v/>
      </c>
      <c r="Q282" s="25"/>
    </row>
    <row r="283" customFormat="false" ht="15" hidden="false" customHeight="false" outlineLevel="0" collapsed="false">
      <c r="A283" s="69"/>
      <c r="B283" s="68"/>
      <c r="C283" s="76" t="str">
        <f aca="false">IF(B283="","",IFERROR(INDEX(EN_Des,MATCH(B283,EN_Code,0)),"Code inconnu"))</f>
        <v/>
      </c>
      <c r="D283" s="25"/>
      <c r="E283" s="25"/>
      <c r="F283" s="82"/>
      <c r="G283" s="82"/>
      <c r="H283" s="83" t="str">
        <f aca="false">IF(OR(F283="",G283=""),"",G283-F283)</f>
        <v/>
      </c>
      <c r="I283" s="82"/>
      <c r="J283" s="82"/>
      <c r="K283" s="28"/>
      <c r="L283" s="90" t="str">
        <f aca="false">IF(OR(K283="",N(H283)=0),"",K283/H283)</f>
        <v/>
      </c>
      <c r="M283" s="68"/>
      <c r="N283" s="28"/>
      <c r="O283" s="25"/>
      <c r="P283" s="83" t="str">
        <f aca="false">IF(OR(N283="",N(H283)=0),"",N283/H283)</f>
        <v/>
      </c>
      <c r="Q283" s="25"/>
    </row>
    <row r="284" customFormat="false" ht="15" hidden="false" customHeight="false" outlineLevel="0" collapsed="false">
      <c r="A284" s="69"/>
      <c r="B284" s="68"/>
      <c r="C284" s="76" t="str">
        <f aca="false">IF(B284="","",IFERROR(INDEX(EN_Des,MATCH(B284,EN_Code,0)),"Code inconnu"))</f>
        <v/>
      </c>
      <c r="D284" s="25"/>
      <c r="E284" s="25"/>
      <c r="F284" s="82"/>
      <c r="G284" s="82"/>
      <c r="H284" s="83" t="str">
        <f aca="false">IF(OR(F284="",G284=""),"",G284-F284)</f>
        <v/>
      </c>
      <c r="I284" s="82"/>
      <c r="J284" s="82"/>
      <c r="K284" s="28"/>
      <c r="L284" s="90" t="str">
        <f aca="false">IF(OR(K284="",N(H284)=0),"",K284/H284)</f>
        <v/>
      </c>
      <c r="M284" s="68"/>
      <c r="N284" s="28"/>
      <c r="O284" s="25"/>
      <c r="P284" s="83" t="str">
        <f aca="false">IF(OR(N284="",N(H284)=0),"",N284/H284)</f>
        <v/>
      </c>
      <c r="Q284" s="25"/>
    </row>
    <row r="285" customFormat="false" ht="15" hidden="false" customHeight="false" outlineLevel="0" collapsed="false">
      <c r="A285" s="69"/>
      <c r="B285" s="68"/>
      <c r="C285" s="76" t="str">
        <f aca="false">IF(B285="","",IFERROR(INDEX(EN_Des,MATCH(B285,EN_Code,0)),"Code inconnu"))</f>
        <v/>
      </c>
      <c r="D285" s="25"/>
      <c r="E285" s="25"/>
      <c r="F285" s="82"/>
      <c r="G285" s="82"/>
      <c r="H285" s="83" t="str">
        <f aca="false">IF(OR(F285="",G285=""),"",G285-F285)</f>
        <v/>
      </c>
      <c r="I285" s="82"/>
      <c r="J285" s="82"/>
      <c r="K285" s="28"/>
      <c r="L285" s="90" t="str">
        <f aca="false">IF(OR(K285="",N(H285)=0),"",K285/H285)</f>
        <v/>
      </c>
      <c r="M285" s="68"/>
      <c r="N285" s="28"/>
      <c r="O285" s="25"/>
      <c r="P285" s="83" t="str">
        <f aca="false">IF(OR(N285="",N(H285)=0),"",N285/H285)</f>
        <v/>
      </c>
      <c r="Q285" s="25"/>
    </row>
    <row r="286" customFormat="false" ht="15" hidden="false" customHeight="false" outlineLevel="0" collapsed="false">
      <c r="A286" s="69"/>
      <c r="B286" s="68"/>
      <c r="C286" s="76" t="str">
        <f aca="false">IF(B286="","",IFERROR(INDEX(EN_Des,MATCH(B286,EN_Code,0)),"Code inconnu"))</f>
        <v/>
      </c>
      <c r="D286" s="25"/>
      <c r="E286" s="25"/>
      <c r="F286" s="82"/>
      <c r="G286" s="82"/>
      <c r="H286" s="83" t="str">
        <f aca="false">IF(OR(F286="",G286=""),"",G286-F286)</f>
        <v/>
      </c>
      <c r="I286" s="82"/>
      <c r="J286" s="82"/>
      <c r="K286" s="28"/>
      <c r="L286" s="90" t="str">
        <f aca="false">IF(OR(K286="",N(H286)=0),"",K286/H286)</f>
        <v/>
      </c>
      <c r="M286" s="68"/>
      <c r="N286" s="28"/>
      <c r="O286" s="25"/>
      <c r="P286" s="83" t="str">
        <f aca="false">IF(OR(N286="",N(H286)=0),"",N286/H286)</f>
        <v/>
      </c>
      <c r="Q286" s="25"/>
    </row>
    <row r="287" customFormat="false" ht="15" hidden="false" customHeight="false" outlineLevel="0" collapsed="false">
      <c r="A287" s="69"/>
      <c r="B287" s="68"/>
      <c r="C287" s="76" t="str">
        <f aca="false">IF(B287="","",IFERROR(INDEX(EN_Des,MATCH(B287,EN_Code,0)),"Code inconnu"))</f>
        <v/>
      </c>
      <c r="D287" s="25"/>
      <c r="E287" s="25"/>
      <c r="F287" s="82"/>
      <c r="G287" s="82"/>
      <c r="H287" s="83" t="str">
        <f aca="false">IF(OR(F287="",G287=""),"",G287-F287)</f>
        <v/>
      </c>
      <c r="I287" s="82"/>
      <c r="J287" s="82"/>
      <c r="K287" s="28"/>
      <c r="L287" s="90" t="str">
        <f aca="false">IF(OR(K287="",N(H287)=0),"",K287/H287)</f>
        <v/>
      </c>
      <c r="M287" s="68"/>
      <c r="N287" s="28"/>
      <c r="O287" s="25"/>
      <c r="P287" s="83" t="str">
        <f aca="false">IF(OR(N287="",N(H287)=0),"",N287/H287)</f>
        <v/>
      </c>
      <c r="Q287" s="25"/>
    </row>
    <row r="288" customFormat="false" ht="15" hidden="false" customHeight="false" outlineLevel="0" collapsed="false">
      <c r="A288" s="69"/>
      <c r="B288" s="68"/>
      <c r="C288" s="76" t="str">
        <f aca="false">IF(B288="","",IFERROR(INDEX(EN_Des,MATCH(B288,EN_Code,0)),"Code inconnu"))</f>
        <v/>
      </c>
      <c r="D288" s="25"/>
      <c r="E288" s="25"/>
      <c r="F288" s="82"/>
      <c r="G288" s="82"/>
      <c r="H288" s="83" t="str">
        <f aca="false">IF(OR(F288="",G288=""),"",G288-F288)</f>
        <v/>
      </c>
      <c r="I288" s="82"/>
      <c r="J288" s="82"/>
      <c r="K288" s="28"/>
      <c r="L288" s="90" t="str">
        <f aca="false">IF(OR(K288="",N(H288)=0),"",K288/H288)</f>
        <v/>
      </c>
      <c r="M288" s="68"/>
      <c r="N288" s="28"/>
      <c r="O288" s="25"/>
      <c r="P288" s="83" t="str">
        <f aca="false">IF(OR(N288="",N(H288)=0),"",N288/H288)</f>
        <v/>
      </c>
      <c r="Q288" s="25"/>
    </row>
    <row r="289" customFormat="false" ht="15" hidden="false" customHeight="false" outlineLevel="0" collapsed="false">
      <c r="A289" s="69"/>
      <c r="B289" s="68"/>
      <c r="C289" s="76" t="str">
        <f aca="false">IF(B289="","",IFERROR(INDEX(EN_Des,MATCH(B289,EN_Code,0)),"Code inconnu"))</f>
        <v/>
      </c>
      <c r="D289" s="25"/>
      <c r="E289" s="25"/>
      <c r="F289" s="82"/>
      <c r="G289" s="82"/>
      <c r="H289" s="83" t="str">
        <f aca="false">IF(OR(F289="",G289=""),"",G289-F289)</f>
        <v/>
      </c>
      <c r="I289" s="82"/>
      <c r="J289" s="82"/>
      <c r="K289" s="28"/>
      <c r="L289" s="90" t="str">
        <f aca="false">IF(OR(K289="",N(H289)=0),"",K289/H289)</f>
        <v/>
      </c>
      <c r="M289" s="68"/>
      <c r="N289" s="28"/>
      <c r="O289" s="25"/>
      <c r="P289" s="83" t="str">
        <f aca="false">IF(OR(N289="",N(H289)=0),"",N289/H289)</f>
        <v/>
      </c>
      <c r="Q289" s="25"/>
    </row>
    <row r="290" customFormat="false" ht="15" hidden="false" customHeight="false" outlineLevel="0" collapsed="false">
      <c r="A290" s="69"/>
      <c r="B290" s="68"/>
      <c r="C290" s="76" t="str">
        <f aca="false">IF(B290="","",IFERROR(INDEX(EN_Des,MATCH(B290,EN_Code,0)),"Code inconnu"))</f>
        <v/>
      </c>
      <c r="D290" s="25"/>
      <c r="E290" s="25"/>
      <c r="F290" s="82"/>
      <c r="G290" s="82"/>
      <c r="H290" s="83" t="str">
        <f aca="false">IF(OR(F290="",G290=""),"",G290-F290)</f>
        <v/>
      </c>
      <c r="I290" s="82"/>
      <c r="J290" s="82"/>
      <c r="K290" s="28"/>
      <c r="L290" s="90" t="str">
        <f aca="false">IF(OR(K290="",N(H290)=0),"",K290/H290)</f>
        <v/>
      </c>
      <c r="M290" s="68"/>
      <c r="N290" s="28"/>
      <c r="O290" s="25"/>
      <c r="P290" s="83" t="str">
        <f aca="false">IF(OR(N290="",N(H290)=0),"",N290/H290)</f>
        <v/>
      </c>
      <c r="Q290" s="25"/>
    </row>
    <row r="291" customFormat="false" ht="15" hidden="false" customHeight="false" outlineLevel="0" collapsed="false">
      <c r="A291" s="69"/>
      <c r="B291" s="68"/>
      <c r="C291" s="76" t="str">
        <f aca="false">IF(B291="","",IFERROR(INDEX(EN_Des,MATCH(B291,EN_Code,0)),"Code inconnu"))</f>
        <v/>
      </c>
      <c r="D291" s="25"/>
      <c r="E291" s="25"/>
      <c r="F291" s="82"/>
      <c r="G291" s="82"/>
      <c r="H291" s="83" t="str">
        <f aca="false">IF(OR(F291="",G291=""),"",G291-F291)</f>
        <v/>
      </c>
      <c r="I291" s="82"/>
      <c r="J291" s="82"/>
      <c r="K291" s="28"/>
      <c r="L291" s="90" t="str">
        <f aca="false">IF(OR(K291="",N(H291)=0),"",K291/H291)</f>
        <v/>
      </c>
      <c r="M291" s="68"/>
      <c r="N291" s="28"/>
      <c r="O291" s="25"/>
      <c r="P291" s="83" t="str">
        <f aca="false">IF(OR(N291="",N(H291)=0),"",N291/H291)</f>
        <v/>
      </c>
      <c r="Q291" s="25"/>
    </row>
    <row r="292" customFormat="false" ht="15" hidden="false" customHeight="false" outlineLevel="0" collapsed="false">
      <c r="A292" s="69"/>
      <c r="B292" s="68"/>
      <c r="C292" s="76" t="str">
        <f aca="false">IF(B292="","",IFERROR(INDEX(EN_Des,MATCH(B292,EN_Code,0)),"Code inconnu"))</f>
        <v/>
      </c>
      <c r="D292" s="25"/>
      <c r="E292" s="25"/>
      <c r="F292" s="82"/>
      <c r="G292" s="82"/>
      <c r="H292" s="83" t="str">
        <f aca="false">IF(OR(F292="",G292=""),"",G292-F292)</f>
        <v/>
      </c>
      <c r="I292" s="82"/>
      <c r="J292" s="82"/>
      <c r="K292" s="28"/>
      <c r="L292" s="90" t="str">
        <f aca="false">IF(OR(K292="",N(H292)=0),"",K292/H292)</f>
        <v/>
      </c>
      <c r="M292" s="68"/>
      <c r="N292" s="28"/>
      <c r="O292" s="25"/>
      <c r="P292" s="83" t="str">
        <f aca="false">IF(OR(N292="",N(H292)=0),"",N292/H292)</f>
        <v/>
      </c>
      <c r="Q292" s="25"/>
    </row>
    <row r="293" customFormat="false" ht="15" hidden="false" customHeight="false" outlineLevel="0" collapsed="false">
      <c r="A293" s="69"/>
      <c r="B293" s="68"/>
      <c r="C293" s="76" t="str">
        <f aca="false">IF(B293="","",IFERROR(INDEX(EN_Des,MATCH(B293,EN_Code,0)),"Code inconnu"))</f>
        <v/>
      </c>
      <c r="D293" s="25"/>
      <c r="E293" s="25"/>
      <c r="F293" s="82"/>
      <c r="G293" s="82"/>
      <c r="H293" s="83" t="str">
        <f aca="false">IF(OR(F293="",G293=""),"",G293-F293)</f>
        <v/>
      </c>
      <c r="I293" s="82"/>
      <c r="J293" s="82"/>
      <c r="K293" s="28"/>
      <c r="L293" s="90" t="str">
        <f aca="false">IF(OR(K293="",N(H293)=0),"",K293/H293)</f>
        <v/>
      </c>
      <c r="M293" s="68"/>
      <c r="N293" s="28"/>
      <c r="O293" s="25"/>
      <c r="P293" s="83" t="str">
        <f aca="false">IF(OR(N293="",N(H293)=0),"",N293/H293)</f>
        <v/>
      </c>
      <c r="Q293" s="25"/>
    </row>
    <row r="294" customFormat="false" ht="15" hidden="false" customHeight="false" outlineLevel="0" collapsed="false">
      <c r="A294" s="69"/>
      <c r="B294" s="68"/>
      <c r="C294" s="76" t="str">
        <f aca="false">IF(B294="","",IFERROR(INDEX(EN_Des,MATCH(B294,EN_Code,0)),"Code inconnu"))</f>
        <v/>
      </c>
      <c r="D294" s="25"/>
      <c r="E294" s="25"/>
      <c r="F294" s="82"/>
      <c r="G294" s="82"/>
      <c r="H294" s="83" t="str">
        <f aca="false">IF(OR(F294="",G294=""),"",G294-F294)</f>
        <v/>
      </c>
      <c r="I294" s="82"/>
      <c r="J294" s="82"/>
      <c r="K294" s="28"/>
      <c r="L294" s="90" t="str">
        <f aca="false">IF(OR(K294="",N(H294)=0),"",K294/H294)</f>
        <v/>
      </c>
      <c r="M294" s="68"/>
      <c r="N294" s="28"/>
      <c r="O294" s="25"/>
      <c r="P294" s="83" t="str">
        <f aca="false">IF(OR(N294="",N(H294)=0),"",N294/H294)</f>
        <v/>
      </c>
      <c r="Q294" s="25"/>
    </row>
    <row r="295" customFormat="false" ht="15" hidden="false" customHeight="false" outlineLevel="0" collapsed="false">
      <c r="A295" s="69"/>
      <c r="B295" s="68"/>
      <c r="C295" s="76" t="str">
        <f aca="false">IF(B295="","",IFERROR(INDEX(EN_Des,MATCH(B295,EN_Code,0)),"Code inconnu"))</f>
        <v/>
      </c>
      <c r="D295" s="25"/>
      <c r="E295" s="25"/>
      <c r="F295" s="82"/>
      <c r="G295" s="82"/>
      <c r="H295" s="83" t="str">
        <f aca="false">IF(OR(F295="",G295=""),"",G295-F295)</f>
        <v/>
      </c>
      <c r="I295" s="82"/>
      <c r="J295" s="82"/>
      <c r="K295" s="28"/>
      <c r="L295" s="90" t="str">
        <f aca="false">IF(OR(K295="",N(H295)=0),"",K295/H295)</f>
        <v/>
      </c>
      <c r="M295" s="68"/>
      <c r="N295" s="28"/>
      <c r="O295" s="25"/>
      <c r="P295" s="83" t="str">
        <f aca="false">IF(OR(N295="",N(H295)=0),"",N295/H295)</f>
        <v/>
      </c>
      <c r="Q295" s="25"/>
    </row>
    <row r="296" customFormat="false" ht="15" hidden="false" customHeight="false" outlineLevel="0" collapsed="false">
      <c r="A296" s="69"/>
      <c r="B296" s="68"/>
      <c r="C296" s="76" t="str">
        <f aca="false">IF(B296="","",IFERROR(INDEX(EN_Des,MATCH(B296,EN_Code,0)),"Code inconnu"))</f>
        <v/>
      </c>
      <c r="D296" s="25"/>
      <c r="E296" s="25"/>
      <c r="F296" s="82"/>
      <c r="G296" s="82"/>
      <c r="H296" s="83" t="str">
        <f aca="false">IF(OR(F296="",G296=""),"",G296-F296)</f>
        <v/>
      </c>
      <c r="I296" s="82"/>
      <c r="J296" s="82"/>
      <c r="K296" s="28"/>
      <c r="L296" s="90" t="str">
        <f aca="false">IF(OR(K296="",N(H296)=0),"",K296/H296)</f>
        <v/>
      </c>
      <c r="M296" s="68"/>
      <c r="N296" s="28"/>
      <c r="O296" s="25"/>
      <c r="P296" s="83" t="str">
        <f aca="false">IF(OR(N296="",N(H296)=0),"",N296/H296)</f>
        <v/>
      </c>
      <c r="Q296" s="25"/>
    </row>
    <row r="297" customFormat="false" ht="15" hidden="false" customHeight="false" outlineLevel="0" collapsed="false">
      <c r="A297" s="69"/>
      <c r="B297" s="68"/>
      <c r="C297" s="76" t="str">
        <f aca="false">IF(B297="","",IFERROR(INDEX(EN_Des,MATCH(B297,EN_Code,0)),"Code inconnu"))</f>
        <v/>
      </c>
      <c r="D297" s="25"/>
      <c r="E297" s="25"/>
      <c r="F297" s="82"/>
      <c r="G297" s="82"/>
      <c r="H297" s="83" t="str">
        <f aca="false">IF(OR(F297="",G297=""),"",G297-F297)</f>
        <v/>
      </c>
      <c r="I297" s="82"/>
      <c r="J297" s="82"/>
      <c r="K297" s="28"/>
      <c r="L297" s="90" t="str">
        <f aca="false">IF(OR(K297="",N(H297)=0),"",K297/H297)</f>
        <v/>
      </c>
      <c r="M297" s="68"/>
      <c r="N297" s="28"/>
      <c r="O297" s="25"/>
      <c r="P297" s="83" t="str">
        <f aca="false">IF(OR(N297="",N(H297)=0),"",N297/H297)</f>
        <v/>
      </c>
      <c r="Q297" s="25"/>
    </row>
    <row r="298" customFormat="false" ht="15" hidden="false" customHeight="false" outlineLevel="0" collapsed="false">
      <c r="A298" s="69"/>
      <c r="B298" s="68"/>
      <c r="C298" s="76" t="str">
        <f aca="false">IF(B298="","",IFERROR(INDEX(EN_Des,MATCH(B298,EN_Code,0)),"Code inconnu"))</f>
        <v/>
      </c>
      <c r="D298" s="25"/>
      <c r="E298" s="25"/>
      <c r="F298" s="82"/>
      <c r="G298" s="82"/>
      <c r="H298" s="83" t="str">
        <f aca="false">IF(OR(F298="",G298=""),"",G298-F298)</f>
        <v/>
      </c>
      <c r="I298" s="82"/>
      <c r="J298" s="82"/>
      <c r="K298" s="28"/>
      <c r="L298" s="90" t="str">
        <f aca="false">IF(OR(K298="",N(H298)=0),"",K298/H298)</f>
        <v/>
      </c>
      <c r="M298" s="68"/>
      <c r="N298" s="28"/>
      <c r="O298" s="25"/>
      <c r="P298" s="83" t="str">
        <f aca="false">IF(OR(N298="",N(H298)=0),"",N298/H298)</f>
        <v/>
      </c>
      <c r="Q298" s="25"/>
    </row>
    <row r="299" customFormat="false" ht="15" hidden="false" customHeight="false" outlineLevel="0" collapsed="false">
      <c r="A299" s="69"/>
      <c r="B299" s="68"/>
      <c r="C299" s="76" t="str">
        <f aca="false">IF(B299="","",IFERROR(INDEX(EN_Des,MATCH(B299,EN_Code,0)),"Code inconnu"))</f>
        <v/>
      </c>
      <c r="D299" s="25"/>
      <c r="E299" s="25"/>
      <c r="F299" s="82"/>
      <c r="G299" s="82"/>
      <c r="H299" s="83" t="str">
        <f aca="false">IF(OR(F299="",G299=""),"",G299-F299)</f>
        <v/>
      </c>
      <c r="I299" s="82"/>
      <c r="J299" s="82"/>
      <c r="K299" s="28"/>
      <c r="L299" s="90" t="str">
        <f aca="false">IF(OR(K299="",N(H299)=0),"",K299/H299)</f>
        <v/>
      </c>
      <c r="M299" s="68"/>
      <c r="N299" s="28"/>
      <c r="O299" s="25"/>
      <c r="P299" s="83" t="str">
        <f aca="false">IF(OR(N299="",N(H299)=0),"",N299/H299)</f>
        <v/>
      </c>
      <c r="Q299" s="25"/>
    </row>
    <row r="300" customFormat="false" ht="15" hidden="false" customHeight="false" outlineLevel="0" collapsed="false">
      <c r="A300" s="69"/>
      <c r="B300" s="68"/>
      <c r="C300" s="76" t="str">
        <f aca="false">IF(B300="","",IFERROR(INDEX(EN_Des,MATCH(B300,EN_Code,0)),"Code inconnu"))</f>
        <v/>
      </c>
      <c r="D300" s="25"/>
      <c r="E300" s="25"/>
      <c r="F300" s="82"/>
      <c r="G300" s="82"/>
      <c r="H300" s="83" t="str">
        <f aca="false">IF(OR(F300="",G300=""),"",G300-F300)</f>
        <v/>
      </c>
      <c r="I300" s="82"/>
      <c r="J300" s="82"/>
      <c r="K300" s="28"/>
      <c r="L300" s="90" t="str">
        <f aca="false">IF(OR(K300="",N(H300)=0),"",K300/H300)</f>
        <v/>
      </c>
      <c r="M300" s="68"/>
      <c r="N300" s="28"/>
      <c r="O300" s="25"/>
      <c r="P300" s="83" t="str">
        <f aca="false">IF(OR(N300="",N(H300)=0),"",N300/H300)</f>
        <v/>
      </c>
      <c r="Q300" s="25"/>
    </row>
    <row r="301" customFormat="false" ht="15" hidden="false" customHeight="false" outlineLevel="0" collapsed="false">
      <c r="A301" s="69"/>
      <c r="B301" s="68"/>
      <c r="C301" s="76" t="str">
        <f aca="false">IF(B301="","",IFERROR(INDEX(EN_Des,MATCH(B301,EN_Code,0)),"Code inconnu"))</f>
        <v/>
      </c>
      <c r="D301" s="25"/>
      <c r="E301" s="25"/>
      <c r="F301" s="82"/>
      <c r="G301" s="82"/>
      <c r="H301" s="83" t="str">
        <f aca="false">IF(OR(F301="",G301=""),"",G301-F301)</f>
        <v/>
      </c>
      <c r="I301" s="82"/>
      <c r="J301" s="82"/>
      <c r="K301" s="28"/>
      <c r="L301" s="90" t="str">
        <f aca="false">IF(OR(K301="",N(H301)=0),"",K301/H301)</f>
        <v/>
      </c>
      <c r="M301" s="68"/>
      <c r="N301" s="28"/>
      <c r="O301" s="25"/>
      <c r="P301" s="83" t="str">
        <f aca="false">IF(OR(N301="",N(H301)=0),"",N301/H301)</f>
        <v/>
      </c>
      <c r="Q301" s="25"/>
    </row>
    <row r="302" customFormat="false" ht="15" hidden="false" customHeight="false" outlineLevel="0" collapsed="false">
      <c r="A302" s="69"/>
      <c r="B302" s="68"/>
      <c r="C302" s="76" t="str">
        <f aca="false">IF(B302="","",IFERROR(INDEX(EN_Des,MATCH(B302,EN_Code,0)),"Code inconnu"))</f>
        <v/>
      </c>
      <c r="D302" s="25"/>
      <c r="E302" s="25"/>
      <c r="F302" s="82"/>
      <c r="G302" s="82"/>
      <c r="H302" s="83" t="str">
        <f aca="false">IF(OR(F302="",G302=""),"",G302-F302)</f>
        <v/>
      </c>
      <c r="I302" s="82"/>
      <c r="J302" s="82"/>
      <c r="K302" s="28"/>
      <c r="L302" s="90" t="str">
        <f aca="false">IF(OR(K302="",N(H302)=0),"",K302/H302)</f>
        <v/>
      </c>
      <c r="M302" s="68"/>
      <c r="N302" s="28"/>
      <c r="O302" s="25"/>
      <c r="P302" s="83" t="str">
        <f aca="false">IF(OR(N302="",N(H302)=0),"",N302/H302)</f>
        <v/>
      </c>
      <c r="Q302" s="25"/>
    </row>
    <row r="303" customFormat="false" ht="15" hidden="false" customHeight="false" outlineLevel="0" collapsed="false">
      <c r="A303" s="69"/>
      <c r="B303" s="68"/>
      <c r="C303" s="76" t="str">
        <f aca="false">IF(B303="","",IFERROR(INDEX(EN_Des,MATCH(B303,EN_Code,0)),"Code inconnu"))</f>
        <v/>
      </c>
      <c r="D303" s="25"/>
      <c r="E303" s="25"/>
      <c r="F303" s="82"/>
      <c r="G303" s="82"/>
      <c r="H303" s="83" t="str">
        <f aca="false">IF(OR(F303="",G303=""),"",G303-F303)</f>
        <v/>
      </c>
      <c r="I303" s="82"/>
      <c r="J303" s="82"/>
      <c r="K303" s="28"/>
      <c r="L303" s="90" t="str">
        <f aca="false">IF(OR(K303="",N(H303)=0),"",K303/H303)</f>
        <v/>
      </c>
      <c r="M303" s="68"/>
      <c r="N303" s="28"/>
      <c r="O303" s="25"/>
      <c r="P303" s="83" t="str">
        <f aca="false">IF(OR(N303="",N(H303)=0),"",N303/H303)</f>
        <v/>
      </c>
      <c r="Q303" s="25"/>
    </row>
    <row r="304" customFormat="false" ht="15" hidden="false" customHeight="false" outlineLevel="0" collapsed="false">
      <c r="A304" s="69"/>
      <c r="B304" s="68"/>
      <c r="C304" s="76" t="str">
        <f aca="false">IF(B304="","",IFERROR(INDEX(EN_Des,MATCH(B304,EN_Code,0)),"Code inconnu"))</f>
        <v/>
      </c>
      <c r="D304" s="25"/>
      <c r="E304" s="25"/>
      <c r="F304" s="82"/>
      <c r="G304" s="82"/>
      <c r="H304" s="83" t="str">
        <f aca="false">IF(OR(F304="",G304=""),"",G304-F304)</f>
        <v/>
      </c>
      <c r="I304" s="82"/>
      <c r="J304" s="82"/>
      <c r="K304" s="28"/>
      <c r="L304" s="90" t="str">
        <f aca="false">IF(OR(K304="",N(H304)=0),"",K304/H304)</f>
        <v/>
      </c>
      <c r="M304" s="68"/>
      <c r="N304" s="28"/>
      <c r="O304" s="25"/>
      <c r="P304" s="83" t="str">
        <f aca="false">IF(OR(N304="",N(H304)=0),"",N304/H304)</f>
        <v/>
      </c>
      <c r="Q304" s="25"/>
    </row>
    <row r="305" customFormat="false" ht="15" hidden="false" customHeight="false" outlineLevel="0" collapsed="false">
      <c r="A305" s="69"/>
      <c r="B305" s="68"/>
      <c r="C305" s="76" t="str">
        <f aca="false">IF(B305="","",IFERROR(INDEX(EN_Des,MATCH(B305,EN_Code,0)),"Code inconnu"))</f>
        <v/>
      </c>
      <c r="D305" s="25"/>
      <c r="E305" s="25"/>
      <c r="F305" s="82"/>
      <c r="G305" s="82"/>
      <c r="H305" s="83" t="str">
        <f aca="false">IF(OR(F305="",G305=""),"",G305-F305)</f>
        <v/>
      </c>
      <c r="I305" s="82"/>
      <c r="J305" s="82"/>
      <c r="K305" s="28"/>
      <c r="L305" s="90" t="str">
        <f aca="false">IF(OR(K305="",N(H305)=0),"",K305/H305)</f>
        <v/>
      </c>
      <c r="M305" s="68"/>
      <c r="N305" s="28"/>
      <c r="O305" s="25"/>
      <c r="P305" s="83" t="str">
        <f aca="false">IF(OR(N305="",N(H305)=0),"",N305/H305)</f>
        <v/>
      </c>
      <c r="Q305" s="25"/>
    </row>
    <row r="306" customFormat="false" ht="15" hidden="false" customHeight="false" outlineLevel="0" collapsed="false">
      <c r="A306" s="69"/>
      <c r="B306" s="68"/>
      <c r="C306" s="76" t="str">
        <f aca="false">IF(B306="","",IFERROR(INDEX(EN_Des,MATCH(B306,EN_Code,0)),"Code inconnu"))</f>
        <v/>
      </c>
      <c r="D306" s="25"/>
      <c r="E306" s="25"/>
      <c r="F306" s="82"/>
      <c r="G306" s="82"/>
      <c r="H306" s="83" t="str">
        <f aca="false">IF(OR(F306="",G306=""),"",G306-F306)</f>
        <v/>
      </c>
      <c r="I306" s="82"/>
      <c r="J306" s="82"/>
      <c r="K306" s="28"/>
      <c r="L306" s="90" t="str">
        <f aca="false">IF(OR(K306="",N(H306)=0),"",K306/H306)</f>
        <v/>
      </c>
      <c r="M306" s="68"/>
      <c r="N306" s="28"/>
      <c r="O306" s="25"/>
      <c r="P306" s="83" t="str">
        <f aca="false">IF(OR(N306="",N(H306)=0),"",N306/H306)</f>
        <v/>
      </c>
      <c r="Q306" s="25"/>
    </row>
    <row r="307" customFormat="false" ht="15" hidden="false" customHeight="false" outlineLevel="0" collapsed="false">
      <c r="A307" s="69"/>
      <c r="B307" s="68"/>
      <c r="C307" s="76" t="str">
        <f aca="false">IF(B307="","",IFERROR(INDEX(EN_Des,MATCH(B307,EN_Code,0)),"Code inconnu"))</f>
        <v/>
      </c>
      <c r="D307" s="25"/>
      <c r="E307" s="25"/>
      <c r="F307" s="82"/>
      <c r="G307" s="82"/>
      <c r="H307" s="83" t="str">
        <f aca="false">IF(OR(F307="",G307=""),"",G307-F307)</f>
        <v/>
      </c>
      <c r="I307" s="82"/>
      <c r="J307" s="82"/>
      <c r="K307" s="28"/>
      <c r="L307" s="90" t="str">
        <f aca="false">IF(OR(K307="",N(H307)=0),"",K307/H307)</f>
        <v/>
      </c>
      <c r="M307" s="68"/>
      <c r="N307" s="28"/>
      <c r="O307" s="25"/>
      <c r="P307" s="83" t="str">
        <f aca="false">IF(OR(N307="",N(H307)=0),"",N307/H307)</f>
        <v/>
      </c>
      <c r="Q307" s="25"/>
    </row>
    <row r="308" customFormat="false" ht="15" hidden="false" customHeight="false" outlineLevel="0" collapsed="false">
      <c r="A308" s="69"/>
      <c r="B308" s="68"/>
      <c r="C308" s="76" t="str">
        <f aca="false">IF(B308="","",IFERROR(INDEX(EN_Des,MATCH(B308,EN_Code,0)),"Code inconnu"))</f>
        <v/>
      </c>
      <c r="D308" s="25"/>
      <c r="E308" s="25"/>
      <c r="F308" s="82"/>
      <c r="G308" s="82"/>
      <c r="H308" s="83" t="str">
        <f aca="false">IF(OR(F308="",G308=""),"",G308-F308)</f>
        <v/>
      </c>
      <c r="I308" s="82"/>
      <c r="J308" s="82"/>
      <c r="K308" s="28"/>
      <c r="L308" s="90" t="str">
        <f aca="false">IF(OR(K308="",N(H308)=0),"",K308/H308)</f>
        <v/>
      </c>
      <c r="M308" s="68"/>
      <c r="N308" s="28"/>
      <c r="O308" s="25"/>
      <c r="P308" s="83" t="str">
        <f aca="false">IF(OR(N308="",N(H308)=0),"",N308/H308)</f>
        <v/>
      </c>
      <c r="Q308" s="25"/>
    </row>
    <row r="309" customFormat="false" ht="15" hidden="false" customHeight="false" outlineLevel="0" collapsed="false">
      <c r="A309" s="69"/>
      <c r="B309" s="68"/>
      <c r="C309" s="76" t="str">
        <f aca="false">IF(B309="","",IFERROR(INDEX(EN_Des,MATCH(B309,EN_Code,0)),"Code inconnu"))</f>
        <v/>
      </c>
      <c r="D309" s="25"/>
      <c r="E309" s="25"/>
      <c r="F309" s="82"/>
      <c r="G309" s="82"/>
      <c r="H309" s="83" t="str">
        <f aca="false">IF(OR(F309="",G309=""),"",G309-F309)</f>
        <v/>
      </c>
      <c r="I309" s="82"/>
      <c r="J309" s="82"/>
      <c r="K309" s="28"/>
      <c r="L309" s="90" t="str">
        <f aca="false">IF(OR(K309="",N(H309)=0),"",K309/H309)</f>
        <v/>
      </c>
      <c r="M309" s="68"/>
      <c r="N309" s="28"/>
      <c r="O309" s="25"/>
      <c r="P309" s="83" t="str">
        <f aca="false">IF(OR(N309="",N(H309)=0),"",N309/H309)</f>
        <v/>
      </c>
      <c r="Q309" s="25"/>
    </row>
    <row r="310" customFormat="false" ht="15" hidden="false" customHeight="false" outlineLevel="0" collapsed="false">
      <c r="A310" s="69"/>
      <c r="B310" s="68"/>
      <c r="C310" s="76" t="str">
        <f aca="false">IF(B310="","",IFERROR(INDEX(EN_Des,MATCH(B310,EN_Code,0)),"Code inconnu"))</f>
        <v/>
      </c>
      <c r="D310" s="25"/>
      <c r="E310" s="25"/>
      <c r="F310" s="82"/>
      <c r="G310" s="82"/>
      <c r="H310" s="83" t="str">
        <f aca="false">IF(OR(F310="",G310=""),"",G310-F310)</f>
        <v/>
      </c>
      <c r="I310" s="82"/>
      <c r="J310" s="82"/>
      <c r="K310" s="28"/>
      <c r="L310" s="90" t="str">
        <f aca="false">IF(OR(K310="",N(H310)=0),"",K310/H310)</f>
        <v/>
      </c>
      <c r="M310" s="68"/>
      <c r="N310" s="28"/>
      <c r="O310" s="25"/>
      <c r="P310" s="83" t="str">
        <f aca="false">IF(OR(N310="",N(H310)=0),"",N310/H310)</f>
        <v/>
      </c>
      <c r="Q310" s="25"/>
    </row>
    <row r="311" customFormat="false" ht="15" hidden="false" customHeight="false" outlineLevel="0" collapsed="false">
      <c r="A311" s="69"/>
      <c r="B311" s="68"/>
      <c r="C311" s="76" t="str">
        <f aca="false">IF(B311="","",IFERROR(INDEX(EN_Des,MATCH(B311,EN_Code,0)),"Code inconnu"))</f>
        <v/>
      </c>
      <c r="D311" s="25"/>
      <c r="E311" s="25"/>
      <c r="F311" s="82"/>
      <c r="G311" s="82"/>
      <c r="H311" s="83" t="str">
        <f aca="false">IF(OR(F311="",G311=""),"",G311-F311)</f>
        <v/>
      </c>
      <c r="I311" s="82"/>
      <c r="J311" s="82"/>
      <c r="K311" s="28"/>
      <c r="L311" s="90" t="str">
        <f aca="false">IF(OR(K311="",N(H311)=0),"",K311/H311)</f>
        <v/>
      </c>
      <c r="M311" s="68"/>
      <c r="N311" s="28"/>
      <c r="O311" s="25"/>
      <c r="P311" s="83" t="str">
        <f aca="false">IF(OR(N311="",N(H311)=0),"",N311/H311)</f>
        <v/>
      </c>
      <c r="Q311" s="25"/>
    </row>
    <row r="312" customFormat="false" ht="15" hidden="false" customHeight="false" outlineLevel="0" collapsed="false">
      <c r="A312" s="69"/>
      <c r="B312" s="68"/>
      <c r="C312" s="76" t="str">
        <f aca="false">IF(B312="","",IFERROR(INDEX(EN_Des,MATCH(B312,EN_Code,0)),"Code inconnu"))</f>
        <v/>
      </c>
      <c r="D312" s="25"/>
      <c r="E312" s="25"/>
      <c r="F312" s="82"/>
      <c r="G312" s="82"/>
      <c r="H312" s="83" t="str">
        <f aca="false">IF(OR(F312="",G312=""),"",G312-F312)</f>
        <v/>
      </c>
      <c r="I312" s="82"/>
      <c r="J312" s="82"/>
      <c r="K312" s="28"/>
      <c r="L312" s="90" t="str">
        <f aca="false">IF(OR(K312="",N(H312)=0),"",K312/H312)</f>
        <v/>
      </c>
      <c r="M312" s="68"/>
      <c r="N312" s="28"/>
      <c r="O312" s="25"/>
      <c r="P312" s="83" t="str">
        <f aca="false">IF(OR(N312="",N(H312)=0),"",N312/H312)</f>
        <v/>
      </c>
      <c r="Q312" s="25"/>
    </row>
    <row r="313" customFormat="false" ht="15" hidden="false" customHeight="false" outlineLevel="0" collapsed="false">
      <c r="A313" s="69"/>
      <c r="B313" s="68"/>
      <c r="C313" s="76" t="str">
        <f aca="false">IF(B313="","",IFERROR(INDEX(EN_Des,MATCH(B313,EN_Code,0)),"Code inconnu"))</f>
        <v/>
      </c>
      <c r="D313" s="25"/>
      <c r="E313" s="25"/>
      <c r="F313" s="82"/>
      <c r="G313" s="82"/>
      <c r="H313" s="83" t="str">
        <f aca="false">IF(OR(F313="",G313=""),"",G313-F313)</f>
        <v/>
      </c>
      <c r="I313" s="82"/>
      <c r="J313" s="82"/>
      <c r="K313" s="28"/>
      <c r="L313" s="90" t="str">
        <f aca="false">IF(OR(K313="",N(H313)=0),"",K313/H313)</f>
        <v/>
      </c>
      <c r="M313" s="68"/>
      <c r="N313" s="28"/>
      <c r="O313" s="25"/>
      <c r="P313" s="83" t="str">
        <f aca="false">IF(OR(N313="",N(H313)=0),"",N313/H313)</f>
        <v/>
      </c>
      <c r="Q313" s="25"/>
    </row>
    <row r="314" customFormat="false" ht="15" hidden="false" customHeight="false" outlineLevel="0" collapsed="false">
      <c r="A314" s="69"/>
      <c r="B314" s="68"/>
      <c r="C314" s="76" t="str">
        <f aca="false">IF(B314="","",IFERROR(INDEX(EN_Des,MATCH(B314,EN_Code,0)),"Code inconnu"))</f>
        <v/>
      </c>
      <c r="D314" s="25"/>
      <c r="E314" s="25"/>
      <c r="F314" s="82"/>
      <c r="G314" s="82"/>
      <c r="H314" s="83" t="str">
        <f aca="false">IF(OR(F314="",G314=""),"",G314-F314)</f>
        <v/>
      </c>
      <c r="I314" s="82"/>
      <c r="J314" s="82"/>
      <c r="K314" s="28"/>
      <c r="L314" s="90" t="str">
        <f aca="false">IF(OR(K314="",N(H314)=0),"",K314/H314)</f>
        <v/>
      </c>
      <c r="M314" s="68"/>
      <c r="N314" s="28"/>
      <c r="O314" s="25"/>
      <c r="P314" s="83" t="str">
        <f aca="false">IF(OR(N314="",N(H314)=0),"",N314/H314)</f>
        <v/>
      </c>
      <c r="Q314" s="25"/>
    </row>
    <row r="315" customFormat="false" ht="15" hidden="false" customHeight="false" outlineLevel="0" collapsed="false">
      <c r="A315" s="69"/>
      <c r="B315" s="68"/>
      <c r="C315" s="76" t="str">
        <f aca="false">IF(B315="","",IFERROR(INDEX(EN_Des,MATCH(B315,EN_Code,0)),"Code inconnu"))</f>
        <v/>
      </c>
      <c r="D315" s="25"/>
      <c r="E315" s="25"/>
      <c r="F315" s="82"/>
      <c r="G315" s="82"/>
      <c r="H315" s="83" t="str">
        <f aca="false">IF(OR(F315="",G315=""),"",G315-F315)</f>
        <v/>
      </c>
      <c r="I315" s="82"/>
      <c r="J315" s="82"/>
      <c r="K315" s="28"/>
      <c r="L315" s="90" t="str">
        <f aca="false">IF(OR(K315="",N(H315)=0),"",K315/H315)</f>
        <v/>
      </c>
      <c r="M315" s="68"/>
      <c r="N315" s="28"/>
      <c r="O315" s="25"/>
      <c r="P315" s="83" t="str">
        <f aca="false">IF(OR(N315="",N(H315)=0),"",N315/H315)</f>
        <v/>
      </c>
      <c r="Q315" s="25"/>
    </row>
    <row r="316" customFormat="false" ht="15" hidden="false" customHeight="false" outlineLevel="0" collapsed="false">
      <c r="A316" s="69"/>
      <c r="B316" s="68"/>
      <c r="C316" s="76" t="str">
        <f aca="false">IF(B316="","",IFERROR(INDEX(EN_Des,MATCH(B316,EN_Code,0)),"Code inconnu"))</f>
        <v/>
      </c>
      <c r="D316" s="25"/>
      <c r="E316" s="25"/>
      <c r="F316" s="82"/>
      <c r="G316" s="82"/>
      <c r="H316" s="83" t="str">
        <f aca="false">IF(OR(F316="",G316=""),"",G316-F316)</f>
        <v/>
      </c>
      <c r="I316" s="82"/>
      <c r="J316" s="82"/>
      <c r="K316" s="28"/>
      <c r="L316" s="90" t="str">
        <f aca="false">IF(OR(K316="",N(H316)=0),"",K316/H316)</f>
        <v/>
      </c>
      <c r="M316" s="68"/>
      <c r="N316" s="28"/>
      <c r="O316" s="25"/>
      <c r="P316" s="83" t="str">
        <f aca="false">IF(OR(N316="",N(H316)=0),"",N316/H316)</f>
        <v/>
      </c>
      <c r="Q316" s="25"/>
    </row>
    <row r="317" customFormat="false" ht="15" hidden="false" customHeight="false" outlineLevel="0" collapsed="false">
      <c r="A317" s="69"/>
      <c r="B317" s="68"/>
      <c r="C317" s="76" t="str">
        <f aca="false">IF(B317="","",IFERROR(INDEX(EN_Des,MATCH(B317,EN_Code,0)),"Code inconnu"))</f>
        <v/>
      </c>
      <c r="D317" s="25"/>
      <c r="E317" s="25"/>
      <c r="F317" s="82"/>
      <c r="G317" s="82"/>
      <c r="H317" s="83" t="str">
        <f aca="false">IF(OR(F317="",G317=""),"",G317-F317)</f>
        <v/>
      </c>
      <c r="I317" s="82"/>
      <c r="J317" s="82"/>
      <c r="K317" s="28"/>
      <c r="L317" s="90" t="str">
        <f aca="false">IF(OR(K317="",N(H317)=0),"",K317/H317)</f>
        <v/>
      </c>
      <c r="M317" s="68"/>
      <c r="N317" s="28"/>
      <c r="O317" s="25"/>
      <c r="P317" s="83" t="str">
        <f aca="false">IF(OR(N317="",N(H317)=0),"",N317/H317)</f>
        <v/>
      </c>
      <c r="Q317" s="25"/>
    </row>
    <row r="318" customFormat="false" ht="15" hidden="false" customHeight="false" outlineLevel="0" collapsed="false">
      <c r="A318" s="69"/>
      <c r="B318" s="68"/>
      <c r="C318" s="76" t="str">
        <f aca="false">IF(B318="","",IFERROR(INDEX(EN_Des,MATCH(B318,EN_Code,0)),"Code inconnu"))</f>
        <v/>
      </c>
      <c r="D318" s="25"/>
      <c r="E318" s="25"/>
      <c r="F318" s="82"/>
      <c r="G318" s="82"/>
      <c r="H318" s="83" t="str">
        <f aca="false">IF(OR(F318="",G318=""),"",G318-F318)</f>
        <v/>
      </c>
      <c r="I318" s="82"/>
      <c r="J318" s="82"/>
      <c r="K318" s="28"/>
      <c r="L318" s="90" t="str">
        <f aca="false">IF(OR(K318="",N(H318)=0),"",K318/H318)</f>
        <v/>
      </c>
      <c r="M318" s="68"/>
      <c r="N318" s="28"/>
      <c r="O318" s="25"/>
      <c r="P318" s="83" t="str">
        <f aca="false">IF(OR(N318="",N(H318)=0),"",N318/H318)</f>
        <v/>
      </c>
      <c r="Q318" s="25"/>
    </row>
    <row r="319" customFormat="false" ht="15" hidden="false" customHeight="false" outlineLevel="0" collapsed="false">
      <c r="A319" s="69"/>
      <c r="B319" s="68"/>
      <c r="C319" s="76" t="str">
        <f aca="false">IF(B319="","",IFERROR(INDEX(EN_Des,MATCH(B319,EN_Code,0)),"Code inconnu"))</f>
        <v/>
      </c>
      <c r="D319" s="25"/>
      <c r="E319" s="25"/>
      <c r="F319" s="82"/>
      <c r="G319" s="82"/>
      <c r="H319" s="83" t="str">
        <f aca="false">IF(OR(F319="",G319=""),"",G319-F319)</f>
        <v/>
      </c>
      <c r="I319" s="82"/>
      <c r="J319" s="82"/>
      <c r="K319" s="28"/>
      <c r="L319" s="90" t="str">
        <f aca="false">IF(OR(K319="",N(H319)=0),"",K319/H319)</f>
        <v/>
      </c>
      <c r="M319" s="68"/>
      <c r="N319" s="28"/>
      <c r="O319" s="25"/>
      <c r="P319" s="83" t="str">
        <f aca="false">IF(OR(N319="",N(H319)=0),"",N319/H319)</f>
        <v/>
      </c>
      <c r="Q319" s="25"/>
    </row>
    <row r="320" customFormat="false" ht="15" hidden="false" customHeight="false" outlineLevel="0" collapsed="false">
      <c r="A320" s="69"/>
      <c r="B320" s="68"/>
      <c r="C320" s="76" t="str">
        <f aca="false">IF(B320="","",IFERROR(INDEX(EN_Des,MATCH(B320,EN_Code,0)),"Code inconnu"))</f>
        <v/>
      </c>
      <c r="D320" s="25"/>
      <c r="E320" s="25"/>
      <c r="F320" s="82"/>
      <c r="G320" s="82"/>
      <c r="H320" s="83" t="str">
        <f aca="false">IF(OR(F320="",G320=""),"",G320-F320)</f>
        <v/>
      </c>
      <c r="I320" s="82"/>
      <c r="J320" s="82"/>
      <c r="K320" s="28"/>
      <c r="L320" s="90" t="str">
        <f aca="false">IF(OR(K320="",N(H320)=0),"",K320/H320)</f>
        <v/>
      </c>
      <c r="M320" s="68"/>
      <c r="N320" s="28"/>
      <c r="O320" s="25"/>
      <c r="P320" s="83" t="str">
        <f aca="false">IF(OR(N320="",N(H320)=0),"",N320/H320)</f>
        <v/>
      </c>
      <c r="Q320" s="25"/>
    </row>
    <row r="321" customFormat="false" ht="15" hidden="false" customHeight="false" outlineLevel="0" collapsed="false">
      <c r="A321" s="69"/>
      <c r="B321" s="68"/>
      <c r="C321" s="76" t="str">
        <f aca="false">IF(B321="","",IFERROR(INDEX(EN_Des,MATCH(B321,EN_Code,0)),"Code inconnu"))</f>
        <v/>
      </c>
      <c r="D321" s="25"/>
      <c r="E321" s="25"/>
      <c r="F321" s="82"/>
      <c r="G321" s="82"/>
      <c r="H321" s="83" t="str">
        <f aca="false">IF(OR(F321="",G321=""),"",G321-F321)</f>
        <v/>
      </c>
      <c r="I321" s="82"/>
      <c r="J321" s="82"/>
      <c r="K321" s="28"/>
      <c r="L321" s="90" t="str">
        <f aca="false">IF(OR(K321="",N(H321)=0),"",K321/H321)</f>
        <v/>
      </c>
      <c r="M321" s="68"/>
      <c r="N321" s="28"/>
      <c r="O321" s="25"/>
      <c r="P321" s="83" t="str">
        <f aca="false">IF(OR(N321="",N(H321)=0),"",N321/H321)</f>
        <v/>
      </c>
      <c r="Q321" s="25"/>
    </row>
    <row r="322" customFormat="false" ht="15" hidden="false" customHeight="false" outlineLevel="0" collapsed="false">
      <c r="A322" s="69"/>
      <c r="B322" s="68"/>
      <c r="C322" s="76" t="str">
        <f aca="false">IF(B322="","",IFERROR(INDEX(EN_Des,MATCH(B322,EN_Code,0)),"Code inconnu"))</f>
        <v/>
      </c>
      <c r="D322" s="25"/>
      <c r="E322" s="25"/>
      <c r="F322" s="82"/>
      <c r="G322" s="82"/>
      <c r="H322" s="83" t="str">
        <f aca="false">IF(OR(F322="",G322=""),"",G322-F322)</f>
        <v/>
      </c>
      <c r="I322" s="82"/>
      <c r="J322" s="82"/>
      <c r="K322" s="28"/>
      <c r="L322" s="90" t="str">
        <f aca="false">IF(OR(K322="",N(H322)=0),"",K322/H322)</f>
        <v/>
      </c>
      <c r="M322" s="68"/>
      <c r="N322" s="28"/>
      <c r="O322" s="25"/>
      <c r="P322" s="83" t="str">
        <f aca="false">IF(OR(N322="",N(H322)=0),"",N322/H322)</f>
        <v/>
      </c>
      <c r="Q322" s="25"/>
    </row>
    <row r="323" customFormat="false" ht="15" hidden="false" customHeight="false" outlineLevel="0" collapsed="false">
      <c r="A323" s="69"/>
      <c r="B323" s="68"/>
      <c r="C323" s="76" t="str">
        <f aca="false">IF(B323="","",IFERROR(INDEX(EN_Des,MATCH(B323,EN_Code,0)),"Code inconnu"))</f>
        <v/>
      </c>
      <c r="D323" s="25"/>
      <c r="E323" s="25"/>
      <c r="F323" s="82"/>
      <c r="G323" s="82"/>
      <c r="H323" s="83" t="str">
        <f aca="false">IF(OR(F323="",G323=""),"",G323-F323)</f>
        <v/>
      </c>
      <c r="I323" s="82"/>
      <c r="J323" s="82"/>
      <c r="K323" s="28"/>
      <c r="L323" s="90" t="str">
        <f aca="false">IF(OR(K323="",N(H323)=0),"",K323/H323)</f>
        <v/>
      </c>
      <c r="M323" s="68"/>
      <c r="N323" s="28"/>
      <c r="O323" s="25"/>
      <c r="P323" s="83" t="str">
        <f aca="false">IF(OR(N323="",N(H323)=0),"",N323/H323)</f>
        <v/>
      </c>
      <c r="Q323" s="25"/>
    </row>
    <row r="324" customFormat="false" ht="15" hidden="false" customHeight="false" outlineLevel="0" collapsed="false">
      <c r="A324" s="69"/>
      <c r="B324" s="68"/>
      <c r="C324" s="76" t="str">
        <f aca="false">IF(B324="","",IFERROR(INDEX(EN_Des,MATCH(B324,EN_Code,0)),"Code inconnu"))</f>
        <v/>
      </c>
      <c r="D324" s="25"/>
      <c r="E324" s="25"/>
      <c r="F324" s="82"/>
      <c r="G324" s="82"/>
      <c r="H324" s="83" t="str">
        <f aca="false">IF(OR(F324="",G324=""),"",G324-F324)</f>
        <v/>
      </c>
      <c r="I324" s="82"/>
      <c r="J324" s="82"/>
      <c r="K324" s="28"/>
      <c r="L324" s="90" t="str">
        <f aca="false">IF(OR(K324="",N(H324)=0),"",K324/H324)</f>
        <v/>
      </c>
      <c r="M324" s="68"/>
      <c r="N324" s="28"/>
      <c r="O324" s="25"/>
      <c r="P324" s="83" t="str">
        <f aca="false">IF(OR(N324="",N(H324)=0),"",N324/H324)</f>
        <v/>
      </c>
      <c r="Q324" s="25"/>
    </row>
    <row r="325" customFormat="false" ht="15" hidden="false" customHeight="false" outlineLevel="0" collapsed="false">
      <c r="A325" s="69"/>
      <c r="B325" s="68"/>
      <c r="C325" s="76" t="str">
        <f aca="false">IF(B325="","",IFERROR(INDEX(EN_Des,MATCH(B325,EN_Code,0)),"Code inconnu"))</f>
        <v/>
      </c>
      <c r="D325" s="25"/>
      <c r="E325" s="25"/>
      <c r="F325" s="82"/>
      <c r="G325" s="82"/>
      <c r="H325" s="83" t="str">
        <f aca="false">IF(OR(F325="",G325=""),"",G325-F325)</f>
        <v/>
      </c>
      <c r="I325" s="82"/>
      <c r="J325" s="82"/>
      <c r="K325" s="28"/>
      <c r="L325" s="90" t="str">
        <f aca="false">IF(OR(K325="",N(H325)=0),"",K325/H325)</f>
        <v/>
      </c>
      <c r="M325" s="68"/>
      <c r="N325" s="28"/>
      <c r="O325" s="25"/>
      <c r="P325" s="83" t="str">
        <f aca="false">IF(OR(N325="",N(H325)=0),"",N325/H325)</f>
        <v/>
      </c>
      <c r="Q325" s="25"/>
    </row>
    <row r="326" customFormat="false" ht="15" hidden="false" customHeight="false" outlineLevel="0" collapsed="false">
      <c r="A326" s="69"/>
      <c r="B326" s="68"/>
      <c r="C326" s="76" t="str">
        <f aca="false">IF(B326="","",IFERROR(INDEX(EN_Des,MATCH(B326,EN_Code,0)),"Code inconnu"))</f>
        <v/>
      </c>
      <c r="D326" s="25"/>
      <c r="E326" s="25"/>
      <c r="F326" s="82"/>
      <c r="G326" s="82"/>
      <c r="H326" s="83" t="str">
        <f aca="false">IF(OR(F326="",G326=""),"",G326-F326)</f>
        <v/>
      </c>
      <c r="I326" s="82"/>
      <c r="J326" s="82"/>
      <c r="K326" s="28"/>
      <c r="L326" s="90" t="str">
        <f aca="false">IF(OR(K326="",N(H326)=0),"",K326/H326)</f>
        <v/>
      </c>
      <c r="M326" s="68"/>
      <c r="N326" s="28"/>
      <c r="O326" s="25"/>
      <c r="P326" s="83" t="str">
        <f aca="false">IF(OR(N326="",N(H326)=0),"",N326/H326)</f>
        <v/>
      </c>
      <c r="Q326" s="25"/>
    </row>
    <row r="327" customFormat="false" ht="15" hidden="false" customHeight="false" outlineLevel="0" collapsed="false">
      <c r="A327" s="69"/>
      <c r="B327" s="68"/>
      <c r="C327" s="76" t="str">
        <f aca="false">IF(B327="","",IFERROR(INDEX(EN_Des,MATCH(B327,EN_Code,0)),"Code inconnu"))</f>
        <v/>
      </c>
      <c r="D327" s="25"/>
      <c r="E327" s="25"/>
      <c r="F327" s="82"/>
      <c r="G327" s="82"/>
      <c r="H327" s="83" t="str">
        <f aca="false">IF(OR(F327="",G327=""),"",G327-F327)</f>
        <v/>
      </c>
      <c r="I327" s="82"/>
      <c r="J327" s="82"/>
      <c r="K327" s="28"/>
      <c r="L327" s="90" t="str">
        <f aca="false">IF(OR(K327="",N(H327)=0),"",K327/H327)</f>
        <v/>
      </c>
      <c r="M327" s="68"/>
      <c r="N327" s="28"/>
      <c r="O327" s="25"/>
      <c r="P327" s="83" t="str">
        <f aca="false">IF(OR(N327="",N(H327)=0),"",N327/H327)</f>
        <v/>
      </c>
      <c r="Q327" s="25"/>
    </row>
    <row r="328" customFormat="false" ht="15" hidden="false" customHeight="false" outlineLevel="0" collapsed="false">
      <c r="A328" s="69"/>
      <c r="B328" s="68"/>
      <c r="C328" s="76" t="str">
        <f aca="false">IF(B328="","",IFERROR(INDEX(EN_Des,MATCH(B328,EN_Code,0)),"Code inconnu"))</f>
        <v/>
      </c>
      <c r="D328" s="25"/>
      <c r="E328" s="25"/>
      <c r="F328" s="82"/>
      <c r="G328" s="82"/>
      <c r="H328" s="83" t="str">
        <f aca="false">IF(OR(F328="",G328=""),"",G328-F328)</f>
        <v/>
      </c>
      <c r="I328" s="82"/>
      <c r="J328" s="82"/>
      <c r="K328" s="28"/>
      <c r="L328" s="90" t="str">
        <f aca="false">IF(OR(K328="",N(H328)=0),"",K328/H328)</f>
        <v/>
      </c>
      <c r="M328" s="68"/>
      <c r="N328" s="28"/>
      <c r="O328" s="25"/>
      <c r="P328" s="83" t="str">
        <f aca="false">IF(OR(N328="",N(H328)=0),"",N328/H328)</f>
        <v/>
      </c>
      <c r="Q328" s="25"/>
    </row>
    <row r="329" customFormat="false" ht="15" hidden="false" customHeight="false" outlineLevel="0" collapsed="false">
      <c r="A329" s="69"/>
      <c r="B329" s="68"/>
      <c r="C329" s="76" t="str">
        <f aca="false">IF(B329="","",IFERROR(INDEX(EN_Des,MATCH(B329,EN_Code,0)),"Code inconnu"))</f>
        <v/>
      </c>
      <c r="D329" s="25"/>
      <c r="E329" s="25"/>
      <c r="F329" s="82"/>
      <c r="G329" s="82"/>
      <c r="H329" s="83" t="str">
        <f aca="false">IF(OR(F329="",G329=""),"",G329-F329)</f>
        <v/>
      </c>
      <c r="I329" s="82"/>
      <c r="J329" s="82"/>
      <c r="K329" s="28"/>
      <c r="L329" s="90" t="str">
        <f aca="false">IF(OR(K329="",N(H329)=0),"",K329/H329)</f>
        <v/>
      </c>
      <c r="M329" s="68"/>
      <c r="N329" s="28"/>
      <c r="O329" s="25"/>
      <c r="P329" s="83" t="str">
        <f aca="false">IF(OR(N329="",N(H329)=0),"",N329/H329)</f>
        <v/>
      </c>
      <c r="Q329" s="25"/>
    </row>
    <row r="330" customFormat="false" ht="15" hidden="false" customHeight="false" outlineLevel="0" collapsed="false">
      <c r="A330" s="69"/>
      <c r="B330" s="68"/>
      <c r="C330" s="76" t="str">
        <f aca="false">IF(B330="","",IFERROR(INDEX(EN_Des,MATCH(B330,EN_Code,0)),"Code inconnu"))</f>
        <v/>
      </c>
      <c r="D330" s="25"/>
      <c r="E330" s="25"/>
      <c r="F330" s="82"/>
      <c r="G330" s="82"/>
      <c r="H330" s="83" t="str">
        <f aca="false">IF(OR(F330="",G330=""),"",G330-F330)</f>
        <v/>
      </c>
      <c r="I330" s="82"/>
      <c r="J330" s="82"/>
      <c r="K330" s="28"/>
      <c r="L330" s="90" t="str">
        <f aca="false">IF(OR(K330="",N(H330)=0),"",K330/H330)</f>
        <v/>
      </c>
      <c r="M330" s="68"/>
      <c r="N330" s="28"/>
      <c r="O330" s="25"/>
      <c r="P330" s="83" t="str">
        <f aca="false">IF(OR(N330="",N(H330)=0),"",N330/H330)</f>
        <v/>
      </c>
      <c r="Q330" s="25"/>
    </row>
    <row r="331" customFormat="false" ht="15" hidden="false" customHeight="false" outlineLevel="0" collapsed="false">
      <c r="A331" s="69"/>
      <c r="B331" s="68"/>
      <c r="C331" s="76" t="str">
        <f aca="false">IF(B331="","",IFERROR(INDEX(EN_Des,MATCH(B331,EN_Code,0)),"Code inconnu"))</f>
        <v/>
      </c>
      <c r="D331" s="25"/>
      <c r="E331" s="25"/>
      <c r="F331" s="82"/>
      <c r="G331" s="82"/>
      <c r="H331" s="83" t="str">
        <f aca="false">IF(OR(F331="",G331=""),"",G331-F331)</f>
        <v/>
      </c>
      <c r="I331" s="82"/>
      <c r="J331" s="82"/>
      <c r="K331" s="28"/>
      <c r="L331" s="90" t="str">
        <f aca="false">IF(OR(K331="",N(H331)=0),"",K331/H331)</f>
        <v/>
      </c>
      <c r="M331" s="68"/>
      <c r="N331" s="28"/>
      <c r="O331" s="25"/>
      <c r="P331" s="83" t="str">
        <f aca="false">IF(OR(N331="",N(H331)=0),"",N331/H331)</f>
        <v/>
      </c>
      <c r="Q331" s="25"/>
    </row>
    <row r="332" customFormat="false" ht="15" hidden="false" customHeight="false" outlineLevel="0" collapsed="false">
      <c r="A332" s="69"/>
      <c r="B332" s="68"/>
      <c r="C332" s="76" t="str">
        <f aca="false">IF(B332="","",IFERROR(INDEX(EN_Des,MATCH(B332,EN_Code,0)),"Code inconnu"))</f>
        <v/>
      </c>
      <c r="D332" s="25"/>
      <c r="E332" s="25"/>
      <c r="F332" s="82"/>
      <c r="G332" s="82"/>
      <c r="H332" s="83" t="str">
        <f aca="false">IF(OR(F332="",G332=""),"",G332-F332)</f>
        <v/>
      </c>
      <c r="I332" s="82"/>
      <c r="J332" s="82"/>
      <c r="K332" s="28"/>
      <c r="L332" s="90" t="str">
        <f aca="false">IF(OR(K332="",N(H332)=0),"",K332/H332)</f>
        <v/>
      </c>
      <c r="M332" s="68"/>
      <c r="N332" s="28"/>
      <c r="O332" s="25"/>
      <c r="P332" s="83" t="str">
        <f aca="false">IF(OR(N332="",N(H332)=0),"",N332/H332)</f>
        <v/>
      </c>
      <c r="Q332" s="25"/>
    </row>
    <row r="333" customFormat="false" ht="15" hidden="false" customHeight="false" outlineLevel="0" collapsed="false">
      <c r="A333" s="69"/>
      <c r="B333" s="68"/>
      <c r="C333" s="76" t="str">
        <f aca="false">IF(B333="","",IFERROR(INDEX(EN_Des,MATCH(B333,EN_Code,0)),"Code inconnu"))</f>
        <v/>
      </c>
      <c r="D333" s="25"/>
      <c r="E333" s="25"/>
      <c r="F333" s="82"/>
      <c r="G333" s="82"/>
      <c r="H333" s="83" t="str">
        <f aca="false">IF(OR(F333="",G333=""),"",G333-F333)</f>
        <v/>
      </c>
      <c r="I333" s="82"/>
      <c r="J333" s="82"/>
      <c r="K333" s="28"/>
      <c r="L333" s="90" t="str">
        <f aca="false">IF(OR(K333="",N(H333)=0),"",K333/H333)</f>
        <v/>
      </c>
      <c r="M333" s="68"/>
      <c r="N333" s="28"/>
      <c r="O333" s="25"/>
      <c r="P333" s="83" t="str">
        <f aca="false">IF(OR(N333="",N(H333)=0),"",N333/H333)</f>
        <v/>
      </c>
      <c r="Q333" s="25"/>
    </row>
    <row r="334" customFormat="false" ht="15" hidden="false" customHeight="false" outlineLevel="0" collapsed="false">
      <c r="A334" s="69"/>
      <c r="B334" s="68"/>
      <c r="C334" s="76" t="str">
        <f aca="false">IF(B334="","",IFERROR(INDEX(EN_Des,MATCH(B334,EN_Code,0)),"Code inconnu"))</f>
        <v/>
      </c>
      <c r="D334" s="25"/>
      <c r="E334" s="25"/>
      <c r="F334" s="82"/>
      <c r="G334" s="82"/>
      <c r="H334" s="83" t="str">
        <f aca="false">IF(OR(F334="",G334=""),"",G334-F334)</f>
        <v/>
      </c>
      <c r="I334" s="82"/>
      <c r="J334" s="82"/>
      <c r="K334" s="28"/>
      <c r="L334" s="90" t="str">
        <f aca="false">IF(OR(K334="",N(H334)=0),"",K334/H334)</f>
        <v/>
      </c>
      <c r="M334" s="68"/>
      <c r="N334" s="28"/>
      <c r="O334" s="25"/>
      <c r="P334" s="83" t="str">
        <f aca="false">IF(OR(N334="",N(H334)=0),"",N334/H334)</f>
        <v/>
      </c>
      <c r="Q334" s="25"/>
    </row>
    <row r="335" customFormat="false" ht="15" hidden="false" customHeight="false" outlineLevel="0" collapsed="false">
      <c r="A335" s="69"/>
      <c r="B335" s="68"/>
      <c r="C335" s="76" t="str">
        <f aca="false">IF(B335="","",IFERROR(INDEX(EN_Des,MATCH(B335,EN_Code,0)),"Code inconnu"))</f>
        <v/>
      </c>
      <c r="D335" s="25"/>
      <c r="E335" s="25"/>
      <c r="F335" s="82"/>
      <c r="G335" s="82"/>
      <c r="H335" s="83" t="str">
        <f aca="false">IF(OR(F335="",G335=""),"",G335-F335)</f>
        <v/>
      </c>
      <c r="I335" s="82"/>
      <c r="J335" s="82"/>
      <c r="K335" s="28"/>
      <c r="L335" s="90" t="str">
        <f aca="false">IF(OR(K335="",N(H335)=0),"",K335/H335)</f>
        <v/>
      </c>
      <c r="M335" s="68"/>
      <c r="N335" s="28"/>
      <c r="O335" s="25"/>
      <c r="P335" s="83" t="str">
        <f aca="false">IF(OR(N335="",N(H335)=0),"",N335/H335)</f>
        <v/>
      </c>
      <c r="Q335" s="25"/>
    </row>
    <row r="336" customFormat="false" ht="15" hidden="false" customHeight="false" outlineLevel="0" collapsed="false">
      <c r="A336" s="69"/>
      <c r="B336" s="68"/>
      <c r="C336" s="76" t="str">
        <f aca="false">IF(B336="","",IFERROR(INDEX(EN_Des,MATCH(B336,EN_Code,0)),"Code inconnu"))</f>
        <v/>
      </c>
      <c r="D336" s="25"/>
      <c r="E336" s="25"/>
      <c r="F336" s="82"/>
      <c r="G336" s="82"/>
      <c r="H336" s="83" t="str">
        <f aca="false">IF(OR(F336="",G336=""),"",G336-F336)</f>
        <v/>
      </c>
      <c r="I336" s="82"/>
      <c r="J336" s="82"/>
      <c r="K336" s="28"/>
      <c r="L336" s="90" t="str">
        <f aca="false">IF(OR(K336="",N(H336)=0),"",K336/H336)</f>
        <v/>
      </c>
      <c r="M336" s="68"/>
      <c r="N336" s="28"/>
      <c r="O336" s="25"/>
      <c r="P336" s="83" t="str">
        <f aca="false">IF(OR(N336="",N(H336)=0),"",N336/H336)</f>
        <v/>
      </c>
      <c r="Q336" s="25"/>
    </row>
    <row r="337" customFormat="false" ht="15" hidden="false" customHeight="false" outlineLevel="0" collapsed="false">
      <c r="A337" s="69"/>
      <c r="B337" s="68"/>
      <c r="C337" s="76" t="str">
        <f aca="false">IF(B337="","",IFERROR(INDEX(EN_Des,MATCH(B337,EN_Code,0)),"Code inconnu"))</f>
        <v/>
      </c>
      <c r="D337" s="25"/>
      <c r="E337" s="25"/>
      <c r="F337" s="82"/>
      <c r="G337" s="82"/>
      <c r="H337" s="83" t="str">
        <f aca="false">IF(OR(F337="",G337=""),"",G337-F337)</f>
        <v/>
      </c>
      <c r="I337" s="82"/>
      <c r="J337" s="82"/>
      <c r="K337" s="28"/>
      <c r="L337" s="90" t="str">
        <f aca="false">IF(OR(K337="",N(H337)=0),"",K337/H337)</f>
        <v/>
      </c>
      <c r="M337" s="68"/>
      <c r="N337" s="28"/>
      <c r="O337" s="25"/>
      <c r="P337" s="83" t="str">
        <f aca="false">IF(OR(N337="",N(H337)=0),"",N337/H337)</f>
        <v/>
      </c>
      <c r="Q337" s="25"/>
    </row>
    <row r="338" customFormat="false" ht="15" hidden="false" customHeight="false" outlineLevel="0" collapsed="false">
      <c r="A338" s="69"/>
      <c r="B338" s="68"/>
      <c r="C338" s="76" t="str">
        <f aca="false">IF(B338="","",IFERROR(INDEX(EN_Des,MATCH(B338,EN_Code,0)),"Code inconnu"))</f>
        <v/>
      </c>
      <c r="D338" s="25"/>
      <c r="E338" s="25"/>
      <c r="F338" s="82"/>
      <c r="G338" s="82"/>
      <c r="H338" s="83" t="str">
        <f aca="false">IF(OR(F338="",G338=""),"",G338-F338)</f>
        <v/>
      </c>
      <c r="I338" s="82"/>
      <c r="J338" s="82"/>
      <c r="K338" s="28"/>
      <c r="L338" s="90" t="str">
        <f aca="false">IF(OR(K338="",N(H338)=0),"",K338/H338)</f>
        <v/>
      </c>
      <c r="M338" s="68"/>
      <c r="N338" s="28"/>
      <c r="O338" s="25"/>
      <c r="P338" s="83" t="str">
        <f aca="false">IF(OR(N338="",N(H338)=0),"",N338/H338)</f>
        <v/>
      </c>
      <c r="Q338" s="25"/>
    </row>
    <row r="339" customFormat="false" ht="15" hidden="false" customHeight="false" outlineLevel="0" collapsed="false">
      <c r="A339" s="69"/>
      <c r="B339" s="68"/>
      <c r="C339" s="76" t="str">
        <f aca="false">IF(B339="","",IFERROR(INDEX(EN_Des,MATCH(B339,EN_Code,0)),"Code inconnu"))</f>
        <v/>
      </c>
      <c r="D339" s="25"/>
      <c r="E339" s="25"/>
      <c r="F339" s="82"/>
      <c r="G339" s="82"/>
      <c r="H339" s="83" t="str">
        <f aca="false">IF(OR(F339="",G339=""),"",G339-F339)</f>
        <v/>
      </c>
      <c r="I339" s="82"/>
      <c r="J339" s="82"/>
      <c r="K339" s="28"/>
      <c r="L339" s="90" t="str">
        <f aca="false">IF(OR(K339="",N(H339)=0),"",K339/H339)</f>
        <v/>
      </c>
      <c r="M339" s="68"/>
      <c r="N339" s="28"/>
      <c r="O339" s="25"/>
      <c r="P339" s="83" t="str">
        <f aca="false">IF(OR(N339="",N(H339)=0),"",N339/H339)</f>
        <v/>
      </c>
      <c r="Q339" s="25"/>
    </row>
    <row r="340" customFormat="false" ht="15" hidden="false" customHeight="false" outlineLevel="0" collapsed="false">
      <c r="A340" s="69"/>
      <c r="B340" s="68"/>
      <c r="C340" s="76" t="str">
        <f aca="false">IF(B340="","",IFERROR(INDEX(EN_Des,MATCH(B340,EN_Code,0)),"Code inconnu"))</f>
        <v/>
      </c>
      <c r="D340" s="25"/>
      <c r="E340" s="25"/>
      <c r="F340" s="82"/>
      <c r="G340" s="82"/>
      <c r="H340" s="83" t="str">
        <f aca="false">IF(OR(F340="",G340=""),"",G340-F340)</f>
        <v/>
      </c>
      <c r="I340" s="82"/>
      <c r="J340" s="82"/>
      <c r="K340" s="28"/>
      <c r="L340" s="90" t="str">
        <f aca="false">IF(OR(K340="",N(H340)=0),"",K340/H340)</f>
        <v/>
      </c>
      <c r="M340" s="68"/>
      <c r="N340" s="28"/>
      <c r="O340" s="25"/>
      <c r="P340" s="83" t="str">
        <f aca="false">IF(OR(N340="",N(H340)=0),"",N340/H340)</f>
        <v/>
      </c>
      <c r="Q340" s="25"/>
    </row>
    <row r="341" customFormat="false" ht="15" hidden="false" customHeight="false" outlineLevel="0" collapsed="false">
      <c r="A341" s="69"/>
      <c r="B341" s="68"/>
      <c r="C341" s="76" t="str">
        <f aca="false">IF(B341="","",IFERROR(INDEX(EN_Des,MATCH(B341,EN_Code,0)),"Code inconnu"))</f>
        <v/>
      </c>
      <c r="D341" s="25"/>
      <c r="E341" s="25"/>
      <c r="F341" s="82"/>
      <c r="G341" s="82"/>
      <c r="H341" s="83" t="str">
        <f aca="false">IF(OR(F341="",G341=""),"",G341-F341)</f>
        <v/>
      </c>
      <c r="I341" s="82"/>
      <c r="J341" s="82"/>
      <c r="K341" s="28"/>
      <c r="L341" s="90" t="str">
        <f aca="false">IF(OR(K341="",N(H341)=0),"",K341/H341)</f>
        <v/>
      </c>
      <c r="M341" s="68"/>
      <c r="N341" s="28"/>
      <c r="O341" s="25"/>
      <c r="P341" s="83" t="str">
        <f aca="false">IF(OR(N341="",N(H341)=0),"",N341/H341)</f>
        <v/>
      </c>
      <c r="Q341" s="25"/>
    </row>
    <row r="342" customFormat="false" ht="15" hidden="false" customHeight="false" outlineLevel="0" collapsed="false">
      <c r="A342" s="69"/>
      <c r="B342" s="68"/>
      <c r="C342" s="76" t="str">
        <f aca="false">IF(B342="","",IFERROR(INDEX(EN_Des,MATCH(B342,EN_Code,0)),"Code inconnu"))</f>
        <v/>
      </c>
      <c r="D342" s="25"/>
      <c r="E342" s="25"/>
      <c r="F342" s="82"/>
      <c r="G342" s="82"/>
      <c r="H342" s="83" t="str">
        <f aca="false">IF(OR(F342="",G342=""),"",G342-F342)</f>
        <v/>
      </c>
      <c r="I342" s="82"/>
      <c r="J342" s="82"/>
      <c r="K342" s="28"/>
      <c r="L342" s="90" t="str">
        <f aca="false">IF(OR(K342="",N(H342)=0),"",K342/H342)</f>
        <v/>
      </c>
      <c r="M342" s="68"/>
      <c r="N342" s="28"/>
      <c r="O342" s="25"/>
      <c r="P342" s="83" t="str">
        <f aca="false">IF(OR(N342="",N(H342)=0),"",N342/H342)</f>
        <v/>
      </c>
      <c r="Q342" s="25"/>
    </row>
    <row r="343" customFormat="false" ht="15" hidden="false" customHeight="false" outlineLevel="0" collapsed="false">
      <c r="A343" s="69"/>
      <c r="B343" s="68"/>
      <c r="C343" s="76" t="str">
        <f aca="false">IF(B343="","",IFERROR(INDEX(EN_Des,MATCH(B343,EN_Code,0)),"Code inconnu"))</f>
        <v/>
      </c>
      <c r="D343" s="25"/>
      <c r="E343" s="25"/>
      <c r="F343" s="82"/>
      <c r="G343" s="82"/>
      <c r="H343" s="83" t="str">
        <f aca="false">IF(OR(F343="",G343=""),"",G343-F343)</f>
        <v/>
      </c>
      <c r="I343" s="82"/>
      <c r="J343" s="82"/>
      <c r="K343" s="28"/>
      <c r="L343" s="90" t="str">
        <f aca="false">IF(OR(K343="",N(H343)=0),"",K343/H343)</f>
        <v/>
      </c>
      <c r="M343" s="68"/>
      <c r="N343" s="28"/>
      <c r="O343" s="25"/>
      <c r="P343" s="83" t="str">
        <f aca="false">IF(OR(N343="",N(H343)=0),"",N343/H343)</f>
        <v/>
      </c>
      <c r="Q343" s="25"/>
    </row>
    <row r="344" customFormat="false" ht="15" hidden="false" customHeight="false" outlineLevel="0" collapsed="false">
      <c r="A344" s="69"/>
      <c r="B344" s="68"/>
      <c r="C344" s="76" t="str">
        <f aca="false">IF(B344="","",IFERROR(INDEX(EN_Des,MATCH(B344,EN_Code,0)),"Code inconnu"))</f>
        <v/>
      </c>
      <c r="D344" s="25"/>
      <c r="E344" s="25"/>
      <c r="F344" s="82"/>
      <c r="G344" s="82"/>
      <c r="H344" s="83" t="str">
        <f aca="false">IF(OR(F344="",G344=""),"",G344-F344)</f>
        <v/>
      </c>
      <c r="I344" s="82"/>
      <c r="J344" s="82"/>
      <c r="K344" s="28"/>
      <c r="L344" s="90" t="str">
        <f aca="false">IF(OR(K344="",N(H344)=0),"",K344/H344)</f>
        <v/>
      </c>
      <c r="M344" s="68"/>
      <c r="N344" s="28"/>
      <c r="O344" s="25"/>
      <c r="P344" s="83" t="str">
        <f aca="false">IF(OR(N344="",N(H344)=0),"",N344/H344)</f>
        <v/>
      </c>
      <c r="Q344" s="25"/>
    </row>
    <row r="345" customFormat="false" ht="15" hidden="false" customHeight="false" outlineLevel="0" collapsed="false">
      <c r="A345" s="69"/>
      <c r="B345" s="68"/>
      <c r="C345" s="76" t="str">
        <f aca="false">IF(B345="","",IFERROR(INDEX(EN_Des,MATCH(B345,EN_Code,0)),"Code inconnu"))</f>
        <v/>
      </c>
      <c r="D345" s="25"/>
      <c r="E345" s="25"/>
      <c r="F345" s="82"/>
      <c r="G345" s="82"/>
      <c r="H345" s="83" t="str">
        <f aca="false">IF(OR(F345="",G345=""),"",G345-F345)</f>
        <v/>
      </c>
      <c r="I345" s="82"/>
      <c r="J345" s="82"/>
      <c r="K345" s="28"/>
      <c r="L345" s="90" t="str">
        <f aca="false">IF(OR(K345="",N(H345)=0),"",K345/H345)</f>
        <v/>
      </c>
      <c r="M345" s="68"/>
      <c r="N345" s="28"/>
      <c r="O345" s="25"/>
      <c r="P345" s="83" t="str">
        <f aca="false">IF(OR(N345="",N(H345)=0),"",N345/H345)</f>
        <v/>
      </c>
      <c r="Q345" s="25"/>
    </row>
    <row r="346" customFormat="false" ht="15" hidden="false" customHeight="false" outlineLevel="0" collapsed="false">
      <c r="A346" s="69"/>
      <c r="B346" s="68"/>
      <c r="C346" s="76" t="str">
        <f aca="false">IF(B346="","",IFERROR(INDEX(EN_Des,MATCH(B346,EN_Code,0)),"Code inconnu"))</f>
        <v/>
      </c>
      <c r="D346" s="25"/>
      <c r="E346" s="25"/>
      <c r="F346" s="82"/>
      <c r="G346" s="82"/>
      <c r="H346" s="83" t="str">
        <f aca="false">IF(OR(F346="",G346=""),"",G346-F346)</f>
        <v/>
      </c>
      <c r="I346" s="82"/>
      <c r="J346" s="82"/>
      <c r="K346" s="28"/>
      <c r="L346" s="90" t="str">
        <f aca="false">IF(OR(K346="",N(H346)=0),"",K346/H346)</f>
        <v/>
      </c>
      <c r="M346" s="68"/>
      <c r="N346" s="28"/>
      <c r="O346" s="25"/>
      <c r="P346" s="83" t="str">
        <f aca="false">IF(OR(N346="",N(H346)=0),"",N346/H346)</f>
        <v/>
      </c>
      <c r="Q346" s="25"/>
    </row>
    <row r="347" customFormat="false" ht="15" hidden="false" customHeight="false" outlineLevel="0" collapsed="false">
      <c r="A347" s="69"/>
      <c r="B347" s="68"/>
      <c r="C347" s="76" t="str">
        <f aca="false">IF(B347="","",IFERROR(INDEX(EN_Des,MATCH(B347,EN_Code,0)),"Code inconnu"))</f>
        <v/>
      </c>
      <c r="D347" s="25"/>
      <c r="E347" s="25"/>
      <c r="F347" s="82"/>
      <c r="G347" s="82"/>
      <c r="H347" s="83" t="str">
        <f aca="false">IF(OR(F347="",G347=""),"",G347-F347)</f>
        <v/>
      </c>
      <c r="I347" s="82"/>
      <c r="J347" s="82"/>
      <c r="K347" s="28"/>
      <c r="L347" s="90" t="str">
        <f aca="false">IF(OR(K347="",N(H347)=0),"",K347/H347)</f>
        <v/>
      </c>
      <c r="M347" s="68"/>
      <c r="N347" s="28"/>
      <c r="O347" s="25"/>
      <c r="P347" s="83" t="str">
        <f aca="false">IF(OR(N347="",N(H347)=0),"",N347/H347)</f>
        <v/>
      </c>
      <c r="Q347" s="25"/>
    </row>
    <row r="348" customFormat="false" ht="15" hidden="false" customHeight="false" outlineLevel="0" collapsed="false">
      <c r="A348" s="69"/>
      <c r="B348" s="68"/>
      <c r="C348" s="76" t="str">
        <f aca="false">IF(B348="","",IFERROR(INDEX(EN_Des,MATCH(B348,EN_Code,0)),"Code inconnu"))</f>
        <v/>
      </c>
      <c r="D348" s="25"/>
      <c r="E348" s="25"/>
      <c r="F348" s="82"/>
      <c r="G348" s="82"/>
      <c r="H348" s="83" t="str">
        <f aca="false">IF(OR(F348="",G348=""),"",G348-F348)</f>
        <v/>
      </c>
      <c r="I348" s="82"/>
      <c r="J348" s="82"/>
      <c r="K348" s="28"/>
      <c r="L348" s="90" t="str">
        <f aca="false">IF(OR(K348="",N(H348)=0),"",K348/H348)</f>
        <v/>
      </c>
      <c r="M348" s="68"/>
      <c r="N348" s="28"/>
      <c r="O348" s="25"/>
      <c r="P348" s="83" t="str">
        <f aca="false">IF(OR(N348="",N(H348)=0),"",N348/H348)</f>
        <v/>
      </c>
      <c r="Q348" s="25"/>
    </row>
    <row r="349" customFormat="false" ht="15" hidden="false" customHeight="false" outlineLevel="0" collapsed="false">
      <c r="A349" s="69"/>
      <c r="B349" s="68"/>
      <c r="C349" s="76" t="str">
        <f aca="false">IF(B349="","",IFERROR(INDEX(EN_Des,MATCH(B349,EN_Code,0)),"Code inconnu"))</f>
        <v/>
      </c>
      <c r="D349" s="25"/>
      <c r="E349" s="25"/>
      <c r="F349" s="82"/>
      <c r="G349" s="82"/>
      <c r="H349" s="83" t="str">
        <f aca="false">IF(OR(F349="",G349=""),"",G349-F349)</f>
        <v/>
      </c>
      <c r="I349" s="82"/>
      <c r="J349" s="82"/>
      <c r="K349" s="28"/>
      <c r="L349" s="90" t="str">
        <f aca="false">IF(OR(K349="",N(H349)=0),"",K349/H349)</f>
        <v/>
      </c>
      <c r="M349" s="68"/>
      <c r="N349" s="28"/>
      <c r="O349" s="25"/>
      <c r="P349" s="83" t="str">
        <f aca="false">IF(OR(N349="",N(H349)=0),"",N349/H349)</f>
        <v/>
      </c>
      <c r="Q349" s="25"/>
    </row>
    <row r="350" customFormat="false" ht="15" hidden="false" customHeight="false" outlineLevel="0" collapsed="false">
      <c r="A350" s="69"/>
      <c r="B350" s="68"/>
      <c r="C350" s="76" t="str">
        <f aca="false">IF(B350="","",IFERROR(INDEX(EN_Des,MATCH(B350,EN_Code,0)),"Code inconnu"))</f>
        <v/>
      </c>
      <c r="D350" s="25"/>
      <c r="E350" s="25"/>
      <c r="F350" s="82"/>
      <c r="G350" s="82"/>
      <c r="H350" s="83" t="str">
        <f aca="false">IF(OR(F350="",G350=""),"",G350-F350)</f>
        <v/>
      </c>
      <c r="I350" s="82"/>
      <c r="J350" s="82"/>
      <c r="K350" s="28"/>
      <c r="L350" s="90" t="str">
        <f aca="false">IF(OR(K350="",N(H350)=0),"",K350/H350)</f>
        <v/>
      </c>
      <c r="M350" s="68"/>
      <c r="N350" s="28"/>
      <c r="O350" s="25"/>
      <c r="P350" s="83" t="str">
        <f aca="false">IF(OR(N350="",N(H350)=0),"",N350/H350)</f>
        <v/>
      </c>
      <c r="Q350" s="25"/>
    </row>
    <row r="351" customFormat="false" ht="15" hidden="false" customHeight="false" outlineLevel="0" collapsed="false">
      <c r="A351" s="69"/>
      <c r="B351" s="68"/>
      <c r="C351" s="76" t="str">
        <f aca="false">IF(B351="","",IFERROR(INDEX(EN_Des,MATCH(B351,EN_Code,0)),"Code inconnu"))</f>
        <v/>
      </c>
      <c r="D351" s="25"/>
      <c r="E351" s="25"/>
      <c r="F351" s="82"/>
      <c r="G351" s="82"/>
      <c r="H351" s="83" t="str">
        <f aca="false">IF(OR(F351="",G351=""),"",G351-F351)</f>
        <v/>
      </c>
      <c r="I351" s="82"/>
      <c r="J351" s="82"/>
      <c r="K351" s="28"/>
      <c r="L351" s="90" t="str">
        <f aca="false">IF(OR(K351="",N(H351)=0),"",K351/H351)</f>
        <v/>
      </c>
      <c r="M351" s="68"/>
      <c r="N351" s="28"/>
      <c r="O351" s="25"/>
      <c r="P351" s="83" t="str">
        <f aca="false">IF(OR(N351="",N(H351)=0),"",N351/H351)</f>
        <v/>
      </c>
      <c r="Q351" s="25"/>
    </row>
    <row r="352" customFormat="false" ht="15" hidden="false" customHeight="false" outlineLevel="0" collapsed="false">
      <c r="A352" s="69"/>
      <c r="B352" s="68"/>
      <c r="C352" s="76" t="str">
        <f aca="false">IF(B352="","",IFERROR(INDEX(EN_Des,MATCH(B352,EN_Code,0)),"Code inconnu"))</f>
        <v/>
      </c>
      <c r="D352" s="25"/>
      <c r="E352" s="25"/>
      <c r="F352" s="82"/>
      <c r="G352" s="82"/>
      <c r="H352" s="83" t="str">
        <f aca="false">IF(OR(F352="",G352=""),"",G352-F352)</f>
        <v/>
      </c>
      <c r="I352" s="82"/>
      <c r="J352" s="82"/>
      <c r="K352" s="28"/>
      <c r="L352" s="90" t="str">
        <f aca="false">IF(OR(K352="",N(H352)=0),"",K352/H352)</f>
        <v/>
      </c>
      <c r="M352" s="68"/>
      <c r="N352" s="28"/>
      <c r="O352" s="25"/>
      <c r="P352" s="83" t="str">
        <f aca="false">IF(OR(N352="",N(H352)=0),"",N352/H352)</f>
        <v/>
      </c>
      <c r="Q352" s="25"/>
    </row>
    <row r="353" customFormat="false" ht="15" hidden="false" customHeight="false" outlineLevel="0" collapsed="false">
      <c r="A353" s="69"/>
      <c r="B353" s="68"/>
      <c r="C353" s="76" t="str">
        <f aca="false">IF(B353="","",IFERROR(INDEX(EN_Des,MATCH(B353,EN_Code,0)),"Code inconnu"))</f>
        <v/>
      </c>
      <c r="D353" s="25"/>
      <c r="E353" s="25"/>
      <c r="F353" s="82"/>
      <c r="G353" s="82"/>
      <c r="H353" s="83" t="str">
        <f aca="false">IF(OR(F353="",G353=""),"",G353-F353)</f>
        <v/>
      </c>
      <c r="I353" s="82"/>
      <c r="J353" s="82"/>
      <c r="K353" s="28"/>
      <c r="L353" s="90" t="str">
        <f aca="false">IF(OR(K353="",N(H353)=0),"",K353/H353)</f>
        <v/>
      </c>
      <c r="M353" s="68"/>
      <c r="N353" s="28"/>
      <c r="O353" s="25"/>
      <c r="P353" s="83" t="str">
        <f aca="false">IF(OR(N353="",N(H353)=0),"",N353/H353)</f>
        <v/>
      </c>
      <c r="Q353" s="25"/>
    </row>
    <row r="354" customFormat="false" ht="15" hidden="false" customHeight="false" outlineLevel="0" collapsed="false">
      <c r="A354" s="69"/>
      <c r="B354" s="68"/>
      <c r="C354" s="76" t="str">
        <f aca="false">IF(B354="","",IFERROR(INDEX(EN_Des,MATCH(B354,EN_Code,0)),"Code inconnu"))</f>
        <v/>
      </c>
      <c r="D354" s="25"/>
      <c r="E354" s="25"/>
      <c r="F354" s="82"/>
      <c r="G354" s="82"/>
      <c r="H354" s="83" t="str">
        <f aca="false">IF(OR(F354="",G354=""),"",G354-F354)</f>
        <v/>
      </c>
      <c r="I354" s="82"/>
      <c r="J354" s="82"/>
      <c r="K354" s="28"/>
      <c r="L354" s="90" t="str">
        <f aca="false">IF(OR(K354="",N(H354)=0),"",K354/H354)</f>
        <v/>
      </c>
      <c r="M354" s="68"/>
      <c r="N354" s="28"/>
      <c r="O354" s="25"/>
      <c r="P354" s="83" t="str">
        <f aca="false">IF(OR(N354="",N(H354)=0),"",N354/H354)</f>
        <v/>
      </c>
      <c r="Q354" s="25"/>
    </row>
    <row r="355" customFormat="false" ht="15" hidden="false" customHeight="false" outlineLevel="0" collapsed="false">
      <c r="A355" s="69"/>
      <c r="B355" s="68"/>
      <c r="C355" s="76" t="str">
        <f aca="false">IF(B355="","",IFERROR(INDEX(EN_Des,MATCH(B355,EN_Code,0)),"Code inconnu"))</f>
        <v/>
      </c>
      <c r="D355" s="25"/>
      <c r="E355" s="25"/>
      <c r="F355" s="82"/>
      <c r="G355" s="82"/>
      <c r="H355" s="83" t="str">
        <f aca="false">IF(OR(F355="",G355=""),"",G355-F355)</f>
        <v/>
      </c>
      <c r="I355" s="82"/>
      <c r="J355" s="82"/>
      <c r="K355" s="28"/>
      <c r="L355" s="90" t="str">
        <f aca="false">IF(OR(K355="",N(H355)=0),"",K355/H355)</f>
        <v/>
      </c>
      <c r="M355" s="68"/>
      <c r="N355" s="28"/>
      <c r="O355" s="25"/>
      <c r="P355" s="83" t="str">
        <f aca="false">IF(OR(N355="",N(H355)=0),"",N355/H355)</f>
        <v/>
      </c>
      <c r="Q355" s="25"/>
    </row>
    <row r="356" customFormat="false" ht="15" hidden="false" customHeight="false" outlineLevel="0" collapsed="false">
      <c r="A356" s="69"/>
      <c r="B356" s="68"/>
      <c r="C356" s="76" t="str">
        <f aca="false">IF(B356="","",IFERROR(INDEX(EN_Des,MATCH(B356,EN_Code,0)),"Code inconnu"))</f>
        <v/>
      </c>
      <c r="D356" s="25"/>
      <c r="E356" s="25"/>
      <c r="F356" s="82"/>
      <c r="G356" s="82"/>
      <c r="H356" s="83" t="str">
        <f aca="false">IF(OR(F356="",G356=""),"",G356-F356)</f>
        <v/>
      </c>
      <c r="I356" s="82"/>
      <c r="J356" s="82"/>
      <c r="K356" s="28"/>
      <c r="L356" s="90" t="str">
        <f aca="false">IF(OR(K356="",N(H356)=0),"",K356/H356)</f>
        <v/>
      </c>
      <c r="M356" s="68"/>
      <c r="N356" s="28"/>
      <c r="O356" s="25"/>
      <c r="P356" s="83" t="str">
        <f aca="false">IF(OR(N356="",N(H356)=0),"",N356/H356)</f>
        <v/>
      </c>
      <c r="Q356" s="25"/>
    </row>
    <row r="357" customFormat="false" ht="15" hidden="false" customHeight="false" outlineLevel="0" collapsed="false">
      <c r="A357" s="69"/>
      <c r="B357" s="68"/>
      <c r="C357" s="76" t="str">
        <f aca="false">IF(B357="","",IFERROR(INDEX(EN_Des,MATCH(B357,EN_Code,0)),"Code inconnu"))</f>
        <v/>
      </c>
      <c r="D357" s="25"/>
      <c r="E357" s="25"/>
      <c r="F357" s="82"/>
      <c r="G357" s="82"/>
      <c r="H357" s="83" t="str">
        <f aca="false">IF(OR(F357="",G357=""),"",G357-F357)</f>
        <v/>
      </c>
      <c r="I357" s="82"/>
      <c r="J357" s="82"/>
      <c r="K357" s="28"/>
      <c r="L357" s="90" t="str">
        <f aca="false">IF(OR(K357="",N(H357)=0),"",K357/H357)</f>
        <v/>
      </c>
      <c r="M357" s="68"/>
      <c r="N357" s="28"/>
      <c r="O357" s="25"/>
      <c r="P357" s="83" t="str">
        <f aca="false">IF(OR(N357="",N(H357)=0),"",N357/H357)</f>
        <v/>
      </c>
      <c r="Q357" s="25"/>
    </row>
    <row r="358" customFormat="false" ht="15" hidden="false" customHeight="false" outlineLevel="0" collapsed="false">
      <c r="A358" s="69"/>
      <c r="B358" s="68"/>
      <c r="C358" s="76" t="str">
        <f aca="false">IF(B358="","",IFERROR(INDEX(EN_Des,MATCH(B358,EN_Code,0)),"Code inconnu"))</f>
        <v/>
      </c>
      <c r="D358" s="25"/>
      <c r="E358" s="25"/>
      <c r="F358" s="82"/>
      <c r="G358" s="82"/>
      <c r="H358" s="83" t="str">
        <f aca="false">IF(OR(F358="",G358=""),"",G358-F358)</f>
        <v/>
      </c>
      <c r="I358" s="82"/>
      <c r="J358" s="82"/>
      <c r="K358" s="28"/>
      <c r="L358" s="90" t="str">
        <f aca="false">IF(OR(K358="",N(H358)=0),"",K358/H358)</f>
        <v/>
      </c>
      <c r="M358" s="68"/>
      <c r="N358" s="28"/>
      <c r="O358" s="25"/>
      <c r="P358" s="83" t="str">
        <f aca="false">IF(OR(N358="",N(H358)=0),"",N358/H358)</f>
        <v/>
      </c>
      <c r="Q358" s="25"/>
    </row>
    <row r="359" customFormat="false" ht="15" hidden="false" customHeight="false" outlineLevel="0" collapsed="false">
      <c r="A359" s="69"/>
      <c r="B359" s="68"/>
      <c r="C359" s="76" t="str">
        <f aca="false">IF(B359="","",IFERROR(INDEX(EN_Des,MATCH(B359,EN_Code,0)),"Code inconnu"))</f>
        <v/>
      </c>
      <c r="D359" s="25"/>
      <c r="E359" s="25"/>
      <c r="F359" s="82"/>
      <c r="G359" s="82"/>
      <c r="H359" s="83" t="str">
        <f aca="false">IF(OR(F359="",G359=""),"",G359-F359)</f>
        <v/>
      </c>
      <c r="I359" s="82"/>
      <c r="J359" s="82"/>
      <c r="K359" s="28"/>
      <c r="L359" s="90" t="str">
        <f aca="false">IF(OR(K359="",N(H359)=0),"",K359/H359)</f>
        <v/>
      </c>
      <c r="M359" s="68"/>
      <c r="N359" s="28"/>
      <c r="O359" s="25"/>
      <c r="P359" s="83" t="str">
        <f aca="false">IF(OR(N359="",N(H359)=0),"",N359/H359)</f>
        <v/>
      </c>
      <c r="Q359" s="25"/>
    </row>
    <row r="360" customFormat="false" ht="15" hidden="false" customHeight="false" outlineLevel="0" collapsed="false">
      <c r="A360" s="69"/>
      <c r="B360" s="68"/>
      <c r="C360" s="76" t="str">
        <f aca="false">IF(B360="","",IFERROR(INDEX(EN_Des,MATCH(B360,EN_Code,0)),"Code inconnu"))</f>
        <v/>
      </c>
      <c r="D360" s="25"/>
      <c r="E360" s="25"/>
      <c r="F360" s="82"/>
      <c r="G360" s="82"/>
      <c r="H360" s="83" t="str">
        <f aca="false">IF(OR(F360="",G360=""),"",G360-F360)</f>
        <v/>
      </c>
      <c r="I360" s="82"/>
      <c r="J360" s="82"/>
      <c r="K360" s="28"/>
      <c r="L360" s="90" t="str">
        <f aca="false">IF(OR(K360="",N(H360)=0),"",K360/H360)</f>
        <v/>
      </c>
      <c r="M360" s="68"/>
      <c r="N360" s="28"/>
      <c r="O360" s="25"/>
      <c r="P360" s="83" t="str">
        <f aca="false">IF(OR(N360="",N(H360)=0),"",N360/H360)</f>
        <v/>
      </c>
      <c r="Q360" s="25"/>
    </row>
    <row r="361" customFormat="false" ht="15" hidden="false" customHeight="false" outlineLevel="0" collapsed="false">
      <c r="A361" s="69"/>
      <c r="B361" s="68"/>
      <c r="C361" s="76" t="str">
        <f aca="false">IF(B361="","",IFERROR(INDEX(EN_Des,MATCH(B361,EN_Code,0)),"Code inconnu"))</f>
        <v/>
      </c>
      <c r="D361" s="25"/>
      <c r="E361" s="25"/>
      <c r="F361" s="82"/>
      <c r="G361" s="82"/>
      <c r="H361" s="83" t="str">
        <f aca="false">IF(OR(F361="",G361=""),"",G361-F361)</f>
        <v/>
      </c>
      <c r="I361" s="82"/>
      <c r="J361" s="82"/>
      <c r="K361" s="28"/>
      <c r="L361" s="90" t="str">
        <f aca="false">IF(OR(K361="",N(H361)=0),"",K361/H361)</f>
        <v/>
      </c>
      <c r="M361" s="68"/>
      <c r="N361" s="28"/>
      <c r="O361" s="25"/>
      <c r="P361" s="83" t="str">
        <f aca="false">IF(OR(N361="",N(H361)=0),"",N361/H361)</f>
        <v/>
      </c>
      <c r="Q361" s="25"/>
    </row>
    <row r="362" customFormat="false" ht="15" hidden="false" customHeight="false" outlineLevel="0" collapsed="false">
      <c r="A362" s="69"/>
      <c r="B362" s="68"/>
      <c r="C362" s="76" t="str">
        <f aca="false">IF(B362="","",IFERROR(INDEX(EN_Des,MATCH(B362,EN_Code,0)),"Code inconnu"))</f>
        <v/>
      </c>
      <c r="D362" s="25"/>
      <c r="E362" s="25"/>
      <c r="F362" s="82"/>
      <c r="G362" s="82"/>
      <c r="H362" s="83" t="str">
        <f aca="false">IF(OR(F362="",G362=""),"",G362-F362)</f>
        <v/>
      </c>
      <c r="I362" s="82"/>
      <c r="J362" s="82"/>
      <c r="K362" s="28"/>
      <c r="L362" s="90" t="str">
        <f aca="false">IF(OR(K362="",N(H362)=0),"",K362/H362)</f>
        <v/>
      </c>
      <c r="M362" s="68"/>
      <c r="N362" s="28"/>
      <c r="O362" s="25"/>
      <c r="P362" s="83" t="str">
        <f aca="false">IF(OR(N362="",N(H362)=0),"",N362/H362)</f>
        <v/>
      </c>
      <c r="Q362" s="25"/>
    </row>
    <row r="363" customFormat="false" ht="15" hidden="false" customHeight="false" outlineLevel="0" collapsed="false">
      <c r="A363" s="69"/>
      <c r="B363" s="68"/>
      <c r="C363" s="76" t="str">
        <f aca="false">IF(B363="","",IFERROR(INDEX(EN_Des,MATCH(B363,EN_Code,0)),"Code inconnu"))</f>
        <v/>
      </c>
      <c r="D363" s="25"/>
      <c r="E363" s="25"/>
      <c r="F363" s="82"/>
      <c r="G363" s="82"/>
      <c r="H363" s="83" t="str">
        <f aca="false">IF(OR(F363="",G363=""),"",G363-F363)</f>
        <v/>
      </c>
      <c r="I363" s="82"/>
      <c r="J363" s="82"/>
      <c r="K363" s="28"/>
      <c r="L363" s="90" t="str">
        <f aca="false">IF(OR(K363="",N(H363)=0),"",K363/H363)</f>
        <v/>
      </c>
      <c r="M363" s="68"/>
      <c r="N363" s="28"/>
      <c r="O363" s="25"/>
      <c r="P363" s="83" t="str">
        <f aca="false">IF(OR(N363="",N(H363)=0),"",N363/H363)</f>
        <v/>
      </c>
      <c r="Q363" s="25"/>
    </row>
    <row r="364" customFormat="false" ht="15" hidden="false" customHeight="false" outlineLevel="0" collapsed="false">
      <c r="A364" s="69"/>
      <c r="B364" s="68"/>
      <c r="C364" s="76" t="str">
        <f aca="false">IF(B364="","",IFERROR(INDEX(EN_Des,MATCH(B364,EN_Code,0)),"Code inconnu"))</f>
        <v/>
      </c>
      <c r="D364" s="25"/>
      <c r="E364" s="25"/>
      <c r="F364" s="82"/>
      <c r="G364" s="82"/>
      <c r="H364" s="83" t="str">
        <f aca="false">IF(OR(F364="",G364=""),"",G364-F364)</f>
        <v/>
      </c>
      <c r="I364" s="82"/>
      <c r="J364" s="82"/>
      <c r="K364" s="28"/>
      <c r="L364" s="90" t="str">
        <f aca="false">IF(OR(K364="",N(H364)=0),"",K364/H364)</f>
        <v/>
      </c>
      <c r="M364" s="68"/>
      <c r="N364" s="28"/>
      <c r="O364" s="25"/>
      <c r="P364" s="83" t="str">
        <f aca="false">IF(OR(N364="",N(H364)=0),"",N364/H364)</f>
        <v/>
      </c>
      <c r="Q364" s="25"/>
    </row>
    <row r="365" customFormat="false" ht="15" hidden="false" customHeight="false" outlineLevel="0" collapsed="false">
      <c r="A365" s="69"/>
      <c r="B365" s="68"/>
      <c r="C365" s="76" t="str">
        <f aca="false">IF(B365="","",IFERROR(INDEX(EN_Des,MATCH(B365,EN_Code,0)),"Code inconnu"))</f>
        <v/>
      </c>
      <c r="D365" s="25"/>
      <c r="E365" s="25"/>
      <c r="F365" s="82"/>
      <c r="G365" s="82"/>
      <c r="H365" s="83" t="str">
        <f aca="false">IF(OR(F365="",G365=""),"",G365-F365)</f>
        <v/>
      </c>
      <c r="I365" s="82"/>
      <c r="J365" s="82"/>
      <c r="K365" s="28"/>
      <c r="L365" s="90" t="str">
        <f aca="false">IF(OR(K365="",N(H365)=0),"",K365/H365)</f>
        <v/>
      </c>
      <c r="M365" s="68"/>
      <c r="N365" s="28"/>
      <c r="O365" s="25"/>
      <c r="P365" s="83" t="str">
        <f aca="false">IF(OR(N365="",N(H365)=0),"",N365/H365)</f>
        <v/>
      </c>
      <c r="Q365" s="25"/>
    </row>
    <row r="366" customFormat="false" ht="15" hidden="false" customHeight="false" outlineLevel="0" collapsed="false">
      <c r="A366" s="69"/>
      <c r="B366" s="68"/>
      <c r="C366" s="76" t="str">
        <f aca="false">IF(B366="","",IFERROR(INDEX(EN_Des,MATCH(B366,EN_Code,0)),"Code inconnu"))</f>
        <v/>
      </c>
      <c r="D366" s="25"/>
      <c r="E366" s="25"/>
      <c r="F366" s="82"/>
      <c r="G366" s="82"/>
      <c r="H366" s="83" t="str">
        <f aca="false">IF(OR(F366="",G366=""),"",G366-F366)</f>
        <v/>
      </c>
      <c r="I366" s="82"/>
      <c r="J366" s="82"/>
      <c r="K366" s="28"/>
      <c r="L366" s="90" t="str">
        <f aca="false">IF(OR(K366="",N(H366)=0),"",K366/H366)</f>
        <v/>
      </c>
      <c r="M366" s="68"/>
      <c r="N366" s="28"/>
      <c r="O366" s="25"/>
      <c r="P366" s="83" t="str">
        <f aca="false">IF(OR(N366="",N(H366)=0),"",N366/H366)</f>
        <v/>
      </c>
      <c r="Q366" s="25"/>
    </row>
    <row r="367" customFormat="false" ht="15" hidden="false" customHeight="false" outlineLevel="0" collapsed="false">
      <c r="A367" s="69"/>
      <c r="B367" s="68"/>
      <c r="C367" s="76" t="str">
        <f aca="false">IF(B367="","",IFERROR(INDEX(EN_Des,MATCH(B367,EN_Code,0)),"Code inconnu"))</f>
        <v/>
      </c>
      <c r="D367" s="25"/>
      <c r="E367" s="25"/>
      <c r="F367" s="82"/>
      <c r="G367" s="82"/>
      <c r="H367" s="83" t="str">
        <f aca="false">IF(OR(F367="",G367=""),"",G367-F367)</f>
        <v/>
      </c>
      <c r="I367" s="82"/>
      <c r="J367" s="82"/>
      <c r="K367" s="28"/>
      <c r="L367" s="90" t="str">
        <f aca="false">IF(OR(K367="",N(H367)=0),"",K367/H367)</f>
        <v/>
      </c>
      <c r="M367" s="68"/>
      <c r="N367" s="28"/>
      <c r="O367" s="25"/>
      <c r="P367" s="83" t="str">
        <f aca="false">IF(OR(N367="",N(H367)=0),"",N367/H367)</f>
        <v/>
      </c>
      <c r="Q367" s="25"/>
    </row>
    <row r="368" customFormat="false" ht="15" hidden="false" customHeight="false" outlineLevel="0" collapsed="false">
      <c r="A368" s="69"/>
      <c r="B368" s="68"/>
      <c r="C368" s="76" t="str">
        <f aca="false">IF(B368="","",IFERROR(INDEX(EN_Des,MATCH(B368,EN_Code,0)),"Code inconnu"))</f>
        <v/>
      </c>
      <c r="D368" s="25"/>
      <c r="E368" s="25"/>
      <c r="F368" s="82"/>
      <c r="G368" s="82"/>
      <c r="H368" s="83" t="str">
        <f aca="false">IF(OR(F368="",G368=""),"",G368-F368)</f>
        <v/>
      </c>
      <c r="I368" s="82"/>
      <c r="J368" s="82"/>
      <c r="K368" s="28"/>
      <c r="L368" s="90" t="str">
        <f aca="false">IF(OR(K368="",N(H368)=0),"",K368/H368)</f>
        <v/>
      </c>
      <c r="M368" s="68"/>
      <c r="N368" s="28"/>
      <c r="O368" s="25"/>
      <c r="P368" s="83" t="str">
        <f aca="false">IF(OR(N368="",N(H368)=0),"",N368/H368)</f>
        <v/>
      </c>
      <c r="Q368" s="25"/>
    </row>
    <row r="369" customFormat="false" ht="15" hidden="false" customHeight="false" outlineLevel="0" collapsed="false">
      <c r="A369" s="69"/>
      <c r="B369" s="68"/>
      <c r="C369" s="76" t="str">
        <f aca="false">IF(B369="","",IFERROR(INDEX(EN_Des,MATCH(B369,EN_Code,0)),"Code inconnu"))</f>
        <v/>
      </c>
      <c r="D369" s="25"/>
      <c r="E369" s="25"/>
      <c r="F369" s="82"/>
      <c r="G369" s="82"/>
      <c r="H369" s="83" t="str">
        <f aca="false">IF(OR(F369="",G369=""),"",G369-F369)</f>
        <v/>
      </c>
      <c r="I369" s="82"/>
      <c r="J369" s="82"/>
      <c r="K369" s="28"/>
      <c r="L369" s="90" t="str">
        <f aca="false">IF(OR(K369="",N(H369)=0),"",K369/H369)</f>
        <v/>
      </c>
      <c r="M369" s="68"/>
      <c r="N369" s="28"/>
      <c r="O369" s="25"/>
      <c r="P369" s="83" t="str">
        <f aca="false">IF(OR(N369="",N(H369)=0),"",N369/H369)</f>
        <v/>
      </c>
      <c r="Q369" s="25"/>
    </row>
    <row r="370" customFormat="false" ht="15" hidden="false" customHeight="false" outlineLevel="0" collapsed="false">
      <c r="A370" s="69"/>
      <c r="B370" s="68"/>
      <c r="C370" s="76" t="str">
        <f aca="false">IF(B370="","",IFERROR(INDEX(EN_Des,MATCH(B370,EN_Code,0)),"Code inconnu"))</f>
        <v/>
      </c>
      <c r="D370" s="25"/>
      <c r="E370" s="25"/>
      <c r="F370" s="82"/>
      <c r="G370" s="82"/>
      <c r="H370" s="83" t="str">
        <f aca="false">IF(OR(F370="",G370=""),"",G370-F370)</f>
        <v/>
      </c>
      <c r="I370" s="82"/>
      <c r="J370" s="82"/>
      <c r="K370" s="28"/>
      <c r="L370" s="90" t="str">
        <f aca="false">IF(OR(K370="",N(H370)=0),"",K370/H370)</f>
        <v/>
      </c>
      <c r="M370" s="68"/>
      <c r="N370" s="28"/>
      <c r="O370" s="25"/>
      <c r="P370" s="83" t="str">
        <f aca="false">IF(OR(N370="",N(H370)=0),"",N370/H370)</f>
        <v/>
      </c>
      <c r="Q370" s="25"/>
    </row>
    <row r="371" customFormat="false" ht="15" hidden="false" customHeight="false" outlineLevel="0" collapsed="false">
      <c r="A371" s="69"/>
      <c r="B371" s="68"/>
      <c r="C371" s="76" t="str">
        <f aca="false">IF(B371="","",IFERROR(INDEX(EN_Des,MATCH(B371,EN_Code,0)),"Code inconnu"))</f>
        <v/>
      </c>
      <c r="D371" s="25"/>
      <c r="E371" s="25"/>
      <c r="F371" s="82"/>
      <c r="G371" s="82"/>
      <c r="H371" s="83" t="str">
        <f aca="false">IF(OR(F371="",G371=""),"",G371-F371)</f>
        <v/>
      </c>
      <c r="I371" s="82"/>
      <c r="J371" s="82"/>
      <c r="K371" s="28"/>
      <c r="L371" s="90" t="str">
        <f aca="false">IF(OR(K371="",N(H371)=0),"",K371/H371)</f>
        <v/>
      </c>
      <c r="M371" s="68"/>
      <c r="N371" s="28"/>
      <c r="O371" s="25"/>
      <c r="P371" s="83" t="str">
        <f aca="false">IF(OR(N371="",N(H371)=0),"",N371/H371)</f>
        <v/>
      </c>
      <c r="Q371" s="25"/>
    </row>
    <row r="372" customFormat="false" ht="15" hidden="false" customHeight="false" outlineLevel="0" collapsed="false">
      <c r="A372" s="69"/>
      <c r="B372" s="68"/>
      <c r="C372" s="76" t="str">
        <f aca="false">IF(B372="","",IFERROR(INDEX(EN_Des,MATCH(B372,EN_Code,0)),"Code inconnu"))</f>
        <v/>
      </c>
      <c r="D372" s="25"/>
      <c r="E372" s="25"/>
      <c r="F372" s="82"/>
      <c r="G372" s="82"/>
      <c r="H372" s="83" t="str">
        <f aca="false">IF(OR(F372="",G372=""),"",G372-F372)</f>
        <v/>
      </c>
      <c r="I372" s="82"/>
      <c r="J372" s="82"/>
      <c r="K372" s="28"/>
      <c r="L372" s="90" t="str">
        <f aca="false">IF(OR(K372="",N(H372)=0),"",K372/H372)</f>
        <v/>
      </c>
      <c r="M372" s="68"/>
      <c r="N372" s="28"/>
      <c r="O372" s="25"/>
      <c r="P372" s="83" t="str">
        <f aca="false">IF(OR(N372="",N(H372)=0),"",N372/H372)</f>
        <v/>
      </c>
      <c r="Q372" s="25"/>
    </row>
    <row r="373" customFormat="false" ht="15" hidden="false" customHeight="false" outlineLevel="0" collapsed="false">
      <c r="A373" s="69"/>
      <c r="B373" s="68"/>
      <c r="C373" s="76" t="str">
        <f aca="false">IF(B373="","",IFERROR(INDEX(EN_Des,MATCH(B373,EN_Code,0)),"Code inconnu"))</f>
        <v/>
      </c>
      <c r="D373" s="25"/>
      <c r="E373" s="25"/>
      <c r="F373" s="82"/>
      <c r="G373" s="82"/>
      <c r="H373" s="83" t="str">
        <f aca="false">IF(OR(F373="",G373=""),"",G373-F373)</f>
        <v/>
      </c>
      <c r="I373" s="82"/>
      <c r="J373" s="82"/>
      <c r="K373" s="28"/>
      <c r="L373" s="90" t="str">
        <f aca="false">IF(OR(K373="",N(H373)=0),"",K373/H373)</f>
        <v/>
      </c>
      <c r="M373" s="68"/>
      <c r="N373" s="28"/>
      <c r="O373" s="25"/>
      <c r="P373" s="83" t="str">
        <f aca="false">IF(OR(N373="",N(H373)=0),"",N373/H373)</f>
        <v/>
      </c>
      <c r="Q373" s="25"/>
    </row>
    <row r="374" customFormat="false" ht="15" hidden="false" customHeight="false" outlineLevel="0" collapsed="false">
      <c r="A374" s="69"/>
      <c r="B374" s="68"/>
      <c r="C374" s="76" t="str">
        <f aca="false">IF(B374="","",IFERROR(INDEX(EN_Des,MATCH(B374,EN_Code,0)),"Code inconnu"))</f>
        <v/>
      </c>
      <c r="D374" s="25"/>
      <c r="E374" s="25"/>
      <c r="F374" s="82"/>
      <c r="G374" s="82"/>
      <c r="H374" s="83" t="str">
        <f aca="false">IF(OR(F374="",G374=""),"",G374-F374)</f>
        <v/>
      </c>
      <c r="I374" s="82"/>
      <c r="J374" s="82"/>
      <c r="K374" s="28"/>
      <c r="L374" s="90" t="str">
        <f aca="false">IF(OR(K374="",N(H374)=0),"",K374/H374)</f>
        <v/>
      </c>
      <c r="M374" s="68"/>
      <c r="N374" s="28"/>
      <c r="O374" s="25"/>
      <c r="P374" s="83" t="str">
        <f aca="false">IF(OR(N374="",N(H374)=0),"",N374/H374)</f>
        <v/>
      </c>
      <c r="Q374" s="25"/>
    </row>
    <row r="375" customFormat="false" ht="15" hidden="false" customHeight="false" outlineLevel="0" collapsed="false">
      <c r="A375" s="69"/>
      <c r="B375" s="68"/>
      <c r="C375" s="76" t="str">
        <f aca="false">IF(B375="","",IFERROR(INDEX(EN_Des,MATCH(B375,EN_Code,0)),"Code inconnu"))</f>
        <v/>
      </c>
      <c r="D375" s="25"/>
      <c r="E375" s="25"/>
      <c r="F375" s="82"/>
      <c r="G375" s="82"/>
      <c r="H375" s="83" t="str">
        <f aca="false">IF(OR(F375="",G375=""),"",G375-F375)</f>
        <v/>
      </c>
      <c r="I375" s="82"/>
      <c r="J375" s="82"/>
      <c r="K375" s="28"/>
      <c r="L375" s="90" t="str">
        <f aca="false">IF(OR(K375="",N(H375)=0),"",K375/H375)</f>
        <v/>
      </c>
      <c r="M375" s="68"/>
      <c r="N375" s="28"/>
      <c r="O375" s="25"/>
      <c r="P375" s="83" t="str">
        <f aca="false">IF(OR(N375="",N(H375)=0),"",N375/H375)</f>
        <v/>
      </c>
      <c r="Q375" s="25"/>
    </row>
    <row r="376" customFormat="false" ht="15" hidden="false" customHeight="false" outlineLevel="0" collapsed="false">
      <c r="A376" s="69"/>
      <c r="B376" s="68"/>
      <c r="C376" s="76" t="str">
        <f aca="false">IF(B376="","",IFERROR(INDEX(EN_Des,MATCH(B376,EN_Code,0)),"Code inconnu"))</f>
        <v/>
      </c>
      <c r="D376" s="25"/>
      <c r="E376" s="25"/>
      <c r="F376" s="82"/>
      <c r="G376" s="82"/>
      <c r="H376" s="83" t="str">
        <f aca="false">IF(OR(F376="",G376=""),"",G376-F376)</f>
        <v/>
      </c>
      <c r="I376" s="82"/>
      <c r="J376" s="82"/>
      <c r="K376" s="28"/>
      <c r="L376" s="90" t="str">
        <f aca="false">IF(OR(K376="",N(H376)=0),"",K376/H376)</f>
        <v/>
      </c>
      <c r="M376" s="68"/>
      <c r="N376" s="28"/>
      <c r="O376" s="25"/>
      <c r="P376" s="83" t="str">
        <f aca="false">IF(OR(N376="",N(H376)=0),"",N376/H376)</f>
        <v/>
      </c>
      <c r="Q376" s="25"/>
    </row>
    <row r="377" customFormat="false" ht="15" hidden="false" customHeight="false" outlineLevel="0" collapsed="false">
      <c r="A377" s="69"/>
      <c r="B377" s="68"/>
      <c r="C377" s="76" t="str">
        <f aca="false">IF(B377="","",IFERROR(INDEX(EN_Des,MATCH(B377,EN_Code,0)),"Code inconnu"))</f>
        <v/>
      </c>
      <c r="D377" s="25"/>
      <c r="E377" s="25"/>
      <c r="F377" s="82"/>
      <c r="G377" s="82"/>
      <c r="H377" s="83" t="str">
        <f aca="false">IF(OR(F377="",G377=""),"",G377-F377)</f>
        <v/>
      </c>
      <c r="I377" s="82"/>
      <c r="J377" s="82"/>
      <c r="K377" s="28"/>
      <c r="L377" s="90" t="str">
        <f aca="false">IF(OR(K377="",N(H377)=0),"",K377/H377)</f>
        <v/>
      </c>
      <c r="M377" s="68"/>
      <c r="N377" s="28"/>
      <c r="O377" s="25"/>
      <c r="P377" s="83" t="str">
        <f aca="false">IF(OR(N377="",N(H377)=0),"",N377/H377)</f>
        <v/>
      </c>
      <c r="Q377" s="25"/>
    </row>
    <row r="378" customFormat="false" ht="15" hidden="false" customHeight="false" outlineLevel="0" collapsed="false">
      <c r="A378" s="69"/>
      <c r="B378" s="68"/>
      <c r="C378" s="76" t="str">
        <f aca="false">IF(B378="","",IFERROR(INDEX(EN_Des,MATCH(B378,EN_Code,0)),"Code inconnu"))</f>
        <v/>
      </c>
      <c r="D378" s="25"/>
      <c r="E378" s="25"/>
      <c r="F378" s="82"/>
      <c r="G378" s="82"/>
      <c r="H378" s="83" t="str">
        <f aca="false">IF(OR(F378="",G378=""),"",G378-F378)</f>
        <v/>
      </c>
      <c r="I378" s="82"/>
      <c r="J378" s="82"/>
      <c r="K378" s="28"/>
      <c r="L378" s="90" t="str">
        <f aca="false">IF(OR(K378="",N(H378)=0),"",K378/H378)</f>
        <v/>
      </c>
      <c r="M378" s="68"/>
      <c r="N378" s="28"/>
      <c r="O378" s="25"/>
      <c r="P378" s="83" t="str">
        <f aca="false">IF(OR(N378="",N(H378)=0),"",N378/H378)</f>
        <v/>
      </c>
      <c r="Q378" s="25"/>
    </row>
    <row r="379" customFormat="false" ht="15" hidden="false" customHeight="false" outlineLevel="0" collapsed="false">
      <c r="A379" s="69"/>
      <c r="B379" s="68"/>
      <c r="C379" s="76" t="str">
        <f aca="false">IF(B379="","",IFERROR(INDEX(EN_Des,MATCH(B379,EN_Code,0)),"Code inconnu"))</f>
        <v/>
      </c>
      <c r="D379" s="25"/>
      <c r="E379" s="25"/>
      <c r="F379" s="82"/>
      <c r="G379" s="82"/>
      <c r="H379" s="83" t="str">
        <f aca="false">IF(OR(F379="",G379=""),"",G379-F379)</f>
        <v/>
      </c>
      <c r="I379" s="82"/>
      <c r="J379" s="82"/>
      <c r="K379" s="28"/>
      <c r="L379" s="90" t="str">
        <f aca="false">IF(OR(K379="",N(H379)=0),"",K379/H379)</f>
        <v/>
      </c>
      <c r="M379" s="68"/>
      <c r="N379" s="28"/>
      <c r="O379" s="25"/>
      <c r="P379" s="83" t="str">
        <f aca="false">IF(OR(N379="",N(H379)=0),"",N379/H379)</f>
        <v/>
      </c>
      <c r="Q379" s="25"/>
    </row>
    <row r="380" customFormat="false" ht="15" hidden="false" customHeight="false" outlineLevel="0" collapsed="false">
      <c r="A380" s="69"/>
      <c r="B380" s="68"/>
      <c r="C380" s="76" t="str">
        <f aca="false">IF(B380="","",IFERROR(INDEX(EN_Des,MATCH(B380,EN_Code,0)),"Code inconnu"))</f>
        <v/>
      </c>
      <c r="D380" s="25"/>
      <c r="E380" s="25"/>
      <c r="F380" s="82"/>
      <c r="G380" s="82"/>
      <c r="H380" s="83" t="str">
        <f aca="false">IF(OR(F380="",G380=""),"",G380-F380)</f>
        <v/>
      </c>
      <c r="I380" s="82"/>
      <c r="J380" s="82"/>
      <c r="K380" s="28"/>
      <c r="L380" s="90" t="str">
        <f aca="false">IF(OR(K380="",N(H380)=0),"",K380/H380)</f>
        <v/>
      </c>
      <c r="M380" s="68"/>
      <c r="N380" s="28"/>
      <c r="O380" s="25"/>
      <c r="P380" s="83" t="str">
        <f aca="false">IF(OR(N380="",N(H380)=0),"",N380/H380)</f>
        <v/>
      </c>
      <c r="Q380" s="25"/>
    </row>
    <row r="381" customFormat="false" ht="15" hidden="false" customHeight="false" outlineLevel="0" collapsed="false">
      <c r="A381" s="69"/>
      <c r="B381" s="68"/>
      <c r="C381" s="76" t="str">
        <f aca="false">IF(B381="","",IFERROR(INDEX(EN_Des,MATCH(B381,EN_Code,0)),"Code inconnu"))</f>
        <v/>
      </c>
      <c r="D381" s="25"/>
      <c r="E381" s="25"/>
      <c r="F381" s="82"/>
      <c r="G381" s="82"/>
      <c r="H381" s="83" t="str">
        <f aca="false">IF(OR(F381="",G381=""),"",G381-F381)</f>
        <v/>
      </c>
      <c r="I381" s="82"/>
      <c r="J381" s="82"/>
      <c r="K381" s="28"/>
      <c r="L381" s="90" t="str">
        <f aca="false">IF(OR(K381="",N(H381)=0),"",K381/H381)</f>
        <v/>
      </c>
      <c r="M381" s="68"/>
      <c r="N381" s="28"/>
      <c r="O381" s="25"/>
      <c r="P381" s="83" t="str">
        <f aca="false">IF(OR(N381="",N(H381)=0),"",N381/H381)</f>
        <v/>
      </c>
      <c r="Q381" s="25"/>
    </row>
    <row r="382" customFormat="false" ht="15" hidden="false" customHeight="false" outlineLevel="0" collapsed="false">
      <c r="A382" s="69"/>
      <c r="B382" s="68"/>
      <c r="C382" s="76" t="str">
        <f aca="false">IF(B382="","",IFERROR(INDEX(EN_Des,MATCH(B382,EN_Code,0)),"Code inconnu"))</f>
        <v/>
      </c>
      <c r="D382" s="25"/>
      <c r="E382" s="25"/>
      <c r="F382" s="82"/>
      <c r="G382" s="82"/>
      <c r="H382" s="83" t="str">
        <f aca="false">IF(OR(F382="",G382=""),"",G382-F382)</f>
        <v/>
      </c>
      <c r="I382" s="82"/>
      <c r="J382" s="82"/>
      <c r="K382" s="28"/>
      <c r="L382" s="90" t="str">
        <f aca="false">IF(OR(K382="",N(H382)=0),"",K382/H382)</f>
        <v/>
      </c>
      <c r="M382" s="68"/>
      <c r="N382" s="28"/>
      <c r="O382" s="25"/>
      <c r="P382" s="83" t="str">
        <f aca="false">IF(OR(N382="",N(H382)=0),"",N382/H382)</f>
        <v/>
      </c>
      <c r="Q382" s="25"/>
    </row>
    <row r="383" customFormat="false" ht="15" hidden="false" customHeight="false" outlineLevel="0" collapsed="false">
      <c r="A383" s="69"/>
      <c r="B383" s="68"/>
      <c r="C383" s="76" t="str">
        <f aca="false">IF(B383="","",IFERROR(INDEX(EN_Des,MATCH(B383,EN_Code,0)),"Code inconnu"))</f>
        <v/>
      </c>
      <c r="D383" s="25"/>
      <c r="E383" s="25"/>
      <c r="F383" s="82"/>
      <c r="G383" s="82"/>
      <c r="H383" s="83" t="str">
        <f aca="false">IF(OR(F383="",G383=""),"",G383-F383)</f>
        <v/>
      </c>
      <c r="I383" s="82"/>
      <c r="J383" s="82"/>
      <c r="K383" s="28"/>
      <c r="L383" s="90" t="str">
        <f aca="false">IF(OR(K383="",N(H383)=0),"",K383/H383)</f>
        <v/>
      </c>
      <c r="M383" s="68"/>
      <c r="N383" s="28"/>
      <c r="O383" s="25"/>
      <c r="P383" s="83" t="str">
        <f aca="false">IF(OR(N383="",N(H383)=0),"",N383/H383)</f>
        <v/>
      </c>
      <c r="Q383" s="25"/>
    </row>
    <row r="384" customFormat="false" ht="15" hidden="false" customHeight="false" outlineLevel="0" collapsed="false">
      <c r="A384" s="69"/>
      <c r="B384" s="68"/>
      <c r="C384" s="76" t="str">
        <f aca="false">IF(B384="","",IFERROR(INDEX(EN_Des,MATCH(B384,EN_Code,0)),"Code inconnu"))</f>
        <v/>
      </c>
      <c r="D384" s="25"/>
      <c r="E384" s="25"/>
      <c r="F384" s="82"/>
      <c r="G384" s="82"/>
      <c r="H384" s="83" t="str">
        <f aca="false">IF(OR(F384="",G384=""),"",G384-F384)</f>
        <v/>
      </c>
      <c r="I384" s="82"/>
      <c r="J384" s="82"/>
      <c r="K384" s="28"/>
      <c r="L384" s="90" t="str">
        <f aca="false">IF(OR(K384="",N(H384)=0),"",K384/H384)</f>
        <v/>
      </c>
      <c r="M384" s="68"/>
      <c r="N384" s="28"/>
      <c r="O384" s="25"/>
      <c r="P384" s="83" t="str">
        <f aca="false">IF(OR(N384="",N(H384)=0),"",N384/H384)</f>
        <v/>
      </c>
      <c r="Q384" s="25"/>
    </row>
    <row r="385" customFormat="false" ht="15" hidden="false" customHeight="false" outlineLevel="0" collapsed="false">
      <c r="A385" s="69"/>
      <c r="B385" s="68"/>
      <c r="C385" s="76" t="str">
        <f aca="false">IF(B385="","",IFERROR(INDEX(EN_Des,MATCH(B385,EN_Code,0)),"Code inconnu"))</f>
        <v/>
      </c>
      <c r="D385" s="25"/>
      <c r="E385" s="25"/>
      <c r="F385" s="82"/>
      <c r="G385" s="82"/>
      <c r="H385" s="83" t="str">
        <f aca="false">IF(OR(F385="",G385=""),"",G385-F385)</f>
        <v/>
      </c>
      <c r="I385" s="82"/>
      <c r="J385" s="82"/>
      <c r="K385" s="28"/>
      <c r="L385" s="90" t="str">
        <f aca="false">IF(OR(K385="",N(H385)=0),"",K385/H385)</f>
        <v/>
      </c>
      <c r="M385" s="68"/>
      <c r="N385" s="28"/>
      <c r="O385" s="25"/>
      <c r="P385" s="83" t="str">
        <f aca="false">IF(OR(N385="",N(H385)=0),"",N385/H385)</f>
        <v/>
      </c>
      <c r="Q385" s="25"/>
    </row>
    <row r="386" customFormat="false" ht="15" hidden="false" customHeight="false" outlineLevel="0" collapsed="false">
      <c r="A386" s="69"/>
      <c r="B386" s="68"/>
      <c r="C386" s="76" t="str">
        <f aca="false">IF(B386="","",IFERROR(INDEX(EN_Des,MATCH(B386,EN_Code,0)),"Code inconnu"))</f>
        <v/>
      </c>
      <c r="D386" s="25"/>
      <c r="E386" s="25"/>
      <c r="F386" s="82"/>
      <c r="G386" s="82"/>
      <c r="H386" s="83" t="str">
        <f aca="false">IF(OR(F386="",G386=""),"",G386-F386)</f>
        <v/>
      </c>
      <c r="I386" s="82"/>
      <c r="J386" s="82"/>
      <c r="K386" s="28"/>
      <c r="L386" s="90" t="str">
        <f aca="false">IF(OR(K386="",N(H386)=0),"",K386/H386)</f>
        <v/>
      </c>
      <c r="M386" s="68"/>
      <c r="N386" s="28"/>
      <c r="O386" s="25"/>
      <c r="P386" s="83" t="str">
        <f aca="false">IF(OR(N386="",N(H386)=0),"",N386/H386)</f>
        <v/>
      </c>
      <c r="Q386" s="25"/>
    </row>
    <row r="387" customFormat="false" ht="15" hidden="false" customHeight="false" outlineLevel="0" collapsed="false">
      <c r="A387" s="69"/>
      <c r="B387" s="68"/>
      <c r="C387" s="76" t="str">
        <f aca="false">IF(B387="","",IFERROR(INDEX(EN_Des,MATCH(B387,EN_Code,0)),"Code inconnu"))</f>
        <v/>
      </c>
      <c r="D387" s="25"/>
      <c r="E387" s="25"/>
      <c r="F387" s="82"/>
      <c r="G387" s="82"/>
      <c r="H387" s="83" t="str">
        <f aca="false">IF(OR(F387="",G387=""),"",G387-F387)</f>
        <v/>
      </c>
      <c r="I387" s="82"/>
      <c r="J387" s="82"/>
      <c r="K387" s="28"/>
      <c r="L387" s="90" t="str">
        <f aca="false">IF(OR(K387="",N(H387)=0),"",K387/H387)</f>
        <v/>
      </c>
      <c r="M387" s="68"/>
      <c r="N387" s="28"/>
      <c r="O387" s="25"/>
      <c r="P387" s="83" t="str">
        <f aca="false">IF(OR(N387="",N(H387)=0),"",N387/H387)</f>
        <v/>
      </c>
      <c r="Q387" s="25"/>
    </row>
    <row r="388" customFormat="false" ht="15" hidden="false" customHeight="false" outlineLevel="0" collapsed="false">
      <c r="A388" s="69"/>
      <c r="B388" s="68"/>
      <c r="C388" s="76" t="str">
        <f aca="false">IF(B388="","",IFERROR(INDEX(EN_Des,MATCH(B388,EN_Code,0)),"Code inconnu"))</f>
        <v/>
      </c>
      <c r="D388" s="25"/>
      <c r="E388" s="25"/>
      <c r="F388" s="82"/>
      <c r="G388" s="82"/>
      <c r="H388" s="83" t="str">
        <f aca="false">IF(OR(F388="",G388=""),"",G388-F388)</f>
        <v/>
      </c>
      <c r="I388" s="82"/>
      <c r="J388" s="82"/>
      <c r="K388" s="28"/>
      <c r="L388" s="90" t="str">
        <f aca="false">IF(OR(K388="",N(H388)=0),"",K388/H388)</f>
        <v/>
      </c>
      <c r="M388" s="68"/>
      <c r="N388" s="28"/>
      <c r="O388" s="25"/>
      <c r="P388" s="83" t="str">
        <f aca="false">IF(OR(N388="",N(H388)=0),"",N388/H388)</f>
        <v/>
      </c>
      <c r="Q388" s="25"/>
    </row>
    <row r="389" customFormat="false" ht="15" hidden="false" customHeight="false" outlineLevel="0" collapsed="false">
      <c r="A389" s="69"/>
      <c r="B389" s="68"/>
      <c r="C389" s="76" t="str">
        <f aca="false">IF(B389="","",IFERROR(INDEX(EN_Des,MATCH(B389,EN_Code,0)),"Code inconnu"))</f>
        <v/>
      </c>
      <c r="D389" s="25"/>
      <c r="E389" s="25"/>
      <c r="F389" s="82"/>
      <c r="G389" s="82"/>
      <c r="H389" s="83" t="str">
        <f aca="false">IF(OR(F389="",G389=""),"",G389-F389)</f>
        <v/>
      </c>
      <c r="I389" s="82"/>
      <c r="J389" s="82"/>
      <c r="K389" s="28"/>
      <c r="L389" s="90" t="str">
        <f aca="false">IF(OR(K389="",N(H389)=0),"",K389/H389)</f>
        <v/>
      </c>
      <c r="M389" s="68"/>
      <c r="N389" s="28"/>
      <c r="O389" s="25"/>
      <c r="P389" s="83" t="str">
        <f aca="false">IF(OR(N389="",N(H389)=0),"",N389/H389)</f>
        <v/>
      </c>
      <c r="Q389" s="25"/>
    </row>
    <row r="390" customFormat="false" ht="15" hidden="false" customHeight="false" outlineLevel="0" collapsed="false">
      <c r="A390" s="69"/>
      <c r="B390" s="68"/>
      <c r="C390" s="76" t="str">
        <f aca="false">IF(B390="","",IFERROR(INDEX(EN_Des,MATCH(B390,EN_Code,0)),"Code inconnu"))</f>
        <v/>
      </c>
      <c r="D390" s="25"/>
      <c r="E390" s="25"/>
      <c r="F390" s="82"/>
      <c r="G390" s="82"/>
      <c r="H390" s="83" t="str">
        <f aca="false">IF(OR(F390="",G390=""),"",G390-F390)</f>
        <v/>
      </c>
      <c r="I390" s="82"/>
      <c r="J390" s="82"/>
      <c r="K390" s="28"/>
      <c r="L390" s="90" t="str">
        <f aca="false">IF(OR(K390="",N(H390)=0),"",K390/H390)</f>
        <v/>
      </c>
      <c r="M390" s="68"/>
      <c r="N390" s="28"/>
      <c r="O390" s="25"/>
      <c r="P390" s="83" t="str">
        <f aca="false">IF(OR(N390="",N(H390)=0),"",N390/H390)</f>
        <v/>
      </c>
      <c r="Q390" s="25"/>
    </row>
    <row r="391" customFormat="false" ht="15" hidden="false" customHeight="false" outlineLevel="0" collapsed="false">
      <c r="A391" s="69"/>
      <c r="B391" s="68"/>
      <c r="C391" s="76" t="str">
        <f aca="false">IF(B391="","",IFERROR(INDEX(EN_Des,MATCH(B391,EN_Code,0)),"Code inconnu"))</f>
        <v/>
      </c>
      <c r="D391" s="25"/>
      <c r="E391" s="25"/>
      <c r="F391" s="82"/>
      <c r="G391" s="82"/>
      <c r="H391" s="83" t="str">
        <f aca="false">IF(OR(F391="",G391=""),"",G391-F391)</f>
        <v/>
      </c>
      <c r="I391" s="82"/>
      <c r="J391" s="82"/>
      <c r="K391" s="28"/>
      <c r="L391" s="90" t="str">
        <f aca="false">IF(OR(K391="",N(H391)=0),"",K391/H391)</f>
        <v/>
      </c>
      <c r="M391" s="68"/>
      <c r="N391" s="28"/>
      <c r="O391" s="25"/>
      <c r="P391" s="83" t="str">
        <f aca="false">IF(OR(N391="",N(H391)=0),"",N391/H391)</f>
        <v/>
      </c>
      <c r="Q391" s="25"/>
    </row>
    <row r="392" customFormat="false" ht="15" hidden="false" customHeight="false" outlineLevel="0" collapsed="false">
      <c r="A392" s="69"/>
      <c r="B392" s="68"/>
      <c r="C392" s="76" t="str">
        <f aca="false">IF(B392="","",IFERROR(INDEX(EN_Des,MATCH(B392,EN_Code,0)),"Code inconnu"))</f>
        <v/>
      </c>
      <c r="D392" s="25"/>
      <c r="E392" s="25"/>
      <c r="F392" s="82"/>
      <c r="G392" s="82"/>
      <c r="H392" s="83" t="str">
        <f aca="false">IF(OR(F392="",G392=""),"",G392-F392)</f>
        <v/>
      </c>
      <c r="I392" s="82"/>
      <c r="J392" s="82"/>
      <c r="K392" s="28"/>
      <c r="L392" s="90" t="str">
        <f aca="false">IF(OR(K392="",N(H392)=0),"",K392/H392)</f>
        <v/>
      </c>
      <c r="M392" s="68"/>
      <c r="N392" s="28"/>
      <c r="O392" s="25"/>
      <c r="P392" s="83" t="str">
        <f aca="false">IF(OR(N392="",N(H392)=0),"",N392/H392)</f>
        <v/>
      </c>
      <c r="Q392" s="25"/>
    </row>
    <row r="393" customFormat="false" ht="15" hidden="false" customHeight="false" outlineLevel="0" collapsed="false">
      <c r="A393" s="69"/>
      <c r="B393" s="68"/>
      <c r="C393" s="76" t="str">
        <f aca="false">IF(B393="","",IFERROR(INDEX(EN_Des,MATCH(B393,EN_Code,0)),"Code inconnu"))</f>
        <v/>
      </c>
      <c r="D393" s="25"/>
      <c r="E393" s="25"/>
      <c r="F393" s="82"/>
      <c r="G393" s="82"/>
      <c r="H393" s="83" t="str">
        <f aca="false">IF(OR(F393="",G393=""),"",G393-F393)</f>
        <v/>
      </c>
      <c r="I393" s="82"/>
      <c r="J393" s="82"/>
      <c r="K393" s="28"/>
      <c r="L393" s="90" t="str">
        <f aca="false">IF(OR(K393="",N(H393)=0),"",K393/H393)</f>
        <v/>
      </c>
      <c r="M393" s="68"/>
      <c r="N393" s="28"/>
      <c r="O393" s="25"/>
      <c r="P393" s="83" t="str">
        <f aca="false">IF(OR(N393="",N(H393)=0),"",N393/H393)</f>
        <v/>
      </c>
      <c r="Q393" s="25"/>
    </row>
    <row r="394" customFormat="false" ht="15" hidden="false" customHeight="false" outlineLevel="0" collapsed="false">
      <c r="A394" s="69"/>
      <c r="B394" s="68"/>
      <c r="C394" s="76" t="str">
        <f aca="false">IF(B394="","",IFERROR(INDEX(EN_Des,MATCH(B394,EN_Code,0)),"Code inconnu"))</f>
        <v/>
      </c>
      <c r="D394" s="25"/>
      <c r="E394" s="25"/>
      <c r="F394" s="82"/>
      <c r="G394" s="82"/>
      <c r="H394" s="83" t="str">
        <f aca="false">IF(OR(F394="",G394=""),"",G394-F394)</f>
        <v/>
      </c>
      <c r="I394" s="82"/>
      <c r="J394" s="82"/>
      <c r="K394" s="28"/>
      <c r="L394" s="90" t="str">
        <f aca="false">IF(OR(K394="",N(H394)=0),"",K394/H394)</f>
        <v/>
      </c>
      <c r="M394" s="68"/>
      <c r="N394" s="28"/>
      <c r="O394" s="25"/>
      <c r="P394" s="83" t="str">
        <f aca="false">IF(OR(N394="",N(H394)=0),"",N394/H394)</f>
        <v/>
      </c>
      <c r="Q394" s="25"/>
    </row>
    <row r="395" customFormat="false" ht="15" hidden="false" customHeight="false" outlineLevel="0" collapsed="false">
      <c r="A395" s="69"/>
      <c r="B395" s="68"/>
      <c r="C395" s="76" t="str">
        <f aca="false">IF(B395="","",IFERROR(INDEX(EN_Des,MATCH(B395,EN_Code,0)),"Code inconnu"))</f>
        <v/>
      </c>
      <c r="D395" s="25"/>
      <c r="E395" s="25"/>
      <c r="F395" s="82"/>
      <c r="G395" s="82"/>
      <c r="H395" s="83" t="str">
        <f aca="false">IF(OR(F395="",G395=""),"",G395-F395)</f>
        <v/>
      </c>
      <c r="I395" s="82"/>
      <c r="J395" s="82"/>
      <c r="K395" s="28"/>
      <c r="L395" s="90" t="str">
        <f aca="false">IF(OR(K395="",N(H395)=0),"",K395/H395)</f>
        <v/>
      </c>
      <c r="M395" s="68"/>
      <c r="N395" s="28"/>
      <c r="O395" s="25"/>
      <c r="P395" s="83" t="str">
        <f aca="false">IF(OR(N395="",N(H395)=0),"",N395/H395)</f>
        <v/>
      </c>
      <c r="Q395" s="25"/>
    </row>
    <row r="396" customFormat="false" ht="15" hidden="false" customHeight="false" outlineLevel="0" collapsed="false">
      <c r="A396" s="69"/>
      <c r="B396" s="68"/>
      <c r="C396" s="76" t="str">
        <f aca="false">IF(B396="","",IFERROR(INDEX(EN_Des,MATCH(B396,EN_Code,0)),"Code inconnu"))</f>
        <v/>
      </c>
      <c r="D396" s="25"/>
      <c r="E396" s="25"/>
      <c r="F396" s="82"/>
      <c r="G396" s="82"/>
      <c r="H396" s="83" t="str">
        <f aca="false">IF(OR(F396="",G396=""),"",G396-F396)</f>
        <v/>
      </c>
      <c r="I396" s="82"/>
      <c r="J396" s="82"/>
      <c r="K396" s="28"/>
      <c r="L396" s="90" t="str">
        <f aca="false">IF(OR(K396="",N(H396)=0),"",K396/H396)</f>
        <v/>
      </c>
      <c r="M396" s="68"/>
      <c r="N396" s="28"/>
      <c r="O396" s="25"/>
      <c r="P396" s="83" t="str">
        <f aca="false">IF(OR(N396="",N(H396)=0),"",N396/H396)</f>
        <v/>
      </c>
      <c r="Q396" s="25"/>
    </row>
    <row r="397" customFormat="false" ht="15" hidden="false" customHeight="false" outlineLevel="0" collapsed="false">
      <c r="A397" s="69"/>
      <c r="B397" s="68"/>
      <c r="C397" s="76" t="str">
        <f aca="false">IF(B397="","",IFERROR(INDEX(EN_Des,MATCH(B397,EN_Code,0)),"Code inconnu"))</f>
        <v/>
      </c>
      <c r="D397" s="25"/>
      <c r="E397" s="25"/>
      <c r="F397" s="82"/>
      <c r="G397" s="82"/>
      <c r="H397" s="83" t="str">
        <f aca="false">IF(OR(F397="",G397=""),"",G397-F397)</f>
        <v/>
      </c>
      <c r="I397" s="82"/>
      <c r="J397" s="82"/>
      <c r="K397" s="28"/>
      <c r="L397" s="90" t="str">
        <f aca="false">IF(OR(K397="",N(H397)=0),"",K397/H397)</f>
        <v/>
      </c>
      <c r="M397" s="68"/>
      <c r="N397" s="28"/>
      <c r="O397" s="25"/>
      <c r="P397" s="83" t="str">
        <f aca="false">IF(OR(N397="",N(H397)=0),"",N397/H397)</f>
        <v/>
      </c>
      <c r="Q397" s="25"/>
    </row>
    <row r="398" customFormat="false" ht="15" hidden="false" customHeight="false" outlineLevel="0" collapsed="false">
      <c r="A398" s="69"/>
      <c r="B398" s="68"/>
      <c r="C398" s="76" t="str">
        <f aca="false">IF(B398="","",IFERROR(INDEX(EN_Des,MATCH(B398,EN_Code,0)),"Code inconnu"))</f>
        <v/>
      </c>
      <c r="D398" s="25"/>
      <c r="E398" s="25"/>
      <c r="F398" s="82"/>
      <c r="G398" s="82"/>
      <c r="H398" s="83" t="str">
        <f aca="false">IF(OR(F398="",G398=""),"",G398-F398)</f>
        <v/>
      </c>
      <c r="I398" s="82"/>
      <c r="J398" s="82"/>
      <c r="K398" s="28"/>
      <c r="L398" s="90" t="str">
        <f aca="false">IF(OR(K398="",N(H398)=0),"",K398/H398)</f>
        <v/>
      </c>
      <c r="M398" s="68"/>
      <c r="N398" s="28"/>
      <c r="O398" s="25"/>
      <c r="P398" s="83" t="str">
        <f aca="false">IF(OR(N398="",N(H398)=0),"",N398/H398)</f>
        <v/>
      </c>
      <c r="Q398" s="25"/>
    </row>
    <row r="399" customFormat="false" ht="15" hidden="false" customHeight="false" outlineLevel="0" collapsed="false">
      <c r="A399" s="69"/>
      <c r="B399" s="68"/>
      <c r="C399" s="76" t="str">
        <f aca="false">IF(B399="","",IFERROR(INDEX(EN_Des,MATCH(B399,EN_Code,0)),"Code inconnu"))</f>
        <v/>
      </c>
      <c r="D399" s="25"/>
      <c r="E399" s="25"/>
      <c r="F399" s="82"/>
      <c r="G399" s="82"/>
      <c r="H399" s="83" t="str">
        <f aca="false">IF(OR(F399="",G399=""),"",G399-F399)</f>
        <v/>
      </c>
      <c r="I399" s="82"/>
      <c r="J399" s="82"/>
      <c r="K399" s="28"/>
      <c r="L399" s="90" t="str">
        <f aca="false">IF(OR(K399="",N(H399)=0),"",K399/H399)</f>
        <v/>
      </c>
      <c r="M399" s="68"/>
      <c r="N399" s="28"/>
      <c r="O399" s="25"/>
      <c r="P399" s="83" t="str">
        <f aca="false">IF(OR(N399="",N(H399)=0),"",N399/H399)</f>
        <v/>
      </c>
      <c r="Q399" s="25"/>
    </row>
    <row r="400" customFormat="false" ht="15" hidden="false" customHeight="false" outlineLevel="0" collapsed="false">
      <c r="A400" s="69"/>
      <c r="B400" s="68"/>
      <c r="C400" s="76" t="str">
        <f aca="false">IF(B400="","",IFERROR(INDEX(EN_Des,MATCH(B400,EN_Code,0)),"Code inconnu"))</f>
        <v/>
      </c>
      <c r="D400" s="25"/>
      <c r="E400" s="25"/>
      <c r="F400" s="82"/>
      <c r="G400" s="82"/>
      <c r="H400" s="83" t="str">
        <f aca="false">IF(OR(F400="",G400=""),"",G400-F400)</f>
        <v/>
      </c>
      <c r="I400" s="82"/>
      <c r="J400" s="82"/>
      <c r="K400" s="28"/>
      <c r="L400" s="90" t="str">
        <f aca="false">IF(OR(K400="",N(H400)=0),"",K400/H400)</f>
        <v/>
      </c>
      <c r="M400" s="68"/>
      <c r="N400" s="28"/>
      <c r="O400" s="25"/>
      <c r="P400" s="83" t="str">
        <f aca="false">IF(OR(N400="",N(H400)=0),"",N400/H400)</f>
        <v/>
      </c>
      <c r="Q400" s="25"/>
    </row>
    <row r="401" customFormat="false" ht="15" hidden="false" customHeight="false" outlineLevel="0" collapsed="false">
      <c r="A401" s="69"/>
      <c r="B401" s="68"/>
      <c r="C401" s="76" t="str">
        <f aca="false">IF(B401="","",IFERROR(INDEX(EN_Des,MATCH(B401,EN_Code,0)),"Code inconnu"))</f>
        <v/>
      </c>
      <c r="D401" s="25"/>
      <c r="E401" s="25"/>
      <c r="F401" s="82"/>
      <c r="G401" s="82"/>
      <c r="H401" s="83" t="str">
        <f aca="false">IF(OR(F401="",G401=""),"",G401-F401)</f>
        <v/>
      </c>
      <c r="I401" s="82"/>
      <c r="J401" s="82"/>
      <c r="K401" s="28"/>
      <c r="L401" s="90" t="str">
        <f aca="false">IF(OR(K401="",N(H401)=0),"",K401/H401)</f>
        <v/>
      </c>
      <c r="M401" s="68"/>
      <c r="N401" s="28"/>
      <c r="O401" s="25"/>
      <c r="P401" s="83" t="str">
        <f aca="false">IF(OR(N401="",N(H401)=0),"",N401/H401)</f>
        <v/>
      </c>
      <c r="Q401" s="25"/>
    </row>
    <row r="402" customFormat="false" ht="15" hidden="false" customHeight="false" outlineLevel="0" collapsed="false">
      <c r="A402" s="69"/>
      <c r="B402" s="68"/>
      <c r="C402" s="76" t="str">
        <f aca="false">IF(B402="","",IFERROR(INDEX(EN_Des,MATCH(B402,EN_Code,0)),"Code inconnu"))</f>
        <v/>
      </c>
      <c r="D402" s="25"/>
      <c r="E402" s="25"/>
      <c r="F402" s="82"/>
      <c r="G402" s="82"/>
      <c r="H402" s="83" t="str">
        <f aca="false">IF(OR(F402="",G402=""),"",G402-F402)</f>
        <v/>
      </c>
      <c r="I402" s="82"/>
      <c r="J402" s="82"/>
      <c r="K402" s="28"/>
      <c r="L402" s="90" t="str">
        <f aca="false">IF(OR(K402="",N(H402)=0),"",K402/H402)</f>
        <v/>
      </c>
      <c r="M402" s="68"/>
      <c r="N402" s="28"/>
      <c r="O402" s="25"/>
      <c r="P402" s="83" t="str">
        <f aca="false">IF(OR(N402="",N(H402)=0),"",N402/H402)</f>
        <v/>
      </c>
      <c r="Q402" s="25"/>
    </row>
    <row r="403" customFormat="false" ht="15" hidden="false" customHeight="false" outlineLevel="0" collapsed="false">
      <c r="A403" s="69"/>
      <c r="B403" s="68"/>
      <c r="C403" s="76" t="str">
        <f aca="false">IF(B403="","",IFERROR(INDEX(EN_Des,MATCH(B403,EN_Code,0)),"Code inconnu"))</f>
        <v/>
      </c>
      <c r="D403" s="25"/>
      <c r="E403" s="25"/>
      <c r="F403" s="82"/>
      <c r="G403" s="82"/>
      <c r="H403" s="83" t="str">
        <f aca="false">IF(OR(F403="",G403=""),"",G403-F403)</f>
        <v/>
      </c>
      <c r="I403" s="82"/>
      <c r="J403" s="82"/>
      <c r="K403" s="28"/>
      <c r="L403" s="90" t="str">
        <f aca="false">IF(OR(K403="",N(H403)=0),"",K403/H403)</f>
        <v/>
      </c>
      <c r="M403" s="68"/>
      <c r="N403" s="28"/>
      <c r="O403" s="25"/>
      <c r="P403" s="83" t="str">
        <f aca="false">IF(OR(N403="",N(H403)=0),"",N403/H403)</f>
        <v/>
      </c>
      <c r="Q403" s="25"/>
    </row>
    <row r="404" customFormat="false" ht="15" hidden="false" customHeight="false" outlineLevel="0" collapsed="false">
      <c r="A404" s="69"/>
      <c r="B404" s="68"/>
      <c r="C404" s="76" t="str">
        <f aca="false">IF(B404="","",IFERROR(INDEX(EN_Des,MATCH(B404,EN_Code,0)),"Code inconnu"))</f>
        <v/>
      </c>
      <c r="D404" s="25"/>
      <c r="E404" s="25"/>
      <c r="F404" s="82"/>
      <c r="G404" s="82"/>
      <c r="H404" s="83" t="str">
        <f aca="false">IF(OR(F404="",G404=""),"",G404-F404)</f>
        <v/>
      </c>
      <c r="I404" s="82"/>
      <c r="J404" s="82"/>
      <c r="K404" s="28"/>
      <c r="L404" s="90" t="str">
        <f aca="false">IF(OR(K404="",N(H404)=0),"",K404/H404)</f>
        <v/>
      </c>
      <c r="M404" s="68"/>
      <c r="N404" s="28"/>
      <c r="O404" s="25"/>
      <c r="P404" s="83" t="str">
        <f aca="false">IF(OR(N404="",N(H404)=0),"",N404/H404)</f>
        <v/>
      </c>
      <c r="Q404" s="25"/>
    </row>
    <row r="405" customFormat="false" ht="15" hidden="false" customHeight="false" outlineLevel="0" collapsed="false">
      <c r="A405" s="69"/>
      <c r="B405" s="68"/>
      <c r="C405" s="76" t="str">
        <f aca="false">IF(B405="","",IFERROR(INDEX(EN_Des,MATCH(B405,EN_Code,0)),"Code inconnu"))</f>
        <v/>
      </c>
      <c r="D405" s="25"/>
      <c r="E405" s="25"/>
      <c r="F405" s="82"/>
      <c r="G405" s="82"/>
      <c r="H405" s="83" t="str">
        <f aca="false">IF(OR(F405="",G405=""),"",G405-F405)</f>
        <v/>
      </c>
      <c r="I405" s="82"/>
      <c r="J405" s="82"/>
      <c r="K405" s="28"/>
      <c r="L405" s="90" t="str">
        <f aca="false">IF(OR(K405="",N(H405)=0),"",K405/H405)</f>
        <v/>
      </c>
      <c r="M405" s="68"/>
      <c r="N405" s="28"/>
      <c r="O405" s="25"/>
      <c r="P405" s="83" t="str">
        <f aca="false">IF(OR(N405="",N(H405)=0),"",N405/H405)</f>
        <v/>
      </c>
      <c r="Q405" s="25"/>
    </row>
    <row r="406" customFormat="false" ht="15" hidden="false" customHeight="false" outlineLevel="0" collapsed="false">
      <c r="A406" s="69"/>
      <c r="B406" s="68"/>
      <c r="C406" s="76" t="str">
        <f aca="false">IF(B406="","",IFERROR(INDEX(EN_Des,MATCH(B406,EN_Code,0)),"Code inconnu"))</f>
        <v/>
      </c>
      <c r="D406" s="25"/>
      <c r="E406" s="25"/>
      <c r="F406" s="82"/>
      <c r="G406" s="82"/>
      <c r="H406" s="83" t="str">
        <f aca="false">IF(OR(F406="",G406=""),"",G406-F406)</f>
        <v/>
      </c>
      <c r="I406" s="82"/>
      <c r="J406" s="82"/>
      <c r="K406" s="28"/>
      <c r="L406" s="90" t="str">
        <f aca="false">IF(OR(K406="",N(H406)=0),"",K406/H406)</f>
        <v/>
      </c>
      <c r="M406" s="68"/>
      <c r="N406" s="28"/>
      <c r="O406" s="25"/>
      <c r="P406" s="83" t="str">
        <f aca="false">IF(OR(N406="",N(H406)=0),"",N406/H406)</f>
        <v/>
      </c>
      <c r="Q406" s="25"/>
    </row>
    <row r="407" customFormat="false" ht="15" hidden="false" customHeight="false" outlineLevel="0" collapsed="false">
      <c r="A407" s="69"/>
      <c r="B407" s="68"/>
      <c r="C407" s="76" t="str">
        <f aca="false">IF(B407="","",IFERROR(INDEX(EN_Des,MATCH(B407,EN_Code,0)),"Code inconnu"))</f>
        <v/>
      </c>
      <c r="D407" s="25"/>
      <c r="E407" s="25"/>
      <c r="F407" s="82"/>
      <c r="G407" s="82"/>
      <c r="H407" s="83" t="str">
        <f aca="false">IF(OR(F407="",G407=""),"",G407-F407)</f>
        <v/>
      </c>
      <c r="I407" s="82"/>
      <c r="J407" s="82"/>
      <c r="K407" s="28"/>
      <c r="L407" s="90" t="str">
        <f aca="false">IF(OR(K407="",N(H407)=0),"",K407/H407)</f>
        <v/>
      </c>
      <c r="M407" s="68"/>
      <c r="N407" s="28"/>
      <c r="O407" s="25"/>
      <c r="P407" s="83" t="str">
        <f aca="false">IF(OR(N407="",N(H407)=0),"",N407/H407)</f>
        <v/>
      </c>
      <c r="Q407" s="25"/>
    </row>
    <row r="408" customFormat="false" ht="15" hidden="false" customHeight="false" outlineLevel="0" collapsed="false">
      <c r="A408" s="69"/>
      <c r="B408" s="68"/>
      <c r="C408" s="76" t="str">
        <f aca="false">IF(B408="","",IFERROR(INDEX(EN_Des,MATCH(B408,EN_Code,0)),"Code inconnu"))</f>
        <v/>
      </c>
      <c r="D408" s="25"/>
      <c r="E408" s="25"/>
      <c r="F408" s="82"/>
      <c r="G408" s="82"/>
      <c r="H408" s="83" t="str">
        <f aca="false">IF(OR(F408="",G408=""),"",G408-F408)</f>
        <v/>
      </c>
      <c r="I408" s="82"/>
      <c r="J408" s="82"/>
      <c r="K408" s="28"/>
      <c r="L408" s="90" t="str">
        <f aca="false">IF(OR(K408="",N(H408)=0),"",K408/H408)</f>
        <v/>
      </c>
      <c r="M408" s="68"/>
      <c r="N408" s="28"/>
      <c r="O408" s="25"/>
      <c r="P408" s="83" t="str">
        <f aca="false">IF(OR(N408="",N(H408)=0),"",N408/H408)</f>
        <v/>
      </c>
      <c r="Q408" s="25"/>
    </row>
    <row r="409" customFormat="false" ht="15" hidden="false" customHeight="false" outlineLevel="0" collapsed="false">
      <c r="A409" s="69"/>
      <c r="B409" s="68"/>
      <c r="C409" s="76" t="str">
        <f aca="false">IF(B409="","",IFERROR(INDEX(EN_Des,MATCH(B409,EN_Code,0)),"Code inconnu"))</f>
        <v/>
      </c>
      <c r="D409" s="25"/>
      <c r="E409" s="25"/>
      <c r="F409" s="82"/>
      <c r="G409" s="82"/>
      <c r="H409" s="83" t="str">
        <f aca="false">IF(OR(F409="",G409=""),"",G409-F409)</f>
        <v/>
      </c>
      <c r="I409" s="82"/>
      <c r="J409" s="82"/>
      <c r="K409" s="28"/>
      <c r="L409" s="90" t="str">
        <f aca="false">IF(OR(K409="",N(H409)=0),"",K409/H409)</f>
        <v/>
      </c>
      <c r="M409" s="68"/>
      <c r="N409" s="28"/>
      <c r="O409" s="25"/>
      <c r="P409" s="83" t="str">
        <f aca="false">IF(OR(N409="",N(H409)=0),"",N409/H409)</f>
        <v/>
      </c>
      <c r="Q409" s="25"/>
    </row>
    <row r="410" customFormat="false" ht="15" hidden="false" customHeight="false" outlineLevel="0" collapsed="false">
      <c r="A410" s="69"/>
      <c r="B410" s="68"/>
      <c r="C410" s="76" t="str">
        <f aca="false">IF(B410="","",IFERROR(INDEX(EN_Des,MATCH(B410,EN_Code,0)),"Code inconnu"))</f>
        <v/>
      </c>
      <c r="D410" s="25"/>
      <c r="E410" s="25"/>
      <c r="F410" s="82"/>
      <c r="G410" s="82"/>
      <c r="H410" s="83" t="str">
        <f aca="false">IF(OR(F410="",G410=""),"",G410-F410)</f>
        <v/>
      </c>
      <c r="I410" s="82"/>
      <c r="J410" s="82"/>
      <c r="K410" s="28"/>
      <c r="L410" s="90" t="str">
        <f aca="false">IF(OR(K410="",N(H410)=0),"",K410/H410)</f>
        <v/>
      </c>
      <c r="M410" s="68"/>
      <c r="N410" s="28"/>
      <c r="O410" s="25"/>
      <c r="P410" s="83" t="str">
        <f aca="false">IF(OR(N410="",N(H410)=0),"",N410/H410)</f>
        <v/>
      </c>
      <c r="Q410" s="25"/>
    </row>
    <row r="411" customFormat="false" ht="15" hidden="false" customHeight="false" outlineLevel="0" collapsed="false">
      <c r="A411" s="69"/>
      <c r="B411" s="68"/>
      <c r="C411" s="76" t="str">
        <f aca="false">IF(B411="","",IFERROR(INDEX(EN_Des,MATCH(B411,EN_Code,0)),"Code inconnu"))</f>
        <v/>
      </c>
      <c r="D411" s="25"/>
      <c r="E411" s="25"/>
      <c r="F411" s="82"/>
      <c r="G411" s="82"/>
      <c r="H411" s="83" t="str">
        <f aca="false">IF(OR(F411="",G411=""),"",G411-F411)</f>
        <v/>
      </c>
      <c r="I411" s="82"/>
      <c r="J411" s="82"/>
      <c r="K411" s="28"/>
      <c r="L411" s="90" t="str">
        <f aca="false">IF(OR(K411="",N(H411)=0),"",K411/H411)</f>
        <v/>
      </c>
      <c r="M411" s="68"/>
      <c r="N411" s="28"/>
      <c r="O411" s="25"/>
      <c r="P411" s="83" t="str">
        <f aca="false">IF(OR(N411="",N(H411)=0),"",N411/H411)</f>
        <v/>
      </c>
      <c r="Q411" s="25"/>
    </row>
    <row r="412" customFormat="false" ht="15" hidden="false" customHeight="false" outlineLevel="0" collapsed="false">
      <c r="A412" s="69"/>
      <c r="B412" s="68"/>
      <c r="C412" s="76" t="str">
        <f aca="false">IF(B412="","",IFERROR(INDEX(EN_Des,MATCH(B412,EN_Code,0)),"Code inconnu"))</f>
        <v/>
      </c>
      <c r="D412" s="25"/>
      <c r="E412" s="25"/>
      <c r="F412" s="82"/>
      <c r="G412" s="82"/>
      <c r="H412" s="83" t="str">
        <f aca="false">IF(OR(F412="",G412=""),"",G412-F412)</f>
        <v/>
      </c>
      <c r="I412" s="82"/>
      <c r="J412" s="82"/>
      <c r="K412" s="28"/>
      <c r="L412" s="90" t="str">
        <f aca="false">IF(OR(K412="",N(H412)=0),"",K412/H412)</f>
        <v/>
      </c>
      <c r="M412" s="68"/>
      <c r="N412" s="28"/>
      <c r="O412" s="25"/>
      <c r="P412" s="83" t="str">
        <f aca="false">IF(OR(N412="",N(H412)=0),"",N412/H412)</f>
        <v/>
      </c>
      <c r="Q412" s="25"/>
    </row>
    <row r="413" customFormat="false" ht="15" hidden="false" customHeight="false" outlineLevel="0" collapsed="false">
      <c r="A413" s="69"/>
      <c r="B413" s="68"/>
      <c r="C413" s="76" t="str">
        <f aca="false">IF(B413="","",IFERROR(INDEX(EN_Des,MATCH(B413,EN_Code,0)),"Code inconnu"))</f>
        <v/>
      </c>
      <c r="D413" s="25"/>
      <c r="E413" s="25"/>
      <c r="F413" s="82"/>
      <c r="G413" s="82"/>
      <c r="H413" s="83" t="str">
        <f aca="false">IF(OR(F413="",G413=""),"",G413-F413)</f>
        <v/>
      </c>
      <c r="I413" s="82"/>
      <c r="J413" s="82"/>
      <c r="K413" s="28"/>
      <c r="L413" s="90" t="str">
        <f aca="false">IF(OR(K413="",N(H413)=0),"",K413/H413)</f>
        <v/>
      </c>
      <c r="M413" s="68"/>
      <c r="N413" s="28"/>
      <c r="O413" s="25"/>
      <c r="P413" s="83" t="str">
        <f aca="false">IF(OR(N413="",N(H413)=0),"",N413/H413)</f>
        <v/>
      </c>
      <c r="Q413" s="25"/>
    </row>
    <row r="414" customFormat="false" ht="15" hidden="false" customHeight="false" outlineLevel="0" collapsed="false">
      <c r="A414" s="69"/>
      <c r="B414" s="68"/>
      <c r="C414" s="76" t="str">
        <f aca="false">IF(B414="","",IFERROR(INDEX(EN_Des,MATCH(B414,EN_Code,0)),"Code inconnu"))</f>
        <v/>
      </c>
      <c r="D414" s="25"/>
      <c r="E414" s="25"/>
      <c r="F414" s="82"/>
      <c r="G414" s="82"/>
      <c r="H414" s="83" t="str">
        <f aca="false">IF(OR(F414="",G414=""),"",G414-F414)</f>
        <v/>
      </c>
      <c r="I414" s="82"/>
      <c r="J414" s="82"/>
      <c r="K414" s="28"/>
      <c r="L414" s="90" t="str">
        <f aca="false">IF(OR(K414="",N(H414)=0),"",K414/H414)</f>
        <v/>
      </c>
      <c r="M414" s="68"/>
      <c r="N414" s="28"/>
      <c r="O414" s="25"/>
      <c r="P414" s="83" t="str">
        <f aca="false">IF(OR(N414="",N(H414)=0),"",N414/H414)</f>
        <v/>
      </c>
      <c r="Q414" s="25"/>
    </row>
    <row r="415" customFormat="false" ht="15" hidden="false" customHeight="false" outlineLevel="0" collapsed="false">
      <c r="A415" s="69"/>
      <c r="B415" s="68"/>
      <c r="C415" s="76" t="str">
        <f aca="false">IF(B415="","",IFERROR(INDEX(EN_Des,MATCH(B415,EN_Code,0)),"Code inconnu"))</f>
        <v/>
      </c>
      <c r="D415" s="25"/>
      <c r="E415" s="25"/>
      <c r="F415" s="82"/>
      <c r="G415" s="82"/>
      <c r="H415" s="83" t="str">
        <f aca="false">IF(OR(F415="",G415=""),"",G415-F415)</f>
        <v/>
      </c>
      <c r="I415" s="82"/>
      <c r="J415" s="82"/>
      <c r="K415" s="28"/>
      <c r="L415" s="90" t="str">
        <f aca="false">IF(OR(K415="",N(H415)=0),"",K415/H415)</f>
        <v/>
      </c>
      <c r="M415" s="68"/>
      <c r="N415" s="28"/>
      <c r="O415" s="25"/>
      <c r="P415" s="83" t="str">
        <f aca="false">IF(OR(N415="",N(H415)=0),"",N415/H415)</f>
        <v/>
      </c>
      <c r="Q415" s="25"/>
    </row>
    <row r="416" customFormat="false" ht="15" hidden="false" customHeight="false" outlineLevel="0" collapsed="false">
      <c r="A416" s="69"/>
      <c r="B416" s="68"/>
      <c r="C416" s="76" t="str">
        <f aca="false">IF(B416="","",IFERROR(INDEX(EN_Des,MATCH(B416,EN_Code,0)),"Code inconnu"))</f>
        <v/>
      </c>
      <c r="D416" s="25"/>
      <c r="E416" s="25"/>
      <c r="F416" s="82"/>
      <c r="G416" s="82"/>
      <c r="H416" s="83" t="str">
        <f aca="false">IF(OR(F416="",G416=""),"",G416-F416)</f>
        <v/>
      </c>
      <c r="I416" s="82"/>
      <c r="J416" s="82"/>
      <c r="K416" s="28"/>
      <c r="L416" s="90" t="str">
        <f aca="false">IF(OR(K416="",N(H416)=0),"",K416/H416)</f>
        <v/>
      </c>
      <c r="M416" s="68"/>
      <c r="N416" s="28"/>
      <c r="O416" s="25"/>
      <c r="P416" s="83" t="str">
        <f aca="false">IF(OR(N416="",N(H416)=0),"",N416/H416)</f>
        <v/>
      </c>
      <c r="Q416" s="25"/>
    </row>
    <row r="417" customFormat="false" ht="15" hidden="false" customHeight="false" outlineLevel="0" collapsed="false">
      <c r="A417" s="69"/>
      <c r="B417" s="68"/>
      <c r="C417" s="76" t="str">
        <f aca="false">IF(B417="","",IFERROR(INDEX(EN_Des,MATCH(B417,EN_Code,0)),"Code inconnu"))</f>
        <v/>
      </c>
      <c r="D417" s="25"/>
      <c r="E417" s="25"/>
      <c r="F417" s="82"/>
      <c r="G417" s="82"/>
      <c r="H417" s="83" t="str">
        <f aca="false">IF(OR(F417="",G417=""),"",G417-F417)</f>
        <v/>
      </c>
      <c r="I417" s="82"/>
      <c r="J417" s="82"/>
      <c r="K417" s="28"/>
      <c r="L417" s="90" t="str">
        <f aca="false">IF(OR(K417="",N(H417)=0),"",K417/H417)</f>
        <v/>
      </c>
      <c r="M417" s="68"/>
      <c r="N417" s="28"/>
      <c r="O417" s="25"/>
      <c r="P417" s="83" t="str">
        <f aca="false">IF(OR(N417="",N(H417)=0),"",N417/H417)</f>
        <v/>
      </c>
      <c r="Q417" s="25"/>
    </row>
    <row r="418" customFormat="false" ht="15" hidden="false" customHeight="false" outlineLevel="0" collapsed="false">
      <c r="A418" s="69"/>
      <c r="B418" s="68"/>
      <c r="C418" s="76" t="str">
        <f aca="false">IF(B418="","",IFERROR(INDEX(EN_Des,MATCH(B418,EN_Code,0)),"Code inconnu"))</f>
        <v/>
      </c>
      <c r="D418" s="25"/>
      <c r="E418" s="25"/>
      <c r="F418" s="82"/>
      <c r="G418" s="82"/>
      <c r="H418" s="83" t="str">
        <f aca="false">IF(OR(F418="",G418=""),"",G418-F418)</f>
        <v/>
      </c>
      <c r="I418" s="82"/>
      <c r="J418" s="82"/>
      <c r="K418" s="28"/>
      <c r="L418" s="90" t="str">
        <f aca="false">IF(OR(K418="",N(H418)=0),"",K418/H418)</f>
        <v/>
      </c>
      <c r="M418" s="68"/>
      <c r="N418" s="28"/>
      <c r="O418" s="25"/>
      <c r="P418" s="83" t="str">
        <f aca="false">IF(OR(N418="",N(H418)=0),"",N418/H418)</f>
        <v/>
      </c>
      <c r="Q418" s="25"/>
    </row>
    <row r="419" customFormat="false" ht="15" hidden="false" customHeight="false" outlineLevel="0" collapsed="false">
      <c r="A419" s="69"/>
      <c r="B419" s="68"/>
      <c r="C419" s="76" t="str">
        <f aca="false">IF(B419="","",IFERROR(INDEX(EN_Des,MATCH(B419,EN_Code,0)),"Code inconnu"))</f>
        <v/>
      </c>
      <c r="D419" s="25"/>
      <c r="E419" s="25"/>
      <c r="F419" s="82"/>
      <c r="G419" s="82"/>
      <c r="H419" s="83" t="str">
        <f aca="false">IF(OR(F419="",G419=""),"",G419-F419)</f>
        <v/>
      </c>
      <c r="I419" s="82"/>
      <c r="J419" s="82"/>
      <c r="K419" s="28"/>
      <c r="L419" s="90" t="str">
        <f aca="false">IF(OR(K419="",N(H419)=0),"",K419/H419)</f>
        <v/>
      </c>
      <c r="M419" s="68"/>
      <c r="N419" s="28"/>
      <c r="O419" s="25"/>
      <c r="P419" s="83" t="str">
        <f aca="false">IF(OR(N419="",N(H419)=0),"",N419/H419)</f>
        <v/>
      </c>
      <c r="Q419" s="25"/>
    </row>
    <row r="420" customFormat="false" ht="15" hidden="false" customHeight="false" outlineLevel="0" collapsed="false">
      <c r="A420" s="69"/>
      <c r="B420" s="68"/>
      <c r="C420" s="76" t="str">
        <f aca="false">IF(B420="","",IFERROR(INDEX(EN_Des,MATCH(B420,EN_Code,0)),"Code inconnu"))</f>
        <v/>
      </c>
      <c r="D420" s="25"/>
      <c r="E420" s="25"/>
      <c r="F420" s="82"/>
      <c r="G420" s="82"/>
      <c r="H420" s="83" t="str">
        <f aca="false">IF(OR(F420="",G420=""),"",G420-F420)</f>
        <v/>
      </c>
      <c r="I420" s="82"/>
      <c r="J420" s="82"/>
      <c r="K420" s="28"/>
      <c r="L420" s="90" t="str">
        <f aca="false">IF(OR(K420="",N(H420)=0),"",K420/H420)</f>
        <v/>
      </c>
      <c r="M420" s="68"/>
      <c r="N420" s="28"/>
      <c r="O420" s="25"/>
      <c r="P420" s="83" t="str">
        <f aca="false">IF(OR(N420="",N(H420)=0),"",N420/H420)</f>
        <v/>
      </c>
      <c r="Q420" s="25"/>
    </row>
    <row r="421" customFormat="false" ht="15" hidden="false" customHeight="false" outlineLevel="0" collapsed="false">
      <c r="A421" s="69"/>
      <c r="B421" s="68"/>
      <c r="C421" s="76" t="str">
        <f aca="false">IF(B421="","",IFERROR(INDEX(EN_Des,MATCH(B421,EN_Code,0)),"Code inconnu"))</f>
        <v/>
      </c>
      <c r="D421" s="25"/>
      <c r="E421" s="25"/>
      <c r="F421" s="82"/>
      <c r="G421" s="82"/>
      <c r="H421" s="83" t="str">
        <f aca="false">IF(OR(F421="",G421=""),"",G421-F421)</f>
        <v/>
      </c>
      <c r="I421" s="82"/>
      <c r="J421" s="82"/>
      <c r="K421" s="28"/>
      <c r="L421" s="90" t="str">
        <f aca="false">IF(OR(K421="",N(H421)=0),"",K421/H421)</f>
        <v/>
      </c>
      <c r="M421" s="68"/>
      <c r="N421" s="28"/>
      <c r="O421" s="25"/>
      <c r="P421" s="83" t="str">
        <f aca="false">IF(OR(N421="",N(H421)=0),"",N421/H421)</f>
        <v/>
      </c>
      <c r="Q421" s="25"/>
    </row>
    <row r="422" customFormat="false" ht="15" hidden="false" customHeight="false" outlineLevel="0" collapsed="false">
      <c r="A422" s="69"/>
      <c r="B422" s="68"/>
      <c r="C422" s="76" t="str">
        <f aca="false">IF(B422="","",IFERROR(INDEX(EN_Des,MATCH(B422,EN_Code,0)),"Code inconnu"))</f>
        <v/>
      </c>
      <c r="D422" s="25"/>
      <c r="E422" s="25"/>
      <c r="F422" s="82"/>
      <c r="G422" s="82"/>
      <c r="H422" s="83" t="str">
        <f aca="false">IF(OR(F422="",G422=""),"",G422-F422)</f>
        <v/>
      </c>
      <c r="I422" s="82"/>
      <c r="J422" s="82"/>
      <c r="K422" s="28"/>
      <c r="L422" s="90" t="str">
        <f aca="false">IF(OR(K422="",N(H422)=0),"",K422/H422)</f>
        <v/>
      </c>
      <c r="M422" s="68"/>
      <c r="N422" s="28"/>
      <c r="O422" s="25"/>
      <c r="P422" s="83" t="str">
        <f aca="false">IF(OR(N422="",N(H422)=0),"",N422/H422)</f>
        <v/>
      </c>
      <c r="Q422" s="25"/>
    </row>
    <row r="423" customFormat="false" ht="15" hidden="false" customHeight="false" outlineLevel="0" collapsed="false">
      <c r="A423" s="69"/>
      <c r="B423" s="68"/>
      <c r="C423" s="76" t="str">
        <f aca="false">IF(B423="","",IFERROR(INDEX(EN_Des,MATCH(B423,EN_Code,0)),"Code inconnu"))</f>
        <v/>
      </c>
      <c r="D423" s="25"/>
      <c r="E423" s="25"/>
      <c r="F423" s="82"/>
      <c r="G423" s="82"/>
      <c r="H423" s="83" t="str">
        <f aca="false">IF(OR(F423="",G423=""),"",G423-F423)</f>
        <v/>
      </c>
      <c r="I423" s="82"/>
      <c r="J423" s="82"/>
      <c r="K423" s="28"/>
      <c r="L423" s="90" t="str">
        <f aca="false">IF(OR(K423="",N(H423)=0),"",K423/H423)</f>
        <v/>
      </c>
      <c r="M423" s="68"/>
      <c r="N423" s="28"/>
      <c r="O423" s="25"/>
      <c r="P423" s="83" t="str">
        <f aca="false">IF(OR(N423="",N(H423)=0),"",N423/H423)</f>
        <v/>
      </c>
      <c r="Q423" s="25"/>
    </row>
    <row r="424" customFormat="false" ht="15" hidden="false" customHeight="false" outlineLevel="0" collapsed="false">
      <c r="A424" s="69"/>
      <c r="B424" s="68"/>
      <c r="C424" s="76" t="str">
        <f aca="false">IF(B424="","",IFERROR(INDEX(EN_Des,MATCH(B424,EN_Code,0)),"Code inconnu"))</f>
        <v/>
      </c>
      <c r="D424" s="25"/>
      <c r="E424" s="25"/>
      <c r="F424" s="82"/>
      <c r="G424" s="82"/>
      <c r="H424" s="83" t="str">
        <f aca="false">IF(OR(F424="",G424=""),"",G424-F424)</f>
        <v/>
      </c>
      <c r="I424" s="82"/>
      <c r="J424" s="82"/>
      <c r="K424" s="28"/>
      <c r="L424" s="90" t="str">
        <f aca="false">IF(OR(K424="",N(H424)=0),"",K424/H424)</f>
        <v/>
      </c>
      <c r="M424" s="68"/>
      <c r="N424" s="28"/>
      <c r="O424" s="25"/>
      <c r="P424" s="83" t="str">
        <f aca="false">IF(OR(N424="",N(H424)=0),"",N424/H424)</f>
        <v/>
      </c>
      <c r="Q424" s="25"/>
    </row>
    <row r="425" customFormat="false" ht="15" hidden="false" customHeight="false" outlineLevel="0" collapsed="false">
      <c r="A425" s="69"/>
      <c r="B425" s="68"/>
      <c r="C425" s="76" t="str">
        <f aca="false">IF(B425="","",IFERROR(INDEX(EN_Des,MATCH(B425,EN_Code,0)),"Code inconnu"))</f>
        <v/>
      </c>
      <c r="D425" s="25"/>
      <c r="E425" s="25"/>
      <c r="F425" s="82"/>
      <c r="G425" s="82"/>
      <c r="H425" s="83" t="str">
        <f aca="false">IF(OR(F425="",G425=""),"",G425-F425)</f>
        <v/>
      </c>
      <c r="I425" s="82"/>
      <c r="J425" s="82"/>
      <c r="K425" s="28"/>
      <c r="L425" s="90" t="str">
        <f aca="false">IF(OR(K425="",N(H425)=0),"",K425/H425)</f>
        <v/>
      </c>
      <c r="M425" s="68"/>
      <c r="N425" s="28"/>
      <c r="O425" s="25"/>
      <c r="P425" s="83" t="str">
        <f aca="false">IF(OR(N425="",N(H425)=0),"",N425/H425)</f>
        <v/>
      </c>
      <c r="Q425" s="25"/>
    </row>
    <row r="426" customFormat="false" ht="15" hidden="false" customHeight="false" outlineLevel="0" collapsed="false">
      <c r="A426" s="69"/>
      <c r="B426" s="68"/>
      <c r="C426" s="76" t="str">
        <f aca="false">IF(B426="","",IFERROR(INDEX(EN_Des,MATCH(B426,EN_Code,0)),"Code inconnu"))</f>
        <v/>
      </c>
      <c r="D426" s="25"/>
      <c r="E426" s="25"/>
      <c r="F426" s="82"/>
      <c r="G426" s="82"/>
      <c r="H426" s="83" t="str">
        <f aca="false">IF(OR(F426="",G426=""),"",G426-F426)</f>
        <v/>
      </c>
      <c r="I426" s="82"/>
      <c r="J426" s="82"/>
      <c r="K426" s="28"/>
      <c r="L426" s="90" t="str">
        <f aca="false">IF(OR(K426="",N(H426)=0),"",K426/H426)</f>
        <v/>
      </c>
      <c r="M426" s="68"/>
      <c r="N426" s="28"/>
      <c r="O426" s="25"/>
      <c r="P426" s="83" t="str">
        <f aca="false">IF(OR(N426="",N(H426)=0),"",N426/H426)</f>
        <v/>
      </c>
      <c r="Q426" s="25"/>
    </row>
    <row r="427" customFormat="false" ht="15" hidden="false" customHeight="false" outlineLevel="0" collapsed="false">
      <c r="A427" s="69"/>
      <c r="B427" s="68"/>
      <c r="C427" s="76" t="str">
        <f aca="false">IF(B427="","",IFERROR(INDEX(EN_Des,MATCH(B427,EN_Code,0)),"Code inconnu"))</f>
        <v/>
      </c>
      <c r="D427" s="25"/>
      <c r="E427" s="25"/>
      <c r="F427" s="82"/>
      <c r="G427" s="82"/>
      <c r="H427" s="83" t="str">
        <f aca="false">IF(OR(F427="",G427=""),"",G427-F427)</f>
        <v/>
      </c>
      <c r="I427" s="82"/>
      <c r="J427" s="82"/>
      <c r="K427" s="28"/>
      <c r="L427" s="90" t="str">
        <f aca="false">IF(OR(K427="",N(H427)=0),"",K427/H427)</f>
        <v/>
      </c>
      <c r="M427" s="68"/>
      <c r="N427" s="28"/>
      <c r="O427" s="25"/>
      <c r="P427" s="83" t="str">
        <f aca="false">IF(OR(N427="",N(H427)=0),"",N427/H427)</f>
        <v/>
      </c>
      <c r="Q427" s="25"/>
    </row>
    <row r="428" customFormat="false" ht="15" hidden="false" customHeight="false" outlineLevel="0" collapsed="false">
      <c r="A428" s="69"/>
      <c r="B428" s="68"/>
      <c r="C428" s="76" t="str">
        <f aca="false">IF(B428="","",IFERROR(INDEX(EN_Des,MATCH(B428,EN_Code,0)),"Code inconnu"))</f>
        <v/>
      </c>
      <c r="D428" s="25"/>
      <c r="E428" s="25"/>
      <c r="F428" s="82"/>
      <c r="G428" s="82"/>
      <c r="H428" s="83" t="str">
        <f aca="false">IF(OR(F428="",G428=""),"",G428-F428)</f>
        <v/>
      </c>
      <c r="I428" s="82"/>
      <c r="J428" s="82"/>
      <c r="K428" s="28"/>
      <c r="L428" s="90" t="str">
        <f aca="false">IF(OR(K428="",N(H428)=0),"",K428/H428)</f>
        <v/>
      </c>
      <c r="M428" s="68"/>
      <c r="N428" s="28"/>
      <c r="O428" s="25"/>
      <c r="P428" s="83" t="str">
        <f aca="false">IF(OR(N428="",N(H428)=0),"",N428/H428)</f>
        <v/>
      </c>
      <c r="Q428" s="25"/>
    </row>
    <row r="429" customFormat="false" ht="15" hidden="false" customHeight="false" outlineLevel="0" collapsed="false">
      <c r="A429" s="69"/>
      <c r="B429" s="68"/>
      <c r="C429" s="76" t="str">
        <f aca="false">IF(B429="","",IFERROR(INDEX(EN_Des,MATCH(B429,EN_Code,0)),"Code inconnu"))</f>
        <v/>
      </c>
      <c r="D429" s="25"/>
      <c r="E429" s="25"/>
      <c r="F429" s="82"/>
      <c r="G429" s="82"/>
      <c r="H429" s="83" t="str">
        <f aca="false">IF(OR(F429="",G429=""),"",G429-F429)</f>
        <v/>
      </c>
      <c r="I429" s="82"/>
      <c r="J429" s="82"/>
      <c r="K429" s="28"/>
      <c r="L429" s="90" t="str">
        <f aca="false">IF(OR(K429="",N(H429)=0),"",K429/H429)</f>
        <v/>
      </c>
      <c r="M429" s="68"/>
      <c r="N429" s="28"/>
      <c r="O429" s="25"/>
      <c r="P429" s="83" t="str">
        <f aca="false">IF(OR(N429="",N(H429)=0),"",N429/H429)</f>
        <v/>
      </c>
      <c r="Q429" s="25"/>
    </row>
    <row r="430" customFormat="false" ht="15" hidden="false" customHeight="false" outlineLevel="0" collapsed="false">
      <c r="A430" s="69"/>
      <c r="B430" s="68"/>
      <c r="C430" s="76" t="str">
        <f aca="false">IF(B430="","",IFERROR(INDEX(EN_Des,MATCH(B430,EN_Code,0)),"Code inconnu"))</f>
        <v/>
      </c>
      <c r="D430" s="25"/>
      <c r="E430" s="25"/>
      <c r="F430" s="82"/>
      <c r="G430" s="82"/>
      <c r="H430" s="83" t="str">
        <f aca="false">IF(OR(F430="",G430=""),"",G430-F430)</f>
        <v/>
      </c>
      <c r="I430" s="82"/>
      <c r="J430" s="82"/>
      <c r="K430" s="28"/>
      <c r="L430" s="90" t="str">
        <f aca="false">IF(OR(K430="",N(H430)=0),"",K430/H430)</f>
        <v/>
      </c>
      <c r="M430" s="68"/>
      <c r="N430" s="28"/>
      <c r="O430" s="25"/>
      <c r="P430" s="83" t="str">
        <f aca="false">IF(OR(N430="",N(H430)=0),"",N430/H430)</f>
        <v/>
      </c>
      <c r="Q430" s="25"/>
    </row>
    <row r="431" customFormat="false" ht="15" hidden="false" customHeight="false" outlineLevel="0" collapsed="false">
      <c r="A431" s="69"/>
      <c r="B431" s="68"/>
      <c r="C431" s="76" t="str">
        <f aca="false">IF(B431="","",IFERROR(INDEX(EN_Des,MATCH(B431,EN_Code,0)),"Code inconnu"))</f>
        <v/>
      </c>
      <c r="D431" s="25"/>
      <c r="E431" s="25"/>
      <c r="F431" s="82"/>
      <c r="G431" s="82"/>
      <c r="H431" s="83" t="str">
        <f aca="false">IF(OR(F431="",G431=""),"",G431-F431)</f>
        <v/>
      </c>
      <c r="I431" s="82"/>
      <c r="J431" s="82"/>
      <c r="K431" s="28"/>
      <c r="L431" s="90" t="str">
        <f aca="false">IF(OR(K431="",N(H431)=0),"",K431/H431)</f>
        <v/>
      </c>
      <c r="M431" s="68"/>
      <c r="N431" s="28"/>
      <c r="O431" s="25"/>
      <c r="P431" s="83" t="str">
        <f aca="false">IF(OR(N431="",N(H431)=0),"",N431/H431)</f>
        <v/>
      </c>
      <c r="Q431" s="25"/>
    </row>
    <row r="432" customFormat="false" ht="15" hidden="false" customHeight="false" outlineLevel="0" collapsed="false">
      <c r="A432" s="69"/>
      <c r="B432" s="68"/>
      <c r="C432" s="76" t="str">
        <f aca="false">IF(B432="","",IFERROR(INDEX(EN_Des,MATCH(B432,EN_Code,0)),"Code inconnu"))</f>
        <v/>
      </c>
      <c r="D432" s="25"/>
      <c r="E432" s="25"/>
      <c r="F432" s="82"/>
      <c r="G432" s="82"/>
      <c r="H432" s="83" t="str">
        <f aca="false">IF(OR(F432="",G432=""),"",G432-F432)</f>
        <v/>
      </c>
      <c r="I432" s="82"/>
      <c r="J432" s="82"/>
      <c r="K432" s="28"/>
      <c r="L432" s="90" t="str">
        <f aca="false">IF(OR(K432="",N(H432)=0),"",K432/H432)</f>
        <v/>
      </c>
      <c r="M432" s="68"/>
      <c r="N432" s="28"/>
      <c r="O432" s="25"/>
      <c r="P432" s="83" t="str">
        <f aca="false">IF(OR(N432="",N(H432)=0),"",N432/H432)</f>
        <v/>
      </c>
      <c r="Q432" s="25"/>
    </row>
    <row r="433" customFormat="false" ht="15" hidden="false" customHeight="false" outlineLevel="0" collapsed="false">
      <c r="A433" s="69"/>
      <c r="B433" s="68"/>
      <c r="C433" s="76" t="str">
        <f aca="false">IF(B433="","",IFERROR(INDEX(EN_Des,MATCH(B433,EN_Code,0)),"Code inconnu"))</f>
        <v/>
      </c>
      <c r="D433" s="25"/>
      <c r="E433" s="25"/>
      <c r="F433" s="82"/>
      <c r="G433" s="82"/>
      <c r="H433" s="83" t="str">
        <f aca="false">IF(OR(F433="",G433=""),"",G433-F433)</f>
        <v/>
      </c>
      <c r="I433" s="82"/>
      <c r="J433" s="82"/>
      <c r="K433" s="28"/>
      <c r="L433" s="90" t="str">
        <f aca="false">IF(OR(K433="",N(H433)=0),"",K433/H433)</f>
        <v/>
      </c>
      <c r="M433" s="68"/>
      <c r="N433" s="28"/>
      <c r="O433" s="25"/>
      <c r="P433" s="83" t="str">
        <f aca="false">IF(OR(N433="",N(H433)=0),"",N433/H433)</f>
        <v/>
      </c>
      <c r="Q433" s="25"/>
    </row>
    <row r="434" customFormat="false" ht="15" hidden="false" customHeight="false" outlineLevel="0" collapsed="false">
      <c r="A434" s="69"/>
      <c r="B434" s="68"/>
      <c r="C434" s="76" t="str">
        <f aca="false">IF(B434="","",IFERROR(INDEX(EN_Des,MATCH(B434,EN_Code,0)),"Code inconnu"))</f>
        <v/>
      </c>
      <c r="D434" s="25"/>
      <c r="E434" s="25"/>
      <c r="F434" s="82"/>
      <c r="G434" s="82"/>
      <c r="H434" s="83" t="str">
        <f aca="false">IF(OR(F434="",G434=""),"",G434-F434)</f>
        <v/>
      </c>
      <c r="I434" s="82"/>
      <c r="J434" s="82"/>
      <c r="K434" s="28"/>
      <c r="L434" s="90" t="str">
        <f aca="false">IF(OR(K434="",N(H434)=0),"",K434/H434)</f>
        <v/>
      </c>
      <c r="M434" s="68"/>
      <c r="N434" s="28"/>
      <c r="O434" s="25"/>
      <c r="P434" s="83" t="str">
        <f aca="false">IF(OR(N434="",N(H434)=0),"",N434/H434)</f>
        <v/>
      </c>
      <c r="Q434" s="25"/>
    </row>
    <row r="435" customFormat="false" ht="15" hidden="false" customHeight="false" outlineLevel="0" collapsed="false">
      <c r="A435" s="69"/>
      <c r="B435" s="68"/>
      <c r="C435" s="76" t="str">
        <f aca="false">IF(B435="","",IFERROR(INDEX(EN_Des,MATCH(B435,EN_Code,0)),"Code inconnu"))</f>
        <v/>
      </c>
      <c r="D435" s="25"/>
      <c r="E435" s="25"/>
      <c r="F435" s="82"/>
      <c r="G435" s="82"/>
      <c r="H435" s="83" t="str">
        <f aca="false">IF(OR(F435="",G435=""),"",G435-F435)</f>
        <v/>
      </c>
      <c r="I435" s="82"/>
      <c r="J435" s="82"/>
      <c r="K435" s="28"/>
      <c r="L435" s="90" t="str">
        <f aca="false">IF(OR(K435="",N(H435)=0),"",K435/H435)</f>
        <v/>
      </c>
      <c r="M435" s="68"/>
      <c r="N435" s="28"/>
      <c r="O435" s="25"/>
      <c r="P435" s="83" t="str">
        <f aca="false">IF(OR(N435="",N(H435)=0),"",N435/H435)</f>
        <v/>
      </c>
      <c r="Q435" s="25"/>
    </row>
    <row r="436" customFormat="false" ht="15" hidden="false" customHeight="false" outlineLevel="0" collapsed="false">
      <c r="A436" s="69"/>
      <c r="B436" s="68"/>
      <c r="C436" s="76" t="str">
        <f aca="false">IF(B436="","",IFERROR(INDEX(EN_Des,MATCH(B436,EN_Code,0)),"Code inconnu"))</f>
        <v/>
      </c>
      <c r="D436" s="25"/>
      <c r="E436" s="25"/>
      <c r="F436" s="82"/>
      <c r="G436" s="82"/>
      <c r="H436" s="83" t="str">
        <f aca="false">IF(OR(F436="",G436=""),"",G436-F436)</f>
        <v/>
      </c>
      <c r="I436" s="82"/>
      <c r="J436" s="82"/>
      <c r="K436" s="28"/>
      <c r="L436" s="90" t="str">
        <f aca="false">IF(OR(K436="",N(H436)=0),"",K436/H436)</f>
        <v/>
      </c>
      <c r="M436" s="68"/>
      <c r="N436" s="28"/>
      <c r="O436" s="25"/>
      <c r="P436" s="83" t="str">
        <f aca="false">IF(OR(N436="",N(H436)=0),"",N436/H436)</f>
        <v/>
      </c>
      <c r="Q436" s="25"/>
    </row>
    <row r="437" customFormat="false" ht="15" hidden="false" customHeight="false" outlineLevel="0" collapsed="false">
      <c r="A437" s="69"/>
      <c r="B437" s="68"/>
      <c r="C437" s="76" t="str">
        <f aca="false">IF(B437="","",IFERROR(INDEX(EN_Des,MATCH(B437,EN_Code,0)),"Code inconnu"))</f>
        <v/>
      </c>
      <c r="D437" s="25"/>
      <c r="E437" s="25"/>
      <c r="F437" s="82"/>
      <c r="G437" s="82"/>
      <c r="H437" s="83" t="str">
        <f aca="false">IF(OR(F437="",G437=""),"",G437-F437)</f>
        <v/>
      </c>
      <c r="I437" s="82"/>
      <c r="J437" s="82"/>
      <c r="K437" s="28"/>
      <c r="L437" s="90" t="str">
        <f aca="false">IF(OR(K437="",N(H437)=0),"",K437/H437)</f>
        <v/>
      </c>
      <c r="M437" s="68"/>
      <c r="N437" s="28"/>
      <c r="O437" s="25"/>
      <c r="P437" s="83" t="str">
        <f aca="false">IF(OR(N437="",N(H437)=0),"",N437/H437)</f>
        <v/>
      </c>
      <c r="Q437" s="25"/>
    </row>
    <row r="438" customFormat="false" ht="15" hidden="false" customHeight="false" outlineLevel="0" collapsed="false">
      <c r="A438" s="69"/>
      <c r="B438" s="68"/>
      <c r="C438" s="76" t="str">
        <f aca="false">IF(B438="","",IFERROR(INDEX(EN_Des,MATCH(B438,EN_Code,0)),"Code inconnu"))</f>
        <v/>
      </c>
      <c r="D438" s="25"/>
      <c r="E438" s="25"/>
      <c r="F438" s="82"/>
      <c r="G438" s="82"/>
      <c r="H438" s="83" t="str">
        <f aca="false">IF(OR(F438="",G438=""),"",G438-F438)</f>
        <v/>
      </c>
      <c r="I438" s="82"/>
      <c r="J438" s="82"/>
      <c r="K438" s="28"/>
      <c r="L438" s="90" t="str">
        <f aca="false">IF(OR(K438="",N(H438)=0),"",K438/H438)</f>
        <v/>
      </c>
      <c r="M438" s="68"/>
      <c r="N438" s="28"/>
      <c r="O438" s="25"/>
      <c r="P438" s="83" t="str">
        <f aca="false">IF(OR(N438="",N(H438)=0),"",N438/H438)</f>
        <v/>
      </c>
      <c r="Q438" s="25"/>
    </row>
    <row r="439" customFormat="false" ht="15" hidden="false" customHeight="false" outlineLevel="0" collapsed="false">
      <c r="A439" s="69"/>
      <c r="B439" s="68"/>
      <c r="C439" s="76" t="str">
        <f aca="false">IF(B439="","",IFERROR(INDEX(EN_Des,MATCH(B439,EN_Code,0)),"Code inconnu"))</f>
        <v/>
      </c>
      <c r="D439" s="25"/>
      <c r="E439" s="25"/>
      <c r="F439" s="82"/>
      <c r="G439" s="82"/>
      <c r="H439" s="83" t="str">
        <f aca="false">IF(OR(F439="",G439=""),"",G439-F439)</f>
        <v/>
      </c>
      <c r="I439" s="82"/>
      <c r="J439" s="82"/>
      <c r="K439" s="28"/>
      <c r="L439" s="90" t="str">
        <f aca="false">IF(OR(K439="",N(H439)=0),"",K439/H439)</f>
        <v/>
      </c>
      <c r="M439" s="68"/>
      <c r="N439" s="28"/>
      <c r="O439" s="25"/>
      <c r="P439" s="83" t="str">
        <f aca="false">IF(OR(N439="",N(H439)=0),"",N439/H439)</f>
        <v/>
      </c>
      <c r="Q439" s="25"/>
    </row>
    <row r="440" customFormat="false" ht="15" hidden="false" customHeight="false" outlineLevel="0" collapsed="false">
      <c r="A440" s="69"/>
      <c r="B440" s="68"/>
      <c r="C440" s="76" t="str">
        <f aca="false">IF(B440="","",IFERROR(INDEX(EN_Des,MATCH(B440,EN_Code,0)),"Code inconnu"))</f>
        <v/>
      </c>
      <c r="D440" s="25"/>
      <c r="E440" s="25"/>
      <c r="F440" s="82"/>
      <c r="G440" s="82"/>
      <c r="H440" s="83" t="str">
        <f aca="false">IF(OR(F440="",G440=""),"",G440-F440)</f>
        <v/>
      </c>
      <c r="I440" s="82"/>
      <c r="J440" s="82"/>
      <c r="K440" s="28"/>
      <c r="L440" s="90" t="str">
        <f aca="false">IF(OR(K440="",N(H440)=0),"",K440/H440)</f>
        <v/>
      </c>
      <c r="M440" s="68"/>
      <c r="N440" s="28"/>
      <c r="O440" s="25"/>
      <c r="P440" s="83" t="str">
        <f aca="false">IF(OR(N440="",N(H440)=0),"",N440/H440)</f>
        <v/>
      </c>
      <c r="Q440" s="25"/>
    </row>
    <row r="441" customFormat="false" ht="15" hidden="false" customHeight="false" outlineLevel="0" collapsed="false">
      <c r="A441" s="69"/>
      <c r="B441" s="68"/>
      <c r="C441" s="76" t="str">
        <f aca="false">IF(B441="","",IFERROR(INDEX(EN_Des,MATCH(B441,EN_Code,0)),"Code inconnu"))</f>
        <v/>
      </c>
      <c r="D441" s="25"/>
      <c r="E441" s="25"/>
      <c r="F441" s="82"/>
      <c r="G441" s="82"/>
      <c r="H441" s="83" t="str">
        <f aca="false">IF(OR(F441="",G441=""),"",G441-F441)</f>
        <v/>
      </c>
      <c r="I441" s="82"/>
      <c r="J441" s="82"/>
      <c r="K441" s="28"/>
      <c r="L441" s="90" t="str">
        <f aca="false">IF(OR(K441="",N(H441)=0),"",K441/H441)</f>
        <v/>
      </c>
      <c r="M441" s="68"/>
      <c r="N441" s="28"/>
      <c r="O441" s="25"/>
      <c r="P441" s="83" t="str">
        <f aca="false">IF(OR(N441="",N(H441)=0),"",N441/H441)</f>
        <v/>
      </c>
      <c r="Q441" s="25"/>
    </row>
    <row r="442" customFormat="false" ht="15" hidden="false" customHeight="false" outlineLevel="0" collapsed="false">
      <c r="A442" s="69"/>
      <c r="B442" s="68"/>
      <c r="C442" s="76" t="str">
        <f aca="false">IF(B442="","",IFERROR(INDEX(EN_Des,MATCH(B442,EN_Code,0)),"Code inconnu"))</f>
        <v/>
      </c>
      <c r="D442" s="25"/>
      <c r="E442" s="25"/>
      <c r="F442" s="82"/>
      <c r="G442" s="82"/>
      <c r="H442" s="83" t="str">
        <f aca="false">IF(OR(F442="",G442=""),"",G442-F442)</f>
        <v/>
      </c>
      <c r="I442" s="82"/>
      <c r="J442" s="82"/>
      <c r="K442" s="28"/>
      <c r="L442" s="90" t="str">
        <f aca="false">IF(OR(K442="",N(H442)=0),"",K442/H442)</f>
        <v/>
      </c>
      <c r="M442" s="68"/>
      <c r="N442" s="28"/>
      <c r="O442" s="25"/>
      <c r="P442" s="83" t="str">
        <f aca="false">IF(OR(N442="",N(H442)=0),"",N442/H442)</f>
        <v/>
      </c>
      <c r="Q442" s="25"/>
    </row>
    <row r="443" customFormat="false" ht="15" hidden="false" customHeight="false" outlineLevel="0" collapsed="false">
      <c r="A443" s="69"/>
      <c r="B443" s="68"/>
      <c r="C443" s="76" t="str">
        <f aca="false">IF(B443="","",IFERROR(INDEX(EN_Des,MATCH(B443,EN_Code,0)),"Code inconnu"))</f>
        <v/>
      </c>
      <c r="D443" s="25"/>
      <c r="E443" s="25"/>
      <c r="F443" s="82"/>
      <c r="G443" s="82"/>
      <c r="H443" s="83" t="str">
        <f aca="false">IF(OR(F443="",G443=""),"",G443-F443)</f>
        <v/>
      </c>
      <c r="I443" s="82"/>
      <c r="J443" s="82"/>
      <c r="K443" s="28"/>
      <c r="L443" s="90" t="str">
        <f aca="false">IF(OR(K443="",N(H443)=0),"",K443/H443)</f>
        <v/>
      </c>
      <c r="M443" s="68"/>
      <c r="N443" s="28"/>
      <c r="O443" s="25"/>
      <c r="P443" s="83" t="str">
        <f aca="false">IF(OR(N443="",N(H443)=0),"",N443/H443)</f>
        <v/>
      </c>
      <c r="Q443" s="25"/>
    </row>
    <row r="444" customFormat="false" ht="15" hidden="false" customHeight="false" outlineLevel="0" collapsed="false">
      <c r="A444" s="69"/>
      <c r="B444" s="68"/>
      <c r="C444" s="76" t="str">
        <f aca="false">IF(B444="","",IFERROR(INDEX(EN_Des,MATCH(B444,EN_Code,0)),"Code inconnu"))</f>
        <v/>
      </c>
      <c r="D444" s="25"/>
      <c r="E444" s="25"/>
      <c r="F444" s="82"/>
      <c r="G444" s="82"/>
      <c r="H444" s="83" t="str">
        <f aca="false">IF(OR(F444="",G444=""),"",G444-F444)</f>
        <v/>
      </c>
      <c r="I444" s="82"/>
      <c r="J444" s="82"/>
      <c r="K444" s="28"/>
      <c r="L444" s="90" t="str">
        <f aca="false">IF(OR(K444="",N(H444)=0),"",K444/H444)</f>
        <v/>
      </c>
      <c r="M444" s="68"/>
      <c r="N444" s="28"/>
      <c r="O444" s="25"/>
      <c r="P444" s="83" t="str">
        <f aca="false">IF(OR(N444="",N(H444)=0),"",N444/H444)</f>
        <v/>
      </c>
      <c r="Q444" s="25"/>
    </row>
    <row r="445" customFormat="false" ht="15" hidden="false" customHeight="false" outlineLevel="0" collapsed="false">
      <c r="A445" s="69"/>
      <c r="B445" s="68"/>
      <c r="C445" s="76" t="str">
        <f aca="false">IF(B445="","",IFERROR(INDEX(EN_Des,MATCH(B445,EN_Code,0)),"Code inconnu"))</f>
        <v/>
      </c>
      <c r="D445" s="25"/>
      <c r="E445" s="25"/>
      <c r="F445" s="82"/>
      <c r="G445" s="82"/>
      <c r="H445" s="83" t="str">
        <f aca="false">IF(OR(F445="",G445=""),"",G445-F445)</f>
        <v/>
      </c>
      <c r="I445" s="82"/>
      <c r="J445" s="82"/>
      <c r="K445" s="28"/>
      <c r="L445" s="90" t="str">
        <f aca="false">IF(OR(K445="",N(H445)=0),"",K445/H445)</f>
        <v/>
      </c>
      <c r="M445" s="68"/>
      <c r="N445" s="28"/>
      <c r="O445" s="25"/>
      <c r="P445" s="83" t="str">
        <f aca="false">IF(OR(N445="",N(H445)=0),"",N445/H445)</f>
        <v/>
      </c>
      <c r="Q445" s="25"/>
    </row>
    <row r="446" customFormat="false" ht="15" hidden="false" customHeight="false" outlineLevel="0" collapsed="false">
      <c r="A446" s="69"/>
      <c r="B446" s="68"/>
      <c r="C446" s="76" t="str">
        <f aca="false">IF(B446="","",IFERROR(INDEX(EN_Des,MATCH(B446,EN_Code,0)),"Code inconnu"))</f>
        <v/>
      </c>
      <c r="D446" s="25"/>
      <c r="E446" s="25"/>
      <c r="F446" s="82"/>
      <c r="G446" s="82"/>
      <c r="H446" s="83" t="str">
        <f aca="false">IF(OR(F446="",G446=""),"",G446-F446)</f>
        <v/>
      </c>
      <c r="I446" s="82"/>
      <c r="J446" s="82"/>
      <c r="K446" s="28"/>
      <c r="L446" s="90" t="str">
        <f aca="false">IF(OR(K446="",N(H446)=0),"",K446/H446)</f>
        <v/>
      </c>
      <c r="M446" s="68"/>
      <c r="N446" s="28"/>
      <c r="O446" s="25"/>
      <c r="P446" s="83" t="str">
        <f aca="false">IF(OR(N446="",N(H446)=0),"",N446/H446)</f>
        <v/>
      </c>
      <c r="Q446" s="25"/>
    </row>
    <row r="447" customFormat="false" ht="15" hidden="false" customHeight="false" outlineLevel="0" collapsed="false">
      <c r="A447" s="69"/>
      <c r="B447" s="68"/>
      <c r="C447" s="76" t="str">
        <f aca="false">IF(B447="","",IFERROR(INDEX(EN_Des,MATCH(B447,EN_Code,0)),"Code inconnu"))</f>
        <v/>
      </c>
      <c r="D447" s="25"/>
      <c r="E447" s="25"/>
      <c r="F447" s="82"/>
      <c r="G447" s="82"/>
      <c r="H447" s="83" t="str">
        <f aca="false">IF(OR(F447="",G447=""),"",G447-F447)</f>
        <v/>
      </c>
      <c r="I447" s="82"/>
      <c r="J447" s="82"/>
      <c r="K447" s="28"/>
      <c r="L447" s="90" t="str">
        <f aca="false">IF(OR(K447="",N(H447)=0),"",K447/H447)</f>
        <v/>
      </c>
      <c r="M447" s="68"/>
      <c r="N447" s="28"/>
      <c r="O447" s="25"/>
      <c r="P447" s="83" t="str">
        <f aca="false">IF(OR(N447="",N(H447)=0),"",N447/H447)</f>
        <v/>
      </c>
      <c r="Q447" s="25"/>
    </row>
    <row r="448" customFormat="false" ht="15" hidden="false" customHeight="false" outlineLevel="0" collapsed="false">
      <c r="A448" s="69"/>
      <c r="B448" s="68"/>
      <c r="C448" s="76" t="str">
        <f aca="false">IF(B448="","",IFERROR(INDEX(EN_Des,MATCH(B448,EN_Code,0)),"Code inconnu"))</f>
        <v/>
      </c>
      <c r="D448" s="25"/>
      <c r="E448" s="25"/>
      <c r="F448" s="82"/>
      <c r="G448" s="82"/>
      <c r="H448" s="83" t="str">
        <f aca="false">IF(OR(F448="",G448=""),"",G448-F448)</f>
        <v/>
      </c>
      <c r="I448" s="82"/>
      <c r="J448" s="82"/>
      <c r="K448" s="28"/>
      <c r="L448" s="90" t="str">
        <f aca="false">IF(OR(K448="",N(H448)=0),"",K448/H448)</f>
        <v/>
      </c>
      <c r="M448" s="68"/>
      <c r="N448" s="28"/>
      <c r="O448" s="25"/>
      <c r="P448" s="83" t="str">
        <f aca="false">IF(OR(N448="",N(H448)=0),"",N448/H448)</f>
        <v/>
      </c>
      <c r="Q448" s="25"/>
    </row>
    <row r="449" customFormat="false" ht="15" hidden="false" customHeight="false" outlineLevel="0" collapsed="false">
      <c r="A449" s="69"/>
      <c r="B449" s="68"/>
      <c r="C449" s="76" t="str">
        <f aca="false">IF(B449="","",IFERROR(INDEX(EN_Des,MATCH(B449,EN_Code,0)),"Code inconnu"))</f>
        <v/>
      </c>
      <c r="D449" s="25"/>
      <c r="E449" s="25"/>
      <c r="F449" s="82"/>
      <c r="G449" s="82"/>
      <c r="H449" s="83" t="str">
        <f aca="false">IF(OR(F449="",G449=""),"",G449-F449)</f>
        <v/>
      </c>
      <c r="I449" s="82"/>
      <c r="J449" s="82"/>
      <c r="K449" s="28"/>
      <c r="L449" s="90" t="str">
        <f aca="false">IF(OR(K449="",N(H449)=0),"",K449/H449)</f>
        <v/>
      </c>
      <c r="M449" s="68"/>
      <c r="N449" s="28"/>
      <c r="O449" s="25"/>
      <c r="P449" s="83" t="str">
        <f aca="false">IF(OR(N449="",N(H449)=0),"",N449/H449)</f>
        <v/>
      </c>
      <c r="Q449" s="25"/>
    </row>
    <row r="450" customFormat="false" ht="15" hidden="false" customHeight="false" outlineLevel="0" collapsed="false">
      <c r="A450" s="69"/>
      <c r="B450" s="68"/>
      <c r="C450" s="76" t="str">
        <f aca="false">IF(B450="","",IFERROR(INDEX(EN_Des,MATCH(B450,EN_Code,0)),"Code inconnu"))</f>
        <v/>
      </c>
      <c r="D450" s="25"/>
      <c r="E450" s="25"/>
      <c r="F450" s="82"/>
      <c r="G450" s="82"/>
      <c r="H450" s="83" t="str">
        <f aca="false">IF(OR(F450="",G450=""),"",G450-F450)</f>
        <v/>
      </c>
      <c r="I450" s="82"/>
      <c r="J450" s="82"/>
      <c r="K450" s="28"/>
      <c r="L450" s="90" t="str">
        <f aca="false">IF(OR(K450="",N(H450)=0),"",K450/H450)</f>
        <v/>
      </c>
      <c r="M450" s="68"/>
      <c r="N450" s="28"/>
      <c r="O450" s="25"/>
      <c r="P450" s="83" t="str">
        <f aca="false">IF(OR(N450="",N(H450)=0),"",N450/H450)</f>
        <v/>
      </c>
      <c r="Q450" s="25"/>
    </row>
    <row r="451" customFormat="false" ht="15" hidden="false" customHeight="false" outlineLevel="0" collapsed="false">
      <c r="A451" s="69"/>
      <c r="B451" s="68"/>
      <c r="C451" s="76" t="str">
        <f aca="false">IF(B451="","",IFERROR(INDEX(EN_Des,MATCH(B451,EN_Code,0)),"Code inconnu"))</f>
        <v/>
      </c>
      <c r="D451" s="25"/>
      <c r="E451" s="25"/>
      <c r="F451" s="82"/>
      <c r="G451" s="82"/>
      <c r="H451" s="83" t="str">
        <f aca="false">IF(OR(F451="",G451=""),"",G451-F451)</f>
        <v/>
      </c>
      <c r="I451" s="82"/>
      <c r="J451" s="82"/>
      <c r="K451" s="28"/>
      <c r="L451" s="90" t="str">
        <f aca="false">IF(OR(K451="",N(H451)=0),"",K451/H451)</f>
        <v/>
      </c>
      <c r="M451" s="68"/>
      <c r="N451" s="28"/>
      <c r="O451" s="25"/>
      <c r="P451" s="83" t="str">
        <f aca="false">IF(OR(N451="",N(H451)=0),"",N451/H451)</f>
        <v/>
      </c>
      <c r="Q451" s="25"/>
    </row>
    <row r="452" customFormat="false" ht="15" hidden="false" customHeight="false" outlineLevel="0" collapsed="false">
      <c r="A452" s="69"/>
      <c r="B452" s="68"/>
      <c r="C452" s="76" t="str">
        <f aca="false">IF(B452="","",IFERROR(INDEX(EN_Des,MATCH(B452,EN_Code,0)),"Code inconnu"))</f>
        <v/>
      </c>
      <c r="D452" s="25"/>
      <c r="E452" s="25"/>
      <c r="F452" s="82"/>
      <c r="G452" s="82"/>
      <c r="H452" s="83" t="str">
        <f aca="false">IF(OR(F452="",G452=""),"",G452-F452)</f>
        <v/>
      </c>
      <c r="I452" s="82"/>
      <c r="J452" s="82"/>
      <c r="K452" s="28"/>
      <c r="L452" s="90" t="str">
        <f aca="false">IF(OR(K452="",N(H452)=0),"",K452/H452)</f>
        <v/>
      </c>
      <c r="M452" s="68"/>
      <c r="N452" s="28"/>
      <c r="O452" s="25"/>
      <c r="P452" s="83" t="str">
        <f aca="false">IF(OR(N452="",N(H452)=0),"",N452/H452)</f>
        <v/>
      </c>
      <c r="Q452" s="25"/>
    </row>
    <row r="453" customFormat="false" ht="15" hidden="false" customHeight="false" outlineLevel="0" collapsed="false">
      <c r="A453" s="69"/>
      <c r="B453" s="68"/>
      <c r="C453" s="76" t="str">
        <f aca="false">IF(B453="","",IFERROR(INDEX(EN_Des,MATCH(B453,EN_Code,0)),"Code inconnu"))</f>
        <v/>
      </c>
      <c r="D453" s="25"/>
      <c r="E453" s="25"/>
      <c r="F453" s="82"/>
      <c r="G453" s="82"/>
      <c r="H453" s="83" t="str">
        <f aca="false">IF(OR(F453="",G453=""),"",G453-F453)</f>
        <v/>
      </c>
      <c r="I453" s="82"/>
      <c r="J453" s="82"/>
      <c r="K453" s="28"/>
      <c r="L453" s="90" t="str">
        <f aca="false">IF(OR(K453="",N(H453)=0),"",K453/H453)</f>
        <v/>
      </c>
      <c r="M453" s="68"/>
      <c r="N453" s="28"/>
      <c r="O453" s="25"/>
      <c r="P453" s="83" t="str">
        <f aca="false">IF(OR(N453="",N(H453)=0),"",N453/H453)</f>
        <v/>
      </c>
      <c r="Q453" s="25"/>
    </row>
    <row r="454" customFormat="false" ht="15" hidden="false" customHeight="false" outlineLevel="0" collapsed="false">
      <c r="A454" s="69"/>
      <c r="B454" s="68"/>
      <c r="C454" s="76" t="str">
        <f aca="false">IF(B454="","",IFERROR(INDEX(EN_Des,MATCH(B454,EN_Code,0)),"Code inconnu"))</f>
        <v/>
      </c>
      <c r="D454" s="25"/>
      <c r="E454" s="25"/>
      <c r="F454" s="82"/>
      <c r="G454" s="82"/>
      <c r="H454" s="83" t="str">
        <f aca="false">IF(OR(F454="",G454=""),"",G454-F454)</f>
        <v/>
      </c>
      <c r="I454" s="82"/>
      <c r="J454" s="82"/>
      <c r="K454" s="28"/>
      <c r="L454" s="90" t="str">
        <f aca="false">IF(OR(K454="",N(H454)=0),"",K454/H454)</f>
        <v/>
      </c>
      <c r="M454" s="68"/>
      <c r="N454" s="28"/>
      <c r="O454" s="25"/>
      <c r="P454" s="83" t="str">
        <f aca="false">IF(OR(N454="",N(H454)=0),"",N454/H454)</f>
        <v/>
      </c>
      <c r="Q454" s="25"/>
    </row>
    <row r="455" customFormat="false" ht="15" hidden="false" customHeight="false" outlineLevel="0" collapsed="false">
      <c r="A455" s="69"/>
      <c r="B455" s="68"/>
      <c r="C455" s="76" t="str">
        <f aca="false">IF(B455="","",IFERROR(INDEX(EN_Des,MATCH(B455,EN_Code,0)),"Code inconnu"))</f>
        <v/>
      </c>
      <c r="D455" s="25"/>
      <c r="E455" s="25"/>
      <c r="F455" s="82"/>
      <c r="G455" s="82"/>
      <c r="H455" s="83" t="str">
        <f aca="false">IF(OR(F455="",G455=""),"",G455-F455)</f>
        <v/>
      </c>
      <c r="I455" s="82"/>
      <c r="J455" s="82"/>
      <c r="K455" s="28"/>
      <c r="L455" s="90" t="str">
        <f aca="false">IF(OR(K455="",N(H455)=0),"",K455/H455)</f>
        <v/>
      </c>
      <c r="M455" s="68"/>
      <c r="N455" s="28"/>
      <c r="O455" s="25"/>
      <c r="P455" s="83" t="str">
        <f aca="false">IF(OR(N455="",N(H455)=0),"",N455/H455)</f>
        <v/>
      </c>
      <c r="Q455" s="25"/>
    </row>
    <row r="456" customFormat="false" ht="15" hidden="false" customHeight="false" outlineLevel="0" collapsed="false">
      <c r="A456" s="69"/>
      <c r="B456" s="68"/>
      <c r="C456" s="76" t="str">
        <f aca="false">IF(B456="","",IFERROR(INDEX(EN_Des,MATCH(B456,EN_Code,0)),"Code inconnu"))</f>
        <v/>
      </c>
      <c r="D456" s="25"/>
      <c r="E456" s="25"/>
      <c r="F456" s="82"/>
      <c r="G456" s="82"/>
      <c r="H456" s="83" t="str">
        <f aca="false">IF(OR(F456="",G456=""),"",G456-F456)</f>
        <v/>
      </c>
      <c r="I456" s="82"/>
      <c r="J456" s="82"/>
      <c r="K456" s="28"/>
      <c r="L456" s="90" t="str">
        <f aca="false">IF(OR(K456="",N(H456)=0),"",K456/H456)</f>
        <v/>
      </c>
      <c r="M456" s="68"/>
      <c r="N456" s="28"/>
      <c r="O456" s="25"/>
      <c r="P456" s="83" t="str">
        <f aca="false">IF(OR(N456="",N(H456)=0),"",N456/H456)</f>
        <v/>
      </c>
      <c r="Q456" s="25"/>
    </row>
    <row r="457" customFormat="false" ht="15" hidden="false" customHeight="false" outlineLevel="0" collapsed="false">
      <c r="A457" s="69"/>
      <c r="B457" s="68"/>
      <c r="C457" s="76" t="str">
        <f aca="false">IF(B457="","",IFERROR(INDEX(EN_Des,MATCH(B457,EN_Code,0)),"Code inconnu"))</f>
        <v/>
      </c>
      <c r="D457" s="25"/>
      <c r="E457" s="25"/>
      <c r="F457" s="82"/>
      <c r="G457" s="82"/>
      <c r="H457" s="83" t="str">
        <f aca="false">IF(OR(F457="",G457=""),"",G457-F457)</f>
        <v/>
      </c>
      <c r="I457" s="82"/>
      <c r="J457" s="82"/>
      <c r="K457" s="28"/>
      <c r="L457" s="90" t="str">
        <f aca="false">IF(OR(K457="",N(H457)=0),"",K457/H457)</f>
        <v/>
      </c>
      <c r="M457" s="68"/>
      <c r="N457" s="28"/>
      <c r="O457" s="25"/>
      <c r="P457" s="83" t="str">
        <f aca="false">IF(OR(N457="",N(H457)=0),"",N457/H457)</f>
        <v/>
      </c>
      <c r="Q457" s="25"/>
    </row>
    <row r="458" customFormat="false" ht="15" hidden="false" customHeight="false" outlineLevel="0" collapsed="false">
      <c r="A458" s="69"/>
      <c r="B458" s="68"/>
      <c r="C458" s="76" t="str">
        <f aca="false">IF(B458="","",IFERROR(INDEX(EN_Des,MATCH(B458,EN_Code,0)),"Code inconnu"))</f>
        <v/>
      </c>
      <c r="D458" s="25"/>
      <c r="E458" s="25"/>
      <c r="F458" s="82"/>
      <c r="G458" s="82"/>
      <c r="H458" s="83" t="str">
        <f aca="false">IF(OR(F458="",G458=""),"",G458-F458)</f>
        <v/>
      </c>
      <c r="I458" s="82"/>
      <c r="J458" s="82"/>
      <c r="K458" s="28"/>
      <c r="L458" s="90" t="str">
        <f aca="false">IF(OR(K458="",N(H458)=0),"",K458/H458)</f>
        <v/>
      </c>
      <c r="M458" s="68"/>
      <c r="N458" s="28"/>
      <c r="O458" s="25"/>
      <c r="P458" s="83" t="str">
        <f aca="false">IF(OR(N458="",N(H458)=0),"",N458/H458)</f>
        <v/>
      </c>
      <c r="Q458" s="25"/>
    </row>
    <row r="459" customFormat="false" ht="15" hidden="false" customHeight="false" outlineLevel="0" collapsed="false">
      <c r="A459" s="69"/>
      <c r="B459" s="68"/>
      <c r="C459" s="76" t="str">
        <f aca="false">IF(B459="","",IFERROR(INDEX(EN_Des,MATCH(B459,EN_Code,0)),"Code inconnu"))</f>
        <v/>
      </c>
      <c r="D459" s="25"/>
      <c r="E459" s="25"/>
      <c r="F459" s="82"/>
      <c r="G459" s="82"/>
      <c r="H459" s="83" t="str">
        <f aca="false">IF(OR(F459="",G459=""),"",G459-F459)</f>
        <v/>
      </c>
      <c r="I459" s="82"/>
      <c r="J459" s="82"/>
      <c r="K459" s="28"/>
      <c r="L459" s="90" t="str">
        <f aca="false">IF(OR(K459="",N(H459)=0),"",K459/H459)</f>
        <v/>
      </c>
      <c r="M459" s="68"/>
      <c r="N459" s="28"/>
      <c r="O459" s="25"/>
      <c r="P459" s="83" t="str">
        <f aca="false">IF(OR(N459="",N(H459)=0),"",N459/H459)</f>
        <v/>
      </c>
      <c r="Q459" s="25"/>
    </row>
    <row r="460" customFormat="false" ht="15" hidden="false" customHeight="false" outlineLevel="0" collapsed="false">
      <c r="A460" s="69"/>
      <c r="B460" s="68"/>
      <c r="C460" s="76" t="str">
        <f aca="false">IF(B460="","",IFERROR(INDEX(EN_Des,MATCH(B460,EN_Code,0)),"Code inconnu"))</f>
        <v/>
      </c>
      <c r="D460" s="25"/>
      <c r="E460" s="25"/>
      <c r="F460" s="82"/>
      <c r="G460" s="82"/>
      <c r="H460" s="83" t="str">
        <f aca="false">IF(OR(F460="",G460=""),"",G460-F460)</f>
        <v/>
      </c>
      <c r="I460" s="82"/>
      <c r="J460" s="82"/>
      <c r="K460" s="28"/>
      <c r="L460" s="90" t="str">
        <f aca="false">IF(OR(K460="",N(H460)=0),"",K460/H460)</f>
        <v/>
      </c>
      <c r="M460" s="68"/>
      <c r="N460" s="28"/>
      <c r="O460" s="25"/>
      <c r="P460" s="83" t="str">
        <f aca="false">IF(OR(N460="",N(H460)=0),"",N460/H460)</f>
        <v/>
      </c>
      <c r="Q460" s="25"/>
    </row>
    <row r="461" customFormat="false" ht="15" hidden="false" customHeight="false" outlineLevel="0" collapsed="false">
      <c r="A461" s="69"/>
      <c r="B461" s="68"/>
      <c r="C461" s="76" t="str">
        <f aca="false">IF(B461="","",IFERROR(INDEX(EN_Des,MATCH(B461,EN_Code,0)),"Code inconnu"))</f>
        <v/>
      </c>
      <c r="D461" s="25"/>
      <c r="E461" s="25"/>
      <c r="F461" s="82"/>
      <c r="G461" s="82"/>
      <c r="H461" s="83" t="str">
        <f aca="false">IF(OR(F461="",G461=""),"",G461-F461)</f>
        <v/>
      </c>
      <c r="I461" s="82"/>
      <c r="J461" s="82"/>
      <c r="K461" s="28"/>
      <c r="L461" s="90" t="str">
        <f aca="false">IF(OR(K461="",N(H461)=0),"",K461/H461)</f>
        <v/>
      </c>
      <c r="M461" s="68"/>
      <c r="N461" s="28"/>
      <c r="O461" s="25"/>
      <c r="P461" s="83" t="str">
        <f aca="false">IF(OR(N461="",N(H461)=0),"",N461/H461)</f>
        <v/>
      </c>
      <c r="Q461" s="25"/>
    </row>
    <row r="462" customFormat="false" ht="15" hidden="false" customHeight="false" outlineLevel="0" collapsed="false">
      <c r="A462" s="69"/>
      <c r="B462" s="68"/>
      <c r="C462" s="76" t="str">
        <f aca="false">IF(B462="","",IFERROR(INDEX(EN_Des,MATCH(B462,EN_Code,0)),"Code inconnu"))</f>
        <v/>
      </c>
      <c r="D462" s="25"/>
      <c r="E462" s="25"/>
      <c r="F462" s="82"/>
      <c r="G462" s="82"/>
      <c r="H462" s="83" t="str">
        <f aca="false">IF(OR(F462="",G462=""),"",G462-F462)</f>
        <v/>
      </c>
      <c r="I462" s="82"/>
      <c r="J462" s="82"/>
      <c r="K462" s="28"/>
      <c r="L462" s="90" t="str">
        <f aca="false">IF(OR(K462="",N(H462)=0),"",K462/H462)</f>
        <v/>
      </c>
      <c r="M462" s="68"/>
      <c r="N462" s="28"/>
      <c r="O462" s="25"/>
      <c r="P462" s="83" t="str">
        <f aca="false">IF(OR(N462="",N(H462)=0),"",N462/H462)</f>
        <v/>
      </c>
      <c r="Q462" s="25"/>
    </row>
    <row r="463" customFormat="false" ht="15" hidden="false" customHeight="false" outlineLevel="0" collapsed="false">
      <c r="A463" s="69"/>
      <c r="B463" s="68"/>
      <c r="C463" s="76" t="str">
        <f aca="false">IF(B463="","",IFERROR(INDEX(EN_Des,MATCH(B463,EN_Code,0)),"Code inconnu"))</f>
        <v/>
      </c>
      <c r="D463" s="25"/>
      <c r="E463" s="25"/>
      <c r="F463" s="82"/>
      <c r="G463" s="82"/>
      <c r="H463" s="83" t="str">
        <f aca="false">IF(OR(F463="",G463=""),"",G463-F463)</f>
        <v/>
      </c>
      <c r="I463" s="82"/>
      <c r="J463" s="82"/>
      <c r="K463" s="28"/>
      <c r="L463" s="90" t="str">
        <f aca="false">IF(OR(K463="",N(H463)=0),"",K463/H463)</f>
        <v/>
      </c>
      <c r="M463" s="68"/>
      <c r="N463" s="28"/>
      <c r="O463" s="25"/>
      <c r="P463" s="83" t="str">
        <f aca="false">IF(OR(N463="",N(H463)=0),"",N463/H463)</f>
        <v/>
      </c>
      <c r="Q463" s="25"/>
    </row>
    <row r="464" customFormat="false" ht="15" hidden="false" customHeight="false" outlineLevel="0" collapsed="false">
      <c r="A464" s="69"/>
      <c r="B464" s="68"/>
      <c r="C464" s="76" t="str">
        <f aca="false">IF(B464="","",IFERROR(INDEX(EN_Des,MATCH(B464,EN_Code,0)),"Code inconnu"))</f>
        <v/>
      </c>
      <c r="D464" s="25"/>
      <c r="E464" s="25"/>
      <c r="F464" s="82"/>
      <c r="G464" s="82"/>
      <c r="H464" s="83" t="str">
        <f aca="false">IF(OR(F464="",G464=""),"",G464-F464)</f>
        <v/>
      </c>
      <c r="I464" s="82"/>
      <c r="J464" s="82"/>
      <c r="K464" s="28"/>
      <c r="L464" s="90" t="str">
        <f aca="false">IF(OR(K464="",N(H464)=0),"",K464/H464)</f>
        <v/>
      </c>
      <c r="M464" s="68"/>
      <c r="N464" s="28"/>
      <c r="O464" s="25"/>
      <c r="P464" s="83" t="str">
        <f aca="false">IF(OR(N464="",N(H464)=0),"",N464/H464)</f>
        <v/>
      </c>
      <c r="Q464" s="25"/>
    </row>
    <row r="465" customFormat="false" ht="15" hidden="false" customHeight="false" outlineLevel="0" collapsed="false">
      <c r="A465" s="69"/>
      <c r="B465" s="68"/>
      <c r="C465" s="76" t="str">
        <f aca="false">IF(B465="","",IFERROR(INDEX(EN_Des,MATCH(B465,EN_Code,0)),"Code inconnu"))</f>
        <v/>
      </c>
      <c r="D465" s="25"/>
      <c r="E465" s="25"/>
      <c r="F465" s="82"/>
      <c r="G465" s="82"/>
      <c r="H465" s="83" t="str">
        <f aca="false">IF(OR(F465="",G465=""),"",G465-F465)</f>
        <v/>
      </c>
      <c r="I465" s="82"/>
      <c r="J465" s="82"/>
      <c r="K465" s="28"/>
      <c r="L465" s="90" t="str">
        <f aca="false">IF(OR(K465="",N(H465)=0),"",K465/H465)</f>
        <v/>
      </c>
      <c r="M465" s="68"/>
      <c r="N465" s="28"/>
      <c r="O465" s="25"/>
      <c r="P465" s="83" t="str">
        <f aca="false">IF(OR(N465="",N(H465)=0),"",N465/H465)</f>
        <v/>
      </c>
      <c r="Q465" s="25"/>
    </row>
    <row r="466" customFormat="false" ht="15" hidden="false" customHeight="false" outlineLevel="0" collapsed="false">
      <c r="A466" s="69"/>
      <c r="B466" s="68"/>
      <c r="C466" s="76" t="str">
        <f aca="false">IF(B466="","",IFERROR(INDEX(EN_Des,MATCH(B466,EN_Code,0)),"Code inconnu"))</f>
        <v/>
      </c>
      <c r="D466" s="25"/>
      <c r="E466" s="25"/>
      <c r="F466" s="82"/>
      <c r="G466" s="82"/>
      <c r="H466" s="83" t="str">
        <f aca="false">IF(OR(F466="",G466=""),"",G466-F466)</f>
        <v/>
      </c>
      <c r="I466" s="82"/>
      <c r="J466" s="82"/>
      <c r="K466" s="28"/>
      <c r="L466" s="90" t="str">
        <f aca="false">IF(OR(K466="",N(H466)=0),"",K466/H466)</f>
        <v/>
      </c>
      <c r="M466" s="68"/>
      <c r="N466" s="28"/>
      <c r="O466" s="25"/>
      <c r="P466" s="83" t="str">
        <f aca="false">IF(OR(N466="",N(H466)=0),"",N466/H466)</f>
        <v/>
      </c>
      <c r="Q466" s="25"/>
    </row>
    <row r="467" customFormat="false" ht="15" hidden="false" customHeight="false" outlineLevel="0" collapsed="false">
      <c r="A467" s="69"/>
      <c r="B467" s="68"/>
      <c r="C467" s="76" t="str">
        <f aca="false">IF(B467="","",IFERROR(INDEX(EN_Des,MATCH(B467,EN_Code,0)),"Code inconnu"))</f>
        <v/>
      </c>
      <c r="D467" s="25"/>
      <c r="E467" s="25"/>
      <c r="F467" s="82"/>
      <c r="G467" s="82"/>
      <c r="H467" s="83" t="str">
        <f aca="false">IF(OR(F467="",G467=""),"",G467-F467)</f>
        <v/>
      </c>
      <c r="I467" s="82"/>
      <c r="J467" s="82"/>
      <c r="K467" s="28"/>
      <c r="L467" s="90" t="str">
        <f aca="false">IF(OR(K467="",N(H467)=0),"",K467/H467)</f>
        <v/>
      </c>
      <c r="M467" s="68"/>
      <c r="N467" s="28"/>
      <c r="O467" s="25"/>
      <c r="P467" s="83" t="str">
        <f aca="false">IF(OR(N467="",N(H467)=0),"",N467/H467)</f>
        <v/>
      </c>
      <c r="Q467" s="25"/>
    </row>
    <row r="468" customFormat="false" ht="15" hidden="false" customHeight="false" outlineLevel="0" collapsed="false">
      <c r="A468" s="69"/>
      <c r="B468" s="68"/>
      <c r="C468" s="76" t="str">
        <f aca="false">IF(B468="","",IFERROR(INDEX(EN_Des,MATCH(B468,EN_Code,0)),"Code inconnu"))</f>
        <v/>
      </c>
      <c r="D468" s="25"/>
      <c r="E468" s="25"/>
      <c r="F468" s="82"/>
      <c r="G468" s="82"/>
      <c r="H468" s="83" t="str">
        <f aca="false">IF(OR(F468="",G468=""),"",G468-F468)</f>
        <v/>
      </c>
      <c r="I468" s="82"/>
      <c r="J468" s="82"/>
      <c r="K468" s="28"/>
      <c r="L468" s="90" t="str">
        <f aca="false">IF(OR(K468="",N(H468)=0),"",K468/H468)</f>
        <v/>
      </c>
      <c r="M468" s="68"/>
      <c r="N468" s="28"/>
      <c r="O468" s="25"/>
      <c r="P468" s="83" t="str">
        <f aca="false">IF(OR(N468="",N(H468)=0),"",N468/H468)</f>
        <v/>
      </c>
      <c r="Q468" s="25"/>
    </row>
    <row r="469" customFormat="false" ht="15" hidden="false" customHeight="false" outlineLevel="0" collapsed="false">
      <c r="A469" s="69"/>
      <c r="B469" s="68"/>
      <c r="C469" s="76" t="str">
        <f aca="false">IF(B469="","",IFERROR(INDEX(EN_Des,MATCH(B469,EN_Code,0)),"Code inconnu"))</f>
        <v/>
      </c>
      <c r="D469" s="25"/>
      <c r="E469" s="25"/>
      <c r="F469" s="82"/>
      <c r="G469" s="82"/>
      <c r="H469" s="83" t="str">
        <f aca="false">IF(OR(F469="",G469=""),"",G469-F469)</f>
        <v/>
      </c>
      <c r="I469" s="82"/>
      <c r="J469" s="82"/>
      <c r="K469" s="28"/>
      <c r="L469" s="90" t="str">
        <f aca="false">IF(OR(K469="",N(H469)=0),"",K469/H469)</f>
        <v/>
      </c>
      <c r="M469" s="68"/>
      <c r="N469" s="28"/>
      <c r="O469" s="25"/>
      <c r="P469" s="83" t="str">
        <f aca="false">IF(OR(N469="",N(H469)=0),"",N469/H469)</f>
        <v/>
      </c>
      <c r="Q469" s="25"/>
    </row>
    <row r="470" customFormat="false" ht="15" hidden="false" customHeight="false" outlineLevel="0" collapsed="false">
      <c r="A470" s="69"/>
      <c r="B470" s="68"/>
      <c r="C470" s="76" t="str">
        <f aca="false">IF(B470="","",IFERROR(INDEX(EN_Des,MATCH(B470,EN_Code,0)),"Code inconnu"))</f>
        <v/>
      </c>
      <c r="D470" s="25"/>
      <c r="E470" s="25"/>
      <c r="F470" s="82"/>
      <c r="G470" s="82"/>
      <c r="H470" s="83" t="str">
        <f aca="false">IF(OR(F470="",G470=""),"",G470-F470)</f>
        <v/>
      </c>
      <c r="I470" s="82"/>
      <c r="J470" s="82"/>
      <c r="K470" s="28"/>
      <c r="L470" s="90" t="str">
        <f aca="false">IF(OR(K470="",N(H470)=0),"",K470/H470)</f>
        <v/>
      </c>
      <c r="M470" s="68"/>
      <c r="N470" s="28"/>
      <c r="O470" s="25"/>
      <c r="P470" s="83" t="str">
        <f aca="false">IF(OR(N470="",N(H470)=0),"",N470/H470)</f>
        <v/>
      </c>
      <c r="Q470" s="25"/>
    </row>
    <row r="471" customFormat="false" ht="15" hidden="false" customHeight="false" outlineLevel="0" collapsed="false">
      <c r="A471" s="69"/>
      <c r="B471" s="68"/>
      <c r="C471" s="76" t="str">
        <f aca="false">IF(B471="","",IFERROR(INDEX(EN_Des,MATCH(B471,EN_Code,0)),"Code inconnu"))</f>
        <v/>
      </c>
      <c r="D471" s="25"/>
      <c r="E471" s="25"/>
      <c r="F471" s="82"/>
      <c r="G471" s="82"/>
      <c r="H471" s="83" t="str">
        <f aca="false">IF(OR(F471="",G471=""),"",G471-F471)</f>
        <v/>
      </c>
      <c r="I471" s="82"/>
      <c r="J471" s="82"/>
      <c r="K471" s="28"/>
      <c r="L471" s="90" t="str">
        <f aca="false">IF(OR(K471="",N(H471)=0),"",K471/H471)</f>
        <v/>
      </c>
      <c r="M471" s="68"/>
      <c r="N471" s="28"/>
      <c r="O471" s="25"/>
      <c r="P471" s="83" t="str">
        <f aca="false">IF(OR(N471="",N(H471)=0),"",N471/H471)</f>
        <v/>
      </c>
      <c r="Q471" s="25"/>
    </row>
    <row r="472" customFormat="false" ht="15" hidden="false" customHeight="false" outlineLevel="0" collapsed="false">
      <c r="A472" s="69"/>
      <c r="B472" s="68"/>
      <c r="C472" s="76" t="str">
        <f aca="false">IF(B472="","",IFERROR(INDEX(EN_Des,MATCH(B472,EN_Code,0)),"Code inconnu"))</f>
        <v/>
      </c>
      <c r="D472" s="25"/>
      <c r="E472" s="25"/>
      <c r="F472" s="82"/>
      <c r="G472" s="82"/>
      <c r="H472" s="83" t="str">
        <f aca="false">IF(OR(F472="",G472=""),"",G472-F472)</f>
        <v/>
      </c>
      <c r="I472" s="82"/>
      <c r="J472" s="82"/>
      <c r="K472" s="28"/>
      <c r="L472" s="90" t="str">
        <f aca="false">IF(OR(K472="",N(H472)=0),"",K472/H472)</f>
        <v/>
      </c>
      <c r="M472" s="68"/>
      <c r="N472" s="28"/>
      <c r="O472" s="25"/>
      <c r="P472" s="83" t="str">
        <f aca="false">IF(OR(N472="",N(H472)=0),"",N472/H472)</f>
        <v/>
      </c>
      <c r="Q472" s="25"/>
    </row>
    <row r="473" customFormat="false" ht="15" hidden="false" customHeight="false" outlineLevel="0" collapsed="false">
      <c r="A473" s="69"/>
      <c r="B473" s="68"/>
      <c r="C473" s="76" t="str">
        <f aca="false">IF(B473="","",IFERROR(INDEX(EN_Des,MATCH(B473,EN_Code,0)),"Code inconnu"))</f>
        <v/>
      </c>
      <c r="D473" s="25"/>
      <c r="E473" s="25"/>
      <c r="F473" s="82"/>
      <c r="G473" s="82"/>
      <c r="H473" s="83" t="str">
        <f aca="false">IF(OR(F473="",G473=""),"",G473-F473)</f>
        <v/>
      </c>
      <c r="I473" s="82"/>
      <c r="J473" s="82"/>
      <c r="K473" s="28"/>
      <c r="L473" s="90" t="str">
        <f aca="false">IF(OR(K473="",N(H473)=0),"",K473/H473)</f>
        <v/>
      </c>
      <c r="M473" s="68"/>
      <c r="N473" s="28"/>
      <c r="O473" s="25"/>
      <c r="P473" s="83" t="str">
        <f aca="false">IF(OR(N473="",N(H473)=0),"",N473/H473)</f>
        <v/>
      </c>
      <c r="Q473" s="25"/>
    </row>
    <row r="474" customFormat="false" ht="15" hidden="false" customHeight="false" outlineLevel="0" collapsed="false">
      <c r="A474" s="69"/>
      <c r="B474" s="68"/>
      <c r="C474" s="76" t="str">
        <f aca="false">IF(B474="","",IFERROR(INDEX(EN_Des,MATCH(B474,EN_Code,0)),"Code inconnu"))</f>
        <v/>
      </c>
      <c r="D474" s="25"/>
      <c r="E474" s="25"/>
      <c r="F474" s="82"/>
      <c r="G474" s="82"/>
      <c r="H474" s="83" t="str">
        <f aca="false">IF(OR(F474="",G474=""),"",G474-F474)</f>
        <v/>
      </c>
      <c r="I474" s="82"/>
      <c r="J474" s="82"/>
      <c r="K474" s="28"/>
      <c r="L474" s="90" t="str">
        <f aca="false">IF(OR(K474="",N(H474)=0),"",K474/H474)</f>
        <v/>
      </c>
      <c r="M474" s="68"/>
      <c r="N474" s="28"/>
      <c r="O474" s="25"/>
      <c r="P474" s="83" t="str">
        <f aca="false">IF(OR(N474="",N(H474)=0),"",N474/H474)</f>
        <v/>
      </c>
      <c r="Q474" s="25"/>
    </row>
    <row r="475" customFormat="false" ht="15" hidden="false" customHeight="false" outlineLevel="0" collapsed="false">
      <c r="A475" s="69"/>
      <c r="B475" s="68"/>
      <c r="C475" s="76" t="str">
        <f aca="false">IF(B475="","",IFERROR(INDEX(EN_Des,MATCH(B475,EN_Code,0)),"Code inconnu"))</f>
        <v/>
      </c>
      <c r="D475" s="25"/>
      <c r="E475" s="25"/>
      <c r="F475" s="82"/>
      <c r="G475" s="82"/>
      <c r="H475" s="83" t="str">
        <f aca="false">IF(OR(F475="",G475=""),"",G475-F475)</f>
        <v/>
      </c>
      <c r="I475" s="82"/>
      <c r="J475" s="82"/>
      <c r="K475" s="28"/>
      <c r="L475" s="90" t="str">
        <f aca="false">IF(OR(K475="",N(H475)=0),"",K475/H475)</f>
        <v/>
      </c>
      <c r="M475" s="68"/>
      <c r="N475" s="28"/>
      <c r="O475" s="25"/>
      <c r="P475" s="83" t="str">
        <f aca="false">IF(OR(N475="",N(H475)=0),"",N475/H475)</f>
        <v/>
      </c>
      <c r="Q475" s="25"/>
    </row>
    <row r="476" customFormat="false" ht="15" hidden="false" customHeight="false" outlineLevel="0" collapsed="false">
      <c r="A476" s="69"/>
      <c r="B476" s="68"/>
      <c r="C476" s="76" t="str">
        <f aca="false">IF(B476="","",IFERROR(INDEX(EN_Des,MATCH(B476,EN_Code,0)),"Code inconnu"))</f>
        <v/>
      </c>
      <c r="D476" s="25"/>
      <c r="E476" s="25"/>
      <c r="F476" s="82"/>
      <c r="G476" s="82"/>
      <c r="H476" s="83" t="str">
        <f aca="false">IF(OR(F476="",G476=""),"",G476-F476)</f>
        <v/>
      </c>
      <c r="I476" s="82"/>
      <c r="J476" s="82"/>
      <c r="K476" s="28"/>
      <c r="L476" s="90" t="str">
        <f aca="false">IF(OR(K476="",N(H476)=0),"",K476/H476)</f>
        <v/>
      </c>
      <c r="M476" s="68"/>
      <c r="N476" s="28"/>
      <c r="O476" s="25"/>
      <c r="P476" s="83" t="str">
        <f aca="false">IF(OR(N476="",N(H476)=0),"",N476/H476)</f>
        <v/>
      </c>
      <c r="Q476" s="25"/>
    </row>
    <row r="477" customFormat="false" ht="15" hidden="false" customHeight="false" outlineLevel="0" collapsed="false">
      <c r="A477" s="69"/>
      <c r="B477" s="68"/>
      <c r="C477" s="76" t="str">
        <f aca="false">IF(B477="","",IFERROR(INDEX(EN_Des,MATCH(B477,EN_Code,0)),"Code inconnu"))</f>
        <v/>
      </c>
      <c r="D477" s="25"/>
      <c r="E477" s="25"/>
      <c r="F477" s="82"/>
      <c r="G477" s="82"/>
      <c r="H477" s="83" t="str">
        <f aca="false">IF(OR(F477="",G477=""),"",G477-F477)</f>
        <v/>
      </c>
      <c r="I477" s="82"/>
      <c r="J477" s="82"/>
      <c r="K477" s="28"/>
      <c r="L477" s="90" t="str">
        <f aca="false">IF(OR(K477="",N(H477)=0),"",K477/H477)</f>
        <v/>
      </c>
      <c r="M477" s="68"/>
      <c r="N477" s="28"/>
      <c r="O477" s="25"/>
      <c r="P477" s="83" t="str">
        <f aca="false">IF(OR(N477="",N(H477)=0),"",N477/H477)</f>
        <v/>
      </c>
      <c r="Q477" s="25"/>
    </row>
    <row r="478" customFormat="false" ht="15" hidden="false" customHeight="false" outlineLevel="0" collapsed="false">
      <c r="A478" s="69"/>
      <c r="B478" s="68"/>
      <c r="C478" s="76" t="str">
        <f aca="false">IF(B478="","",IFERROR(INDEX(EN_Des,MATCH(B478,EN_Code,0)),"Code inconnu"))</f>
        <v/>
      </c>
      <c r="D478" s="25"/>
      <c r="E478" s="25"/>
      <c r="F478" s="82"/>
      <c r="G478" s="82"/>
      <c r="H478" s="83" t="str">
        <f aca="false">IF(OR(F478="",G478=""),"",G478-F478)</f>
        <v/>
      </c>
      <c r="I478" s="82"/>
      <c r="J478" s="82"/>
      <c r="K478" s="28"/>
      <c r="L478" s="90" t="str">
        <f aca="false">IF(OR(K478="",N(H478)=0),"",K478/H478)</f>
        <v/>
      </c>
      <c r="M478" s="68"/>
      <c r="N478" s="28"/>
      <c r="O478" s="25"/>
      <c r="P478" s="83" t="str">
        <f aca="false">IF(OR(N478="",N(H478)=0),"",N478/H478)</f>
        <v/>
      </c>
      <c r="Q478" s="25"/>
    </row>
    <row r="479" customFormat="false" ht="15" hidden="false" customHeight="false" outlineLevel="0" collapsed="false">
      <c r="A479" s="69"/>
      <c r="B479" s="68"/>
      <c r="C479" s="76" t="str">
        <f aca="false">IF(B479="","",IFERROR(INDEX(EN_Des,MATCH(B479,EN_Code,0)),"Code inconnu"))</f>
        <v/>
      </c>
      <c r="D479" s="25"/>
      <c r="E479" s="25"/>
      <c r="F479" s="82"/>
      <c r="G479" s="82"/>
      <c r="H479" s="83" t="str">
        <f aca="false">IF(OR(F479="",G479=""),"",G479-F479)</f>
        <v/>
      </c>
      <c r="I479" s="82"/>
      <c r="J479" s="82"/>
      <c r="K479" s="28"/>
      <c r="L479" s="90" t="str">
        <f aca="false">IF(OR(K479="",N(H479)=0),"",K479/H479)</f>
        <v/>
      </c>
      <c r="M479" s="68"/>
      <c r="N479" s="28"/>
      <c r="O479" s="25"/>
      <c r="P479" s="83" t="str">
        <f aca="false">IF(OR(N479="",N(H479)=0),"",N479/H479)</f>
        <v/>
      </c>
      <c r="Q479" s="25"/>
    </row>
    <row r="480" customFormat="false" ht="15" hidden="false" customHeight="false" outlineLevel="0" collapsed="false">
      <c r="A480" s="69"/>
      <c r="B480" s="68"/>
      <c r="C480" s="76" t="str">
        <f aca="false">IF(B480="","",IFERROR(INDEX(EN_Des,MATCH(B480,EN_Code,0)),"Code inconnu"))</f>
        <v/>
      </c>
      <c r="D480" s="25"/>
      <c r="E480" s="25"/>
      <c r="F480" s="82"/>
      <c r="G480" s="82"/>
      <c r="H480" s="83" t="str">
        <f aca="false">IF(OR(F480="",G480=""),"",G480-F480)</f>
        <v/>
      </c>
      <c r="I480" s="82"/>
      <c r="J480" s="82"/>
      <c r="K480" s="28"/>
      <c r="L480" s="90" t="str">
        <f aca="false">IF(OR(K480="",N(H480)=0),"",K480/H480)</f>
        <v/>
      </c>
      <c r="M480" s="68"/>
      <c r="N480" s="28"/>
      <c r="O480" s="25"/>
      <c r="P480" s="83" t="str">
        <f aca="false">IF(OR(N480="",N(H480)=0),"",N480/H480)</f>
        <v/>
      </c>
      <c r="Q480" s="25"/>
    </row>
    <row r="481" customFormat="false" ht="15" hidden="false" customHeight="false" outlineLevel="0" collapsed="false">
      <c r="A481" s="69"/>
      <c r="B481" s="68"/>
      <c r="C481" s="76" t="str">
        <f aca="false">IF(B481="","",IFERROR(INDEX(EN_Des,MATCH(B481,EN_Code,0)),"Code inconnu"))</f>
        <v/>
      </c>
      <c r="D481" s="25"/>
      <c r="E481" s="25"/>
      <c r="F481" s="82"/>
      <c r="G481" s="82"/>
      <c r="H481" s="83" t="str">
        <f aca="false">IF(OR(F481="",G481=""),"",G481-F481)</f>
        <v/>
      </c>
      <c r="I481" s="82"/>
      <c r="J481" s="82"/>
      <c r="K481" s="28"/>
      <c r="L481" s="90" t="str">
        <f aca="false">IF(OR(K481="",N(H481)=0),"",K481/H481)</f>
        <v/>
      </c>
      <c r="M481" s="68"/>
      <c r="N481" s="28"/>
      <c r="O481" s="25"/>
      <c r="P481" s="83" t="str">
        <f aca="false">IF(OR(N481="",N(H481)=0),"",N481/H481)</f>
        <v/>
      </c>
      <c r="Q481" s="25"/>
    </row>
    <row r="482" customFormat="false" ht="15" hidden="false" customHeight="false" outlineLevel="0" collapsed="false">
      <c r="A482" s="69"/>
      <c r="B482" s="68"/>
      <c r="C482" s="76" t="str">
        <f aca="false">IF(B482="","",IFERROR(INDEX(EN_Des,MATCH(B482,EN_Code,0)),"Code inconnu"))</f>
        <v/>
      </c>
      <c r="D482" s="25"/>
      <c r="E482" s="25"/>
      <c r="F482" s="82"/>
      <c r="G482" s="82"/>
      <c r="H482" s="83" t="str">
        <f aca="false">IF(OR(F482="",G482=""),"",G482-F482)</f>
        <v/>
      </c>
      <c r="I482" s="82"/>
      <c r="J482" s="82"/>
      <c r="K482" s="28"/>
      <c r="L482" s="90" t="str">
        <f aca="false">IF(OR(K482="",N(H482)=0),"",K482/H482)</f>
        <v/>
      </c>
      <c r="M482" s="68"/>
      <c r="N482" s="28"/>
      <c r="O482" s="25"/>
      <c r="P482" s="83" t="str">
        <f aca="false">IF(OR(N482="",N(H482)=0),"",N482/H482)</f>
        <v/>
      </c>
      <c r="Q482" s="25"/>
    </row>
    <row r="483" customFormat="false" ht="15" hidden="false" customHeight="false" outlineLevel="0" collapsed="false">
      <c r="A483" s="69"/>
      <c r="B483" s="68"/>
      <c r="C483" s="76" t="str">
        <f aca="false">IF(B483="","",IFERROR(INDEX(EN_Des,MATCH(B483,EN_Code,0)),"Code inconnu"))</f>
        <v/>
      </c>
      <c r="D483" s="25"/>
      <c r="E483" s="25"/>
      <c r="F483" s="82"/>
      <c r="G483" s="82"/>
      <c r="H483" s="83" t="str">
        <f aca="false">IF(OR(F483="",G483=""),"",G483-F483)</f>
        <v/>
      </c>
      <c r="I483" s="82"/>
      <c r="J483" s="82"/>
      <c r="K483" s="28"/>
      <c r="L483" s="90" t="str">
        <f aca="false">IF(OR(K483="",N(H483)=0),"",K483/H483)</f>
        <v/>
      </c>
      <c r="M483" s="68"/>
      <c r="N483" s="28"/>
      <c r="O483" s="25"/>
      <c r="P483" s="83" t="str">
        <f aca="false">IF(OR(N483="",N(H483)=0),"",N483/H483)</f>
        <v/>
      </c>
      <c r="Q483" s="25"/>
    </row>
    <row r="484" customFormat="false" ht="15" hidden="false" customHeight="false" outlineLevel="0" collapsed="false">
      <c r="A484" s="69"/>
      <c r="B484" s="68"/>
      <c r="C484" s="76" t="str">
        <f aca="false">IF(B484="","",IFERROR(INDEX(EN_Des,MATCH(B484,EN_Code,0)),"Code inconnu"))</f>
        <v/>
      </c>
      <c r="D484" s="25"/>
      <c r="E484" s="25"/>
      <c r="F484" s="82"/>
      <c r="G484" s="82"/>
      <c r="H484" s="83" t="str">
        <f aca="false">IF(OR(F484="",G484=""),"",G484-F484)</f>
        <v/>
      </c>
      <c r="I484" s="82"/>
      <c r="J484" s="82"/>
      <c r="K484" s="28"/>
      <c r="L484" s="90" t="str">
        <f aca="false">IF(OR(K484="",N(H484)=0),"",K484/H484)</f>
        <v/>
      </c>
      <c r="M484" s="68"/>
      <c r="N484" s="28"/>
      <c r="O484" s="25"/>
      <c r="P484" s="83" t="str">
        <f aca="false">IF(OR(N484="",N(H484)=0),"",N484/H484)</f>
        <v/>
      </c>
      <c r="Q484" s="25"/>
    </row>
    <row r="485" customFormat="false" ht="15" hidden="false" customHeight="false" outlineLevel="0" collapsed="false">
      <c r="A485" s="69"/>
      <c r="B485" s="68"/>
      <c r="C485" s="76" t="str">
        <f aca="false">IF(B485="","",IFERROR(INDEX(EN_Des,MATCH(B485,EN_Code,0)),"Code inconnu"))</f>
        <v/>
      </c>
      <c r="D485" s="25"/>
      <c r="E485" s="25"/>
      <c r="F485" s="82"/>
      <c r="G485" s="82"/>
      <c r="H485" s="83" t="str">
        <f aca="false">IF(OR(F485="",G485=""),"",G485-F485)</f>
        <v/>
      </c>
      <c r="I485" s="82"/>
      <c r="J485" s="82"/>
      <c r="K485" s="28"/>
      <c r="L485" s="90" t="str">
        <f aca="false">IF(OR(K485="",N(H485)=0),"",K485/H485)</f>
        <v/>
      </c>
      <c r="M485" s="68"/>
      <c r="N485" s="28"/>
      <c r="O485" s="25"/>
      <c r="P485" s="83" t="str">
        <f aca="false">IF(OR(N485="",N(H485)=0),"",N485/H485)</f>
        <v/>
      </c>
      <c r="Q485" s="25"/>
    </row>
    <row r="486" customFormat="false" ht="15" hidden="false" customHeight="false" outlineLevel="0" collapsed="false">
      <c r="A486" s="69"/>
      <c r="B486" s="68"/>
      <c r="C486" s="76" t="str">
        <f aca="false">IF(B486="","",IFERROR(INDEX(EN_Des,MATCH(B486,EN_Code,0)),"Code inconnu"))</f>
        <v/>
      </c>
      <c r="D486" s="25"/>
      <c r="E486" s="25"/>
      <c r="F486" s="82"/>
      <c r="G486" s="82"/>
      <c r="H486" s="83" t="str">
        <f aca="false">IF(OR(F486="",G486=""),"",G486-F486)</f>
        <v/>
      </c>
      <c r="I486" s="82"/>
      <c r="J486" s="82"/>
      <c r="K486" s="28"/>
      <c r="L486" s="90" t="str">
        <f aca="false">IF(OR(K486="",N(H486)=0),"",K486/H486)</f>
        <v/>
      </c>
      <c r="M486" s="68"/>
      <c r="N486" s="28"/>
      <c r="O486" s="25"/>
      <c r="P486" s="83" t="str">
        <f aca="false">IF(OR(N486="",N(H486)=0),"",N486/H486)</f>
        <v/>
      </c>
      <c r="Q486" s="25"/>
    </row>
    <row r="487" customFormat="false" ht="15" hidden="false" customHeight="false" outlineLevel="0" collapsed="false">
      <c r="A487" s="69"/>
      <c r="B487" s="68"/>
      <c r="C487" s="76" t="str">
        <f aca="false">IF(B487="","",IFERROR(INDEX(EN_Des,MATCH(B487,EN_Code,0)),"Code inconnu"))</f>
        <v/>
      </c>
      <c r="D487" s="25"/>
      <c r="E487" s="25"/>
      <c r="F487" s="82"/>
      <c r="G487" s="82"/>
      <c r="H487" s="83" t="str">
        <f aca="false">IF(OR(F487="",G487=""),"",G487-F487)</f>
        <v/>
      </c>
      <c r="I487" s="82"/>
      <c r="J487" s="82"/>
      <c r="K487" s="28"/>
      <c r="L487" s="90" t="str">
        <f aca="false">IF(OR(K487="",N(H487)=0),"",K487/H487)</f>
        <v/>
      </c>
      <c r="M487" s="68"/>
      <c r="N487" s="28"/>
      <c r="O487" s="25"/>
      <c r="P487" s="83" t="str">
        <f aca="false">IF(OR(N487="",N(H487)=0),"",N487/H487)</f>
        <v/>
      </c>
      <c r="Q487" s="25"/>
    </row>
    <row r="488" customFormat="false" ht="15" hidden="false" customHeight="false" outlineLevel="0" collapsed="false">
      <c r="A488" s="69"/>
      <c r="B488" s="68"/>
      <c r="C488" s="76" t="str">
        <f aca="false">IF(B488="","",IFERROR(INDEX(EN_Des,MATCH(B488,EN_Code,0)),"Code inconnu"))</f>
        <v/>
      </c>
      <c r="D488" s="25"/>
      <c r="E488" s="25"/>
      <c r="F488" s="82"/>
      <c r="G488" s="82"/>
      <c r="H488" s="83" t="str">
        <f aca="false">IF(OR(F488="",G488=""),"",G488-F488)</f>
        <v/>
      </c>
      <c r="I488" s="82"/>
      <c r="J488" s="82"/>
      <c r="K488" s="28"/>
      <c r="L488" s="90" t="str">
        <f aca="false">IF(OR(K488="",N(H488)=0),"",K488/H488)</f>
        <v/>
      </c>
      <c r="M488" s="68"/>
      <c r="N488" s="28"/>
      <c r="O488" s="25"/>
      <c r="P488" s="83" t="str">
        <f aca="false">IF(OR(N488="",N(H488)=0),"",N488/H488)</f>
        <v/>
      </c>
      <c r="Q488" s="25"/>
    </row>
    <row r="489" customFormat="false" ht="15" hidden="false" customHeight="false" outlineLevel="0" collapsed="false">
      <c r="A489" s="69"/>
      <c r="B489" s="68"/>
      <c r="C489" s="76" t="str">
        <f aca="false">IF(B489="","",IFERROR(INDEX(EN_Des,MATCH(B489,EN_Code,0)),"Code inconnu"))</f>
        <v/>
      </c>
      <c r="D489" s="25"/>
      <c r="E489" s="25"/>
      <c r="F489" s="82"/>
      <c r="G489" s="82"/>
      <c r="H489" s="83" t="str">
        <f aca="false">IF(OR(F489="",G489=""),"",G489-F489)</f>
        <v/>
      </c>
      <c r="I489" s="82"/>
      <c r="J489" s="82"/>
      <c r="K489" s="28"/>
      <c r="L489" s="90" t="str">
        <f aca="false">IF(OR(K489="",N(H489)=0),"",K489/H489)</f>
        <v/>
      </c>
      <c r="M489" s="68"/>
      <c r="N489" s="28"/>
      <c r="O489" s="25"/>
      <c r="P489" s="83" t="str">
        <f aca="false">IF(OR(N489="",N(H489)=0),"",N489/H489)</f>
        <v/>
      </c>
      <c r="Q489" s="25"/>
    </row>
    <row r="490" customFormat="false" ht="15" hidden="false" customHeight="false" outlineLevel="0" collapsed="false">
      <c r="A490" s="69"/>
      <c r="B490" s="68"/>
      <c r="C490" s="76" t="str">
        <f aca="false">IF(B490="","",IFERROR(INDEX(EN_Des,MATCH(B490,EN_Code,0)),"Code inconnu"))</f>
        <v/>
      </c>
      <c r="D490" s="25"/>
      <c r="E490" s="25"/>
      <c r="F490" s="82"/>
      <c r="G490" s="82"/>
      <c r="H490" s="83" t="str">
        <f aca="false">IF(OR(F490="",G490=""),"",G490-F490)</f>
        <v/>
      </c>
      <c r="I490" s="82"/>
      <c r="J490" s="82"/>
      <c r="K490" s="28"/>
      <c r="L490" s="90" t="str">
        <f aca="false">IF(OR(K490="",N(H490)=0),"",K490/H490)</f>
        <v/>
      </c>
      <c r="M490" s="68"/>
      <c r="N490" s="28"/>
      <c r="O490" s="25"/>
      <c r="P490" s="83" t="str">
        <f aca="false">IF(OR(N490="",N(H490)=0),"",N490/H490)</f>
        <v/>
      </c>
      <c r="Q490" s="25"/>
    </row>
    <row r="491" customFormat="false" ht="15" hidden="false" customHeight="false" outlineLevel="0" collapsed="false">
      <c r="A491" s="69"/>
      <c r="B491" s="68"/>
      <c r="C491" s="76" t="str">
        <f aca="false">IF(B491="","",IFERROR(INDEX(EN_Des,MATCH(B491,EN_Code,0)),"Code inconnu"))</f>
        <v/>
      </c>
      <c r="D491" s="25"/>
      <c r="E491" s="25"/>
      <c r="F491" s="82"/>
      <c r="G491" s="82"/>
      <c r="H491" s="83" t="str">
        <f aca="false">IF(OR(F491="",G491=""),"",G491-F491)</f>
        <v/>
      </c>
      <c r="I491" s="82"/>
      <c r="J491" s="82"/>
      <c r="K491" s="28"/>
      <c r="L491" s="90" t="str">
        <f aca="false">IF(OR(K491="",N(H491)=0),"",K491/H491)</f>
        <v/>
      </c>
      <c r="M491" s="68"/>
      <c r="N491" s="28"/>
      <c r="O491" s="25"/>
      <c r="P491" s="83" t="str">
        <f aca="false">IF(OR(N491="",N(H491)=0),"",N491/H491)</f>
        <v/>
      </c>
      <c r="Q491" s="25"/>
    </row>
    <row r="492" customFormat="false" ht="15" hidden="false" customHeight="false" outlineLevel="0" collapsed="false">
      <c r="A492" s="69"/>
      <c r="B492" s="68"/>
      <c r="C492" s="76" t="str">
        <f aca="false">IF(B492="","",IFERROR(INDEX(EN_Des,MATCH(B492,EN_Code,0)),"Code inconnu"))</f>
        <v/>
      </c>
      <c r="D492" s="25"/>
      <c r="E492" s="25"/>
      <c r="F492" s="82"/>
      <c r="G492" s="82"/>
      <c r="H492" s="83" t="str">
        <f aca="false">IF(OR(F492="",G492=""),"",G492-F492)</f>
        <v/>
      </c>
      <c r="I492" s="82"/>
      <c r="J492" s="82"/>
      <c r="K492" s="28"/>
      <c r="L492" s="90" t="str">
        <f aca="false">IF(OR(K492="",N(H492)=0),"",K492/H492)</f>
        <v/>
      </c>
      <c r="M492" s="68"/>
      <c r="N492" s="28"/>
      <c r="O492" s="25"/>
      <c r="P492" s="83" t="str">
        <f aca="false">IF(OR(N492="",N(H492)=0),"",N492/H492)</f>
        <v/>
      </c>
      <c r="Q492" s="25"/>
    </row>
    <row r="493" customFormat="false" ht="15" hidden="false" customHeight="false" outlineLevel="0" collapsed="false">
      <c r="A493" s="69"/>
      <c r="B493" s="68"/>
      <c r="C493" s="76" t="str">
        <f aca="false">IF(B493="","",IFERROR(INDEX(EN_Des,MATCH(B493,EN_Code,0)),"Code inconnu"))</f>
        <v/>
      </c>
      <c r="D493" s="25"/>
      <c r="E493" s="25"/>
      <c r="F493" s="82"/>
      <c r="G493" s="82"/>
      <c r="H493" s="83" t="str">
        <f aca="false">IF(OR(F493="",G493=""),"",G493-F493)</f>
        <v/>
      </c>
      <c r="I493" s="82"/>
      <c r="J493" s="82"/>
      <c r="K493" s="28"/>
      <c r="L493" s="90" t="str">
        <f aca="false">IF(OR(K493="",N(H493)=0),"",K493/H493)</f>
        <v/>
      </c>
      <c r="M493" s="68"/>
      <c r="N493" s="28"/>
      <c r="O493" s="25"/>
      <c r="P493" s="83" t="str">
        <f aca="false">IF(OR(N493="",N(H493)=0),"",N493/H493)</f>
        <v/>
      </c>
      <c r="Q493" s="25"/>
    </row>
    <row r="494" customFormat="false" ht="15" hidden="false" customHeight="false" outlineLevel="0" collapsed="false">
      <c r="A494" s="69"/>
      <c r="B494" s="68"/>
      <c r="C494" s="76" t="str">
        <f aca="false">IF(B494="","",IFERROR(INDEX(EN_Des,MATCH(B494,EN_Code,0)),"Code inconnu"))</f>
        <v/>
      </c>
      <c r="D494" s="25"/>
      <c r="E494" s="25"/>
      <c r="F494" s="82"/>
      <c r="G494" s="82"/>
      <c r="H494" s="83" t="str">
        <f aca="false">IF(OR(F494="",G494=""),"",G494-F494)</f>
        <v/>
      </c>
      <c r="I494" s="82"/>
      <c r="J494" s="82"/>
      <c r="K494" s="28"/>
      <c r="L494" s="90" t="str">
        <f aca="false">IF(OR(K494="",N(H494)=0),"",K494/H494)</f>
        <v/>
      </c>
      <c r="M494" s="68"/>
      <c r="N494" s="28"/>
      <c r="O494" s="25"/>
      <c r="P494" s="83" t="str">
        <f aca="false">IF(OR(N494="",N(H494)=0),"",N494/H494)</f>
        <v/>
      </c>
      <c r="Q494" s="25"/>
    </row>
    <row r="495" customFormat="false" ht="15" hidden="false" customHeight="false" outlineLevel="0" collapsed="false">
      <c r="A495" s="69"/>
      <c r="B495" s="68"/>
      <c r="C495" s="76" t="str">
        <f aca="false">IF(B495="","",IFERROR(INDEX(EN_Des,MATCH(B495,EN_Code,0)),"Code inconnu"))</f>
        <v/>
      </c>
      <c r="D495" s="25"/>
      <c r="E495" s="25"/>
      <c r="F495" s="82"/>
      <c r="G495" s="82"/>
      <c r="H495" s="83" t="str">
        <f aca="false">IF(OR(F495="",G495=""),"",G495-F495)</f>
        <v/>
      </c>
      <c r="I495" s="82"/>
      <c r="J495" s="82"/>
      <c r="K495" s="28"/>
      <c r="L495" s="90" t="str">
        <f aca="false">IF(OR(K495="",N(H495)=0),"",K495/H495)</f>
        <v/>
      </c>
      <c r="M495" s="68"/>
      <c r="N495" s="28"/>
      <c r="O495" s="25"/>
      <c r="P495" s="83" t="str">
        <f aca="false">IF(OR(N495="",N(H495)=0),"",N495/H495)</f>
        <v/>
      </c>
      <c r="Q495" s="25"/>
    </row>
    <row r="496" customFormat="false" ht="15" hidden="false" customHeight="false" outlineLevel="0" collapsed="false">
      <c r="A496" s="69"/>
      <c r="B496" s="68"/>
      <c r="C496" s="76" t="str">
        <f aca="false">IF(B496="","",IFERROR(INDEX(EN_Des,MATCH(B496,EN_Code,0)),"Code inconnu"))</f>
        <v/>
      </c>
      <c r="D496" s="25"/>
      <c r="E496" s="25"/>
      <c r="F496" s="82"/>
      <c r="G496" s="82"/>
      <c r="H496" s="83" t="str">
        <f aca="false">IF(OR(F496="",G496=""),"",G496-F496)</f>
        <v/>
      </c>
      <c r="I496" s="82"/>
      <c r="J496" s="82"/>
      <c r="K496" s="28"/>
      <c r="L496" s="90" t="str">
        <f aca="false">IF(OR(K496="",N(H496)=0),"",K496/H496)</f>
        <v/>
      </c>
      <c r="M496" s="68"/>
      <c r="N496" s="28"/>
      <c r="O496" s="25"/>
      <c r="P496" s="83" t="str">
        <f aca="false">IF(OR(N496="",N(H496)=0),"",N496/H496)</f>
        <v/>
      </c>
      <c r="Q496" s="25"/>
    </row>
    <row r="497" customFormat="false" ht="15" hidden="false" customHeight="false" outlineLevel="0" collapsed="false">
      <c r="A497" s="69"/>
      <c r="B497" s="68"/>
      <c r="C497" s="76" t="str">
        <f aca="false">IF(B497="","",IFERROR(INDEX(EN_Des,MATCH(B497,EN_Code,0)),"Code inconnu"))</f>
        <v/>
      </c>
      <c r="D497" s="25"/>
      <c r="E497" s="25"/>
      <c r="F497" s="82"/>
      <c r="G497" s="82"/>
      <c r="H497" s="83" t="str">
        <f aca="false">IF(OR(F497="",G497=""),"",G497-F497)</f>
        <v/>
      </c>
      <c r="I497" s="82"/>
      <c r="J497" s="82"/>
      <c r="K497" s="28"/>
      <c r="L497" s="90" t="str">
        <f aca="false">IF(OR(K497="",N(H497)=0),"",K497/H497)</f>
        <v/>
      </c>
      <c r="M497" s="68"/>
      <c r="N497" s="28"/>
      <c r="O497" s="25"/>
      <c r="P497" s="83" t="str">
        <f aca="false">IF(OR(N497="",N(H497)=0),"",N497/H497)</f>
        <v/>
      </c>
      <c r="Q497" s="25"/>
    </row>
    <row r="498" customFormat="false" ht="15" hidden="false" customHeight="false" outlineLevel="0" collapsed="false">
      <c r="A498" s="69"/>
      <c r="B498" s="68"/>
      <c r="C498" s="76" t="str">
        <f aca="false">IF(B498="","",IFERROR(INDEX(EN_Des,MATCH(B498,EN_Code,0)),"Code inconnu"))</f>
        <v/>
      </c>
      <c r="D498" s="25"/>
      <c r="E498" s="25"/>
      <c r="F498" s="82"/>
      <c r="G498" s="82"/>
      <c r="H498" s="83" t="str">
        <f aca="false">IF(OR(F498="",G498=""),"",G498-F498)</f>
        <v/>
      </c>
      <c r="I498" s="82"/>
      <c r="J498" s="82"/>
      <c r="K498" s="28"/>
      <c r="L498" s="90" t="str">
        <f aca="false">IF(OR(K498="",N(H498)=0),"",K498/H498)</f>
        <v/>
      </c>
      <c r="M498" s="68"/>
      <c r="N498" s="28"/>
      <c r="O498" s="25"/>
      <c r="P498" s="83" t="str">
        <f aca="false">IF(OR(N498="",N(H498)=0),"",N498/H498)</f>
        <v/>
      </c>
      <c r="Q498" s="25"/>
    </row>
    <row r="499" customFormat="false" ht="15" hidden="false" customHeight="false" outlineLevel="0" collapsed="false">
      <c r="A499" s="69"/>
      <c r="B499" s="68"/>
      <c r="C499" s="76" t="str">
        <f aca="false">IF(B499="","",IFERROR(INDEX(EN_Des,MATCH(B499,EN_Code,0)),"Code inconnu"))</f>
        <v/>
      </c>
      <c r="D499" s="25"/>
      <c r="E499" s="25"/>
      <c r="F499" s="82"/>
      <c r="G499" s="82"/>
      <c r="H499" s="83" t="str">
        <f aca="false">IF(OR(F499="",G499=""),"",G499-F499)</f>
        <v/>
      </c>
      <c r="I499" s="82"/>
      <c r="J499" s="82"/>
      <c r="K499" s="28"/>
      <c r="L499" s="90" t="str">
        <f aca="false">IF(OR(K499="",N(H499)=0),"",K499/H499)</f>
        <v/>
      </c>
      <c r="M499" s="68"/>
      <c r="N499" s="28"/>
      <c r="O499" s="25"/>
      <c r="P499" s="83" t="str">
        <f aca="false">IF(OR(N499="",N(H499)=0),"",N499/H499)</f>
        <v/>
      </c>
      <c r="Q499" s="25"/>
    </row>
    <row r="500" customFormat="false" ht="15" hidden="false" customHeight="false" outlineLevel="0" collapsed="false">
      <c r="A500" s="69"/>
      <c r="B500" s="68"/>
      <c r="C500" s="76" t="str">
        <f aca="false">IF(B500="","",IFERROR(INDEX(EN_Des,MATCH(B500,EN_Code,0)),"Code inconnu"))</f>
        <v/>
      </c>
      <c r="D500" s="25"/>
      <c r="E500" s="25"/>
      <c r="F500" s="82"/>
      <c r="G500" s="82"/>
      <c r="H500" s="83" t="str">
        <f aca="false">IF(OR(F500="",G500=""),"",G500-F500)</f>
        <v/>
      </c>
      <c r="I500" s="82"/>
      <c r="J500" s="82"/>
      <c r="K500" s="28"/>
      <c r="L500" s="90" t="str">
        <f aca="false">IF(OR(K500="",N(H500)=0),"",K500/H500)</f>
        <v/>
      </c>
      <c r="M500" s="68"/>
      <c r="N500" s="28"/>
      <c r="O500" s="25"/>
      <c r="P500" s="83" t="str">
        <f aca="false">IF(OR(N500="",N(H500)=0),"",N500/H500)</f>
        <v/>
      </c>
      <c r="Q500" s="25"/>
    </row>
    <row r="501" customFormat="false" ht="15" hidden="false" customHeight="false" outlineLevel="0" collapsed="false">
      <c r="A501" s="69"/>
      <c r="B501" s="68"/>
      <c r="C501" s="76" t="str">
        <f aca="false">IF(B501="","",IFERROR(INDEX(EN_Des,MATCH(B501,EN_Code,0)),"Code inconnu"))</f>
        <v/>
      </c>
      <c r="D501" s="25"/>
      <c r="E501" s="25"/>
      <c r="F501" s="82"/>
      <c r="G501" s="82"/>
      <c r="H501" s="83" t="str">
        <f aca="false">IF(OR(F501="",G501=""),"",G501-F501)</f>
        <v/>
      </c>
      <c r="I501" s="82"/>
      <c r="J501" s="82"/>
      <c r="K501" s="28"/>
      <c r="L501" s="90" t="str">
        <f aca="false">IF(OR(K501="",N(H501)=0),"",K501/H501)</f>
        <v/>
      </c>
      <c r="M501" s="68"/>
      <c r="N501" s="28"/>
      <c r="O501" s="25"/>
      <c r="P501" s="83" t="str">
        <f aca="false">IF(OR(N501="",N(H501)=0),"",N501/H501)</f>
        <v/>
      </c>
      <c r="Q501" s="25"/>
    </row>
    <row r="502" customFormat="false" ht="15" hidden="false" customHeight="false" outlineLevel="0" collapsed="false">
      <c r="A502" s="69"/>
      <c r="B502" s="68"/>
      <c r="C502" s="76" t="str">
        <f aca="false">IF(B502="","",IFERROR(INDEX(EN_Des,MATCH(B502,EN_Code,0)),"Code inconnu"))</f>
        <v/>
      </c>
      <c r="D502" s="25"/>
      <c r="E502" s="25"/>
      <c r="F502" s="82"/>
      <c r="G502" s="82"/>
      <c r="H502" s="83" t="str">
        <f aca="false">IF(OR(F502="",G502=""),"",G502-F502)</f>
        <v/>
      </c>
      <c r="I502" s="82"/>
      <c r="J502" s="82"/>
      <c r="K502" s="28"/>
      <c r="L502" s="90" t="str">
        <f aca="false">IF(OR(K502="",N(H502)=0),"",K502/H502)</f>
        <v/>
      </c>
      <c r="M502" s="68"/>
      <c r="N502" s="28"/>
      <c r="O502" s="25"/>
      <c r="P502" s="83" t="str">
        <f aca="false">IF(OR(N502="",N(H502)=0),"",N502/H502)</f>
        <v/>
      </c>
      <c r="Q502" s="25"/>
    </row>
    <row r="503" customFormat="false" ht="15" hidden="false" customHeight="false" outlineLevel="0" collapsed="false">
      <c r="A503" s="69"/>
      <c r="B503" s="68"/>
      <c r="C503" s="76" t="str">
        <f aca="false">IF(B503="","",IFERROR(INDEX(EN_Des,MATCH(B503,EN_Code,0)),"Code inconnu"))</f>
        <v/>
      </c>
      <c r="D503" s="25"/>
      <c r="E503" s="25"/>
      <c r="F503" s="82"/>
      <c r="G503" s="82"/>
      <c r="H503" s="83" t="str">
        <f aca="false">IF(OR(F503="",G503=""),"",G503-F503)</f>
        <v/>
      </c>
      <c r="I503" s="82"/>
      <c r="J503" s="82"/>
      <c r="K503" s="28"/>
      <c r="L503" s="90" t="str">
        <f aca="false">IF(OR(K503="",N(H503)=0),"",K503/H503)</f>
        <v/>
      </c>
      <c r="M503" s="68"/>
      <c r="N503" s="28"/>
      <c r="O503" s="25"/>
      <c r="P503" s="83" t="str">
        <f aca="false">IF(OR(N503="",N(H503)=0),"",N503/H503)</f>
        <v/>
      </c>
      <c r="Q503" s="25"/>
    </row>
    <row r="504" customFormat="false" ht="15" hidden="false" customHeight="false" outlineLevel="0" collapsed="false">
      <c r="A504" s="69"/>
      <c r="B504" s="68"/>
      <c r="C504" s="76" t="str">
        <f aca="false">IF(B504="","",IFERROR(INDEX(EN_Des,MATCH(B504,EN_Code,0)),"Code inconnu"))</f>
        <v/>
      </c>
      <c r="D504" s="25"/>
      <c r="E504" s="25"/>
      <c r="F504" s="82"/>
      <c r="G504" s="82"/>
      <c r="H504" s="83" t="str">
        <f aca="false">IF(OR(F504="",G504=""),"",G504-F504)</f>
        <v/>
      </c>
      <c r="I504" s="82"/>
      <c r="J504" s="82"/>
      <c r="K504" s="28"/>
      <c r="L504" s="90" t="str">
        <f aca="false">IF(OR(K504="",N(H504)=0),"",K504/H504)</f>
        <v/>
      </c>
      <c r="M504" s="68"/>
      <c r="N504" s="28"/>
      <c r="O504" s="25"/>
      <c r="P504" s="83" t="str">
        <f aca="false">IF(OR(N504="",N(H504)=0),"",N504/H504)</f>
        <v/>
      </c>
      <c r="Q504" s="25"/>
    </row>
    <row r="505" customFormat="false" ht="15" hidden="false" customHeight="false" outlineLevel="0" collapsed="false">
      <c r="A505" s="69"/>
      <c r="B505" s="68"/>
      <c r="C505" s="76" t="str">
        <f aca="false">IF(B505="","",IFERROR(INDEX(EN_Des,MATCH(B505,EN_Code,0)),"Code inconnu"))</f>
        <v/>
      </c>
      <c r="D505" s="25"/>
      <c r="E505" s="25"/>
      <c r="F505" s="82"/>
      <c r="G505" s="82"/>
      <c r="H505" s="83" t="str">
        <f aca="false">IF(OR(F505="",G505=""),"",G505-F505)</f>
        <v/>
      </c>
      <c r="I505" s="82"/>
      <c r="J505" s="82"/>
      <c r="K505" s="28"/>
      <c r="L505" s="90" t="str">
        <f aca="false">IF(OR(K505="",N(H505)=0),"",K505/H505)</f>
        <v/>
      </c>
      <c r="M505" s="68"/>
      <c r="N505" s="28"/>
      <c r="O505" s="25"/>
      <c r="P505" s="83" t="str">
        <f aca="false">IF(OR(N505="",N(H505)=0),"",N505/H505)</f>
        <v/>
      </c>
      <c r="Q505" s="25"/>
    </row>
    <row r="506" customFormat="false" ht="15" hidden="false" customHeight="false" outlineLevel="0" collapsed="false">
      <c r="A506" s="69"/>
      <c r="B506" s="68"/>
      <c r="C506" s="76" t="str">
        <f aca="false">IF(B506="","",IFERROR(INDEX(EN_Des,MATCH(B506,EN_Code,0)),"Code inconnu"))</f>
        <v/>
      </c>
      <c r="D506" s="25"/>
      <c r="E506" s="25"/>
      <c r="F506" s="82"/>
      <c r="G506" s="82"/>
      <c r="H506" s="83" t="str">
        <f aca="false">IF(OR(F506="",G506=""),"",G506-F506)</f>
        <v/>
      </c>
      <c r="I506" s="82"/>
      <c r="J506" s="82"/>
      <c r="K506" s="28"/>
      <c r="L506" s="90" t="str">
        <f aca="false">IF(OR(K506="",N(H506)=0),"",K506/H506)</f>
        <v/>
      </c>
      <c r="M506" s="68"/>
      <c r="N506" s="28"/>
      <c r="O506" s="25"/>
      <c r="P506" s="83" t="str">
        <f aca="false">IF(OR(N506="",N(H506)=0),"",N506/H506)</f>
        <v/>
      </c>
      <c r="Q506" s="25"/>
    </row>
    <row r="507" customFormat="false" ht="15" hidden="false" customHeight="false" outlineLevel="0" collapsed="false">
      <c r="A507" s="69"/>
      <c r="B507" s="68"/>
      <c r="C507" s="76" t="str">
        <f aca="false">IF(B507="","",IFERROR(INDEX(EN_Des,MATCH(B507,EN_Code,0)),"Code inconnu"))</f>
        <v/>
      </c>
      <c r="D507" s="25"/>
      <c r="E507" s="25"/>
      <c r="F507" s="82"/>
      <c r="G507" s="82"/>
      <c r="H507" s="83" t="str">
        <f aca="false">IF(OR(F507="",G507=""),"",G507-F507)</f>
        <v/>
      </c>
      <c r="I507" s="82"/>
      <c r="J507" s="82"/>
      <c r="K507" s="28"/>
      <c r="L507" s="90" t="str">
        <f aca="false">IF(OR(K507="",N(H507)=0),"",K507/H507)</f>
        <v/>
      </c>
      <c r="M507" s="68"/>
      <c r="N507" s="28"/>
      <c r="O507" s="25"/>
      <c r="P507" s="83" t="str">
        <f aca="false">IF(OR(N507="",N(H507)=0),"",N507/H507)</f>
        <v/>
      </c>
      <c r="Q507" s="25"/>
    </row>
    <row r="508" customFormat="false" ht="15" hidden="false" customHeight="false" outlineLevel="0" collapsed="false">
      <c r="A508" s="69"/>
      <c r="B508" s="68"/>
      <c r="C508" s="76" t="str">
        <f aca="false">IF(B508="","",IFERROR(INDEX(EN_Des,MATCH(B508,EN_Code,0)),"Code inconnu"))</f>
        <v/>
      </c>
      <c r="D508" s="25"/>
      <c r="E508" s="25"/>
      <c r="F508" s="82"/>
      <c r="G508" s="82"/>
      <c r="H508" s="83" t="str">
        <f aca="false">IF(OR(F508="",G508=""),"",G508-F508)</f>
        <v/>
      </c>
      <c r="I508" s="82"/>
      <c r="J508" s="82"/>
      <c r="K508" s="28"/>
      <c r="L508" s="90" t="str">
        <f aca="false">IF(OR(K508="",N(H508)=0),"",K508/H508)</f>
        <v/>
      </c>
      <c r="M508" s="68"/>
      <c r="N508" s="28"/>
      <c r="O508" s="25"/>
      <c r="P508" s="83" t="str">
        <f aca="false">IF(OR(N508="",N(H508)=0),"",N508/H508)</f>
        <v/>
      </c>
      <c r="Q508" s="25"/>
    </row>
    <row r="509" customFormat="false" ht="15" hidden="false" customHeight="false" outlineLevel="0" collapsed="false">
      <c r="A509" s="69"/>
      <c r="B509" s="68"/>
      <c r="C509" s="76" t="str">
        <f aca="false">IF(B509="","",IFERROR(INDEX(EN_Des,MATCH(B509,EN_Code,0)),"Code inconnu"))</f>
        <v/>
      </c>
      <c r="D509" s="25"/>
      <c r="E509" s="25"/>
      <c r="F509" s="82"/>
      <c r="G509" s="82"/>
      <c r="H509" s="83" t="str">
        <f aca="false">IF(OR(F509="",G509=""),"",G509-F509)</f>
        <v/>
      </c>
      <c r="I509" s="82"/>
      <c r="J509" s="82"/>
      <c r="K509" s="28"/>
      <c r="L509" s="90" t="str">
        <f aca="false">IF(OR(K509="",N(H509)=0),"",K509/H509)</f>
        <v/>
      </c>
      <c r="M509" s="68"/>
      <c r="N509" s="28"/>
      <c r="O509" s="25"/>
      <c r="P509" s="83" t="str">
        <f aca="false">IF(OR(N509="",N(H509)=0),"",N509/H509)</f>
        <v/>
      </c>
      <c r="Q509" s="25"/>
    </row>
    <row r="510" customFormat="false" ht="15" hidden="false" customHeight="false" outlineLevel="0" collapsed="false">
      <c r="A510" s="69"/>
      <c r="B510" s="68"/>
      <c r="C510" s="76" t="str">
        <f aca="false">IF(B510="","",IFERROR(INDEX(EN_Des,MATCH(B510,EN_Code,0)),"Code inconnu"))</f>
        <v/>
      </c>
      <c r="D510" s="25"/>
      <c r="E510" s="25"/>
      <c r="F510" s="82"/>
      <c r="G510" s="82"/>
      <c r="H510" s="83" t="str">
        <f aca="false">IF(OR(F510="",G510=""),"",G510-F510)</f>
        <v/>
      </c>
      <c r="I510" s="82"/>
      <c r="J510" s="82"/>
      <c r="K510" s="28"/>
      <c r="L510" s="90" t="str">
        <f aca="false">IF(OR(K510="",N(H510)=0),"",K510/H510)</f>
        <v/>
      </c>
      <c r="M510" s="68"/>
      <c r="N510" s="28"/>
      <c r="O510" s="25"/>
      <c r="P510" s="83" t="str">
        <f aca="false">IF(OR(N510="",N(H510)=0),"",N510/H510)</f>
        <v/>
      </c>
      <c r="Q510" s="25"/>
    </row>
    <row r="511" customFormat="false" ht="15" hidden="false" customHeight="false" outlineLevel="0" collapsed="false">
      <c r="A511" s="69"/>
      <c r="B511" s="68"/>
      <c r="C511" s="76" t="str">
        <f aca="false">IF(B511="","",IFERROR(INDEX(EN_Des,MATCH(B511,EN_Code,0)),"Code inconnu"))</f>
        <v/>
      </c>
      <c r="D511" s="25"/>
      <c r="E511" s="25"/>
      <c r="F511" s="82"/>
      <c r="G511" s="82"/>
      <c r="H511" s="83" t="str">
        <f aca="false">IF(OR(F511="",G511=""),"",G511-F511)</f>
        <v/>
      </c>
      <c r="I511" s="82"/>
      <c r="J511" s="82"/>
      <c r="K511" s="28"/>
      <c r="L511" s="90" t="str">
        <f aca="false">IF(OR(K511="",N(H511)=0),"",K511/H511)</f>
        <v/>
      </c>
      <c r="M511" s="68"/>
      <c r="N511" s="28"/>
      <c r="O511" s="25"/>
      <c r="P511" s="83" t="str">
        <f aca="false">IF(OR(N511="",N(H511)=0),"",N511/H511)</f>
        <v/>
      </c>
      <c r="Q511" s="25"/>
    </row>
    <row r="512" customFormat="false" ht="15" hidden="false" customHeight="false" outlineLevel="0" collapsed="false">
      <c r="A512" s="69"/>
      <c r="B512" s="68"/>
      <c r="C512" s="76" t="str">
        <f aca="false">IF(B512="","",IFERROR(INDEX(EN_Des,MATCH(B512,EN_Code,0)),"Code inconnu"))</f>
        <v/>
      </c>
      <c r="D512" s="25"/>
      <c r="E512" s="25"/>
      <c r="F512" s="82"/>
      <c r="G512" s="82"/>
      <c r="H512" s="83" t="str">
        <f aca="false">IF(OR(F512="",G512=""),"",G512-F512)</f>
        <v/>
      </c>
      <c r="I512" s="82"/>
      <c r="J512" s="82"/>
      <c r="K512" s="28"/>
      <c r="L512" s="90" t="str">
        <f aca="false">IF(OR(K512="",N(H512)=0),"",K512/H512)</f>
        <v/>
      </c>
      <c r="M512" s="68"/>
      <c r="N512" s="28"/>
      <c r="O512" s="25"/>
      <c r="P512" s="83" t="str">
        <f aca="false">IF(OR(N512="",N(H512)=0),"",N512/H512)</f>
        <v/>
      </c>
      <c r="Q512" s="25"/>
    </row>
    <row r="513" customFormat="false" ht="15" hidden="false" customHeight="false" outlineLevel="0" collapsed="false">
      <c r="A513" s="69"/>
      <c r="B513" s="68"/>
      <c r="C513" s="76" t="str">
        <f aca="false">IF(B513="","",IFERROR(INDEX(EN_Des,MATCH(B513,EN_Code,0)),"Code inconnu"))</f>
        <v/>
      </c>
      <c r="D513" s="25"/>
      <c r="E513" s="25"/>
      <c r="F513" s="82"/>
      <c r="G513" s="82"/>
      <c r="H513" s="83" t="str">
        <f aca="false">IF(OR(F513="",G513=""),"",G513-F513)</f>
        <v/>
      </c>
      <c r="I513" s="82"/>
      <c r="J513" s="82"/>
      <c r="K513" s="28"/>
      <c r="L513" s="90" t="str">
        <f aca="false">IF(OR(K513="",N(H513)=0),"",K513/H513)</f>
        <v/>
      </c>
      <c r="M513" s="68"/>
      <c r="N513" s="28"/>
      <c r="O513" s="25"/>
      <c r="P513" s="83" t="str">
        <f aca="false">IF(OR(N513="",N(H513)=0),"",N513/H513)</f>
        <v/>
      </c>
      <c r="Q513" s="25"/>
    </row>
    <row r="514" customFormat="false" ht="15" hidden="false" customHeight="false" outlineLevel="0" collapsed="false">
      <c r="A514" s="69"/>
      <c r="B514" s="68"/>
      <c r="C514" s="76" t="str">
        <f aca="false">IF(B514="","",IFERROR(INDEX(EN_Des,MATCH(B514,EN_Code,0)),"Code inconnu"))</f>
        <v/>
      </c>
      <c r="D514" s="25"/>
      <c r="E514" s="25"/>
      <c r="F514" s="82"/>
      <c r="G514" s="82"/>
      <c r="H514" s="83" t="str">
        <f aca="false">IF(OR(F514="",G514=""),"",G514-F514)</f>
        <v/>
      </c>
      <c r="I514" s="82"/>
      <c r="J514" s="82"/>
      <c r="K514" s="28"/>
      <c r="L514" s="90" t="str">
        <f aca="false">IF(OR(K514="",N(H514)=0),"",K514/H514)</f>
        <v/>
      </c>
      <c r="M514" s="68"/>
      <c r="N514" s="28"/>
      <c r="O514" s="25"/>
      <c r="P514" s="83" t="str">
        <f aca="false">IF(OR(N514="",N(H514)=0),"",N514/H514)</f>
        <v/>
      </c>
      <c r="Q514" s="25"/>
    </row>
    <row r="515" customFormat="false" ht="15" hidden="false" customHeight="false" outlineLevel="0" collapsed="false">
      <c r="A515" s="69"/>
      <c r="B515" s="68"/>
      <c r="C515" s="76" t="str">
        <f aca="false">IF(B515="","",IFERROR(INDEX(EN_Des,MATCH(B515,EN_Code,0)),"Code inconnu"))</f>
        <v/>
      </c>
      <c r="D515" s="25"/>
      <c r="E515" s="25"/>
      <c r="F515" s="82"/>
      <c r="G515" s="82"/>
      <c r="H515" s="83" t="str">
        <f aca="false">IF(OR(F515="",G515=""),"",G515-F515)</f>
        <v/>
      </c>
      <c r="I515" s="82"/>
      <c r="J515" s="82"/>
      <c r="K515" s="28"/>
      <c r="L515" s="90" t="str">
        <f aca="false">IF(OR(K515="",N(H515)=0),"",K515/H515)</f>
        <v/>
      </c>
      <c r="M515" s="68"/>
      <c r="N515" s="28"/>
      <c r="O515" s="25"/>
      <c r="P515" s="83" t="str">
        <f aca="false">IF(OR(N515="",N(H515)=0),"",N515/H515)</f>
        <v/>
      </c>
      <c r="Q515" s="25"/>
    </row>
    <row r="516" customFormat="false" ht="15" hidden="false" customHeight="false" outlineLevel="0" collapsed="false">
      <c r="A516" s="69"/>
      <c r="B516" s="68"/>
      <c r="C516" s="76" t="str">
        <f aca="false">IF(B516="","",IFERROR(INDEX(EN_Des,MATCH(B516,EN_Code,0)),"Code inconnu"))</f>
        <v/>
      </c>
      <c r="D516" s="25"/>
      <c r="E516" s="25"/>
      <c r="F516" s="82"/>
      <c r="G516" s="82"/>
      <c r="H516" s="83" t="str">
        <f aca="false">IF(OR(F516="",G516=""),"",G516-F516)</f>
        <v/>
      </c>
      <c r="I516" s="82"/>
      <c r="J516" s="82"/>
      <c r="K516" s="28"/>
      <c r="L516" s="90" t="str">
        <f aca="false">IF(OR(K516="",N(H516)=0),"",K516/H516)</f>
        <v/>
      </c>
      <c r="M516" s="68"/>
      <c r="N516" s="28"/>
      <c r="O516" s="25"/>
      <c r="P516" s="83" t="str">
        <f aca="false">IF(OR(N516="",N(H516)=0),"",N516/H516)</f>
        <v/>
      </c>
      <c r="Q516" s="25"/>
    </row>
    <row r="517" customFormat="false" ht="15" hidden="false" customHeight="false" outlineLevel="0" collapsed="false">
      <c r="A517" s="69"/>
      <c r="B517" s="68"/>
      <c r="C517" s="76" t="str">
        <f aca="false">IF(B517="","",IFERROR(INDEX(EN_Des,MATCH(B517,EN_Code,0)),"Code inconnu"))</f>
        <v/>
      </c>
      <c r="D517" s="25"/>
      <c r="E517" s="25"/>
      <c r="F517" s="82"/>
      <c r="G517" s="82"/>
      <c r="H517" s="83" t="str">
        <f aca="false">IF(OR(F517="",G517=""),"",G517-F517)</f>
        <v/>
      </c>
      <c r="I517" s="82"/>
      <c r="J517" s="82"/>
      <c r="K517" s="28"/>
      <c r="L517" s="90" t="str">
        <f aca="false">IF(OR(K517="",N(H517)=0),"",K517/H517)</f>
        <v/>
      </c>
      <c r="M517" s="68"/>
      <c r="N517" s="28"/>
      <c r="O517" s="25"/>
      <c r="P517" s="83" t="str">
        <f aca="false">IF(OR(N517="",N(H517)=0),"",N517/H517)</f>
        <v/>
      </c>
      <c r="Q517" s="25"/>
    </row>
    <row r="518" customFormat="false" ht="15" hidden="false" customHeight="false" outlineLevel="0" collapsed="false">
      <c r="A518" s="69"/>
      <c r="B518" s="68"/>
      <c r="C518" s="76" t="str">
        <f aca="false">IF(B518="","",IFERROR(INDEX(EN_Des,MATCH(B518,EN_Code,0)),"Code inconnu"))</f>
        <v/>
      </c>
      <c r="D518" s="25"/>
      <c r="E518" s="25"/>
      <c r="F518" s="82"/>
      <c r="G518" s="82"/>
      <c r="H518" s="83" t="str">
        <f aca="false">IF(OR(F518="",G518=""),"",G518-F518)</f>
        <v/>
      </c>
      <c r="I518" s="82"/>
      <c r="J518" s="82"/>
      <c r="K518" s="28"/>
      <c r="L518" s="90" t="str">
        <f aca="false">IF(OR(K518="",N(H518)=0),"",K518/H518)</f>
        <v/>
      </c>
      <c r="M518" s="68"/>
      <c r="N518" s="28"/>
      <c r="O518" s="25"/>
      <c r="P518" s="83" t="str">
        <f aca="false">IF(OR(N518="",N(H518)=0),"",N518/H518)</f>
        <v/>
      </c>
      <c r="Q518" s="25"/>
    </row>
    <row r="519" customFormat="false" ht="15" hidden="false" customHeight="false" outlineLevel="0" collapsed="false">
      <c r="A519" s="69"/>
      <c r="B519" s="68"/>
      <c r="C519" s="76" t="str">
        <f aca="false">IF(B519="","",IFERROR(INDEX(EN_Des,MATCH(B519,EN_Code,0)),"Code inconnu"))</f>
        <v/>
      </c>
      <c r="D519" s="25"/>
      <c r="E519" s="25"/>
      <c r="F519" s="82"/>
      <c r="G519" s="82"/>
      <c r="H519" s="83" t="str">
        <f aca="false">IF(OR(F519="",G519=""),"",G519-F519)</f>
        <v/>
      </c>
      <c r="I519" s="82"/>
      <c r="J519" s="82"/>
      <c r="K519" s="28"/>
      <c r="L519" s="90" t="str">
        <f aca="false">IF(OR(K519="",N(H519)=0),"",K519/H519)</f>
        <v/>
      </c>
      <c r="M519" s="68"/>
      <c r="N519" s="28"/>
      <c r="O519" s="25"/>
      <c r="P519" s="83" t="str">
        <f aca="false">IF(OR(N519="",N(H519)=0),"",N519/H519)</f>
        <v/>
      </c>
      <c r="Q519" s="25"/>
    </row>
    <row r="520" customFormat="false" ht="15" hidden="false" customHeight="false" outlineLevel="0" collapsed="false">
      <c r="A520" s="69"/>
      <c r="B520" s="68"/>
      <c r="C520" s="76" t="str">
        <f aca="false">IF(B520="","",IFERROR(INDEX(EN_Des,MATCH(B520,EN_Code,0)),"Code inconnu"))</f>
        <v/>
      </c>
      <c r="D520" s="25"/>
      <c r="E520" s="25"/>
      <c r="F520" s="82"/>
      <c r="G520" s="82"/>
      <c r="H520" s="83" t="str">
        <f aca="false">IF(OR(F520="",G520=""),"",G520-F520)</f>
        <v/>
      </c>
      <c r="I520" s="82"/>
      <c r="J520" s="82"/>
      <c r="K520" s="28"/>
      <c r="L520" s="90" t="str">
        <f aca="false">IF(OR(K520="",N(H520)=0),"",K520/H520)</f>
        <v/>
      </c>
      <c r="M520" s="68"/>
      <c r="N520" s="28"/>
      <c r="O520" s="25"/>
      <c r="P520" s="83" t="str">
        <f aca="false">IF(OR(N520="",N(H520)=0),"",N520/H520)</f>
        <v/>
      </c>
      <c r="Q520" s="25"/>
    </row>
    <row r="521" customFormat="false" ht="15" hidden="false" customHeight="false" outlineLevel="0" collapsed="false">
      <c r="A521" s="69"/>
      <c r="B521" s="68"/>
      <c r="C521" s="76" t="str">
        <f aca="false">IF(B521="","",IFERROR(INDEX(EN_Des,MATCH(B521,EN_Code,0)),"Code inconnu"))</f>
        <v/>
      </c>
      <c r="D521" s="25"/>
      <c r="E521" s="25"/>
      <c r="F521" s="82"/>
      <c r="G521" s="82"/>
      <c r="H521" s="83" t="str">
        <f aca="false">IF(OR(F521="",G521=""),"",G521-F521)</f>
        <v/>
      </c>
      <c r="I521" s="82"/>
      <c r="J521" s="82"/>
      <c r="K521" s="28"/>
      <c r="L521" s="90" t="str">
        <f aca="false">IF(OR(K521="",N(H521)=0),"",K521/H521)</f>
        <v/>
      </c>
      <c r="M521" s="68"/>
      <c r="N521" s="28"/>
      <c r="O521" s="25"/>
      <c r="P521" s="83" t="str">
        <f aca="false">IF(OR(N521="",N(H521)=0),"",N521/H521)</f>
        <v/>
      </c>
      <c r="Q521" s="25"/>
    </row>
    <row r="522" customFormat="false" ht="15" hidden="false" customHeight="false" outlineLevel="0" collapsed="false">
      <c r="A522" s="69"/>
      <c r="B522" s="68"/>
      <c r="C522" s="76" t="str">
        <f aca="false">IF(B522="","",IFERROR(INDEX(EN_Des,MATCH(B522,EN_Code,0)),"Code inconnu"))</f>
        <v/>
      </c>
      <c r="D522" s="25"/>
      <c r="E522" s="25"/>
      <c r="F522" s="82"/>
      <c r="G522" s="82"/>
      <c r="H522" s="83" t="str">
        <f aca="false">IF(OR(F522="",G522=""),"",G522-F522)</f>
        <v/>
      </c>
      <c r="I522" s="82"/>
      <c r="J522" s="82"/>
      <c r="K522" s="28"/>
      <c r="L522" s="90" t="str">
        <f aca="false">IF(OR(K522="",N(H522)=0),"",K522/H522)</f>
        <v/>
      </c>
      <c r="M522" s="68"/>
      <c r="N522" s="28"/>
      <c r="O522" s="25"/>
      <c r="P522" s="83" t="str">
        <f aca="false">IF(OR(N522="",N(H522)=0),"",N522/H522)</f>
        <v/>
      </c>
      <c r="Q522" s="25"/>
    </row>
    <row r="523" customFormat="false" ht="15" hidden="false" customHeight="false" outlineLevel="0" collapsed="false">
      <c r="A523" s="69"/>
      <c r="B523" s="68"/>
      <c r="C523" s="76" t="str">
        <f aca="false">IF(B523="","",IFERROR(INDEX(EN_Des,MATCH(B523,EN_Code,0)),"Code inconnu"))</f>
        <v/>
      </c>
      <c r="D523" s="25"/>
      <c r="E523" s="25"/>
      <c r="F523" s="82"/>
      <c r="G523" s="82"/>
      <c r="H523" s="83" t="str">
        <f aca="false">IF(OR(F523="",G523=""),"",G523-F523)</f>
        <v/>
      </c>
      <c r="I523" s="82"/>
      <c r="J523" s="82"/>
      <c r="K523" s="28"/>
      <c r="L523" s="90" t="str">
        <f aca="false">IF(OR(K523="",N(H523)=0),"",K523/H523)</f>
        <v/>
      </c>
      <c r="M523" s="68"/>
      <c r="N523" s="28"/>
      <c r="O523" s="25"/>
      <c r="P523" s="83" t="str">
        <f aca="false">IF(OR(N523="",N(H523)=0),"",N523/H523)</f>
        <v/>
      </c>
      <c r="Q523" s="25"/>
    </row>
    <row r="524" customFormat="false" ht="15" hidden="false" customHeight="false" outlineLevel="0" collapsed="false">
      <c r="A524" s="69"/>
      <c r="B524" s="68"/>
      <c r="C524" s="76" t="str">
        <f aca="false">IF(B524="","",IFERROR(INDEX(EN_Des,MATCH(B524,EN_Code,0)),"Code inconnu"))</f>
        <v/>
      </c>
      <c r="D524" s="25"/>
      <c r="E524" s="25"/>
      <c r="F524" s="82"/>
      <c r="G524" s="82"/>
      <c r="H524" s="83" t="str">
        <f aca="false">IF(OR(F524="",G524=""),"",G524-F524)</f>
        <v/>
      </c>
      <c r="I524" s="82"/>
      <c r="J524" s="82"/>
      <c r="K524" s="28"/>
      <c r="L524" s="90" t="str">
        <f aca="false">IF(OR(K524="",N(H524)=0),"",K524/H524)</f>
        <v/>
      </c>
      <c r="M524" s="68"/>
      <c r="N524" s="28"/>
      <c r="O524" s="25"/>
      <c r="P524" s="83" t="str">
        <f aca="false">IF(OR(N524="",N(H524)=0),"",N524/H524)</f>
        <v/>
      </c>
      <c r="Q524" s="25"/>
    </row>
    <row r="525" customFormat="false" ht="15" hidden="false" customHeight="false" outlineLevel="0" collapsed="false">
      <c r="A525" s="69"/>
      <c r="B525" s="68"/>
      <c r="C525" s="76" t="str">
        <f aca="false">IF(B525="","",IFERROR(INDEX(EN_Des,MATCH(B525,EN_Code,0)),"Code inconnu"))</f>
        <v/>
      </c>
      <c r="D525" s="25"/>
      <c r="E525" s="25"/>
      <c r="F525" s="82"/>
      <c r="G525" s="82"/>
      <c r="H525" s="83" t="str">
        <f aca="false">IF(OR(F525="",G525=""),"",G525-F525)</f>
        <v/>
      </c>
      <c r="I525" s="82"/>
      <c r="J525" s="82"/>
      <c r="K525" s="28"/>
      <c r="L525" s="90" t="str">
        <f aca="false">IF(OR(K525="",N(H525)=0),"",K525/H525)</f>
        <v/>
      </c>
      <c r="M525" s="68"/>
      <c r="N525" s="28"/>
      <c r="O525" s="25"/>
      <c r="P525" s="83" t="str">
        <f aca="false">IF(OR(N525="",N(H525)=0),"",N525/H525)</f>
        <v/>
      </c>
      <c r="Q525" s="25"/>
    </row>
    <row r="526" customFormat="false" ht="15" hidden="false" customHeight="false" outlineLevel="0" collapsed="false">
      <c r="A526" s="69"/>
      <c r="B526" s="68"/>
      <c r="C526" s="76" t="str">
        <f aca="false">IF(B526="","",IFERROR(INDEX(EN_Des,MATCH(B526,EN_Code,0)),"Code inconnu"))</f>
        <v/>
      </c>
      <c r="D526" s="25"/>
      <c r="E526" s="25"/>
      <c r="F526" s="82"/>
      <c r="G526" s="82"/>
      <c r="H526" s="83" t="str">
        <f aca="false">IF(OR(F526="",G526=""),"",G526-F526)</f>
        <v/>
      </c>
      <c r="I526" s="82"/>
      <c r="J526" s="82"/>
      <c r="K526" s="28"/>
      <c r="L526" s="90" t="str">
        <f aca="false">IF(OR(K526="",N(H526)=0),"",K526/H526)</f>
        <v/>
      </c>
      <c r="M526" s="68"/>
      <c r="N526" s="28"/>
      <c r="O526" s="25"/>
      <c r="P526" s="83" t="str">
        <f aca="false">IF(OR(N526="",N(H526)=0),"",N526/H526)</f>
        <v/>
      </c>
      <c r="Q526" s="25"/>
    </row>
    <row r="527" customFormat="false" ht="15" hidden="false" customHeight="false" outlineLevel="0" collapsed="false">
      <c r="A527" s="69"/>
      <c r="B527" s="68"/>
      <c r="C527" s="76" t="str">
        <f aca="false">IF(B527="","",IFERROR(INDEX(EN_Des,MATCH(B527,EN_Code,0)),"Code inconnu"))</f>
        <v/>
      </c>
      <c r="D527" s="25"/>
      <c r="E527" s="25"/>
      <c r="F527" s="82"/>
      <c r="G527" s="82"/>
      <c r="H527" s="83" t="str">
        <f aca="false">IF(OR(F527="",G527=""),"",G527-F527)</f>
        <v/>
      </c>
      <c r="I527" s="82"/>
      <c r="J527" s="82"/>
      <c r="K527" s="28"/>
      <c r="L527" s="90" t="str">
        <f aca="false">IF(OR(K527="",N(H527)=0),"",K527/H527)</f>
        <v/>
      </c>
      <c r="M527" s="68"/>
      <c r="N527" s="28"/>
      <c r="O527" s="25"/>
      <c r="P527" s="83" t="str">
        <f aca="false">IF(OR(N527="",N(H527)=0),"",N527/H527)</f>
        <v/>
      </c>
      <c r="Q527" s="25"/>
    </row>
    <row r="528" customFormat="false" ht="15" hidden="false" customHeight="false" outlineLevel="0" collapsed="false">
      <c r="A528" s="69"/>
      <c r="B528" s="68"/>
      <c r="C528" s="76" t="str">
        <f aca="false">IF(B528="","",IFERROR(INDEX(EN_Des,MATCH(B528,EN_Code,0)),"Code inconnu"))</f>
        <v/>
      </c>
      <c r="D528" s="25"/>
      <c r="E528" s="25"/>
      <c r="F528" s="82"/>
      <c r="G528" s="82"/>
      <c r="H528" s="83" t="str">
        <f aca="false">IF(OR(F528="",G528=""),"",G528-F528)</f>
        <v/>
      </c>
      <c r="I528" s="82"/>
      <c r="J528" s="82"/>
      <c r="K528" s="28"/>
      <c r="L528" s="90" t="str">
        <f aca="false">IF(OR(K528="",N(H528)=0),"",K528/H528)</f>
        <v/>
      </c>
      <c r="M528" s="68"/>
      <c r="N528" s="28"/>
      <c r="O528" s="25"/>
      <c r="P528" s="83" t="str">
        <f aca="false">IF(OR(N528="",N(H528)=0),"",N528/H528)</f>
        <v/>
      </c>
      <c r="Q528" s="25"/>
    </row>
    <row r="529" customFormat="false" ht="15" hidden="false" customHeight="false" outlineLevel="0" collapsed="false">
      <c r="A529" s="69"/>
      <c r="B529" s="68"/>
      <c r="C529" s="76" t="str">
        <f aca="false">IF(B529="","",IFERROR(INDEX(EN_Des,MATCH(B529,EN_Code,0)),"Code inconnu"))</f>
        <v/>
      </c>
      <c r="D529" s="25"/>
      <c r="E529" s="25"/>
      <c r="F529" s="82"/>
      <c r="G529" s="82"/>
      <c r="H529" s="83" t="str">
        <f aca="false">IF(OR(F529="",G529=""),"",G529-F529)</f>
        <v/>
      </c>
      <c r="I529" s="82"/>
      <c r="J529" s="82"/>
      <c r="K529" s="28"/>
      <c r="L529" s="90" t="str">
        <f aca="false">IF(OR(K529="",N(H529)=0),"",K529/H529)</f>
        <v/>
      </c>
      <c r="M529" s="68"/>
      <c r="N529" s="28"/>
      <c r="O529" s="25"/>
      <c r="P529" s="83" t="str">
        <f aca="false">IF(OR(N529="",N(H529)=0),"",N529/H529)</f>
        <v/>
      </c>
      <c r="Q529" s="25"/>
    </row>
    <row r="530" customFormat="false" ht="15" hidden="false" customHeight="false" outlineLevel="0" collapsed="false">
      <c r="A530" s="69"/>
      <c r="B530" s="68"/>
      <c r="C530" s="76" t="str">
        <f aca="false">IF(B530="","",IFERROR(INDEX(EN_Des,MATCH(B530,EN_Code,0)),"Code inconnu"))</f>
        <v/>
      </c>
      <c r="D530" s="25"/>
      <c r="E530" s="25"/>
      <c r="F530" s="82"/>
      <c r="G530" s="82"/>
      <c r="H530" s="83" t="str">
        <f aca="false">IF(OR(F530="",G530=""),"",G530-F530)</f>
        <v/>
      </c>
      <c r="I530" s="82"/>
      <c r="J530" s="82"/>
      <c r="K530" s="28"/>
      <c r="L530" s="90" t="str">
        <f aca="false">IF(OR(K530="",N(H530)=0),"",K530/H530)</f>
        <v/>
      </c>
      <c r="M530" s="68"/>
      <c r="N530" s="28"/>
      <c r="O530" s="25"/>
      <c r="P530" s="83" t="str">
        <f aca="false">IF(OR(N530="",N(H530)=0),"",N530/H530)</f>
        <v/>
      </c>
      <c r="Q530" s="25"/>
    </row>
    <row r="531" customFormat="false" ht="15" hidden="false" customHeight="false" outlineLevel="0" collapsed="false">
      <c r="A531" s="69"/>
      <c r="B531" s="68"/>
      <c r="C531" s="76" t="str">
        <f aca="false">IF(B531="","",IFERROR(INDEX(EN_Des,MATCH(B531,EN_Code,0)),"Code inconnu"))</f>
        <v/>
      </c>
      <c r="D531" s="25"/>
      <c r="E531" s="25"/>
      <c r="F531" s="82"/>
      <c r="G531" s="82"/>
      <c r="H531" s="83" t="str">
        <f aca="false">IF(OR(F531="",G531=""),"",G531-F531)</f>
        <v/>
      </c>
      <c r="I531" s="82"/>
      <c r="J531" s="82"/>
      <c r="K531" s="28"/>
      <c r="L531" s="90" t="str">
        <f aca="false">IF(OR(K531="",N(H531)=0),"",K531/H531)</f>
        <v/>
      </c>
      <c r="M531" s="68"/>
      <c r="N531" s="28"/>
      <c r="O531" s="25"/>
      <c r="P531" s="83" t="str">
        <f aca="false">IF(OR(N531="",N(H531)=0),"",N531/H531)</f>
        <v/>
      </c>
      <c r="Q531" s="25"/>
    </row>
    <row r="532" customFormat="false" ht="15" hidden="false" customHeight="false" outlineLevel="0" collapsed="false">
      <c r="A532" s="69"/>
      <c r="B532" s="68"/>
      <c r="C532" s="76" t="str">
        <f aca="false">IF(B532="","",IFERROR(INDEX(EN_Des,MATCH(B532,EN_Code,0)),"Code inconnu"))</f>
        <v/>
      </c>
      <c r="D532" s="25"/>
      <c r="E532" s="25"/>
      <c r="F532" s="82"/>
      <c r="G532" s="82"/>
      <c r="H532" s="83" t="str">
        <f aca="false">IF(OR(F532="",G532=""),"",G532-F532)</f>
        <v/>
      </c>
      <c r="I532" s="82"/>
      <c r="J532" s="82"/>
      <c r="K532" s="28"/>
      <c r="L532" s="90" t="str">
        <f aca="false">IF(OR(K532="",N(H532)=0),"",K532/H532)</f>
        <v/>
      </c>
      <c r="M532" s="68"/>
      <c r="N532" s="28"/>
      <c r="O532" s="25"/>
      <c r="P532" s="83" t="str">
        <f aca="false">IF(OR(N532="",N(H532)=0),"",N532/H532)</f>
        <v/>
      </c>
      <c r="Q532" s="25"/>
    </row>
    <row r="533" customFormat="false" ht="15" hidden="false" customHeight="false" outlineLevel="0" collapsed="false">
      <c r="A533" s="69"/>
      <c r="B533" s="68"/>
      <c r="C533" s="76" t="str">
        <f aca="false">IF(B533="","",IFERROR(INDEX(EN_Des,MATCH(B533,EN_Code,0)),"Code inconnu"))</f>
        <v/>
      </c>
      <c r="D533" s="25"/>
      <c r="E533" s="25"/>
      <c r="F533" s="82"/>
      <c r="G533" s="82"/>
      <c r="H533" s="83" t="str">
        <f aca="false">IF(OR(F533="",G533=""),"",G533-F533)</f>
        <v/>
      </c>
      <c r="I533" s="82"/>
      <c r="J533" s="82"/>
      <c r="K533" s="28"/>
      <c r="L533" s="90" t="str">
        <f aca="false">IF(OR(K533="",N(H533)=0),"",K533/H533)</f>
        <v/>
      </c>
      <c r="M533" s="68"/>
      <c r="N533" s="28"/>
      <c r="O533" s="25"/>
      <c r="P533" s="83" t="str">
        <f aca="false">IF(OR(N533="",N(H533)=0),"",N533/H533)</f>
        <v/>
      </c>
      <c r="Q533" s="25"/>
    </row>
    <row r="534" customFormat="false" ht="15" hidden="false" customHeight="false" outlineLevel="0" collapsed="false">
      <c r="A534" s="69"/>
      <c r="B534" s="68"/>
      <c r="C534" s="76" t="str">
        <f aca="false">IF(B534="","",IFERROR(INDEX(EN_Des,MATCH(B534,EN_Code,0)),"Code inconnu"))</f>
        <v/>
      </c>
      <c r="D534" s="25"/>
      <c r="E534" s="25"/>
      <c r="F534" s="82"/>
      <c r="G534" s="82"/>
      <c r="H534" s="83" t="str">
        <f aca="false">IF(OR(F534="",G534=""),"",G534-F534)</f>
        <v/>
      </c>
      <c r="I534" s="82"/>
      <c r="J534" s="82"/>
      <c r="K534" s="28"/>
      <c r="L534" s="90" t="str">
        <f aca="false">IF(OR(K534="",N(H534)=0),"",K534/H534)</f>
        <v/>
      </c>
      <c r="M534" s="68"/>
      <c r="N534" s="28"/>
      <c r="O534" s="25"/>
      <c r="P534" s="83" t="str">
        <f aca="false">IF(OR(N534="",N(H534)=0),"",N534/H534)</f>
        <v/>
      </c>
      <c r="Q534" s="25"/>
    </row>
    <row r="535" customFormat="false" ht="15" hidden="false" customHeight="false" outlineLevel="0" collapsed="false">
      <c r="A535" s="69"/>
      <c r="B535" s="68"/>
      <c r="C535" s="76" t="str">
        <f aca="false">IF(B535="","",IFERROR(INDEX(EN_Des,MATCH(B535,EN_Code,0)),"Code inconnu"))</f>
        <v/>
      </c>
      <c r="D535" s="25"/>
      <c r="E535" s="25"/>
      <c r="F535" s="82"/>
      <c r="G535" s="82"/>
      <c r="H535" s="83" t="str">
        <f aca="false">IF(OR(F535="",G535=""),"",G535-F535)</f>
        <v/>
      </c>
      <c r="I535" s="82"/>
      <c r="J535" s="82"/>
      <c r="K535" s="28"/>
      <c r="L535" s="90" t="str">
        <f aca="false">IF(OR(K535="",N(H535)=0),"",K535/H535)</f>
        <v/>
      </c>
      <c r="M535" s="68"/>
      <c r="N535" s="28"/>
      <c r="O535" s="25"/>
      <c r="P535" s="83" t="str">
        <f aca="false">IF(OR(N535="",N(H535)=0),"",N535/H535)</f>
        <v/>
      </c>
      <c r="Q535" s="25"/>
    </row>
    <row r="536" customFormat="false" ht="15" hidden="false" customHeight="false" outlineLevel="0" collapsed="false">
      <c r="A536" s="69"/>
      <c r="B536" s="68"/>
      <c r="C536" s="76" t="str">
        <f aca="false">IF(B536="","",IFERROR(INDEX(EN_Des,MATCH(B536,EN_Code,0)),"Code inconnu"))</f>
        <v/>
      </c>
      <c r="D536" s="25"/>
      <c r="E536" s="25"/>
      <c r="F536" s="82"/>
      <c r="G536" s="82"/>
      <c r="H536" s="83" t="str">
        <f aca="false">IF(OR(F536="",G536=""),"",G536-F536)</f>
        <v/>
      </c>
      <c r="I536" s="82"/>
      <c r="J536" s="82"/>
      <c r="K536" s="28"/>
      <c r="L536" s="90" t="str">
        <f aca="false">IF(OR(K536="",N(H536)=0),"",K536/H536)</f>
        <v/>
      </c>
      <c r="M536" s="68"/>
      <c r="N536" s="28"/>
      <c r="O536" s="25"/>
      <c r="P536" s="83" t="str">
        <f aca="false">IF(OR(N536="",N(H536)=0),"",N536/H536)</f>
        <v/>
      </c>
      <c r="Q536" s="25"/>
    </row>
    <row r="537" customFormat="false" ht="15" hidden="false" customHeight="false" outlineLevel="0" collapsed="false">
      <c r="A537" s="69"/>
      <c r="B537" s="68"/>
      <c r="C537" s="76" t="str">
        <f aca="false">IF(B537="","",IFERROR(INDEX(EN_Des,MATCH(B537,EN_Code,0)),"Code inconnu"))</f>
        <v/>
      </c>
      <c r="D537" s="25"/>
      <c r="E537" s="25"/>
      <c r="F537" s="82"/>
      <c r="G537" s="82"/>
      <c r="H537" s="83" t="str">
        <f aca="false">IF(OR(F537="",G537=""),"",G537-F537)</f>
        <v/>
      </c>
      <c r="I537" s="82"/>
      <c r="J537" s="82"/>
      <c r="K537" s="28"/>
      <c r="L537" s="90" t="str">
        <f aca="false">IF(OR(K537="",N(H537)=0),"",K537/H537)</f>
        <v/>
      </c>
      <c r="M537" s="68"/>
      <c r="N537" s="28"/>
      <c r="O537" s="25"/>
      <c r="P537" s="83" t="str">
        <f aca="false">IF(OR(N537="",N(H537)=0),"",N537/H537)</f>
        <v/>
      </c>
      <c r="Q537" s="25"/>
    </row>
    <row r="538" customFormat="false" ht="15" hidden="false" customHeight="false" outlineLevel="0" collapsed="false">
      <c r="A538" s="69"/>
      <c r="B538" s="68"/>
      <c r="C538" s="76" t="str">
        <f aca="false">IF(B538="","",IFERROR(INDEX(EN_Des,MATCH(B538,EN_Code,0)),"Code inconnu"))</f>
        <v/>
      </c>
      <c r="D538" s="25"/>
      <c r="E538" s="25"/>
      <c r="F538" s="82"/>
      <c r="G538" s="82"/>
      <c r="H538" s="83" t="str">
        <f aca="false">IF(OR(F538="",G538=""),"",G538-F538)</f>
        <v/>
      </c>
      <c r="I538" s="82"/>
      <c r="J538" s="82"/>
      <c r="K538" s="28"/>
      <c r="L538" s="90" t="str">
        <f aca="false">IF(OR(K538="",N(H538)=0),"",K538/H538)</f>
        <v/>
      </c>
      <c r="M538" s="68"/>
      <c r="N538" s="28"/>
      <c r="O538" s="25"/>
      <c r="P538" s="83" t="str">
        <f aca="false">IF(OR(N538="",N(H538)=0),"",N538/H538)</f>
        <v/>
      </c>
      <c r="Q538" s="25"/>
    </row>
    <row r="539" customFormat="false" ht="15" hidden="false" customHeight="false" outlineLevel="0" collapsed="false">
      <c r="A539" s="69"/>
      <c r="B539" s="68"/>
      <c r="C539" s="76" t="str">
        <f aca="false">IF(B539="","",IFERROR(INDEX(EN_Des,MATCH(B539,EN_Code,0)),"Code inconnu"))</f>
        <v/>
      </c>
      <c r="D539" s="25"/>
      <c r="E539" s="25"/>
      <c r="F539" s="82"/>
      <c r="G539" s="82"/>
      <c r="H539" s="83" t="str">
        <f aca="false">IF(OR(F539="",G539=""),"",G539-F539)</f>
        <v/>
      </c>
      <c r="I539" s="82"/>
      <c r="J539" s="82"/>
      <c r="K539" s="28"/>
      <c r="L539" s="90" t="str">
        <f aca="false">IF(OR(K539="",N(H539)=0),"",K539/H539)</f>
        <v/>
      </c>
      <c r="M539" s="68"/>
      <c r="N539" s="28"/>
      <c r="O539" s="25"/>
      <c r="P539" s="83" t="str">
        <f aca="false">IF(OR(N539="",N(H539)=0),"",N539/H539)</f>
        <v/>
      </c>
      <c r="Q539" s="25"/>
    </row>
    <row r="540" customFormat="false" ht="15" hidden="false" customHeight="false" outlineLevel="0" collapsed="false">
      <c r="A540" s="69"/>
      <c r="B540" s="68"/>
      <c r="C540" s="76" t="str">
        <f aca="false">IF(B540="","",IFERROR(INDEX(EN_Des,MATCH(B540,EN_Code,0)),"Code inconnu"))</f>
        <v/>
      </c>
      <c r="D540" s="25"/>
      <c r="E540" s="25"/>
      <c r="F540" s="82"/>
      <c r="G540" s="82"/>
      <c r="H540" s="83" t="str">
        <f aca="false">IF(OR(F540="",G540=""),"",G540-F540)</f>
        <v/>
      </c>
      <c r="I540" s="82"/>
      <c r="J540" s="82"/>
      <c r="K540" s="28"/>
      <c r="L540" s="90" t="str">
        <f aca="false">IF(OR(K540="",N(H540)=0),"",K540/H540)</f>
        <v/>
      </c>
      <c r="M540" s="68"/>
      <c r="N540" s="28"/>
      <c r="O540" s="25"/>
      <c r="P540" s="83" t="str">
        <f aca="false">IF(OR(N540="",N(H540)=0),"",N540/H540)</f>
        <v/>
      </c>
      <c r="Q540" s="25"/>
    </row>
    <row r="541" customFormat="false" ht="15" hidden="false" customHeight="false" outlineLevel="0" collapsed="false">
      <c r="A541" s="69"/>
      <c r="B541" s="68"/>
      <c r="C541" s="76" t="str">
        <f aca="false">IF(B541="","",IFERROR(INDEX(EN_Des,MATCH(B541,EN_Code,0)),"Code inconnu"))</f>
        <v/>
      </c>
      <c r="D541" s="25"/>
      <c r="E541" s="25"/>
      <c r="F541" s="82"/>
      <c r="G541" s="82"/>
      <c r="H541" s="83" t="str">
        <f aca="false">IF(OR(F541="",G541=""),"",G541-F541)</f>
        <v/>
      </c>
      <c r="I541" s="82"/>
      <c r="J541" s="82"/>
      <c r="K541" s="28"/>
      <c r="L541" s="90" t="str">
        <f aca="false">IF(OR(K541="",N(H541)=0),"",K541/H541)</f>
        <v/>
      </c>
      <c r="M541" s="68"/>
      <c r="N541" s="28"/>
      <c r="O541" s="25"/>
      <c r="P541" s="83" t="str">
        <f aca="false">IF(OR(N541="",N(H541)=0),"",N541/H541)</f>
        <v/>
      </c>
      <c r="Q541" s="25"/>
    </row>
    <row r="542" customFormat="false" ht="15" hidden="false" customHeight="false" outlineLevel="0" collapsed="false">
      <c r="A542" s="69"/>
      <c r="B542" s="68"/>
      <c r="C542" s="76" t="str">
        <f aca="false">IF(B542="","",IFERROR(INDEX(EN_Des,MATCH(B542,EN_Code,0)),"Code inconnu"))</f>
        <v/>
      </c>
      <c r="D542" s="25"/>
      <c r="E542" s="25"/>
      <c r="F542" s="82"/>
      <c r="G542" s="82"/>
      <c r="H542" s="83" t="str">
        <f aca="false">IF(OR(F542="",G542=""),"",G542-F542)</f>
        <v/>
      </c>
      <c r="I542" s="82"/>
      <c r="J542" s="82"/>
      <c r="K542" s="28"/>
      <c r="L542" s="90" t="str">
        <f aca="false">IF(OR(K542="",N(H542)=0),"",K542/H542)</f>
        <v/>
      </c>
      <c r="M542" s="68"/>
      <c r="N542" s="28"/>
      <c r="O542" s="25"/>
      <c r="P542" s="83" t="str">
        <f aca="false">IF(OR(N542="",N(H542)=0),"",N542/H542)</f>
        <v/>
      </c>
      <c r="Q542" s="25"/>
    </row>
    <row r="543" customFormat="false" ht="15" hidden="false" customHeight="false" outlineLevel="0" collapsed="false">
      <c r="A543" s="69"/>
      <c r="B543" s="68"/>
      <c r="C543" s="76" t="str">
        <f aca="false">IF(B543="","",IFERROR(INDEX(EN_Des,MATCH(B543,EN_Code,0)),"Code inconnu"))</f>
        <v/>
      </c>
      <c r="D543" s="25"/>
      <c r="E543" s="25"/>
      <c r="F543" s="82"/>
      <c r="G543" s="82"/>
      <c r="H543" s="83" t="str">
        <f aca="false">IF(OR(F543="",G543=""),"",G543-F543)</f>
        <v/>
      </c>
      <c r="I543" s="82"/>
      <c r="J543" s="82"/>
      <c r="K543" s="28"/>
      <c r="L543" s="90" t="str">
        <f aca="false">IF(OR(K543="",N(H543)=0),"",K543/H543)</f>
        <v/>
      </c>
      <c r="M543" s="68"/>
      <c r="N543" s="28"/>
      <c r="O543" s="25"/>
      <c r="P543" s="83" t="str">
        <f aca="false">IF(OR(N543="",N(H543)=0),"",N543/H543)</f>
        <v/>
      </c>
      <c r="Q543" s="25"/>
    </row>
    <row r="544" customFormat="false" ht="15" hidden="false" customHeight="false" outlineLevel="0" collapsed="false">
      <c r="A544" s="69"/>
      <c r="B544" s="68"/>
      <c r="C544" s="76" t="str">
        <f aca="false">IF(B544="","",IFERROR(INDEX(EN_Des,MATCH(B544,EN_Code,0)),"Code inconnu"))</f>
        <v/>
      </c>
      <c r="D544" s="25"/>
      <c r="E544" s="25"/>
      <c r="F544" s="82"/>
      <c r="G544" s="82"/>
      <c r="H544" s="83" t="str">
        <f aca="false">IF(OR(F544="",G544=""),"",G544-F544)</f>
        <v/>
      </c>
      <c r="I544" s="82"/>
      <c r="J544" s="82"/>
      <c r="K544" s="28"/>
      <c r="L544" s="90" t="str">
        <f aca="false">IF(OR(K544="",N(H544)=0),"",K544/H544)</f>
        <v/>
      </c>
      <c r="M544" s="68"/>
      <c r="N544" s="28"/>
      <c r="O544" s="25"/>
      <c r="P544" s="83" t="str">
        <f aca="false">IF(OR(N544="",N(H544)=0),"",N544/H544)</f>
        <v/>
      </c>
      <c r="Q544" s="25"/>
    </row>
    <row r="545" customFormat="false" ht="15" hidden="false" customHeight="false" outlineLevel="0" collapsed="false">
      <c r="A545" s="69"/>
      <c r="B545" s="68"/>
      <c r="C545" s="76" t="str">
        <f aca="false">IF(B545="","",IFERROR(INDEX(EN_Des,MATCH(B545,EN_Code,0)),"Code inconnu"))</f>
        <v/>
      </c>
      <c r="D545" s="25"/>
      <c r="E545" s="25"/>
      <c r="F545" s="82"/>
      <c r="G545" s="82"/>
      <c r="H545" s="83" t="str">
        <f aca="false">IF(OR(F545="",G545=""),"",G545-F545)</f>
        <v/>
      </c>
      <c r="I545" s="82"/>
      <c r="J545" s="82"/>
      <c r="K545" s="28"/>
      <c r="L545" s="90" t="str">
        <f aca="false">IF(OR(K545="",N(H545)=0),"",K545/H545)</f>
        <v/>
      </c>
      <c r="M545" s="68"/>
      <c r="N545" s="28"/>
      <c r="O545" s="25"/>
      <c r="P545" s="83" t="str">
        <f aca="false">IF(OR(N545="",N(H545)=0),"",N545/H545)</f>
        <v/>
      </c>
      <c r="Q545" s="25"/>
    </row>
    <row r="546" customFormat="false" ht="15" hidden="false" customHeight="false" outlineLevel="0" collapsed="false">
      <c r="A546" s="69"/>
      <c r="B546" s="68"/>
      <c r="C546" s="76" t="str">
        <f aca="false">IF(B546="","",IFERROR(INDEX(EN_Des,MATCH(B546,EN_Code,0)),"Code inconnu"))</f>
        <v/>
      </c>
      <c r="D546" s="25"/>
      <c r="E546" s="25"/>
      <c r="F546" s="82"/>
      <c r="G546" s="82"/>
      <c r="H546" s="83" t="str">
        <f aca="false">IF(OR(F546="",G546=""),"",G546-F546)</f>
        <v/>
      </c>
      <c r="I546" s="82"/>
      <c r="J546" s="82"/>
      <c r="K546" s="28"/>
      <c r="L546" s="90" t="str">
        <f aca="false">IF(OR(K546="",N(H546)=0),"",K546/H546)</f>
        <v/>
      </c>
      <c r="M546" s="68"/>
      <c r="N546" s="28"/>
      <c r="O546" s="25"/>
      <c r="P546" s="83" t="str">
        <f aca="false">IF(OR(N546="",N(H546)=0),"",N546/H546)</f>
        <v/>
      </c>
      <c r="Q546" s="25"/>
    </row>
    <row r="547" customFormat="false" ht="15" hidden="false" customHeight="false" outlineLevel="0" collapsed="false">
      <c r="A547" s="69"/>
      <c r="B547" s="68"/>
      <c r="C547" s="76" t="str">
        <f aca="false">IF(B547="","",IFERROR(INDEX(EN_Des,MATCH(B547,EN_Code,0)),"Code inconnu"))</f>
        <v/>
      </c>
      <c r="D547" s="25"/>
      <c r="E547" s="25"/>
      <c r="F547" s="82"/>
      <c r="G547" s="82"/>
      <c r="H547" s="83" t="str">
        <f aca="false">IF(OR(F547="",G547=""),"",G547-F547)</f>
        <v/>
      </c>
      <c r="I547" s="82"/>
      <c r="J547" s="82"/>
      <c r="K547" s="28"/>
      <c r="L547" s="90" t="str">
        <f aca="false">IF(OR(K547="",N(H547)=0),"",K547/H547)</f>
        <v/>
      </c>
      <c r="M547" s="68"/>
      <c r="N547" s="28"/>
      <c r="O547" s="25"/>
      <c r="P547" s="83" t="str">
        <f aca="false">IF(OR(N547="",N(H547)=0),"",N547/H547)</f>
        <v/>
      </c>
      <c r="Q547" s="25"/>
    </row>
    <row r="548" customFormat="false" ht="15" hidden="false" customHeight="false" outlineLevel="0" collapsed="false">
      <c r="A548" s="69"/>
      <c r="B548" s="68"/>
      <c r="C548" s="76" t="str">
        <f aca="false">IF(B548="","",IFERROR(INDEX(EN_Des,MATCH(B548,EN_Code,0)),"Code inconnu"))</f>
        <v/>
      </c>
      <c r="D548" s="25"/>
      <c r="E548" s="25"/>
      <c r="F548" s="82"/>
      <c r="G548" s="82"/>
      <c r="H548" s="83" t="str">
        <f aca="false">IF(OR(F548="",G548=""),"",G548-F548)</f>
        <v/>
      </c>
      <c r="I548" s="82"/>
      <c r="J548" s="82"/>
      <c r="K548" s="28"/>
      <c r="L548" s="90" t="str">
        <f aca="false">IF(OR(K548="",N(H548)=0),"",K548/H548)</f>
        <v/>
      </c>
      <c r="M548" s="68"/>
      <c r="N548" s="28"/>
      <c r="O548" s="25"/>
      <c r="P548" s="83" t="str">
        <f aca="false">IF(OR(N548="",N(H548)=0),"",N548/H548)</f>
        <v/>
      </c>
      <c r="Q548" s="25"/>
    </row>
    <row r="549" customFormat="false" ht="15" hidden="false" customHeight="false" outlineLevel="0" collapsed="false">
      <c r="A549" s="69"/>
      <c r="B549" s="68"/>
      <c r="C549" s="76" t="str">
        <f aca="false">IF(B549="","",IFERROR(INDEX(EN_Des,MATCH(B549,EN_Code,0)),"Code inconnu"))</f>
        <v/>
      </c>
      <c r="D549" s="25"/>
      <c r="E549" s="25"/>
      <c r="F549" s="82"/>
      <c r="G549" s="82"/>
      <c r="H549" s="83" t="str">
        <f aca="false">IF(OR(F549="",G549=""),"",G549-F549)</f>
        <v/>
      </c>
      <c r="I549" s="82"/>
      <c r="J549" s="82"/>
      <c r="K549" s="28"/>
      <c r="L549" s="90" t="str">
        <f aca="false">IF(OR(K549="",N(H549)=0),"",K549/H549)</f>
        <v/>
      </c>
      <c r="M549" s="68"/>
      <c r="N549" s="28"/>
      <c r="O549" s="25"/>
      <c r="P549" s="83" t="str">
        <f aca="false">IF(OR(N549="",N(H549)=0),"",N549/H549)</f>
        <v/>
      </c>
      <c r="Q549" s="25"/>
    </row>
    <row r="550" customFormat="false" ht="15" hidden="false" customHeight="false" outlineLevel="0" collapsed="false">
      <c r="A550" s="69"/>
      <c r="B550" s="68"/>
      <c r="C550" s="76" t="str">
        <f aca="false">IF(B550="","",IFERROR(INDEX(EN_Des,MATCH(B550,EN_Code,0)),"Code inconnu"))</f>
        <v/>
      </c>
      <c r="D550" s="25"/>
      <c r="E550" s="25"/>
      <c r="F550" s="82"/>
      <c r="G550" s="82"/>
      <c r="H550" s="83" t="str">
        <f aca="false">IF(OR(F550="",G550=""),"",G550-F550)</f>
        <v/>
      </c>
      <c r="I550" s="82"/>
      <c r="J550" s="82"/>
      <c r="K550" s="28"/>
      <c r="L550" s="90" t="str">
        <f aca="false">IF(OR(K550="",N(H550)=0),"",K550/H550)</f>
        <v/>
      </c>
      <c r="M550" s="68"/>
      <c r="N550" s="28"/>
      <c r="O550" s="25"/>
      <c r="P550" s="83" t="str">
        <f aca="false">IF(OR(N550="",N(H550)=0),"",N550/H550)</f>
        <v/>
      </c>
      <c r="Q550" s="25"/>
    </row>
    <row r="551" customFormat="false" ht="15" hidden="false" customHeight="false" outlineLevel="0" collapsed="false">
      <c r="A551" s="69"/>
      <c r="B551" s="68"/>
      <c r="C551" s="76" t="str">
        <f aca="false">IF(B551="","",IFERROR(INDEX(EN_Des,MATCH(B551,EN_Code,0)),"Code inconnu"))</f>
        <v/>
      </c>
      <c r="D551" s="25"/>
      <c r="E551" s="25"/>
      <c r="F551" s="82"/>
      <c r="G551" s="82"/>
      <c r="H551" s="83" t="str">
        <f aca="false">IF(OR(F551="",G551=""),"",G551-F551)</f>
        <v/>
      </c>
      <c r="I551" s="82"/>
      <c r="J551" s="82"/>
      <c r="K551" s="28"/>
      <c r="L551" s="90" t="str">
        <f aca="false">IF(OR(K551="",N(H551)=0),"",K551/H551)</f>
        <v/>
      </c>
      <c r="M551" s="68"/>
      <c r="N551" s="28"/>
      <c r="O551" s="25"/>
      <c r="P551" s="83" t="str">
        <f aca="false">IF(OR(N551="",N(H551)=0),"",N551/H551)</f>
        <v/>
      </c>
      <c r="Q551" s="25"/>
    </row>
    <row r="552" customFormat="false" ht="15" hidden="false" customHeight="false" outlineLevel="0" collapsed="false">
      <c r="A552" s="69"/>
      <c r="B552" s="68"/>
      <c r="C552" s="76" t="str">
        <f aca="false">IF(B552="","",IFERROR(INDEX(EN_Des,MATCH(B552,EN_Code,0)),"Code inconnu"))</f>
        <v/>
      </c>
      <c r="D552" s="25"/>
      <c r="E552" s="25"/>
      <c r="F552" s="82"/>
      <c r="G552" s="82"/>
      <c r="H552" s="83" t="str">
        <f aca="false">IF(OR(F552="",G552=""),"",G552-F552)</f>
        <v/>
      </c>
      <c r="I552" s="82"/>
      <c r="J552" s="82"/>
      <c r="K552" s="28"/>
      <c r="L552" s="90" t="str">
        <f aca="false">IF(OR(K552="",N(H552)=0),"",K552/H552)</f>
        <v/>
      </c>
      <c r="M552" s="68"/>
      <c r="N552" s="28"/>
      <c r="O552" s="25"/>
      <c r="P552" s="83" t="str">
        <f aca="false">IF(OR(N552="",N(H552)=0),"",N552/H552)</f>
        <v/>
      </c>
      <c r="Q552" s="25"/>
    </row>
    <row r="553" customFormat="false" ht="15" hidden="false" customHeight="false" outlineLevel="0" collapsed="false">
      <c r="A553" s="69"/>
      <c r="B553" s="68"/>
      <c r="C553" s="76" t="str">
        <f aca="false">IF(B553="","",IFERROR(INDEX(EN_Des,MATCH(B553,EN_Code,0)),"Code inconnu"))</f>
        <v/>
      </c>
      <c r="D553" s="25"/>
      <c r="E553" s="25"/>
      <c r="F553" s="82"/>
      <c r="G553" s="82"/>
      <c r="H553" s="83" t="str">
        <f aca="false">IF(OR(F553="",G553=""),"",G553-F553)</f>
        <v/>
      </c>
      <c r="I553" s="82"/>
      <c r="J553" s="82"/>
      <c r="K553" s="28"/>
      <c r="L553" s="90" t="str">
        <f aca="false">IF(OR(K553="",N(H553)=0),"",K553/H553)</f>
        <v/>
      </c>
      <c r="M553" s="68"/>
      <c r="N553" s="28"/>
      <c r="O553" s="25"/>
      <c r="P553" s="83" t="str">
        <f aca="false">IF(OR(N553="",N(H553)=0),"",N553/H553)</f>
        <v/>
      </c>
      <c r="Q553" s="25"/>
    </row>
    <row r="554" customFormat="false" ht="15" hidden="false" customHeight="false" outlineLevel="0" collapsed="false">
      <c r="A554" s="69"/>
      <c r="B554" s="68"/>
      <c r="C554" s="76" t="str">
        <f aca="false">IF(B554="","",IFERROR(INDEX(EN_Des,MATCH(B554,EN_Code,0)),"Code inconnu"))</f>
        <v/>
      </c>
      <c r="D554" s="25"/>
      <c r="E554" s="25"/>
      <c r="F554" s="82"/>
      <c r="G554" s="82"/>
      <c r="H554" s="83" t="str">
        <f aca="false">IF(OR(F554="",G554=""),"",G554-F554)</f>
        <v/>
      </c>
      <c r="I554" s="82"/>
      <c r="J554" s="82"/>
      <c r="K554" s="28"/>
      <c r="L554" s="90" t="str">
        <f aca="false">IF(OR(K554="",N(H554)=0),"",K554/H554)</f>
        <v/>
      </c>
      <c r="M554" s="68"/>
      <c r="N554" s="28"/>
      <c r="O554" s="25"/>
      <c r="P554" s="83" t="str">
        <f aca="false">IF(OR(N554="",N(H554)=0),"",N554/H554)</f>
        <v/>
      </c>
      <c r="Q554" s="25"/>
    </row>
    <row r="555" customFormat="false" ht="15" hidden="false" customHeight="false" outlineLevel="0" collapsed="false">
      <c r="A555" s="69"/>
      <c r="B555" s="68"/>
      <c r="C555" s="76" t="str">
        <f aca="false">IF(B555="","",IFERROR(INDEX(EN_Des,MATCH(B555,EN_Code,0)),"Code inconnu"))</f>
        <v/>
      </c>
      <c r="D555" s="25"/>
      <c r="E555" s="25"/>
      <c r="F555" s="82"/>
      <c r="G555" s="82"/>
      <c r="H555" s="83" t="str">
        <f aca="false">IF(OR(F555="",G555=""),"",G555-F555)</f>
        <v/>
      </c>
      <c r="I555" s="82"/>
      <c r="J555" s="82"/>
      <c r="K555" s="28"/>
      <c r="L555" s="90" t="str">
        <f aca="false">IF(OR(K555="",N(H555)=0),"",K555/H555)</f>
        <v/>
      </c>
      <c r="M555" s="68"/>
      <c r="N555" s="28"/>
      <c r="O555" s="25"/>
      <c r="P555" s="83" t="str">
        <f aca="false">IF(OR(N555="",N(H555)=0),"",N555/H555)</f>
        <v/>
      </c>
      <c r="Q555" s="25"/>
    </row>
    <row r="556" customFormat="false" ht="15" hidden="false" customHeight="false" outlineLevel="0" collapsed="false">
      <c r="A556" s="69"/>
      <c r="B556" s="68"/>
      <c r="C556" s="76" t="str">
        <f aca="false">IF(B556="","",IFERROR(INDEX(EN_Des,MATCH(B556,EN_Code,0)),"Code inconnu"))</f>
        <v/>
      </c>
      <c r="D556" s="25"/>
      <c r="E556" s="25"/>
      <c r="F556" s="82"/>
      <c r="G556" s="82"/>
      <c r="H556" s="83" t="str">
        <f aca="false">IF(OR(F556="",G556=""),"",G556-F556)</f>
        <v/>
      </c>
      <c r="I556" s="82"/>
      <c r="J556" s="82"/>
      <c r="K556" s="28"/>
      <c r="L556" s="90" t="str">
        <f aca="false">IF(OR(K556="",N(H556)=0),"",K556/H556)</f>
        <v/>
      </c>
      <c r="M556" s="68"/>
      <c r="N556" s="28"/>
      <c r="O556" s="25"/>
      <c r="P556" s="83" t="str">
        <f aca="false">IF(OR(N556="",N(H556)=0),"",N556/H556)</f>
        <v/>
      </c>
      <c r="Q556" s="25"/>
    </row>
    <row r="557" customFormat="false" ht="15" hidden="false" customHeight="false" outlineLevel="0" collapsed="false">
      <c r="A557" s="69"/>
      <c r="B557" s="68"/>
      <c r="C557" s="76" t="str">
        <f aca="false">IF(B557="","",IFERROR(INDEX(EN_Des,MATCH(B557,EN_Code,0)),"Code inconnu"))</f>
        <v/>
      </c>
      <c r="D557" s="25"/>
      <c r="E557" s="25"/>
      <c r="F557" s="82"/>
      <c r="G557" s="82"/>
      <c r="H557" s="83" t="str">
        <f aca="false">IF(OR(F557="",G557=""),"",G557-F557)</f>
        <v/>
      </c>
      <c r="I557" s="82"/>
      <c r="J557" s="82"/>
      <c r="K557" s="28"/>
      <c r="L557" s="90" t="str">
        <f aca="false">IF(OR(K557="",N(H557)=0),"",K557/H557)</f>
        <v/>
      </c>
      <c r="M557" s="68"/>
      <c r="N557" s="28"/>
      <c r="O557" s="25"/>
      <c r="P557" s="83" t="str">
        <f aca="false">IF(OR(N557="",N(H557)=0),"",N557/H557)</f>
        <v/>
      </c>
      <c r="Q557" s="25"/>
    </row>
    <row r="558" customFormat="false" ht="15" hidden="false" customHeight="false" outlineLevel="0" collapsed="false">
      <c r="A558" s="69"/>
      <c r="B558" s="68"/>
      <c r="C558" s="76" t="str">
        <f aca="false">IF(B558="","",IFERROR(INDEX(EN_Des,MATCH(B558,EN_Code,0)),"Code inconnu"))</f>
        <v/>
      </c>
      <c r="D558" s="25"/>
      <c r="E558" s="25"/>
      <c r="F558" s="82"/>
      <c r="G558" s="82"/>
      <c r="H558" s="83" t="str">
        <f aca="false">IF(OR(F558="",G558=""),"",G558-F558)</f>
        <v/>
      </c>
      <c r="I558" s="82"/>
      <c r="J558" s="82"/>
      <c r="K558" s="28"/>
      <c r="L558" s="90" t="str">
        <f aca="false">IF(OR(K558="",N(H558)=0),"",K558/H558)</f>
        <v/>
      </c>
      <c r="M558" s="68"/>
      <c r="N558" s="28"/>
      <c r="O558" s="25"/>
      <c r="P558" s="83" t="str">
        <f aca="false">IF(OR(N558="",N(H558)=0),"",N558/H558)</f>
        <v/>
      </c>
      <c r="Q558" s="25"/>
    </row>
    <row r="559" customFormat="false" ht="15" hidden="false" customHeight="false" outlineLevel="0" collapsed="false">
      <c r="A559" s="69"/>
      <c r="B559" s="68"/>
      <c r="C559" s="76" t="str">
        <f aca="false">IF(B559="","",IFERROR(INDEX(EN_Des,MATCH(B559,EN_Code,0)),"Code inconnu"))</f>
        <v/>
      </c>
      <c r="D559" s="25"/>
      <c r="E559" s="25"/>
      <c r="F559" s="82"/>
      <c r="G559" s="82"/>
      <c r="H559" s="83" t="str">
        <f aca="false">IF(OR(F559="",G559=""),"",G559-F559)</f>
        <v/>
      </c>
      <c r="I559" s="82"/>
      <c r="J559" s="82"/>
      <c r="K559" s="28"/>
      <c r="L559" s="90" t="str">
        <f aca="false">IF(OR(K559="",N(H559)=0),"",K559/H559)</f>
        <v/>
      </c>
      <c r="M559" s="68"/>
      <c r="N559" s="28"/>
      <c r="O559" s="25"/>
      <c r="P559" s="83" t="str">
        <f aca="false">IF(OR(N559="",N(H559)=0),"",N559/H559)</f>
        <v/>
      </c>
      <c r="Q559" s="25"/>
    </row>
    <row r="560" customFormat="false" ht="15" hidden="false" customHeight="false" outlineLevel="0" collapsed="false">
      <c r="A560" s="69"/>
      <c r="B560" s="68"/>
      <c r="C560" s="76" t="str">
        <f aca="false">IF(B560="","",IFERROR(INDEX(EN_Des,MATCH(B560,EN_Code,0)),"Code inconnu"))</f>
        <v/>
      </c>
      <c r="D560" s="25"/>
      <c r="E560" s="25"/>
      <c r="F560" s="82"/>
      <c r="G560" s="82"/>
      <c r="H560" s="83" t="str">
        <f aca="false">IF(OR(F560="",G560=""),"",G560-F560)</f>
        <v/>
      </c>
      <c r="I560" s="82"/>
      <c r="J560" s="82"/>
      <c r="K560" s="28"/>
      <c r="L560" s="90" t="str">
        <f aca="false">IF(OR(K560="",N(H560)=0),"",K560/H560)</f>
        <v/>
      </c>
      <c r="M560" s="68"/>
      <c r="N560" s="28"/>
      <c r="O560" s="25"/>
      <c r="P560" s="83" t="str">
        <f aca="false">IF(OR(N560="",N(H560)=0),"",N560/H560)</f>
        <v/>
      </c>
      <c r="Q560" s="25"/>
    </row>
    <row r="561" customFormat="false" ht="15" hidden="false" customHeight="false" outlineLevel="0" collapsed="false">
      <c r="A561" s="69"/>
      <c r="B561" s="68"/>
      <c r="C561" s="76" t="str">
        <f aca="false">IF(B561="","",IFERROR(INDEX(EN_Des,MATCH(B561,EN_Code,0)),"Code inconnu"))</f>
        <v/>
      </c>
      <c r="D561" s="25"/>
      <c r="E561" s="25"/>
      <c r="F561" s="82"/>
      <c r="G561" s="82"/>
      <c r="H561" s="83" t="str">
        <f aca="false">IF(OR(F561="",G561=""),"",G561-F561)</f>
        <v/>
      </c>
      <c r="I561" s="82"/>
      <c r="J561" s="82"/>
      <c r="K561" s="28"/>
      <c r="L561" s="90" t="str">
        <f aca="false">IF(OR(K561="",N(H561)=0),"",K561/H561)</f>
        <v/>
      </c>
      <c r="M561" s="68"/>
      <c r="N561" s="28"/>
      <c r="O561" s="25"/>
      <c r="P561" s="83" t="str">
        <f aca="false">IF(OR(N561="",N(H561)=0),"",N561/H561)</f>
        <v/>
      </c>
      <c r="Q561" s="25"/>
    </row>
    <row r="562" customFormat="false" ht="15" hidden="false" customHeight="false" outlineLevel="0" collapsed="false">
      <c r="A562" s="69"/>
      <c r="B562" s="68"/>
      <c r="C562" s="76" t="str">
        <f aca="false">IF(B562="","",IFERROR(INDEX(EN_Des,MATCH(B562,EN_Code,0)),"Code inconnu"))</f>
        <v/>
      </c>
      <c r="D562" s="25"/>
      <c r="E562" s="25"/>
      <c r="F562" s="82"/>
      <c r="G562" s="82"/>
      <c r="H562" s="83" t="str">
        <f aca="false">IF(OR(F562="",G562=""),"",G562-F562)</f>
        <v/>
      </c>
      <c r="I562" s="82"/>
      <c r="J562" s="82"/>
      <c r="K562" s="28"/>
      <c r="L562" s="90" t="str">
        <f aca="false">IF(OR(K562="",N(H562)=0),"",K562/H562)</f>
        <v/>
      </c>
      <c r="M562" s="68"/>
      <c r="N562" s="28"/>
      <c r="O562" s="25"/>
      <c r="P562" s="83" t="str">
        <f aca="false">IF(OR(N562="",N(H562)=0),"",N562/H562)</f>
        <v/>
      </c>
      <c r="Q562" s="25"/>
    </row>
    <row r="563" customFormat="false" ht="15" hidden="false" customHeight="false" outlineLevel="0" collapsed="false">
      <c r="A563" s="69"/>
      <c r="B563" s="68"/>
      <c r="C563" s="76" t="str">
        <f aca="false">IF(B563="","",IFERROR(INDEX(EN_Des,MATCH(B563,EN_Code,0)),"Code inconnu"))</f>
        <v/>
      </c>
      <c r="D563" s="25"/>
      <c r="E563" s="25"/>
      <c r="F563" s="82"/>
      <c r="G563" s="82"/>
      <c r="H563" s="83" t="str">
        <f aca="false">IF(OR(F563="",G563=""),"",G563-F563)</f>
        <v/>
      </c>
      <c r="I563" s="82"/>
      <c r="J563" s="82"/>
      <c r="K563" s="28"/>
      <c r="L563" s="90" t="str">
        <f aca="false">IF(OR(K563="",N(H563)=0),"",K563/H563)</f>
        <v/>
      </c>
      <c r="M563" s="68"/>
      <c r="N563" s="28"/>
      <c r="O563" s="25"/>
      <c r="P563" s="83" t="str">
        <f aca="false">IF(OR(N563="",N(H563)=0),"",N563/H563)</f>
        <v/>
      </c>
      <c r="Q563" s="25"/>
    </row>
    <row r="564" customFormat="false" ht="15" hidden="false" customHeight="false" outlineLevel="0" collapsed="false">
      <c r="A564" s="69"/>
      <c r="B564" s="68"/>
      <c r="C564" s="76" t="str">
        <f aca="false">IF(B564="","",IFERROR(INDEX(EN_Des,MATCH(B564,EN_Code,0)),"Code inconnu"))</f>
        <v/>
      </c>
      <c r="D564" s="25"/>
      <c r="E564" s="25"/>
      <c r="F564" s="82"/>
      <c r="G564" s="82"/>
      <c r="H564" s="83" t="str">
        <f aca="false">IF(OR(F564="",G564=""),"",G564-F564)</f>
        <v/>
      </c>
      <c r="I564" s="82"/>
      <c r="J564" s="82"/>
      <c r="K564" s="28"/>
      <c r="L564" s="90" t="str">
        <f aca="false">IF(OR(K564="",N(H564)=0),"",K564/H564)</f>
        <v/>
      </c>
      <c r="M564" s="68"/>
      <c r="N564" s="28"/>
      <c r="O564" s="25"/>
      <c r="P564" s="83" t="str">
        <f aca="false">IF(OR(N564="",N(H564)=0),"",N564/H564)</f>
        <v/>
      </c>
      <c r="Q564" s="25"/>
    </row>
    <row r="565" customFormat="false" ht="15" hidden="false" customHeight="false" outlineLevel="0" collapsed="false">
      <c r="A565" s="69"/>
      <c r="B565" s="68"/>
      <c r="C565" s="76" t="str">
        <f aca="false">IF(B565="","",IFERROR(INDEX(EN_Des,MATCH(B565,EN_Code,0)),"Code inconnu"))</f>
        <v/>
      </c>
      <c r="D565" s="25"/>
      <c r="E565" s="25"/>
      <c r="F565" s="82"/>
      <c r="G565" s="82"/>
      <c r="H565" s="83" t="str">
        <f aca="false">IF(OR(F565="",G565=""),"",G565-F565)</f>
        <v/>
      </c>
      <c r="I565" s="82"/>
      <c r="J565" s="82"/>
      <c r="K565" s="28"/>
      <c r="L565" s="90" t="str">
        <f aca="false">IF(OR(K565="",N(H565)=0),"",K565/H565)</f>
        <v/>
      </c>
      <c r="M565" s="68"/>
      <c r="N565" s="28"/>
      <c r="O565" s="25"/>
      <c r="P565" s="83" t="str">
        <f aca="false">IF(OR(N565="",N(H565)=0),"",N565/H565)</f>
        <v/>
      </c>
      <c r="Q565" s="25"/>
    </row>
    <row r="566" customFormat="false" ht="15" hidden="false" customHeight="false" outlineLevel="0" collapsed="false">
      <c r="A566" s="69"/>
      <c r="B566" s="68"/>
      <c r="C566" s="76" t="str">
        <f aca="false">IF(B566="","",IFERROR(INDEX(EN_Des,MATCH(B566,EN_Code,0)),"Code inconnu"))</f>
        <v/>
      </c>
      <c r="D566" s="25"/>
      <c r="E566" s="25"/>
      <c r="F566" s="82"/>
      <c r="G566" s="82"/>
      <c r="H566" s="83" t="str">
        <f aca="false">IF(OR(F566="",G566=""),"",G566-F566)</f>
        <v/>
      </c>
      <c r="I566" s="82"/>
      <c r="J566" s="82"/>
      <c r="K566" s="28"/>
      <c r="L566" s="90" t="str">
        <f aca="false">IF(OR(K566="",N(H566)=0),"",K566/H566)</f>
        <v/>
      </c>
      <c r="M566" s="68"/>
      <c r="N566" s="28"/>
      <c r="O566" s="25"/>
      <c r="P566" s="83" t="str">
        <f aca="false">IF(OR(N566="",N(H566)=0),"",N566/H566)</f>
        <v/>
      </c>
      <c r="Q566" s="25"/>
    </row>
    <row r="567" customFormat="false" ht="15" hidden="false" customHeight="false" outlineLevel="0" collapsed="false">
      <c r="A567" s="69"/>
      <c r="B567" s="68"/>
      <c r="C567" s="76" t="str">
        <f aca="false">IF(B567="","",IFERROR(INDEX(EN_Des,MATCH(B567,EN_Code,0)),"Code inconnu"))</f>
        <v/>
      </c>
      <c r="D567" s="25"/>
      <c r="E567" s="25"/>
      <c r="F567" s="82"/>
      <c r="G567" s="82"/>
      <c r="H567" s="83" t="str">
        <f aca="false">IF(OR(F567="",G567=""),"",G567-F567)</f>
        <v/>
      </c>
      <c r="I567" s="82"/>
      <c r="J567" s="82"/>
      <c r="K567" s="28"/>
      <c r="L567" s="90" t="str">
        <f aca="false">IF(OR(K567="",N(H567)=0),"",K567/H567)</f>
        <v/>
      </c>
      <c r="M567" s="68"/>
      <c r="N567" s="28"/>
      <c r="O567" s="25"/>
      <c r="P567" s="83" t="str">
        <f aca="false">IF(OR(N567="",N(H567)=0),"",N567/H567)</f>
        <v/>
      </c>
      <c r="Q567" s="25"/>
    </row>
    <row r="568" customFormat="false" ht="15" hidden="false" customHeight="false" outlineLevel="0" collapsed="false">
      <c r="A568" s="69"/>
      <c r="B568" s="68"/>
      <c r="C568" s="76" t="str">
        <f aca="false">IF(B568="","",IFERROR(INDEX(EN_Des,MATCH(B568,EN_Code,0)),"Code inconnu"))</f>
        <v/>
      </c>
      <c r="D568" s="25"/>
      <c r="E568" s="25"/>
      <c r="F568" s="82"/>
      <c r="G568" s="82"/>
      <c r="H568" s="83" t="str">
        <f aca="false">IF(OR(F568="",G568=""),"",G568-F568)</f>
        <v/>
      </c>
      <c r="I568" s="82"/>
      <c r="J568" s="82"/>
      <c r="K568" s="28"/>
      <c r="L568" s="90" t="str">
        <f aca="false">IF(OR(K568="",N(H568)=0),"",K568/H568)</f>
        <v/>
      </c>
      <c r="M568" s="68"/>
      <c r="N568" s="28"/>
      <c r="O568" s="25"/>
      <c r="P568" s="83" t="str">
        <f aca="false">IF(OR(N568="",N(H568)=0),"",N568/H568)</f>
        <v/>
      </c>
      <c r="Q568" s="25"/>
    </row>
    <row r="569" customFormat="false" ht="15" hidden="false" customHeight="false" outlineLevel="0" collapsed="false">
      <c r="A569" s="69"/>
      <c r="B569" s="68"/>
      <c r="C569" s="76" t="str">
        <f aca="false">IF(B569="","",IFERROR(INDEX(EN_Des,MATCH(B569,EN_Code,0)),"Code inconnu"))</f>
        <v/>
      </c>
      <c r="D569" s="25"/>
      <c r="E569" s="25"/>
      <c r="F569" s="82"/>
      <c r="G569" s="82"/>
      <c r="H569" s="83" t="str">
        <f aca="false">IF(OR(F569="",G569=""),"",G569-F569)</f>
        <v/>
      </c>
      <c r="I569" s="82"/>
      <c r="J569" s="82"/>
      <c r="K569" s="28"/>
      <c r="L569" s="90" t="str">
        <f aca="false">IF(OR(K569="",N(H569)=0),"",K569/H569)</f>
        <v/>
      </c>
      <c r="M569" s="68"/>
      <c r="N569" s="28"/>
      <c r="O569" s="25"/>
      <c r="P569" s="83" t="str">
        <f aca="false">IF(OR(N569="",N(H569)=0),"",N569/H569)</f>
        <v/>
      </c>
      <c r="Q569" s="25"/>
    </row>
    <row r="570" customFormat="false" ht="15" hidden="false" customHeight="false" outlineLevel="0" collapsed="false">
      <c r="A570" s="69"/>
      <c r="B570" s="68"/>
      <c r="C570" s="76" t="str">
        <f aca="false">IF(B570="","",IFERROR(INDEX(EN_Des,MATCH(B570,EN_Code,0)),"Code inconnu"))</f>
        <v/>
      </c>
      <c r="D570" s="25"/>
      <c r="E570" s="25"/>
      <c r="F570" s="82"/>
      <c r="G570" s="82"/>
      <c r="H570" s="83" t="str">
        <f aca="false">IF(OR(F570="",G570=""),"",G570-F570)</f>
        <v/>
      </c>
      <c r="I570" s="82"/>
      <c r="J570" s="82"/>
      <c r="K570" s="28"/>
      <c r="L570" s="90" t="str">
        <f aca="false">IF(OR(K570="",N(H570)=0),"",K570/H570)</f>
        <v/>
      </c>
      <c r="M570" s="68"/>
      <c r="N570" s="28"/>
      <c r="O570" s="25"/>
      <c r="P570" s="83" t="str">
        <f aca="false">IF(OR(N570="",N(H570)=0),"",N570/H570)</f>
        <v/>
      </c>
      <c r="Q570" s="25"/>
    </row>
    <row r="571" customFormat="false" ht="15" hidden="false" customHeight="false" outlineLevel="0" collapsed="false">
      <c r="A571" s="69"/>
      <c r="B571" s="68"/>
      <c r="C571" s="76" t="str">
        <f aca="false">IF(B571="","",IFERROR(INDEX(EN_Des,MATCH(B571,EN_Code,0)),"Code inconnu"))</f>
        <v/>
      </c>
      <c r="D571" s="25"/>
      <c r="E571" s="25"/>
      <c r="F571" s="82"/>
      <c r="G571" s="82"/>
      <c r="H571" s="83" t="str">
        <f aca="false">IF(OR(F571="",G571=""),"",G571-F571)</f>
        <v/>
      </c>
      <c r="I571" s="82"/>
      <c r="J571" s="82"/>
      <c r="K571" s="28"/>
      <c r="L571" s="90" t="str">
        <f aca="false">IF(OR(K571="",N(H571)=0),"",K571/H571)</f>
        <v/>
      </c>
      <c r="M571" s="68"/>
      <c r="N571" s="28"/>
      <c r="O571" s="25"/>
      <c r="P571" s="83" t="str">
        <f aca="false">IF(OR(N571="",N(H571)=0),"",N571/H571)</f>
        <v/>
      </c>
      <c r="Q571" s="25"/>
    </row>
    <row r="572" customFormat="false" ht="15" hidden="false" customHeight="false" outlineLevel="0" collapsed="false">
      <c r="A572" s="69"/>
      <c r="B572" s="68"/>
      <c r="C572" s="76" t="str">
        <f aca="false">IF(B572="","",IFERROR(INDEX(EN_Des,MATCH(B572,EN_Code,0)),"Code inconnu"))</f>
        <v/>
      </c>
      <c r="D572" s="25"/>
      <c r="E572" s="25"/>
      <c r="F572" s="82"/>
      <c r="G572" s="82"/>
      <c r="H572" s="83" t="str">
        <f aca="false">IF(OR(F572="",G572=""),"",G572-F572)</f>
        <v/>
      </c>
      <c r="I572" s="82"/>
      <c r="J572" s="82"/>
      <c r="K572" s="28"/>
      <c r="L572" s="90" t="str">
        <f aca="false">IF(OR(K572="",N(H572)=0),"",K572/H572)</f>
        <v/>
      </c>
      <c r="M572" s="68"/>
      <c r="N572" s="28"/>
      <c r="O572" s="25"/>
      <c r="P572" s="83" t="str">
        <f aca="false">IF(OR(N572="",N(H572)=0),"",N572/H572)</f>
        <v/>
      </c>
      <c r="Q572" s="25"/>
    </row>
    <row r="573" customFormat="false" ht="15" hidden="false" customHeight="false" outlineLevel="0" collapsed="false">
      <c r="A573" s="69"/>
      <c r="B573" s="68"/>
      <c r="C573" s="76" t="str">
        <f aca="false">IF(B573="","",IFERROR(INDEX(EN_Des,MATCH(B573,EN_Code,0)),"Code inconnu"))</f>
        <v/>
      </c>
      <c r="D573" s="25"/>
      <c r="E573" s="25"/>
      <c r="F573" s="82"/>
      <c r="G573" s="82"/>
      <c r="H573" s="83" t="str">
        <f aca="false">IF(OR(F573="",G573=""),"",G573-F573)</f>
        <v/>
      </c>
      <c r="I573" s="82"/>
      <c r="J573" s="82"/>
      <c r="K573" s="28"/>
      <c r="L573" s="90" t="str">
        <f aca="false">IF(OR(K573="",N(H573)=0),"",K573/H573)</f>
        <v/>
      </c>
      <c r="M573" s="68"/>
      <c r="N573" s="28"/>
      <c r="O573" s="25"/>
      <c r="P573" s="83" t="str">
        <f aca="false">IF(OR(N573="",N(H573)=0),"",N573/H573)</f>
        <v/>
      </c>
      <c r="Q573" s="25"/>
    </row>
    <row r="574" customFormat="false" ht="15" hidden="false" customHeight="false" outlineLevel="0" collapsed="false">
      <c r="A574" s="69"/>
      <c r="B574" s="68"/>
      <c r="C574" s="76" t="str">
        <f aca="false">IF(B574="","",IFERROR(INDEX(EN_Des,MATCH(B574,EN_Code,0)),"Code inconnu"))</f>
        <v/>
      </c>
      <c r="D574" s="25"/>
      <c r="E574" s="25"/>
      <c r="F574" s="82"/>
      <c r="G574" s="82"/>
      <c r="H574" s="83" t="str">
        <f aca="false">IF(OR(F574="",G574=""),"",G574-F574)</f>
        <v/>
      </c>
      <c r="I574" s="82"/>
      <c r="J574" s="82"/>
      <c r="K574" s="28"/>
      <c r="L574" s="90" t="str">
        <f aca="false">IF(OR(K574="",N(H574)=0),"",K574/H574)</f>
        <v/>
      </c>
      <c r="M574" s="68"/>
      <c r="N574" s="28"/>
      <c r="O574" s="25"/>
      <c r="P574" s="83" t="str">
        <f aca="false">IF(OR(N574="",N(H574)=0),"",N574/H574)</f>
        <v/>
      </c>
      <c r="Q574" s="25"/>
    </row>
    <row r="575" customFormat="false" ht="15" hidden="false" customHeight="false" outlineLevel="0" collapsed="false">
      <c r="A575" s="69"/>
      <c r="B575" s="68"/>
      <c r="C575" s="76" t="str">
        <f aca="false">IF(B575="","",IFERROR(INDEX(EN_Des,MATCH(B575,EN_Code,0)),"Code inconnu"))</f>
        <v/>
      </c>
      <c r="D575" s="25"/>
      <c r="E575" s="25"/>
      <c r="F575" s="82"/>
      <c r="G575" s="82"/>
      <c r="H575" s="83" t="str">
        <f aca="false">IF(OR(F575="",G575=""),"",G575-F575)</f>
        <v/>
      </c>
      <c r="I575" s="82"/>
      <c r="J575" s="82"/>
      <c r="K575" s="28"/>
      <c r="L575" s="90" t="str">
        <f aca="false">IF(OR(K575="",N(H575)=0),"",K575/H575)</f>
        <v/>
      </c>
      <c r="M575" s="68"/>
      <c r="N575" s="28"/>
      <c r="O575" s="25"/>
      <c r="P575" s="83" t="str">
        <f aca="false">IF(OR(N575="",N(H575)=0),"",N575/H575)</f>
        <v/>
      </c>
      <c r="Q575" s="25"/>
    </row>
    <row r="576" customFormat="false" ht="15" hidden="false" customHeight="false" outlineLevel="0" collapsed="false">
      <c r="A576" s="69"/>
      <c r="B576" s="68"/>
      <c r="C576" s="76" t="str">
        <f aca="false">IF(B576="","",IFERROR(INDEX(EN_Des,MATCH(B576,EN_Code,0)),"Code inconnu"))</f>
        <v/>
      </c>
      <c r="D576" s="25"/>
      <c r="E576" s="25"/>
      <c r="F576" s="82"/>
      <c r="G576" s="82"/>
      <c r="H576" s="83" t="str">
        <f aca="false">IF(OR(F576="",G576=""),"",G576-F576)</f>
        <v/>
      </c>
      <c r="I576" s="82"/>
      <c r="J576" s="82"/>
      <c r="K576" s="28"/>
      <c r="L576" s="90" t="str">
        <f aca="false">IF(OR(K576="",N(H576)=0),"",K576/H576)</f>
        <v/>
      </c>
      <c r="M576" s="68"/>
      <c r="N576" s="28"/>
      <c r="O576" s="25"/>
      <c r="P576" s="83" t="str">
        <f aca="false">IF(OR(N576="",N(H576)=0),"",N576/H576)</f>
        <v/>
      </c>
      <c r="Q576" s="25"/>
    </row>
    <row r="577" customFormat="false" ht="15" hidden="false" customHeight="false" outlineLevel="0" collapsed="false">
      <c r="A577" s="69"/>
      <c r="B577" s="68"/>
      <c r="C577" s="76" t="str">
        <f aca="false">IF(B577="","",IFERROR(INDEX(EN_Des,MATCH(B577,EN_Code,0)),"Code inconnu"))</f>
        <v/>
      </c>
      <c r="D577" s="25"/>
      <c r="E577" s="25"/>
      <c r="F577" s="82"/>
      <c r="G577" s="82"/>
      <c r="H577" s="83" t="str">
        <f aca="false">IF(OR(F577="",G577=""),"",G577-F577)</f>
        <v/>
      </c>
      <c r="I577" s="82"/>
      <c r="J577" s="82"/>
      <c r="K577" s="28"/>
      <c r="L577" s="90" t="str">
        <f aca="false">IF(OR(K577="",N(H577)=0),"",K577/H577)</f>
        <v/>
      </c>
      <c r="M577" s="68"/>
      <c r="N577" s="28"/>
      <c r="O577" s="25"/>
      <c r="P577" s="83" t="str">
        <f aca="false">IF(OR(N577="",N(H577)=0),"",N577/H577)</f>
        <v/>
      </c>
      <c r="Q577" s="25"/>
    </row>
    <row r="578" customFormat="false" ht="15" hidden="false" customHeight="false" outlineLevel="0" collapsed="false">
      <c r="A578" s="69"/>
      <c r="B578" s="68"/>
      <c r="C578" s="76" t="str">
        <f aca="false">IF(B578="","",IFERROR(INDEX(EN_Des,MATCH(B578,EN_Code,0)),"Code inconnu"))</f>
        <v/>
      </c>
      <c r="D578" s="25"/>
      <c r="E578" s="25"/>
      <c r="F578" s="82"/>
      <c r="G578" s="82"/>
      <c r="H578" s="83" t="str">
        <f aca="false">IF(OR(F578="",G578=""),"",G578-F578)</f>
        <v/>
      </c>
      <c r="I578" s="82"/>
      <c r="J578" s="82"/>
      <c r="K578" s="28"/>
      <c r="L578" s="90" t="str">
        <f aca="false">IF(OR(K578="",N(H578)=0),"",K578/H578)</f>
        <v/>
      </c>
      <c r="M578" s="68"/>
      <c r="N578" s="28"/>
      <c r="O578" s="25"/>
      <c r="P578" s="83" t="str">
        <f aca="false">IF(OR(N578="",N(H578)=0),"",N578/H578)</f>
        <v/>
      </c>
      <c r="Q578" s="25"/>
    </row>
    <row r="579" customFormat="false" ht="15" hidden="false" customHeight="false" outlineLevel="0" collapsed="false">
      <c r="A579" s="69"/>
      <c r="B579" s="68"/>
      <c r="C579" s="76" t="str">
        <f aca="false">IF(B579="","",IFERROR(INDEX(EN_Des,MATCH(B579,EN_Code,0)),"Code inconnu"))</f>
        <v/>
      </c>
      <c r="D579" s="25"/>
      <c r="E579" s="25"/>
      <c r="F579" s="82"/>
      <c r="G579" s="82"/>
      <c r="H579" s="83" t="str">
        <f aca="false">IF(OR(F579="",G579=""),"",G579-F579)</f>
        <v/>
      </c>
      <c r="I579" s="82"/>
      <c r="J579" s="82"/>
      <c r="K579" s="28"/>
      <c r="L579" s="90" t="str">
        <f aca="false">IF(OR(K579="",N(H579)=0),"",K579/H579)</f>
        <v/>
      </c>
      <c r="M579" s="68"/>
      <c r="N579" s="28"/>
      <c r="O579" s="25"/>
      <c r="P579" s="83" t="str">
        <f aca="false">IF(OR(N579="",N(H579)=0),"",N579/H579)</f>
        <v/>
      </c>
      <c r="Q579" s="25"/>
    </row>
    <row r="580" customFormat="false" ht="15" hidden="false" customHeight="false" outlineLevel="0" collapsed="false">
      <c r="A580" s="69"/>
      <c r="B580" s="68"/>
      <c r="C580" s="76" t="str">
        <f aca="false">IF(B580="","",IFERROR(INDEX(EN_Des,MATCH(B580,EN_Code,0)),"Code inconnu"))</f>
        <v/>
      </c>
      <c r="D580" s="25"/>
      <c r="E580" s="25"/>
      <c r="F580" s="82"/>
      <c r="G580" s="82"/>
      <c r="H580" s="83" t="str">
        <f aca="false">IF(OR(F580="",G580=""),"",G580-F580)</f>
        <v/>
      </c>
      <c r="I580" s="82"/>
      <c r="J580" s="82"/>
      <c r="K580" s="28"/>
      <c r="L580" s="90" t="str">
        <f aca="false">IF(OR(K580="",N(H580)=0),"",K580/H580)</f>
        <v/>
      </c>
      <c r="M580" s="68"/>
      <c r="N580" s="28"/>
      <c r="O580" s="25"/>
      <c r="P580" s="83" t="str">
        <f aca="false">IF(OR(N580="",N(H580)=0),"",N580/H580)</f>
        <v/>
      </c>
      <c r="Q580" s="25"/>
    </row>
    <row r="581" customFormat="false" ht="15" hidden="false" customHeight="false" outlineLevel="0" collapsed="false">
      <c r="A581" s="69"/>
      <c r="B581" s="68"/>
      <c r="C581" s="76" t="str">
        <f aca="false">IF(B581="","",IFERROR(INDEX(EN_Des,MATCH(B581,EN_Code,0)),"Code inconnu"))</f>
        <v/>
      </c>
      <c r="D581" s="25"/>
      <c r="E581" s="25"/>
      <c r="F581" s="82"/>
      <c r="G581" s="82"/>
      <c r="H581" s="83" t="str">
        <f aca="false">IF(OR(F581="",G581=""),"",G581-F581)</f>
        <v/>
      </c>
      <c r="I581" s="82"/>
      <c r="J581" s="82"/>
      <c r="K581" s="28"/>
      <c r="L581" s="90" t="str">
        <f aca="false">IF(OR(K581="",N(H581)=0),"",K581/H581)</f>
        <v/>
      </c>
      <c r="M581" s="68"/>
      <c r="N581" s="28"/>
      <c r="O581" s="25"/>
      <c r="P581" s="83" t="str">
        <f aca="false">IF(OR(N581="",N(H581)=0),"",N581/H581)</f>
        <v/>
      </c>
      <c r="Q581" s="25"/>
    </row>
    <row r="582" customFormat="false" ht="15" hidden="false" customHeight="false" outlineLevel="0" collapsed="false">
      <c r="A582" s="69"/>
      <c r="B582" s="68"/>
      <c r="C582" s="76" t="str">
        <f aca="false">IF(B582="","",IFERROR(INDEX(EN_Des,MATCH(B582,EN_Code,0)),"Code inconnu"))</f>
        <v/>
      </c>
      <c r="D582" s="25"/>
      <c r="E582" s="25"/>
      <c r="F582" s="82"/>
      <c r="G582" s="82"/>
      <c r="H582" s="83" t="str">
        <f aca="false">IF(OR(F582="",G582=""),"",G582-F582)</f>
        <v/>
      </c>
      <c r="I582" s="82"/>
      <c r="J582" s="82"/>
      <c r="K582" s="28"/>
      <c r="L582" s="90" t="str">
        <f aca="false">IF(OR(K582="",N(H582)=0),"",K582/H582)</f>
        <v/>
      </c>
      <c r="M582" s="68"/>
      <c r="N582" s="28"/>
      <c r="O582" s="25"/>
      <c r="P582" s="83" t="str">
        <f aca="false">IF(OR(N582="",N(H582)=0),"",N582/H582)</f>
        <v/>
      </c>
      <c r="Q582" s="25"/>
    </row>
    <row r="583" customFormat="false" ht="15" hidden="false" customHeight="false" outlineLevel="0" collapsed="false">
      <c r="A583" s="69"/>
      <c r="B583" s="68"/>
      <c r="C583" s="76" t="str">
        <f aca="false">IF(B583="","",IFERROR(INDEX(EN_Des,MATCH(B583,EN_Code,0)),"Code inconnu"))</f>
        <v/>
      </c>
      <c r="D583" s="25"/>
      <c r="E583" s="25"/>
      <c r="F583" s="82"/>
      <c r="G583" s="82"/>
      <c r="H583" s="83" t="str">
        <f aca="false">IF(OR(F583="",G583=""),"",G583-F583)</f>
        <v/>
      </c>
      <c r="I583" s="82"/>
      <c r="J583" s="82"/>
      <c r="K583" s="28"/>
      <c r="L583" s="90" t="str">
        <f aca="false">IF(OR(K583="",N(H583)=0),"",K583/H583)</f>
        <v/>
      </c>
      <c r="M583" s="68"/>
      <c r="N583" s="28"/>
      <c r="O583" s="25"/>
      <c r="P583" s="83" t="str">
        <f aca="false">IF(OR(N583="",N(H583)=0),"",N583/H583)</f>
        <v/>
      </c>
      <c r="Q583" s="25"/>
    </row>
    <row r="584" customFormat="false" ht="15" hidden="false" customHeight="false" outlineLevel="0" collapsed="false">
      <c r="A584" s="69"/>
      <c r="B584" s="68"/>
      <c r="C584" s="76" t="str">
        <f aca="false">IF(B584="","",IFERROR(INDEX(EN_Des,MATCH(B584,EN_Code,0)),"Code inconnu"))</f>
        <v/>
      </c>
      <c r="D584" s="25"/>
      <c r="E584" s="25"/>
      <c r="F584" s="82"/>
      <c r="G584" s="82"/>
      <c r="H584" s="83" t="str">
        <f aca="false">IF(OR(F584="",G584=""),"",G584-F584)</f>
        <v/>
      </c>
      <c r="I584" s="82"/>
      <c r="J584" s="82"/>
      <c r="K584" s="28"/>
      <c r="L584" s="90" t="str">
        <f aca="false">IF(OR(K584="",N(H584)=0),"",K584/H584)</f>
        <v/>
      </c>
      <c r="M584" s="68"/>
      <c r="N584" s="28"/>
      <c r="O584" s="25"/>
      <c r="P584" s="83" t="str">
        <f aca="false">IF(OR(N584="",N(H584)=0),"",N584/H584)</f>
        <v/>
      </c>
      <c r="Q584" s="25"/>
    </row>
    <row r="585" customFormat="false" ht="15" hidden="false" customHeight="false" outlineLevel="0" collapsed="false">
      <c r="A585" s="69"/>
      <c r="B585" s="68"/>
      <c r="C585" s="76" t="str">
        <f aca="false">IF(B585="","",IFERROR(INDEX(EN_Des,MATCH(B585,EN_Code,0)),"Code inconnu"))</f>
        <v/>
      </c>
      <c r="D585" s="25"/>
      <c r="E585" s="25"/>
      <c r="F585" s="82"/>
      <c r="G585" s="82"/>
      <c r="H585" s="83" t="str">
        <f aca="false">IF(OR(F585="",G585=""),"",G585-F585)</f>
        <v/>
      </c>
      <c r="I585" s="82"/>
      <c r="J585" s="82"/>
      <c r="K585" s="28"/>
      <c r="L585" s="90" t="str">
        <f aca="false">IF(OR(K585="",N(H585)=0),"",K585/H585)</f>
        <v/>
      </c>
      <c r="M585" s="68"/>
      <c r="N585" s="28"/>
      <c r="O585" s="25"/>
      <c r="P585" s="83" t="str">
        <f aca="false">IF(OR(N585="",N(H585)=0),"",N585/H585)</f>
        <v/>
      </c>
      <c r="Q585" s="25"/>
    </row>
    <row r="586" customFormat="false" ht="15" hidden="false" customHeight="false" outlineLevel="0" collapsed="false">
      <c r="A586" s="69"/>
      <c r="B586" s="68"/>
      <c r="C586" s="76" t="str">
        <f aca="false">IF(B586="","",IFERROR(INDEX(EN_Des,MATCH(B586,EN_Code,0)),"Code inconnu"))</f>
        <v/>
      </c>
      <c r="D586" s="25"/>
      <c r="E586" s="25"/>
      <c r="F586" s="82"/>
      <c r="G586" s="82"/>
      <c r="H586" s="83" t="str">
        <f aca="false">IF(OR(F586="",G586=""),"",G586-F586)</f>
        <v/>
      </c>
      <c r="I586" s="82"/>
      <c r="J586" s="82"/>
      <c r="K586" s="28"/>
      <c r="L586" s="90" t="str">
        <f aca="false">IF(OR(K586="",N(H586)=0),"",K586/H586)</f>
        <v/>
      </c>
      <c r="M586" s="68"/>
      <c r="N586" s="28"/>
      <c r="O586" s="25"/>
      <c r="P586" s="83" t="str">
        <f aca="false">IF(OR(N586="",N(H586)=0),"",N586/H586)</f>
        <v/>
      </c>
      <c r="Q586" s="25"/>
    </row>
    <row r="587" customFormat="false" ht="15" hidden="false" customHeight="false" outlineLevel="0" collapsed="false">
      <c r="A587" s="69"/>
      <c r="B587" s="68"/>
      <c r="C587" s="76" t="str">
        <f aca="false">IF(B587="","",IFERROR(INDEX(EN_Des,MATCH(B587,EN_Code,0)),"Code inconnu"))</f>
        <v/>
      </c>
      <c r="D587" s="25"/>
      <c r="E587" s="25"/>
      <c r="F587" s="82"/>
      <c r="G587" s="82"/>
      <c r="H587" s="83" t="str">
        <f aca="false">IF(OR(F587="",G587=""),"",G587-F587)</f>
        <v/>
      </c>
      <c r="I587" s="82"/>
      <c r="J587" s="82"/>
      <c r="K587" s="28"/>
      <c r="L587" s="90" t="str">
        <f aca="false">IF(OR(K587="",N(H587)=0),"",K587/H587)</f>
        <v/>
      </c>
      <c r="M587" s="68"/>
      <c r="N587" s="28"/>
      <c r="O587" s="25"/>
      <c r="P587" s="83" t="str">
        <f aca="false">IF(OR(N587="",N(H587)=0),"",N587/H587)</f>
        <v/>
      </c>
      <c r="Q587" s="25"/>
    </row>
    <row r="588" customFormat="false" ht="15" hidden="false" customHeight="false" outlineLevel="0" collapsed="false">
      <c r="A588" s="69"/>
      <c r="B588" s="68"/>
      <c r="C588" s="76" t="str">
        <f aca="false">IF(B588="","",IFERROR(INDEX(EN_Des,MATCH(B588,EN_Code,0)),"Code inconnu"))</f>
        <v/>
      </c>
      <c r="D588" s="25"/>
      <c r="E588" s="25"/>
      <c r="F588" s="82"/>
      <c r="G588" s="82"/>
      <c r="H588" s="83" t="str">
        <f aca="false">IF(OR(F588="",G588=""),"",G588-F588)</f>
        <v/>
      </c>
      <c r="I588" s="82"/>
      <c r="J588" s="82"/>
      <c r="K588" s="28"/>
      <c r="L588" s="90" t="str">
        <f aca="false">IF(OR(K588="",N(H588)=0),"",K588/H588)</f>
        <v/>
      </c>
      <c r="M588" s="68"/>
      <c r="N588" s="28"/>
      <c r="O588" s="25"/>
      <c r="P588" s="83" t="str">
        <f aca="false">IF(OR(N588="",N(H588)=0),"",N588/H588)</f>
        <v/>
      </c>
      <c r="Q588" s="25"/>
    </row>
    <row r="589" customFormat="false" ht="15" hidden="false" customHeight="false" outlineLevel="0" collapsed="false">
      <c r="A589" s="69"/>
      <c r="B589" s="68"/>
      <c r="C589" s="76" t="str">
        <f aca="false">IF(B589="","",IFERROR(INDEX(EN_Des,MATCH(B589,EN_Code,0)),"Code inconnu"))</f>
        <v/>
      </c>
      <c r="D589" s="25"/>
      <c r="E589" s="25"/>
      <c r="F589" s="82"/>
      <c r="G589" s="82"/>
      <c r="H589" s="83" t="str">
        <f aca="false">IF(OR(F589="",G589=""),"",G589-F589)</f>
        <v/>
      </c>
      <c r="I589" s="82"/>
      <c r="J589" s="82"/>
      <c r="K589" s="28"/>
      <c r="L589" s="90" t="str">
        <f aca="false">IF(OR(K589="",N(H589)=0),"",K589/H589)</f>
        <v/>
      </c>
      <c r="M589" s="68"/>
      <c r="N589" s="28"/>
      <c r="O589" s="25"/>
      <c r="P589" s="83" t="str">
        <f aca="false">IF(OR(N589="",N(H589)=0),"",N589/H589)</f>
        <v/>
      </c>
      <c r="Q589" s="25"/>
    </row>
    <row r="590" customFormat="false" ht="15" hidden="false" customHeight="false" outlineLevel="0" collapsed="false">
      <c r="A590" s="69"/>
      <c r="B590" s="68"/>
      <c r="C590" s="76" t="str">
        <f aca="false">IF(B590="","",IFERROR(INDEX(EN_Des,MATCH(B590,EN_Code,0)),"Code inconnu"))</f>
        <v/>
      </c>
      <c r="D590" s="25"/>
      <c r="E590" s="25"/>
      <c r="F590" s="82"/>
      <c r="G590" s="82"/>
      <c r="H590" s="83" t="str">
        <f aca="false">IF(OR(F590="",G590=""),"",G590-F590)</f>
        <v/>
      </c>
      <c r="I590" s="82"/>
      <c r="J590" s="82"/>
      <c r="K590" s="28"/>
      <c r="L590" s="90" t="str">
        <f aca="false">IF(OR(K590="",N(H590)=0),"",K590/H590)</f>
        <v/>
      </c>
      <c r="M590" s="68"/>
      <c r="N590" s="28"/>
      <c r="O590" s="25"/>
      <c r="P590" s="83" t="str">
        <f aca="false">IF(OR(N590="",N(H590)=0),"",N590/H590)</f>
        <v/>
      </c>
      <c r="Q590" s="25"/>
    </row>
    <row r="591" customFormat="false" ht="15" hidden="false" customHeight="false" outlineLevel="0" collapsed="false">
      <c r="A591" s="69"/>
      <c r="B591" s="68"/>
      <c r="C591" s="76" t="str">
        <f aca="false">IF(B591="","",IFERROR(INDEX(EN_Des,MATCH(B591,EN_Code,0)),"Code inconnu"))</f>
        <v/>
      </c>
      <c r="D591" s="25"/>
      <c r="E591" s="25"/>
      <c r="F591" s="82"/>
      <c r="G591" s="82"/>
      <c r="H591" s="83" t="str">
        <f aca="false">IF(OR(F591="",G591=""),"",G591-F591)</f>
        <v/>
      </c>
      <c r="I591" s="82"/>
      <c r="J591" s="82"/>
      <c r="K591" s="28"/>
      <c r="L591" s="90" t="str">
        <f aca="false">IF(OR(K591="",N(H591)=0),"",K591/H591)</f>
        <v/>
      </c>
      <c r="M591" s="68"/>
      <c r="N591" s="28"/>
      <c r="O591" s="25"/>
      <c r="P591" s="83" t="str">
        <f aca="false">IF(OR(N591="",N(H591)=0),"",N591/H591)</f>
        <v/>
      </c>
      <c r="Q591" s="25"/>
    </row>
    <row r="592" customFormat="false" ht="15" hidden="false" customHeight="false" outlineLevel="0" collapsed="false">
      <c r="A592" s="69"/>
      <c r="B592" s="68"/>
      <c r="C592" s="76" t="str">
        <f aca="false">IF(B592="","",IFERROR(INDEX(EN_Des,MATCH(B592,EN_Code,0)),"Code inconnu"))</f>
        <v/>
      </c>
      <c r="D592" s="25"/>
      <c r="E592" s="25"/>
      <c r="F592" s="82"/>
      <c r="G592" s="82"/>
      <c r="H592" s="83" t="str">
        <f aca="false">IF(OR(F592="",G592=""),"",G592-F592)</f>
        <v/>
      </c>
      <c r="I592" s="82"/>
      <c r="J592" s="82"/>
      <c r="K592" s="28"/>
      <c r="L592" s="90" t="str">
        <f aca="false">IF(OR(K592="",N(H592)=0),"",K592/H592)</f>
        <v/>
      </c>
      <c r="M592" s="68"/>
      <c r="N592" s="28"/>
      <c r="O592" s="25"/>
      <c r="P592" s="83" t="str">
        <f aca="false">IF(OR(N592="",N(H592)=0),"",N592/H592)</f>
        <v/>
      </c>
      <c r="Q592" s="25"/>
    </row>
    <row r="593" customFormat="false" ht="15" hidden="false" customHeight="false" outlineLevel="0" collapsed="false">
      <c r="A593" s="69"/>
      <c r="B593" s="68"/>
      <c r="C593" s="76" t="str">
        <f aca="false">IF(B593="","",IFERROR(INDEX(EN_Des,MATCH(B593,EN_Code,0)),"Code inconnu"))</f>
        <v/>
      </c>
      <c r="D593" s="25"/>
      <c r="E593" s="25"/>
      <c r="F593" s="82"/>
      <c r="G593" s="82"/>
      <c r="H593" s="83" t="str">
        <f aca="false">IF(OR(F593="",G593=""),"",G593-F593)</f>
        <v/>
      </c>
      <c r="I593" s="82"/>
      <c r="J593" s="82"/>
      <c r="K593" s="28"/>
      <c r="L593" s="90" t="str">
        <f aca="false">IF(OR(K593="",N(H593)=0),"",K593/H593)</f>
        <v/>
      </c>
      <c r="M593" s="68"/>
      <c r="N593" s="28"/>
      <c r="O593" s="25"/>
      <c r="P593" s="83" t="str">
        <f aca="false">IF(OR(N593="",N(H593)=0),"",N593/H593)</f>
        <v/>
      </c>
      <c r="Q593" s="25"/>
    </row>
    <row r="594" customFormat="false" ht="15" hidden="false" customHeight="false" outlineLevel="0" collapsed="false">
      <c r="A594" s="69"/>
      <c r="B594" s="68"/>
      <c r="C594" s="76" t="str">
        <f aca="false">IF(B594="","",IFERROR(INDEX(EN_Des,MATCH(B594,EN_Code,0)),"Code inconnu"))</f>
        <v/>
      </c>
      <c r="D594" s="25"/>
      <c r="E594" s="25"/>
      <c r="F594" s="82"/>
      <c r="G594" s="82"/>
      <c r="H594" s="83" t="str">
        <f aca="false">IF(OR(F594="",G594=""),"",G594-F594)</f>
        <v/>
      </c>
      <c r="I594" s="82"/>
      <c r="J594" s="82"/>
      <c r="K594" s="28"/>
      <c r="L594" s="90" t="str">
        <f aca="false">IF(OR(K594="",N(H594)=0),"",K594/H594)</f>
        <v/>
      </c>
      <c r="M594" s="68"/>
      <c r="N594" s="28"/>
      <c r="O594" s="25"/>
      <c r="P594" s="83" t="str">
        <f aca="false">IF(OR(N594="",N(H594)=0),"",N594/H594)</f>
        <v/>
      </c>
      <c r="Q594" s="25"/>
    </row>
    <row r="595" customFormat="false" ht="15" hidden="false" customHeight="false" outlineLevel="0" collapsed="false">
      <c r="A595" s="69"/>
      <c r="B595" s="68"/>
      <c r="C595" s="76" t="str">
        <f aca="false">IF(B595="","",IFERROR(INDEX(EN_Des,MATCH(B595,EN_Code,0)),"Code inconnu"))</f>
        <v/>
      </c>
      <c r="D595" s="25"/>
      <c r="E595" s="25"/>
      <c r="F595" s="82"/>
      <c r="G595" s="82"/>
      <c r="H595" s="83" t="str">
        <f aca="false">IF(OR(F595="",G595=""),"",G595-F595)</f>
        <v/>
      </c>
      <c r="I595" s="82"/>
      <c r="J595" s="82"/>
      <c r="K595" s="28"/>
      <c r="L595" s="90" t="str">
        <f aca="false">IF(OR(K595="",N(H595)=0),"",K595/H595)</f>
        <v/>
      </c>
      <c r="M595" s="68"/>
      <c r="N595" s="28"/>
      <c r="O595" s="25"/>
      <c r="P595" s="83" t="str">
        <f aca="false">IF(OR(N595="",N(H595)=0),"",N595/H595)</f>
        <v/>
      </c>
      <c r="Q595" s="25"/>
    </row>
    <row r="596" customFormat="false" ht="15" hidden="false" customHeight="false" outlineLevel="0" collapsed="false">
      <c r="A596" s="69"/>
      <c r="B596" s="68"/>
      <c r="C596" s="76" t="str">
        <f aca="false">IF(B596="","",IFERROR(INDEX(EN_Des,MATCH(B596,EN_Code,0)),"Code inconnu"))</f>
        <v/>
      </c>
      <c r="D596" s="25"/>
      <c r="E596" s="25"/>
      <c r="F596" s="82"/>
      <c r="G596" s="82"/>
      <c r="H596" s="83" t="str">
        <f aca="false">IF(OR(F596="",G596=""),"",G596-F596)</f>
        <v/>
      </c>
      <c r="I596" s="82"/>
      <c r="J596" s="82"/>
      <c r="K596" s="28"/>
      <c r="L596" s="90" t="str">
        <f aca="false">IF(OR(K596="",N(H596)=0),"",K596/H596)</f>
        <v/>
      </c>
      <c r="M596" s="68"/>
      <c r="N596" s="28"/>
      <c r="O596" s="25"/>
      <c r="P596" s="83" t="str">
        <f aca="false">IF(OR(N596="",N(H596)=0),"",N596/H596)</f>
        <v/>
      </c>
      <c r="Q596" s="25"/>
    </row>
    <row r="597" customFormat="false" ht="15" hidden="false" customHeight="false" outlineLevel="0" collapsed="false">
      <c r="A597" s="69"/>
      <c r="B597" s="68"/>
      <c r="C597" s="76" t="str">
        <f aca="false">IF(B597="","",IFERROR(INDEX(EN_Des,MATCH(B597,EN_Code,0)),"Code inconnu"))</f>
        <v/>
      </c>
      <c r="D597" s="25"/>
      <c r="E597" s="25"/>
      <c r="F597" s="82"/>
      <c r="G597" s="82"/>
      <c r="H597" s="83" t="str">
        <f aca="false">IF(OR(F597="",G597=""),"",G597-F597)</f>
        <v/>
      </c>
      <c r="I597" s="82"/>
      <c r="J597" s="82"/>
      <c r="K597" s="28"/>
      <c r="L597" s="90" t="str">
        <f aca="false">IF(OR(K597="",N(H597)=0),"",K597/H597)</f>
        <v/>
      </c>
      <c r="M597" s="68"/>
      <c r="N597" s="28"/>
      <c r="O597" s="25"/>
      <c r="P597" s="83" t="str">
        <f aca="false">IF(OR(N597="",N(H597)=0),"",N597/H597)</f>
        <v/>
      </c>
      <c r="Q597" s="25"/>
    </row>
    <row r="598" customFormat="false" ht="15" hidden="false" customHeight="false" outlineLevel="0" collapsed="false">
      <c r="A598" s="69"/>
      <c r="B598" s="68"/>
      <c r="C598" s="76" t="str">
        <f aca="false">IF(B598="","",IFERROR(INDEX(EN_Des,MATCH(B598,EN_Code,0)),"Code inconnu"))</f>
        <v/>
      </c>
      <c r="D598" s="25"/>
      <c r="E598" s="25"/>
      <c r="F598" s="82"/>
      <c r="G598" s="82"/>
      <c r="H598" s="83" t="str">
        <f aca="false">IF(OR(F598="",G598=""),"",G598-F598)</f>
        <v/>
      </c>
      <c r="I598" s="82"/>
      <c r="J598" s="82"/>
      <c r="K598" s="28"/>
      <c r="L598" s="90" t="str">
        <f aca="false">IF(OR(K598="",N(H598)=0),"",K598/H598)</f>
        <v/>
      </c>
      <c r="M598" s="68"/>
      <c r="N598" s="28"/>
      <c r="O598" s="25"/>
      <c r="P598" s="83" t="str">
        <f aca="false">IF(OR(N598="",N(H598)=0),"",N598/H598)</f>
        <v/>
      </c>
      <c r="Q598" s="25"/>
    </row>
    <row r="599" customFormat="false" ht="15" hidden="false" customHeight="false" outlineLevel="0" collapsed="false">
      <c r="A599" s="69"/>
      <c r="B599" s="68"/>
      <c r="C599" s="76" t="str">
        <f aca="false">IF(B599="","",IFERROR(INDEX(EN_Des,MATCH(B599,EN_Code,0)),"Code inconnu"))</f>
        <v/>
      </c>
      <c r="D599" s="25"/>
      <c r="E599" s="25"/>
      <c r="F599" s="82"/>
      <c r="G599" s="82"/>
      <c r="H599" s="83" t="str">
        <f aca="false">IF(OR(F599="",G599=""),"",G599-F599)</f>
        <v/>
      </c>
      <c r="I599" s="82"/>
      <c r="J599" s="82"/>
      <c r="K599" s="28"/>
      <c r="L599" s="90" t="str">
        <f aca="false">IF(OR(K599="",N(H599)=0),"",K599/H599)</f>
        <v/>
      </c>
      <c r="M599" s="68"/>
      <c r="N599" s="28"/>
      <c r="O599" s="25"/>
      <c r="P599" s="83" t="str">
        <f aca="false">IF(OR(N599="",N(H599)=0),"",N599/H599)</f>
        <v/>
      </c>
      <c r="Q599" s="25"/>
    </row>
    <row r="600" customFormat="false" ht="15" hidden="false" customHeight="false" outlineLevel="0" collapsed="false">
      <c r="A600" s="69"/>
      <c r="B600" s="68"/>
      <c r="C600" s="76" t="str">
        <f aca="false">IF(B600="","",IFERROR(INDEX(EN_Des,MATCH(B600,EN_Code,0)),"Code inconnu"))</f>
        <v/>
      </c>
      <c r="D600" s="25"/>
      <c r="E600" s="25"/>
      <c r="F600" s="82"/>
      <c r="G600" s="82"/>
      <c r="H600" s="83" t="str">
        <f aca="false">IF(OR(F600="",G600=""),"",G600-F600)</f>
        <v/>
      </c>
      <c r="I600" s="82"/>
      <c r="J600" s="82"/>
      <c r="K600" s="28"/>
      <c r="L600" s="90" t="str">
        <f aca="false">IF(OR(K600="",N(H600)=0),"",K600/H600)</f>
        <v/>
      </c>
      <c r="M600" s="68"/>
      <c r="N600" s="28"/>
      <c r="O600" s="25"/>
      <c r="P600" s="83" t="str">
        <f aca="false">IF(OR(N600="",N(H600)=0),"",N600/H600)</f>
        <v/>
      </c>
      <c r="Q600" s="25"/>
    </row>
    <row r="601" customFormat="false" ht="15" hidden="false" customHeight="false" outlineLevel="0" collapsed="false">
      <c r="A601" s="69"/>
      <c r="B601" s="68"/>
      <c r="C601" s="76" t="str">
        <f aca="false">IF(B601="","",IFERROR(INDEX(EN_Des,MATCH(B601,EN_Code,0)),"Code inconnu"))</f>
        <v/>
      </c>
      <c r="D601" s="25"/>
      <c r="E601" s="25"/>
      <c r="F601" s="82"/>
      <c r="G601" s="82"/>
      <c r="H601" s="83" t="str">
        <f aca="false">IF(OR(F601="",G601=""),"",G601-F601)</f>
        <v/>
      </c>
      <c r="I601" s="82"/>
      <c r="J601" s="82"/>
      <c r="K601" s="28"/>
      <c r="L601" s="90" t="str">
        <f aca="false">IF(OR(K601="",N(H601)=0),"",K601/H601)</f>
        <v/>
      </c>
      <c r="M601" s="68"/>
      <c r="N601" s="28"/>
      <c r="O601" s="25"/>
      <c r="P601" s="83" t="str">
        <f aca="false">IF(OR(N601="",N(H601)=0),"",N601/H601)</f>
        <v/>
      </c>
      <c r="Q601" s="25"/>
    </row>
    <row r="602" customFormat="false" ht="15" hidden="false" customHeight="false" outlineLevel="0" collapsed="false">
      <c r="A602" s="69"/>
      <c r="B602" s="68"/>
      <c r="C602" s="76" t="str">
        <f aca="false">IF(B602="","",IFERROR(INDEX(EN_Des,MATCH(B602,EN_Code,0)),"Code inconnu"))</f>
        <v/>
      </c>
      <c r="D602" s="25"/>
      <c r="E602" s="25"/>
      <c r="F602" s="82"/>
      <c r="G602" s="82"/>
      <c r="H602" s="83" t="str">
        <f aca="false">IF(OR(F602="",G602=""),"",G602-F602)</f>
        <v/>
      </c>
      <c r="I602" s="82"/>
      <c r="J602" s="82"/>
      <c r="K602" s="28"/>
      <c r="L602" s="90" t="str">
        <f aca="false">IF(OR(K602="",N(H602)=0),"",K602/H602)</f>
        <v/>
      </c>
      <c r="M602" s="68"/>
      <c r="N602" s="28"/>
      <c r="O602" s="25"/>
      <c r="P602" s="83" t="str">
        <f aca="false">IF(OR(N602="",N(H602)=0),"",N602/H602)</f>
        <v/>
      </c>
      <c r="Q602" s="25"/>
    </row>
    <row r="603" customFormat="false" ht="15" hidden="false" customHeight="false" outlineLevel="0" collapsed="false">
      <c r="A603" s="69"/>
      <c r="B603" s="68"/>
      <c r="C603" s="76" t="str">
        <f aca="false">IF(B603="","",IFERROR(INDEX(EN_Des,MATCH(B603,EN_Code,0)),"Code inconnu"))</f>
        <v/>
      </c>
      <c r="D603" s="25"/>
      <c r="E603" s="25"/>
      <c r="F603" s="82"/>
      <c r="G603" s="82"/>
      <c r="H603" s="83" t="str">
        <f aca="false">IF(OR(F603="",G603=""),"",G603-F603)</f>
        <v/>
      </c>
      <c r="I603" s="82"/>
      <c r="J603" s="82"/>
      <c r="K603" s="28"/>
      <c r="L603" s="90" t="str">
        <f aca="false">IF(OR(K603="",N(H603)=0),"",K603/H603)</f>
        <v/>
      </c>
      <c r="M603" s="68"/>
      <c r="N603" s="28"/>
      <c r="O603" s="25"/>
      <c r="P603" s="83" t="str">
        <f aca="false">IF(OR(N603="",N(H603)=0),"",N603/H603)</f>
        <v/>
      </c>
      <c r="Q603" s="25"/>
    </row>
    <row r="604" customFormat="false" ht="15" hidden="false" customHeight="false" outlineLevel="0" collapsed="false">
      <c r="A604" s="69"/>
      <c r="B604" s="68"/>
      <c r="C604" s="76" t="str">
        <f aca="false">IF(B604="","",IFERROR(INDEX(EN_Des,MATCH(B604,EN_Code,0)),"Code inconnu"))</f>
        <v/>
      </c>
      <c r="D604" s="25"/>
      <c r="E604" s="25"/>
      <c r="F604" s="82"/>
      <c r="G604" s="82"/>
      <c r="H604" s="83" t="str">
        <f aca="false">IF(OR(F604="",G604=""),"",G604-F604)</f>
        <v/>
      </c>
      <c r="I604" s="82"/>
      <c r="J604" s="82"/>
      <c r="K604" s="28"/>
      <c r="L604" s="90" t="str">
        <f aca="false">IF(OR(K604="",N(H604)=0),"",K604/H604)</f>
        <v/>
      </c>
      <c r="M604" s="68"/>
      <c r="N604" s="28"/>
      <c r="O604" s="25"/>
      <c r="P604" s="83" t="str">
        <f aca="false">IF(OR(N604="",N(H604)=0),"",N604/H604)</f>
        <v/>
      </c>
      <c r="Q604" s="25"/>
    </row>
    <row r="605" customFormat="false" ht="15" hidden="false" customHeight="false" outlineLevel="0" collapsed="false">
      <c r="A605" s="69"/>
      <c r="B605" s="68"/>
      <c r="C605" s="76" t="str">
        <f aca="false">IF(B605="","",IFERROR(INDEX(EN_Des,MATCH(B605,EN_Code,0)),"Code inconnu"))</f>
        <v/>
      </c>
      <c r="D605" s="25"/>
      <c r="E605" s="25"/>
      <c r="F605" s="82"/>
      <c r="G605" s="82"/>
      <c r="H605" s="83" t="str">
        <f aca="false">IF(OR(F605="",G605=""),"",G605-F605)</f>
        <v/>
      </c>
      <c r="I605" s="82"/>
      <c r="J605" s="82"/>
      <c r="K605" s="28"/>
      <c r="L605" s="90" t="str">
        <f aca="false">IF(OR(K605="",N(H605)=0),"",K605/H605)</f>
        <v/>
      </c>
      <c r="M605" s="68"/>
      <c r="N605" s="28"/>
      <c r="O605" s="25"/>
      <c r="P605" s="83" t="str">
        <f aca="false">IF(OR(N605="",N(H605)=0),"",N605/H605)</f>
        <v/>
      </c>
      <c r="Q605" s="25"/>
    </row>
    <row r="606" customFormat="false" ht="15" hidden="false" customHeight="false" outlineLevel="0" collapsed="false">
      <c r="A606" s="69"/>
      <c r="B606" s="68"/>
      <c r="C606" s="76" t="str">
        <f aca="false">IF(B606="","",IFERROR(INDEX(EN_Des,MATCH(B606,EN_Code,0)),"Code inconnu"))</f>
        <v/>
      </c>
      <c r="D606" s="25"/>
      <c r="E606" s="25"/>
      <c r="F606" s="82"/>
      <c r="G606" s="82"/>
      <c r="H606" s="83" t="str">
        <f aca="false">IF(OR(F606="",G606=""),"",G606-F606)</f>
        <v/>
      </c>
      <c r="I606" s="82"/>
      <c r="J606" s="82"/>
      <c r="K606" s="28"/>
      <c r="L606" s="90" t="str">
        <f aca="false">IF(OR(K606="",N(H606)=0),"",K606/H606)</f>
        <v/>
      </c>
      <c r="M606" s="68"/>
      <c r="N606" s="28"/>
      <c r="O606" s="25"/>
      <c r="P606" s="83" t="str">
        <f aca="false">IF(OR(N606="",N(H606)=0),"",N606/H606)</f>
        <v/>
      </c>
      <c r="Q606" s="25"/>
    </row>
    <row r="607" customFormat="false" ht="15" hidden="false" customHeight="false" outlineLevel="0" collapsed="false">
      <c r="A607" s="69"/>
      <c r="B607" s="68"/>
      <c r="C607" s="76" t="str">
        <f aca="false">IF(B607="","",IFERROR(INDEX(EN_Des,MATCH(B607,EN_Code,0)),"Code inconnu"))</f>
        <v/>
      </c>
      <c r="D607" s="25"/>
      <c r="E607" s="25"/>
      <c r="F607" s="82"/>
      <c r="G607" s="82"/>
      <c r="H607" s="83" t="str">
        <f aca="false">IF(OR(F607="",G607=""),"",G607-F607)</f>
        <v/>
      </c>
      <c r="I607" s="82"/>
      <c r="J607" s="82"/>
      <c r="K607" s="28"/>
      <c r="L607" s="90" t="str">
        <f aca="false">IF(OR(K607="",N(H607)=0),"",K607/H607)</f>
        <v/>
      </c>
      <c r="M607" s="68"/>
      <c r="N607" s="28"/>
      <c r="O607" s="25"/>
      <c r="P607" s="83" t="str">
        <f aca="false">IF(OR(N607="",N(H607)=0),"",N607/H607)</f>
        <v/>
      </c>
      <c r="Q607" s="25"/>
    </row>
    <row r="608" customFormat="false" ht="15" hidden="false" customHeight="false" outlineLevel="0" collapsed="false">
      <c r="A608" s="69"/>
      <c r="B608" s="68"/>
      <c r="C608" s="76" t="str">
        <f aca="false">IF(B608="","",IFERROR(INDEX(EN_Des,MATCH(B608,EN_Code,0)),"Code inconnu"))</f>
        <v/>
      </c>
      <c r="D608" s="25"/>
      <c r="E608" s="25"/>
      <c r="F608" s="82"/>
      <c r="G608" s="82"/>
      <c r="H608" s="83" t="str">
        <f aca="false">IF(OR(F608="",G608=""),"",G608-F608)</f>
        <v/>
      </c>
      <c r="I608" s="82"/>
      <c r="J608" s="82"/>
      <c r="K608" s="28"/>
      <c r="L608" s="90" t="str">
        <f aca="false">IF(OR(K608="",N(H608)=0),"",K608/H608)</f>
        <v/>
      </c>
      <c r="M608" s="68"/>
      <c r="N608" s="28"/>
      <c r="O608" s="25"/>
      <c r="P608" s="83" t="str">
        <f aca="false">IF(OR(N608="",N(H608)=0),"",N608/H608)</f>
        <v/>
      </c>
      <c r="Q608" s="25"/>
    </row>
    <row r="609" customFormat="false" ht="15" hidden="false" customHeight="false" outlineLevel="0" collapsed="false">
      <c r="A609" s="69"/>
      <c r="B609" s="68"/>
      <c r="C609" s="76" t="str">
        <f aca="false">IF(B609="","",IFERROR(INDEX(EN_Des,MATCH(B609,EN_Code,0)),"Code inconnu"))</f>
        <v/>
      </c>
      <c r="D609" s="25"/>
      <c r="E609" s="25"/>
      <c r="F609" s="82"/>
      <c r="G609" s="82"/>
      <c r="H609" s="83" t="str">
        <f aca="false">IF(OR(F609="",G609=""),"",G609-F609)</f>
        <v/>
      </c>
      <c r="I609" s="82"/>
      <c r="J609" s="82"/>
      <c r="K609" s="28"/>
      <c r="L609" s="90" t="str">
        <f aca="false">IF(OR(K609="",N(H609)=0),"",K609/H609)</f>
        <v/>
      </c>
      <c r="M609" s="68"/>
      <c r="N609" s="28"/>
      <c r="O609" s="25"/>
      <c r="P609" s="83" t="str">
        <f aca="false">IF(OR(N609="",N(H609)=0),"",N609/H609)</f>
        <v/>
      </c>
      <c r="Q609" s="25"/>
    </row>
    <row r="610" customFormat="false" ht="15" hidden="false" customHeight="false" outlineLevel="0" collapsed="false">
      <c r="A610" s="69"/>
      <c r="B610" s="68"/>
      <c r="C610" s="76" t="str">
        <f aca="false">IF(B610="","",IFERROR(INDEX(EN_Des,MATCH(B610,EN_Code,0)),"Code inconnu"))</f>
        <v/>
      </c>
      <c r="D610" s="25"/>
      <c r="E610" s="25"/>
      <c r="F610" s="82"/>
      <c r="G610" s="82"/>
      <c r="H610" s="83" t="str">
        <f aca="false">IF(OR(F610="",G610=""),"",G610-F610)</f>
        <v/>
      </c>
      <c r="I610" s="82"/>
      <c r="J610" s="82"/>
      <c r="K610" s="28"/>
      <c r="L610" s="90" t="str">
        <f aca="false">IF(OR(K610="",N(H610)=0),"",K610/H610)</f>
        <v/>
      </c>
      <c r="M610" s="68"/>
      <c r="N610" s="28"/>
      <c r="O610" s="25"/>
      <c r="P610" s="83" t="str">
        <f aca="false">IF(OR(N610="",N(H610)=0),"",N610/H610)</f>
        <v/>
      </c>
      <c r="Q610" s="25"/>
    </row>
    <row r="611" customFormat="false" ht="15" hidden="false" customHeight="false" outlineLevel="0" collapsed="false">
      <c r="A611" s="69"/>
      <c r="B611" s="68"/>
      <c r="C611" s="76" t="str">
        <f aca="false">IF(B611="","",IFERROR(INDEX(EN_Des,MATCH(B611,EN_Code,0)),"Code inconnu"))</f>
        <v/>
      </c>
      <c r="D611" s="25"/>
      <c r="E611" s="25"/>
      <c r="F611" s="82"/>
      <c r="G611" s="82"/>
      <c r="H611" s="83" t="str">
        <f aca="false">IF(OR(F611="",G611=""),"",G611-F611)</f>
        <v/>
      </c>
      <c r="I611" s="82"/>
      <c r="J611" s="82"/>
      <c r="K611" s="28"/>
      <c r="L611" s="90" t="str">
        <f aca="false">IF(OR(K611="",N(H611)=0),"",K611/H611)</f>
        <v/>
      </c>
      <c r="M611" s="68"/>
      <c r="N611" s="28"/>
      <c r="O611" s="25"/>
      <c r="P611" s="83" t="str">
        <f aca="false">IF(OR(N611="",N(H611)=0),"",N611/H611)</f>
        <v/>
      </c>
      <c r="Q611" s="25"/>
    </row>
    <row r="612" customFormat="false" ht="15" hidden="false" customHeight="false" outlineLevel="0" collapsed="false">
      <c r="A612" s="69"/>
      <c r="B612" s="68"/>
      <c r="C612" s="76" t="str">
        <f aca="false">IF(B612="","",IFERROR(INDEX(EN_Des,MATCH(B612,EN_Code,0)),"Code inconnu"))</f>
        <v/>
      </c>
      <c r="D612" s="25"/>
      <c r="E612" s="25"/>
      <c r="F612" s="82"/>
      <c r="G612" s="82"/>
      <c r="H612" s="83" t="str">
        <f aca="false">IF(OR(F612="",G612=""),"",G612-F612)</f>
        <v/>
      </c>
      <c r="I612" s="82"/>
      <c r="J612" s="82"/>
      <c r="K612" s="28"/>
      <c r="L612" s="90" t="str">
        <f aca="false">IF(OR(K612="",N(H612)=0),"",K612/H612)</f>
        <v/>
      </c>
      <c r="M612" s="68"/>
      <c r="N612" s="28"/>
      <c r="O612" s="25"/>
      <c r="P612" s="83" t="str">
        <f aca="false">IF(OR(N612="",N(H612)=0),"",N612/H612)</f>
        <v/>
      </c>
      <c r="Q612" s="25"/>
    </row>
    <row r="613" customFormat="false" ht="15" hidden="false" customHeight="false" outlineLevel="0" collapsed="false">
      <c r="A613" s="69"/>
      <c r="B613" s="68"/>
      <c r="C613" s="76" t="str">
        <f aca="false">IF(B613="","",IFERROR(INDEX(EN_Des,MATCH(B613,EN_Code,0)),"Code inconnu"))</f>
        <v/>
      </c>
      <c r="D613" s="25"/>
      <c r="E613" s="25"/>
      <c r="F613" s="82"/>
      <c r="G613" s="82"/>
      <c r="H613" s="83" t="str">
        <f aca="false">IF(OR(F613="",G613=""),"",G613-F613)</f>
        <v/>
      </c>
      <c r="I613" s="82"/>
      <c r="J613" s="82"/>
      <c r="K613" s="28"/>
      <c r="L613" s="90" t="str">
        <f aca="false">IF(OR(K613="",N(H613)=0),"",K613/H613)</f>
        <v/>
      </c>
      <c r="M613" s="68"/>
      <c r="N613" s="28"/>
      <c r="O613" s="25"/>
      <c r="P613" s="83" t="str">
        <f aca="false">IF(OR(N613="",N(H613)=0),"",N613/H613)</f>
        <v/>
      </c>
      <c r="Q613" s="25"/>
    </row>
    <row r="614" customFormat="false" ht="15" hidden="false" customHeight="false" outlineLevel="0" collapsed="false">
      <c r="A614" s="69"/>
      <c r="B614" s="68"/>
      <c r="C614" s="76" t="str">
        <f aca="false">IF(B614="","",IFERROR(INDEX(EN_Des,MATCH(B614,EN_Code,0)),"Code inconnu"))</f>
        <v/>
      </c>
      <c r="D614" s="25"/>
      <c r="E614" s="25"/>
      <c r="F614" s="82"/>
      <c r="G614" s="82"/>
      <c r="H614" s="83" t="str">
        <f aca="false">IF(OR(F614="",G614=""),"",G614-F614)</f>
        <v/>
      </c>
      <c r="I614" s="82"/>
      <c r="J614" s="82"/>
      <c r="K614" s="28"/>
      <c r="L614" s="90" t="str">
        <f aca="false">IF(OR(K614="",N(H614)=0),"",K614/H614)</f>
        <v/>
      </c>
      <c r="M614" s="68"/>
      <c r="N614" s="28"/>
      <c r="O614" s="25"/>
      <c r="P614" s="83" t="str">
        <f aca="false">IF(OR(N614="",N(H614)=0),"",N614/H614)</f>
        <v/>
      </c>
      <c r="Q614" s="25"/>
    </row>
    <row r="615" customFormat="false" ht="15" hidden="false" customHeight="false" outlineLevel="0" collapsed="false">
      <c r="A615" s="69"/>
      <c r="B615" s="68"/>
      <c r="C615" s="76" t="str">
        <f aca="false">IF(B615="","",IFERROR(INDEX(EN_Des,MATCH(B615,EN_Code,0)),"Code inconnu"))</f>
        <v/>
      </c>
      <c r="D615" s="25"/>
      <c r="E615" s="25"/>
      <c r="F615" s="82"/>
      <c r="G615" s="82"/>
      <c r="H615" s="83" t="str">
        <f aca="false">IF(OR(F615="",G615=""),"",G615-F615)</f>
        <v/>
      </c>
      <c r="I615" s="82"/>
      <c r="J615" s="82"/>
      <c r="K615" s="28"/>
      <c r="L615" s="90" t="str">
        <f aca="false">IF(OR(K615="",N(H615)=0),"",K615/H615)</f>
        <v/>
      </c>
      <c r="M615" s="68"/>
      <c r="N615" s="28"/>
      <c r="O615" s="25"/>
      <c r="P615" s="83" t="str">
        <f aca="false">IF(OR(N615="",N(H615)=0),"",N615/H615)</f>
        <v/>
      </c>
      <c r="Q615" s="25"/>
    </row>
    <row r="616" customFormat="false" ht="15" hidden="false" customHeight="false" outlineLevel="0" collapsed="false">
      <c r="A616" s="69"/>
      <c r="B616" s="68"/>
      <c r="C616" s="76" t="str">
        <f aca="false">IF(B616="","",IFERROR(INDEX(EN_Des,MATCH(B616,EN_Code,0)),"Code inconnu"))</f>
        <v/>
      </c>
      <c r="D616" s="25"/>
      <c r="E616" s="25"/>
      <c r="F616" s="82"/>
      <c r="G616" s="82"/>
      <c r="H616" s="83" t="str">
        <f aca="false">IF(OR(F616="",G616=""),"",G616-F616)</f>
        <v/>
      </c>
      <c r="I616" s="82"/>
      <c r="J616" s="82"/>
      <c r="K616" s="28"/>
      <c r="L616" s="90" t="str">
        <f aca="false">IF(OR(K616="",N(H616)=0),"",K616/H616)</f>
        <v/>
      </c>
      <c r="M616" s="68"/>
      <c r="N616" s="28"/>
      <c r="O616" s="25"/>
      <c r="P616" s="83" t="str">
        <f aca="false">IF(OR(N616="",N(H616)=0),"",N616/H616)</f>
        <v/>
      </c>
      <c r="Q616" s="25"/>
    </row>
    <row r="617" customFormat="false" ht="15" hidden="false" customHeight="false" outlineLevel="0" collapsed="false">
      <c r="A617" s="69"/>
      <c r="B617" s="68"/>
      <c r="C617" s="76" t="str">
        <f aca="false">IF(B617="","",IFERROR(INDEX(EN_Des,MATCH(B617,EN_Code,0)),"Code inconnu"))</f>
        <v/>
      </c>
      <c r="D617" s="25"/>
      <c r="E617" s="25"/>
      <c r="F617" s="82"/>
      <c r="G617" s="82"/>
      <c r="H617" s="83" t="str">
        <f aca="false">IF(OR(F617="",G617=""),"",G617-F617)</f>
        <v/>
      </c>
      <c r="I617" s="82"/>
      <c r="J617" s="82"/>
      <c r="K617" s="28"/>
      <c r="L617" s="90" t="str">
        <f aca="false">IF(OR(K617="",N(H617)=0),"",K617/H617)</f>
        <v/>
      </c>
      <c r="M617" s="68"/>
      <c r="N617" s="28"/>
      <c r="O617" s="25"/>
      <c r="P617" s="83" t="str">
        <f aca="false">IF(OR(N617="",N(H617)=0),"",N617/H617)</f>
        <v/>
      </c>
      <c r="Q617" s="25"/>
    </row>
    <row r="618" customFormat="false" ht="15" hidden="false" customHeight="false" outlineLevel="0" collapsed="false">
      <c r="A618" s="69"/>
      <c r="B618" s="68"/>
      <c r="C618" s="76" t="str">
        <f aca="false">IF(B618="","",IFERROR(INDEX(EN_Des,MATCH(B618,EN_Code,0)),"Code inconnu"))</f>
        <v/>
      </c>
      <c r="D618" s="25"/>
      <c r="E618" s="25"/>
      <c r="F618" s="82"/>
      <c r="G618" s="82"/>
      <c r="H618" s="83" t="str">
        <f aca="false">IF(OR(F618="",G618=""),"",G618-F618)</f>
        <v/>
      </c>
      <c r="I618" s="82"/>
      <c r="J618" s="82"/>
      <c r="K618" s="28"/>
      <c r="L618" s="90" t="str">
        <f aca="false">IF(OR(K618="",N(H618)=0),"",K618/H618)</f>
        <v/>
      </c>
      <c r="M618" s="68"/>
      <c r="N618" s="28"/>
      <c r="O618" s="25"/>
      <c r="P618" s="83" t="str">
        <f aca="false">IF(OR(N618="",N(H618)=0),"",N618/H618)</f>
        <v/>
      </c>
      <c r="Q618" s="25"/>
    </row>
    <row r="619" customFormat="false" ht="15" hidden="false" customHeight="false" outlineLevel="0" collapsed="false">
      <c r="A619" s="69"/>
      <c r="B619" s="68"/>
      <c r="C619" s="76" t="str">
        <f aca="false">IF(B619="","",IFERROR(INDEX(EN_Des,MATCH(B619,EN_Code,0)),"Code inconnu"))</f>
        <v/>
      </c>
      <c r="D619" s="25"/>
      <c r="E619" s="25"/>
      <c r="F619" s="82"/>
      <c r="G619" s="82"/>
      <c r="H619" s="83" t="str">
        <f aca="false">IF(OR(F619="",G619=""),"",G619-F619)</f>
        <v/>
      </c>
      <c r="I619" s="82"/>
      <c r="J619" s="82"/>
      <c r="K619" s="28"/>
      <c r="L619" s="90" t="str">
        <f aca="false">IF(OR(K619="",N(H619)=0),"",K619/H619)</f>
        <v/>
      </c>
      <c r="M619" s="68"/>
      <c r="N619" s="28"/>
      <c r="O619" s="25"/>
      <c r="P619" s="83" t="str">
        <f aca="false">IF(OR(N619="",N(H619)=0),"",N619/H619)</f>
        <v/>
      </c>
      <c r="Q619" s="25"/>
    </row>
    <row r="620" customFormat="false" ht="15" hidden="false" customHeight="false" outlineLevel="0" collapsed="false">
      <c r="A620" s="69"/>
      <c r="B620" s="68"/>
      <c r="C620" s="76" t="str">
        <f aca="false">IF(B620="","",IFERROR(INDEX(EN_Des,MATCH(B620,EN_Code,0)),"Code inconnu"))</f>
        <v/>
      </c>
      <c r="D620" s="25"/>
      <c r="E620" s="25"/>
      <c r="F620" s="82"/>
      <c r="G620" s="82"/>
      <c r="H620" s="83" t="str">
        <f aca="false">IF(OR(F620="",G620=""),"",G620-F620)</f>
        <v/>
      </c>
      <c r="I620" s="82"/>
      <c r="J620" s="82"/>
      <c r="K620" s="28"/>
      <c r="L620" s="90" t="str">
        <f aca="false">IF(OR(K620="",N(H620)=0),"",K620/H620)</f>
        <v/>
      </c>
      <c r="M620" s="68"/>
      <c r="N620" s="28"/>
      <c r="O620" s="25"/>
      <c r="P620" s="83" t="str">
        <f aca="false">IF(OR(N620="",N(H620)=0),"",N620/H620)</f>
        <v/>
      </c>
      <c r="Q620" s="25"/>
    </row>
    <row r="621" customFormat="false" ht="15" hidden="false" customHeight="false" outlineLevel="0" collapsed="false">
      <c r="A621" s="69"/>
      <c r="B621" s="68"/>
      <c r="C621" s="76" t="str">
        <f aca="false">IF(B621="","",IFERROR(INDEX(EN_Des,MATCH(B621,EN_Code,0)),"Code inconnu"))</f>
        <v/>
      </c>
      <c r="D621" s="25"/>
      <c r="E621" s="25"/>
      <c r="F621" s="82"/>
      <c r="G621" s="82"/>
      <c r="H621" s="83" t="str">
        <f aca="false">IF(OR(F621="",G621=""),"",G621-F621)</f>
        <v/>
      </c>
      <c r="I621" s="82"/>
      <c r="J621" s="82"/>
      <c r="K621" s="28"/>
      <c r="L621" s="90" t="str">
        <f aca="false">IF(OR(K621="",N(H621)=0),"",K621/H621)</f>
        <v/>
      </c>
      <c r="M621" s="68"/>
      <c r="N621" s="28"/>
      <c r="O621" s="25"/>
      <c r="P621" s="83" t="str">
        <f aca="false">IF(OR(N621="",N(H621)=0),"",N621/H621)</f>
        <v/>
      </c>
      <c r="Q621" s="25"/>
    </row>
    <row r="622" customFormat="false" ht="15" hidden="false" customHeight="false" outlineLevel="0" collapsed="false">
      <c r="A622" s="69"/>
      <c r="B622" s="68"/>
      <c r="C622" s="76" t="str">
        <f aca="false">IF(B622="","",IFERROR(INDEX(EN_Des,MATCH(B622,EN_Code,0)),"Code inconnu"))</f>
        <v/>
      </c>
      <c r="D622" s="25"/>
      <c r="E622" s="25"/>
      <c r="F622" s="82"/>
      <c r="G622" s="82"/>
      <c r="H622" s="83" t="str">
        <f aca="false">IF(OR(F622="",G622=""),"",G622-F622)</f>
        <v/>
      </c>
      <c r="I622" s="82"/>
      <c r="J622" s="82"/>
      <c r="K622" s="28"/>
      <c r="L622" s="90" t="str">
        <f aca="false">IF(OR(K622="",N(H622)=0),"",K622/H622)</f>
        <v/>
      </c>
      <c r="M622" s="68"/>
      <c r="N622" s="28"/>
      <c r="O622" s="25"/>
      <c r="P622" s="83" t="str">
        <f aca="false">IF(OR(N622="",N(H622)=0),"",N622/H622)</f>
        <v/>
      </c>
      <c r="Q622" s="25"/>
    </row>
    <row r="623" customFormat="false" ht="15" hidden="false" customHeight="false" outlineLevel="0" collapsed="false">
      <c r="A623" s="69"/>
      <c r="B623" s="68"/>
      <c r="C623" s="76" t="str">
        <f aca="false">IF(B623="","",IFERROR(INDEX(EN_Des,MATCH(B623,EN_Code,0)),"Code inconnu"))</f>
        <v/>
      </c>
      <c r="D623" s="25"/>
      <c r="E623" s="25"/>
      <c r="F623" s="82"/>
      <c r="G623" s="82"/>
      <c r="H623" s="83" t="str">
        <f aca="false">IF(OR(F623="",G623=""),"",G623-F623)</f>
        <v/>
      </c>
      <c r="I623" s="82"/>
      <c r="J623" s="82"/>
      <c r="K623" s="28"/>
      <c r="L623" s="90" t="str">
        <f aca="false">IF(OR(K623="",N(H623)=0),"",K623/H623)</f>
        <v/>
      </c>
      <c r="M623" s="68"/>
      <c r="N623" s="28"/>
      <c r="O623" s="25"/>
      <c r="P623" s="83" t="str">
        <f aca="false">IF(OR(N623="",N(H623)=0),"",N623/H623)</f>
        <v/>
      </c>
      <c r="Q623" s="25"/>
    </row>
    <row r="624" customFormat="false" ht="15" hidden="false" customHeight="false" outlineLevel="0" collapsed="false">
      <c r="A624" s="69"/>
      <c r="B624" s="68"/>
      <c r="C624" s="76" t="str">
        <f aca="false">IF(B624="","",IFERROR(INDEX(EN_Des,MATCH(B624,EN_Code,0)),"Code inconnu"))</f>
        <v/>
      </c>
      <c r="D624" s="25"/>
      <c r="E624" s="25"/>
      <c r="F624" s="82"/>
      <c r="G624" s="82"/>
      <c r="H624" s="83" t="str">
        <f aca="false">IF(OR(F624="",G624=""),"",G624-F624)</f>
        <v/>
      </c>
      <c r="I624" s="82"/>
      <c r="J624" s="82"/>
      <c r="K624" s="28"/>
      <c r="L624" s="90" t="str">
        <f aca="false">IF(OR(K624="",N(H624)=0),"",K624/H624)</f>
        <v/>
      </c>
      <c r="M624" s="68"/>
      <c r="N624" s="28"/>
      <c r="O624" s="25"/>
      <c r="P624" s="83" t="str">
        <f aca="false">IF(OR(N624="",N(H624)=0),"",N624/H624)</f>
        <v/>
      </c>
      <c r="Q624" s="25"/>
    </row>
    <row r="625" customFormat="false" ht="15" hidden="false" customHeight="false" outlineLevel="0" collapsed="false">
      <c r="A625" s="69"/>
      <c r="B625" s="68"/>
      <c r="C625" s="76" t="str">
        <f aca="false">IF(B625="","",IFERROR(INDEX(EN_Des,MATCH(B625,EN_Code,0)),"Code inconnu"))</f>
        <v/>
      </c>
      <c r="D625" s="25"/>
      <c r="E625" s="25"/>
      <c r="F625" s="82"/>
      <c r="G625" s="82"/>
      <c r="H625" s="83" t="str">
        <f aca="false">IF(OR(F625="",G625=""),"",G625-F625)</f>
        <v/>
      </c>
      <c r="I625" s="82"/>
      <c r="J625" s="82"/>
      <c r="K625" s="28"/>
      <c r="L625" s="90" t="str">
        <f aca="false">IF(OR(K625="",N(H625)=0),"",K625/H625)</f>
        <v/>
      </c>
      <c r="M625" s="68"/>
      <c r="N625" s="28"/>
      <c r="O625" s="25"/>
      <c r="P625" s="83" t="str">
        <f aca="false">IF(OR(N625="",N(H625)=0),"",N625/H625)</f>
        <v/>
      </c>
      <c r="Q625" s="25"/>
    </row>
    <row r="626" customFormat="false" ht="15" hidden="false" customHeight="false" outlineLevel="0" collapsed="false">
      <c r="A626" s="69"/>
      <c r="B626" s="68"/>
      <c r="C626" s="76" t="str">
        <f aca="false">IF(B626="","",IFERROR(INDEX(EN_Des,MATCH(B626,EN_Code,0)),"Code inconnu"))</f>
        <v/>
      </c>
      <c r="D626" s="25"/>
      <c r="E626" s="25"/>
      <c r="F626" s="82"/>
      <c r="G626" s="82"/>
      <c r="H626" s="83" t="str">
        <f aca="false">IF(OR(F626="",G626=""),"",G626-F626)</f>
        <v/>
      </c>
      <c r="I626" s="82"/>
      <c r="J626" s="82"/>
      <c r="K626" s="28"/>
      <c r="L626" s="90" t="str">
        <f aca="false">IF(OR(K626="",N(H626)=0),"",K626/H626)</f>
        <v/>
      </c>
      <c r="M626" s="68"/>
      <c r="N626" s="28"/>
      <c r="O626" s="25"/>
      <c r="P626" s="83" t="str">
        <f aca="false">IF(OR(N626="",N(H626)=0),"",N626/H626)</f>
        <v/>
      </c>
      <c r="Q626" s="25"/>
    </row>
    <row r="627" customFormat="false" ht="15" hidden="false" customHeight="false" outlineLevel="0" collapsed="false">
      <c r="A627" s="69"/>
      <c r="B627" s="68"/>
      <c r="C627" s="76" t="str">
        <f aca="false">IF(B627="","",IFERROR(INDEX(EN_Des,MATCH(B627,EN_Code,0)),"Code inconnu"))</f>
        <v/>
      </c>
      <c r="D627" s="25"/>
      <c r="E627" s="25"/>
      <c r="F627" s="82"/>
      <c r="G627" s="82"/>
      <c r="H627" s="83" t="str">
        <f aca="false">IF(OR(F627="",G627=""),"",G627-F627)</f>
        <v/>
      </c>
      <c r="I627" s="82"/>
      <c r="J627" s="82"/>
      <c r="K627" s="28"/>
      <c r="L627" s="90" t="str">
        <f aca="false">IF(OR(K627="",N(H627)=0),"",K627/H627)</f>
        <v/>
      </c>
      <c r="M627" s="68"/>
      <c r="N627" s="28"/>
      <c r="O627" s="25"/>
      <c r="P627" s="83" t="str">
        <f aca="false">IF(OR(N627="",N(H627)=0),"",N627/H627)</f>
        <v/>
      </c>
      <c r="Q627" s="25"/>
    </row>
    <row r="628" customFormat="false" ht="15" hidden="false" customHeight="false" outlineLevel="0" collapsed="false">
      <c r="A628" s="69"/>
      <c r="B628" s="68"/>
      <c r="C628" s="76" t="str">
        <f aca="false">IF(B628="","",IFERROR(INDEX(EN_Des,MATCH(B628,EN_Code,0)),"Code inconnu"))</f>
        <v/>
      </c>
      <c r="D628" s="25"/>
      <c r="E628" s="25"/>
      <c r="F628" s="82"/>
      <c r="G628" s="82"/>
      <c r="H628" s="83" t="str">
        <f aca="false">IF(OR(F628="",G628=""),"",G628-F628)</f>
        <v/>
      </c>
      <c r="I628" s="82"/>
      <c r="J628" s="82"/>
      <c r="K628" s="28"/>
      <c r="L628" s="90" t="str">
        <f aca="false">IF(OR(K628="",N(H628)=0),"",K628/H628)</f>
        <v/>
      </c>
      <c r="M628" s="68"/>
      <c r="N628" s="28"/>
      <c r="O628" s="25"/>
      <c r="P628" s="83" t="str">
        <f aca="false">IF(OR(N628="",N(H628)=0),"",N628/H628)</f>
        <v/>
      </c>
      <c r="Q628" s="25"/>
    </row>
    <row r="629" customFormat="false" ht="15" hidden="false" customHeight="false" outlineLevel="0" collapsed="false">
      <c r="A629" s="69"/>
      <c r="B629" s="68"/>
      <c r="C629" s="76" t="str">
        <f aca="false">IF(B629="","",IFERROR(INDEX(EN_Des,MATCH(B629,EN_Code,0)),"Code inconnu"))</f>
        <v/>
      </c>
      <c r="D629" s="25"/>
      <c r="E629" s="25"/>
      <c r="F629" s="82"/>
      <c r="G629" s="82"/>
      <c r="H629" s="83" t="str">
        <f aca="false">IF(OR(F629="",G629=""),"",G629-F629)</f>
        <v/>
      </c>
      <c r="I629" s="82"/>
      <c r="J629" s="82"/>
      <c r="K629" s="28"/>
      <c r="L629" s="90" t="str">
        <f aca="false">IF(OR(K629="",N(H629)=0),"",K629/H629)</f>
        <v/>
      </c>
      <c r="M629" s="68"/>
      <c r="N629" s="28"/>
      <c r="O629" s="25"/>
      <c r="P629" s="83" t="str">
        <f aca="false">IF(OR(N629="",N(H629)=0),"",N629/H629)</f>
        <v/>
      </c>
      <c r="Q629" s="25"/>
    </row>
    <row r="630" customFormat="false" ht="15" hidden="false" customHeight="false" outlineLevel="0" collapsed="false">
      <c r="A630" s="69"/>
      <c r="B630" s="68"/>
      <c r="C630" s="76" t="str">
        <f aca="false">IF(B630="","",IFERROR(INDEX(EN_Des,MATCH(B630,EN_Code,0)),"Code inconnu"))</f>
        <v/>
      </c>
      <c r="D630" s="25"/>
      <c r="E630" s="25"/>
      <c r="F630" s="82"/>
      <c r="G630" s="82"/>
      <c r="H630" s="83" t="str">
        <f aca="false">IF(OR(F630="",G630=""),"",G630-F630)</f>
        <v/>
      </c>
      <c r="I630" s="82"/>
      <c r="J630" s="82"/>
      <c r="K630" s="28"/>
      <c r="L630" s="90" t="str">
        <f aca="false">IF(OR(K630="",N(H630)=0),"",K630/H630)</f>
        <v/>
      </c>
      <c r="M630" s="68"/>
      <c r="N630" s="28"/>
      <c r="O630" s="25"/>
      <c r="P630" s="83" t="str">
        <f aca="false">IF(OR(N630="",N(H630)=0),"",N630/H630)</f>
        <v/>
      </c>
      <c r="Q630" s="25"/>
    </row>
    <row r="631" customFormat="false" ht="15" hidden="false" customHeight="false" outlineLevel="0" collapsed="false">
      <c r="A631" s="69"/>
      <c r="B631" s="68"/>
      <c r="C631" s="76" t="str">
        <f aca="false">IF(B631="","",IFERROR(INDEX(EN_Des,MATCH(B631,EN_Code,0)),"Code inconnu"))</f>
        <v/>
      </c>
      <c r="D631" s="25"/>
      <c r="E631" s="25"/>
      <c r="F631" s="82"/>
      <c r="G631" s="82"/>
      <c r="H631" s="83" t="str">
        <f aca="false">IF(OR(F631="",G631=""),"",G631-F631)</f>
        <v/>
      </c>
      <c r="I631" s="82"/>
      <c r="J631" s="82"/>
      <c r="K631" s="28"/>
      <c r="L631" s="90" t="str">
        <f aca="false">IF(OR(K631="",N(H631)=0),"",K631/H631)</f>
        <v/>
      </c>
      <c r="M631" s="68"/>
      <c r="N631" s="28"/>
      <c r="O631" s="25"/>
      <c r="P631" s="83" t="str">
        <f aca="false">IF(OR(N631="",N(H631)=0),"",N631/H631)</f>
        <v/>
      </c>
      <c r="Q631" s="25"/>
    </row>
    <row r="632" customFormat="false" ht="15" hidden="false" customHeight="false" outlineLevel="0" collapsed="false">
      <c r="A632" s="69"/>
      <c r="B632" s="68"/>
      <c r="C632" s="76" t="str">
        <f aca="false">IF(B632="","",IFERROR(INDEX(EN_Des,MATCH(B632,EN_Code,0)),"Code inconnu"))</f>
        <v/>
      </c>
      <c r="D632" s="25"/>
      <c r="E632" s="25"/>
      <c r="F632" s="82"/>
      <c r="G632" s="82"/>
      <c r="H632" s="83" t="str">
        <f aca="false">IF(OR(F632="",G632=""),"",G632-F632)</f>
        <v/>
      </c>
      <c r="I632" s="82"/>
      <c r="J632" s="82"/>
      <c r="K632" s="28"/>
      <c r="L632" s="90" t="str">
        <f aca="false">IF(OR(K632="",N(H632)=0),"",K632/H632)</f>
        <v/>
      </c>
      <c r="M632" s="68"/>
      <c r="N632" s="28"/>
      <c r="O632" s="25"/>
      <c r="P632" s="83" t="str">
        <f aca="false">IF(OR(N632="",N(H632)=0),"",N632/H632)</f>
        <v/>
      </c>
      <c r="Q632" s="25"/>
    </row>
    <row r="633" customFormat="false" ht="15" hidden="false" customHeight="false" outlineLevel="0" collapsed="false">
      <c r="A633" s="69"/>
      <c r="B633" s="68"/>
      <c r="C633" s="76" t="str">
        <f aca="false">IF(B633="","",IFERROR(INDEX(EN_Des,MATCH(B633,EN_Code,0)),"Code inconnu"))</f>
        <v/>
      </c>
      <c r="D633" s="25"/>
      <c r="E633" s="25"/>
      <c r="F633" s="82"/>
      <c r="G633" s="82"/>
      <c r="H633" s="83" t="str">
        <f aca="false">IF(OR(F633="",G633=""),"",G633-F633)</f>
        <v/>
      </c>
      <c r="I633" s="82"/>
      <c r="J633" s="82"/>
      <c r="K633" s="28"/>
      <c r="L633" s="90" t="str">
        <f aca="false">IF(OR(K633="",N(H633)=0),"",K633/H633)</f>
        <v/>
      </c>
      <c r="M633" s="68"/>
      <c r="N633" s="28"/>
      <c r="O633" s="25"/>
      <c r="P633" s="83" t="str">
        <f aca="false">IF(OR(N633="",N(H633)=0),"",N633/H633)</f>
        <v/>
      </c>
      <c r="Q633" s="25"/>
    </row>
    <row r="634" customFormat="false" ht="15" hidden="false" customHeight="false" outlineLevel="0" collapsed="false">
      <c r="A634" s="69"/>
      <c r="B634" s="68"/>
      <c r="C634" s="76" t="str">
        <f aca="false">IF(B634="","",IFERROR(INDEX(EN_Des,MATCH(B634,EN_Code,0)),"Code inconnu"))</f>
        <v/>
      </c>
      <c r="D634" s="25"/>
      <c r="E634" s="25"/>
      <c r="F634" s="82"/>
      <c r="G634" s="82"/>
      <c r="H634" s="83" t="str">
        <f aca="false">IF(OR(F634="",G634=""),"",G634-F634)</f>
        <v/>
      </c>
      <c r="I634" s="82"/>
      <c r="J634" s="82"/>
      <c r="K634" s="28"/>
      <c r="L634" s="90" t="str">
        <f aca="false">IF(OR(K634="",N(H634)=0),"",K634/H634)</f>
        <v/>
      </c>
      <c r="M634" s="68"/>
      <c r="N634" s="28"/>
      <c r="O634" s="25"/>
      <c r="P634" s="83" t="str">
        <f aca="false">IF(OR(N634="",N(H634)=0),"",N634/H634)</f>
        <v/>
      </c>
      <c r="Q634" s="25"/>
    </row>
    <row r="635" customFormat="false" ht="15" hidden="false" customHeight="false" outlineLevel="0" collapsed="false">
      <c r="A635" s="69"/>
      <c r="B635" s="68"/>
      <c r="C635" s="76" t="str">
        <f aca="false">IF(B635="","",IFERROR(INDEX(EN_Des,MATCH(B635,EN_Code,0)),"Code inconnu"))</f>
        <v/>
      </c>
      <c r="D635" s="25"/>
      <c r="E635" s="25"/>
      <c r="F635" s="82"/>
      <c r="G635" s="82"/>
      <c r="H635" s="83" t="str">
        <f aca="false">IF(OR(F635="",G635=""),"",G635-F635)</f>
        <v/>
      </c>
      <c r="I635" s="82"/>
      <c r="J635" s="82"/>
      <c r="K635" s="28"/>
      <c r="L635" s="90" t="str">
        <f aca="false">IF(OR(K635="",N(H635)=0),"",K635/H635)</f>
        <v/>
      </c>
      <c r="M635" s="68"/>
      <c r="N635" s="28"/>
      <c r="O635" s="25"/>
      <c r="P635" s="83" t="str">
        <f aca="false">IF(OR(N635="",N(H635)=0),"",N635/H635)</f>
        <v/>
      </c>
      <c r="Q635" s="25"/>
    </row>
    <row r="636" customFormat="false" ht="15" hidden="false" customHeight="false" outlineLevel="0" collapsed="false">
      <c r="A636" s="69"/>
      <c r="B636" s="68"/>
      <c r="C636" s="76" t="str">
        <f aca="false">IF(B636="","",IFERROR(INDEX(EN_Des,MATCH(B636,EN_Code,0)),"Code inconnu"))</f>
        <v/>
      </c>
      <c r="D636" s="25"/>
      <c r="E636" s="25"/>
      <c r="F636" s="82"/>
      <c r="G636" s="82"/>
      <c r="H636" s="83" t="str">
        <f aca="false">IF(OR(F636="",G636=""),"",G636-F636)</f>
        <v/>
      </c>
      <c r="I636" s="82"/>
      <c r="J636" s="82"/>
      <c r="K636" s="28"/>
      <c r="L636" s="90" t="str">
        <f aca="false">IF(OR(K636="",N(H636)=0),"",K636/H636)</f>
        <v/>
      </c>
      <c r="M636" s="68"/>
      <c r="N636" s="28"/>
      <c r="O636" s="25"/>
      <c r="P636" s="83" t="str">
        <f aca="false">IF(OR(N636="",N(H636)=0),"",N636/H636)</f>
        <v/>
      </c>
      <c r="Q636" s="25"/>
    </row>
    <row r="637" customFormat="false" ht="15" hidden="false" customHeight="false" outlineLevel="0" collapsed="false">
      <c r="A637" s="69"/>
      <c r="B637" s="68"/>
      <c r="C637" s="76" t="str">
        <f aca="false">IF(B637="","",IFERROR(INDEX(EN_Des,MATCH(B637,EN_Code,0)),"Code inconnu"))</f>
        <v/>
      </c>
      <c r="D637" s="25"/>
      <c r="E637" s="25"/>
      <c r="F637" s="82"/>
      <c r="G637" s="82"/>
      <c r="H637" s="83" t="str">
        <f aca="false">IF(OR(F637="",G637=""),"",G637-F637)</f>
        <v/>
      </c>
      <c r="I637" s="82"/>
      <c r="J637" s="82"/>
      <c r="K637" s="28"/>
      <c r="L637" s="90" t="str">
        <f aca="false">IF(OR(K637="",N(H637)=0),"",K637/H637)</f>
        <v/>
      </c>
      <c r="M637" s="68"/>
      <c r="N637" s="28"/>
      <c r="O637" s="25"/>
      <c r="P637" s="83" t="str">
        <f aca="false">IF(OR(N637="",N(H637)=0),"",N637/H637)</f>
        <v/>
      </c>
      <c r="Q637" s="25"/>
    </row>
    <row r="638" customFormat="false" ht="15" hidden="false" customHeight="false" outlineLevel="0" collapsed="false">
      <c r="A638" s="69"/>
      <c r="B638" s="68"/>
      <c r="C638" s="76" t="str">
        <f aca="false">IF(B638="","",IFERROR(INDEX(EN_Des,MATCH(B638,EN_Code,0)),"Code inconnu"))</f>
        <v/>
      </c>
      <c r="D638" s="25"/>
      <c r="E638" s="25"/>
      <c r="F638" s="82"/>
      <c r="G638" s="82"/>
      <c r="H638" s="83" t="str">
        <f aca="false">IF(OR(F638="",G638=""),"",G638-F638)</f>
        <v/>
      </c>
      <c r="I638" s="82"/>
      <c r="J638" s="82"/>
      <c r="K638" s="28"/>
      <c r="L638" s="90" t="str">
        <f aca="false">IF(OR(K638="",N(H638)=0),"",K638/H638)</f>
        <v/>
      </c>
      <c r="M638" s="68"/>
      <c r="N638" s="28"/>
      <c r="O638" s="25"/>
      <c r="P638" s="83" t="str">
        <f aca="false">IF(OR(N638="",N(H638)=0),"",N638/H638)</f>
        <v/>
      </c>
      <c r="Q638" s="25"/>
    </row>
    <row r="639" customFormat="false" ht="15" hidden="false" customHeight="false" outlineLevel="0" collapsed="false">
      <c r="A639" s="69"/>
      <c r="B639" s="68"/>
      <c r="C639" s="76" t="str">
        <f aca="false">IF(B639="","",IFERROR(INDEX(EN_Des,MATCH(B639,EN_Code,0)),"Code inconnu"))</f>
        <v/>
      </c>
      <c r="D639" s="25"/>
      <c r="E639" s="25"/>
      <c r="F639" s="82"/>
      <c r="G639" s="82"/>
      <c r="H639" s="83" t="str">
        <f aca="false">IF(OR(F639="",G639=""),"",G639-F639)</f>
        <v/>
      </c>
      <c r="I639" s="82"/>
      <c r="J639" s="82"/>
      <c r="K639" s="28"/>
      <c r="L639" s="90" t="str">
        <f aca="false">IF(OR(K639="",N(H639)=0),"",K639/H639)</f>
        <v/>
      </c>
      <c r="M639" s="68"/>
      <c r="N639" s="28"/>
      <c r="O639" s="25"/>
      <c r="P639" s="83" t="str">
        <f aca="false">IF(OR(N639="",N(H639)=0),"",N639/H639)</f>
        <v/>
      </c>
      <c r="Q639" s="25"/>
    </row>
    <row r="640" customFormat="false" ht="15" hidden="false" customHeight="false" outlineLevel="0" collapsed="false">
      <c r="A640" s="69"/>
      <c r="B640" s="68"/>
      <c r="C640" s="76" t="str">
        <f aca="false">IF(B640="","",IFERROR(INDEX(EN_Des,MATCH(B640,EN_Code,0)),"Code inconnu"))</f>
        <v/>
      </c>
      <c r="D640" s="25"/>
      <c r="E640" s="25"/>
      <c r="F640" s="82"/>
      <c r="G640" s="82"/>
      <c r="H640" s="83" t="str">
        <f aca="false">IF(OR(F640="",G640=""),"",G640-F640)</f>
        <v/>
      </c>
      <c r="I640" s="82"/>
      <c r="J640" s="82"/>
      <c r="K640" s="28"/>
      <c r="L640" s="90" t="str">
        <f aca="false">IF(OR(K640="",N(H640)=0),"",K640/H640)</f>
        <v/>
      </c>
      <c r="M640" s="68"/>
      <c r="N640" s="28"/>
      <c r="O640" s="25"/>
      <c r="P640" s="83" t="str">
        <f aca="false">IF(OR(N640="",N(H640)=0),"",N640/H640)</f>
        <v/>
      </c>
      <c r="Q640" s="25"/>
    </row>
    <row r="641" customFormat="false" ht="15" hidden="false" customHeight="false" outlineLevel="0" collapsed="false">
      <c r="A641" s="69"/>
      <c r="B641" s="68"/>
      <c r="C641" s="76" t="str">
        <f aca="false">IF(B641="","",IFERROR(INDEX(EN_Des,MATCH(B641,EN_Code,0)),"Code inconnu"))</f>
        <v/>
      </c>
      <c r="D641" s="25"/>
      <c r="E641" s="25"/>
      <c r="F641" s="82"/>
      <c r="G641" s="82"/>
      <c r="H641" s="83" t="str">
        <f aca="false">IF(OR(F641="",G641=""),"",G641-F641)</f>
        <v/>
      </c>
      <c r="I641" s="82"/>
      <c r="J641" s="82"/>
      <c r="K641" s="28"/>
      <c r="L641" s="90" t="str">
        <f aca="false">IF(OR(K641="",N(H641)=0),"",K641/H641)</f>
        <v/>
      </c>
      <c r="M641" s="68"/>
      <c r="N641" s="28"/>
      <c r="O641" s="25"/>
      <c r="P641" s="83" t="str">
        <f aca="false">IF(OR(N641="",N(H641)=0),"",N641/H641)</f>
        <v/>
      </c>
      <c r="Q641" s="25"/>
    </row>
    <row r="642" customFormat="false" ht="15" hidden="false" customHeight="false" outlineLevel="0" collapsed="false">
      <c r="A642" s="69"/>
      <c r="B642" s="68"/>
      <c r="C642" s="76" t="str">
        <f aca="false">IF(B642="","",IFERROR(INDEX(EN_Des,MATCH(B642,EN_Code,0)),"Code inconnu"))</f>
        <v/>
      </c>
      <c r="D642" s="25"/>
      <c r="E642" s="25"/>
      <c r="F642" s="82"/>
      <c r="G642" s="82"/>
      <c r="H642" s="83" t="str">
        <f aca="false">IF(OR(F642="",G642=""),"",G642-F642)</f>
        <v/>
      </c>
      <c r="I642" s="82"/>
      <c r="J642" s="82"/>
      <c r="K642" s="28"/>
      <c r="L642" s="90" t="str">
        <f aca="false">IF(OR(K642="",N(H642)=0),"",K642/H642)</f>
        <v/>
      </c>
      <c r="M642" s="68"/>
      <c r="N642" s="28"/>
      <c r="O642" s="25"/>
      <c r="P642" s="83" t="str">
        <f aca="false">IF(OR(N642="",N(H642)=0),"",N642/H642)</f>
        <v/>
      </c>
      <c r="Q642" s="25"/>
    </row>
    <row r="643" customFormat="false" ht="15" hidden="false" customHeight="false" outlineLevel="0" collapsed="false">
      <c r="A643" s="69"/>
      <c r="B643" s="68"/>
      <c r="C643" s="76" t="str">
        <f aca="false">IF(B643="","",IFERROR(INDEX(EN_Des,MATCH(B643,EN_Code,0)),"Code inconnu"))</f>
        <v/>
      </c>
      <c r="D643" s="25"/>
      <c r="E643" s="25"/>
      <c r="F643" s="82"/>
      <c r="G643" s="82"/>
      <c r="H643" s="83" t="str">
        <f aca="false">IF(OR(F643="",G643=""),"",G643-F643)</f>
        <v/>
      </c>
      <c r="I643" s="82"/>
      <c r="J643" s="82"/>
      <c r="K643" s="28"/>
      <c r="L643" s="90" t="str">
        <f aca="false">IF(OR(K643="",N(H643)=0),"",K643/H643)</f>
        <v/>
      </c>
      <c r="M643" s="68"/>
      <c r="N643" s="28"/>
      <c r="O643" s="25"/>
      <c r="P643" s="83" t="str">
        <f aca="false">IF(OR(N643="",N(H643)=0),"",N643/H643)</f>
        <v/>
      </c>
      <c r="Q643" s="25"/>
    </row>
    <row r="644" customFormat="false" ht="15" hidden="false" customHeight="false" outlineLevel="0" collapsed="false">
      <c r="A644" s="69"/>
      <c r="B644" s="68"/>
      <c r="C644" s="76" t="str">
        <f aca="false">IF(B644="","",IFERROR(INDEX(EN_Des,MATCH(B644,EN_Code,0)),"Code inconnu"))</f>
        <v/>
      </c>
      <c r="D644" s="25"/>
      <c r="E644" s="25"/>
      <c r="F644" s="82"/>
      <c r="G644" s="82"/>
      <c r="H644" s="83" t="str">
        <f aca="false">IF(OR(F644="",G644=""),"",G644-F644)</f>
        <v/>
      </c>
      <c r="I644" s="82"/>
      <c r="J644" s="82"/>
      <c r="K644" s="28"/>
      <c r="L644" s="90" t="str">
        <f aca="false">IF(OR(K644="",N(H644)=0),"",K644/H644)</f>
        <v/>
      </c>
      <c r="M644" s="68"/>
      <c r="N644" s="28"/>
      <c r="O644" s="25"/>
      <c r="P644" s="83" t="str">
        <f aca="false">IF(OR(N644="",N(H644)=0),"",N644/H644)</f>
        <v/>
      </c>
      <c r="Q644" s="25"/>
    </row>
    <row r="645" customFormat="false" ht="15" hidden="false" customHeight="false" outlineLevel="0" collapsed="false">
      <c r="A645" s="69"/>
      <c r="B645" s="68"/>
      <c r="C645" s="76" t="str">
        <f aca="false">IF(B645="","",IFERROR(INDEX(EN_Des,MATCH(B645,EN_Code,0)),"Code inconnu"))</f>
        <v/>
      </c>
      <c r="D645" s="25"/>
      <c r="E645" s="25"/>
      <c r="F645" s="82"/>
      <c r="G645" s="82"/>
      <c r="H645" s="83" t="str">
        <f aca="false">IF(OR(F645="",G645=""),"",G645-F645)</f>
        <v/>
      </c>
      <c r="I645" s="82"/>
      <c r="J645" s="82"/>
      <c r="K645" s="28"/>
      <c r="L645" s="90" t="str">
        <f aca="false">IF(OR(K645="",N(H645)=0),"",K645/H645)</f>
        <v/>
      </c>
      <c r="M645" s="68"/>
      <c r="N645" s="28"/>
      <c r="O645" s="25"/>
      <c r="P645" s="83" t="str">
        <f aca="false">IF(OR(N645="",N(H645)=0),"",N645/H645)</f>
        <v/>
      </c>
      <c r="Q645" s="25"/>
    </row>
    <row r="646" customFormat="false" ht="15" hidden="false" customHeight="false" outlineLevel="0" collapsed="false">
      <c r="A646" s="69"/>
      <c r="B646" s="68"/>
      <c r="C646" s="76" t="str">
        <f aca="false">IF(B646="","",IFERROR(INDEX(EN_Des,MATCH(B646,EN_Code,0)),"Code inconnu"))</f>
        <v/>
      </c>
      <c r="D646" s="25"/>
      <c r="E646" s="25"/>
      <c r="F646" s="82"/>
      <c r="G646" s="82"/>
      <c r="H646" s="83" t="str">
        <f aca="false">IF(OR(F646="",G646=""),"",G646-F646)</f>
        <v/>
      </c>
      <c r="I646" s="82"/>
      <c r="J646" s="82"/>
      <c r="K646" s="28"/>
      <c r="L646" s="90" t="str">
        <f aca="false">IF(OR(K646="",N(H646)=0),"",K646/H646)</f>
        <v/>
      </c>
      <c r="M646" s="68"/>
      <c r="N646" s="28"/>
      <c r="O646" s="25"/>
      <c r="P646" s="83" t="str">
        <f aca="false">IF(OR(N646="",N(H646)=0),"",N646/H646)</f>
        <v/>
      </c>
      <c r="Q646" s="25"/>
    </row>
    <row r="647" customFormat="false" ht="15" hidden="false" customHeight="false" outlineLevel="0" collapsed="false">
      <c r="A647" s="69"/>
      <c r="B647" s="68"/>
      <c r="C647" s="76" t="str">
        <f aca="false">IF(B647="","",IFERROR(INDEX(EN_Des,MATCH(B647,EN_Code,0)),"Code inconnu"))</f>
        <v/>
      </c>
      <c r="D647" s="25"/>
      <c r="E647" s="25"/>
      <c r="F647" s="82"/>
      <c r="G647" s="82"/>
      <c r="H647" s="83" t="str">
        <f aca="false">IF(OR(F647="",G647=""),"",G647-F647)</f>
        <v/>
      </c>
      <c r="I647" s="82"/>
      <c r="J647" s="82"/>
      <c r="K647" s="28"/>
      <c r="L647" s="90" t="str">
        <f aca="false">IF(OR(K647="",N(H647)=0),"",K647/H647)</f>
        <v/>
      </c>
      <c r="M647" s="68"/>
      <c r="N647" s="28"/>
      <c r="O647" s="25"/>
      <c r="P647" s="83" t="str">
        <f aca="false">IF(OR(N647="",N(H647)=0),"",N647/H647)</f>
        <v/>
      </c>
      <c r="Q647" s="25"/>
    </row>
    <row r="648" customFormat="false" ht="15" hidden="false" customHeight="false" outlineLevel="0" collapsed="false">
      <c r="A648" s="69"/>
      <c r="B648" s="68"/>
      <c r="C648" s="76" t="str">
        <f aca="false">IF(B648="","",IFERROR(INDEX(EN_Des,MATCH(B648,EN_Code,0)),"Code inconnu"))</f>
        <v/>
      </c>
      <c r="D648" s="25"/>
      <c r="E648" s="25"/>
      <c r="F648" s="82"/>
      <c r="G648" s="82"/>
      <c r="H648" s="83" t="str">
        <f aca="false">IF(OR(F648="",G648=""),"",G648-F648)</f>
        <v/>
      </c>
      <c r="I648" s="82"/>
      <c r="J648" s="82"/>
      <c r="K648" s="28"/>
      <c r="L648" s="90" t="str">
        <f aca="false">IF(OR(K648="",N(H648)=0),"",K648/H648)</f>
        <v/>
      </c>
      <c r="M648" s="68"/>
      <c r="N648" s="28"/>
      <c r="O648" s="25"/>
      <c r="P648" s="83" t="str">
        <f aca="false">IF(OR(N648="",N(H648)=0),"",N648/H648)</f>
        <v/>
      </c>
      <c r="Q648" s="25"/>
    </row>
    <row r="649" customFormat="false" ht="15" hidden="false" customHeight="false" outlineLevel="0" collapsed="false">
      <c r="A649" s="69"/>
      <c r="B649" s="68"/>
      <c r="C649" s="76" t="str">
        <f aca="false">IF(B649="","",IFERROR(INDEX(EN_Des,MATCH(B649,EN_Code,0)),"Code inconnu"))</f>
        <v/>
      </c>
      <c r="D649" s="25"/>
      <c r="E649" s="25"/>
      <c r="F649" s="82"/>
      <c r="G649" s="82"/>
      <c r="H649" s="83" t="str">
        <f aca="false">IF(OR(F649="",G649=""),"",G649-F649)</f>
        <v/>
      </c>
      <c r="I649" s="82"/>
      <c r="J649" s="82"/>
      <c r="K649" s="28"/>
      <c r="L649" s="90" t="str">
        <f aca="false">IF(OR(K649="",N(H649)=0),"",K649/H649)</f>
        <v/>
      </c>
      <c r="M649" s="68"/>
      <c r="N649" s="28"/>
      <c r="O649" s="25"/>
      <c r="P649" s="83" t="str">
        <f aca="false">IF(OR(N649="",N(H649)=0),"",N649/H649)</f>
        <v/>
      </c>
      <c r="Q649" s="25"/>
    </row>
    <row r="650" customFormat="false" ht="15" hidden="false" customHeight="false" outlineLevel="0" collapsed="false">
      <c r="A650" s="69"/>
      <c r="B650" s="68"/>
      <c r="C650" s="76" t="str">
        <f aca="false">IF(B650="","",IFERROR(INDEX(EN_Des,MATCH(B650,EN_Code,0)),"Code inconnu"))</f>
        <v/>
      </c>
      <c r="D650" s="25"/>
      <c r="E650" s="25"/>
      <c r="F650" s="82"/>
      <c r="G650" s="82"/>
      <c r="H650" s="83" t="str">
        <f aca="false">IF(OR(F650="",G650=""),"",G650-F650)</f>
        <v/>
      </c>
      <c r="I650" s="82"/>
      <c r="J650" s="82"/>
      <c r="K650" s="28"/>
      <c r="L650" s="90" t="str">
        <f aca="false">IF(OR(K650="",N(H650)=0),"",K650/H650)</f>
        <v/>
      </c>
      <c r="M650" s="68"/>
      <c r="N650" s="28"/>
      <c r="O650" s="25"/>
      <c r="P650" s="83" t="str">
        <f aca="false">IF(OR(N650="",N(H650)=0),"",N650/H650)</f>
        <v/>
      </c>
      <c r="Q650" s="25"/>
    </row>
    <row r="651" customFormat="false" ht="15" hidden="false" customHeight="false" outlineLevel="0" collapsed="false">
      <c r="A651" s="69"/>
      <c r="B651" s="68"/>
      <c r="C651" s="76" t="str">
        <f aca="false">IF(B651="","",IFERROR(INDEX(EN_Des,MATCH(B651,EN_Code,0)),"Code inconnu"))</f>
        <v/>
      </c>
      <c r="D651" s="25"/>
      <c r="E651" s="25"/>
      <c r="F651" s="82"/>
      <c r="G651" s="82"/>
      <c r="H651" s="83" t="str">
        <f aca="false">IF(OR(F651="",G651=""),"",G651-F651)</f>
        <v/>
      </c>
      <c r="I651" s="82"/>
      <c r="J651" s="82"/>
      <c r="K651" s="28"/>
      <c r="L651" s="90" t="str">
        <f aca="false">IF(OR(K651="",N(H651)=0),"",K651/H651)</f>
        <v/>
      </c>
      <c r="M651" s="68"/>
      <c r="N651" s="28"/>
      <c r="O651" s="25"/>
      <c r="P651" s="83" t="str">
        <f aca="false">IF(OR(N651="",N(H651)=0),"",N651/H651)</f>
        <v/>
      </c>
      <c r="Q651" s="25"/>
    </row>
    <row r="652" customFormat="false" ht="15" hidden="false" customHeight="false" outlineLevel="0" collapsed="false">
      <c r="A652" s="69"/>
      <c r="B652" s="68"/>
      <c r="C652" s="76" t="str">
        <f aca="false">IF(B652="","",IFERROR(INDEX(EN_Des,MATCH(B652,EN_Code,0)),"Code inconnu"))</f>
        <v/>
      </c>
      <c r="D652" s="25"/>
      <c r="E652" s="25"/>
      <c r="F652" s="82"/>
      <c r="G652" s="82"/>
      <c r="H652" s="83" t="str">
        <f aca="false">IF(OR(F652="",G652=""),"",G652-F652)</f>
        <v/>
      </c>
      <c r="I652" s="82"/>
      <c r="J652" s="82"/>
      <c r="K652" s="28"/>
      <c r="L652" s="90" t="str">
        <f aca="false">IF(OR(K652="",N(H652)=0),"",K652/H652)</f>
        <v/>
      </c>
      <c r="M652" s="68"/>
      <c r="N652" s="28"/>
      <c r="O652" s="25"/>
      <c r="P652" s="83" t="str">
        <f aca="false">IF(OR(N652="",N(H652)=0),"",N652/H652)</f>
        <v/>
      </c>
      <c r="Q652" s="25"/>
    </row>
    <row r="653" customFormat="false" ht="15" hidden="false" customHeight="false" outlineLevel="0" collapsed="false">
      <c r="A653" s="69"/>
      <c r="B653" s="68"/>
      <c r="C653" s="76" t="str">
        <f aca="false">IF(B653="","",IFERROR(INDEX(EN_Des,MATCH(B653,EN_Code,0)),"Code inconnu"))</f>
        <v/>
      </c>
      <c r="D653" s="25"/>
      <c r="E653" s="25"/>
      <c r="F653" s="82"/>
      <c r="G653" s="82"/>
      <c r="H653" s="83" t="str">
        <f aca="false">IF(OR(F653="",G653=""),"",G653-F653)</f>
        <v/>
      </c>
      <c r="I653" s="82"/>
      <c r="J653" s="82"/>
      <c r="K653" s="28"/>
      <c r="L653" s="90" t="str">
        <f aca="false">IF(OR(K653="",N(H653)=0),"",K653/H653)</f>
        <v/>
      </c>
      <c r="M653" s="68"/>
      <c r="N653" s="28"/>
      <c r="O653" s="25"/>
      <c r="P653" s="83" t="str">
        <f aca="false">IF(OR(N653="",N(H653)=0),"",N653/H653)</f>
        <v/>
      </c>
      <c r="Q653" s="25"/>
    </row>
    <row r="654" customFormat="false" ht="15" hidden="false" customHeight="false" outlineLevel="0" collapsed="false">
      <c r="A654" s="69"/>
      <c r="B654" s="68"/>
      <c r="C654" s="76" t="str">
        <f aca="false">IF(B654="","",IFERROR(INDEX(EN_Des,MATCH(B654,EN_Code,0)),"Code inconnu"))</f>
        <v/>
      </c>
      <c r="D654" s="25"/>
      <c r="E654" s="25"/>
      <c r="F654" s="82"/>
      <c r="G654" s="82"/>
      <c r="H654" s="83" t="str">
        <f aca="false">IF(OR(F654="",G654=""),"",G654-F654)</f>
        <v/>
      </c>
      <c r="I654" s="82"/>
      <c r="J654" s="82"/>
      <c r="K654" s="28"/>
      <c r="L654" s="90" t="str">
        <f aca="false">IF(OR(K654="",N(H654)=0),"",K654/H654)</f>
        <v/>
      </c>
      <c r="M654" s="68"/>
      <c r="N654" s="28"/>
      <c r="O654" s="25"/>
      <c r="P654" s="83" t="str">
        <f aca="false">IF(OR(N654="",N(H654)=0),"",N654/H654)</f>
        <v/>
      </c>
      <c r="Q654" s="25"/>
    </row>
    <row r="655" customFormat="false" ht="15" hidden="false" customHeight="false" outlineLevel="0" collapsed="false">
      <c r="A655" s="69"/>
      <c r="B655" s="68"/>
      <c r="C655" s="76" t="str">
        <f aca="false">IF(B655="","",IFERROR(INDEX(EN_Des,MATCH(B655,EN_Code,0)),"Code inconnu"))</f>
        <v/>
      </c>
      <c r="D655" s="25"/>
      <c r="E655" s="25"/>
      <c r="F655" s="82"/>
      <c r="G655" s="82"/>
      <c r="H655" s="83" t="str">
        <f aca="false">IF(OR(F655="",G655=""),"",G655-F655)</f>
        <v/>
      </c>
      <c r="I655" s="82"/>
      <c r="J655" s="82"/>
      <c r="K655" s="28"/>
      <c r="L655" s="90" t="str">
        <f aca="false">IF(OR(K655="",N(H655)=0),"",K655/H655)</f>
        <v/>
      </c>
      <c r="M655" s="68"/>
      <c r="N655" s="28"/>
      <c r="O655" s="25"/>
      <c r="P655" s="83" t="str">
        <f aca="false">IF(OR(N655="",N(H655)=0),"",N655/H655)</f>
        <v/>
      </c>
      <c r="Q655" s="25"/>
    </row>
    <row r="656" customFormat="false" ht="15" hidden="false" customHeight="false" outlineLevel="0" collapsed="false">
      <c r="A656" s="69"/>
      <c r="B656" s="68"/>
      <c r="C656" s="76" t="str">
        <f aca="false">IF(B656="","",IFERROR(INDEX(EN_Des,MATCH(B656,EN_Code,0)),"Code inconnu"))</f>
        <v/>
      </c>
      <c r="D656" s="25"/>
      <c r="E656" s="25"/>
      <c r="F656" s="82"/>
      <c r="G656" s="82"/>
      <c r="H656" s="83" t="str">
        <f aca="false">IF(OR(F656="",G656=""),"",G656-F656)</f>
        <v/>
      </c>
      <c r="I656" s="82"/>
      <c r="J656" s="82"/>
      <c r="K656" s="28"/>
      <c r="L656" s="90" t="str">
        <f aca="false">IF(OR(K656="",N(H656)=0),"",K656/H656)</f>
        <v/>
      </c>
      <c r="M656" s="68"/>
      <c r="N656" s="28"/>
      <c r="O656" s="25"/>
      <c r="P656" s="83" t="str">
        <f aca="false">IF(OR(N656="",N(H656)=0),"",N656/H656)</f>
        <v/>
      </c>
      <c r="Q656" s="25"/>
    </row>
    <row r="657" customFormat="false" ht="15" hidden="false" customHeight="false" outlineLevel="0" collapsed="false">
      <c r="A657" s="69"/>
      <c r="B657" s="68"/>
      <c r="C657" s="76" t="str">
        <f aca="false">IF(B657="","",IFERROR(INDEX(EN_Des,MATCH(B657,EN_Code,0)),"Code inconnu"))</f>
        <v/>
      </c>
      <c r="D657" s="25"/>
      <c r="E657" s="25"/>
      <c r="F657" s="82"/>
      <c r="G657" s="82"/>
      <c r="H657" s="83" t="str">
        <f aca="false">IF(OR(F657="",G657=""),"",G657-F657)</f>
        <v/>
      </c>
      <c r="I657" s="82"/>
      <c r="J657" s="82"/>
      <c r="K657" s="28"/>
      <c r="L657" s="90" t="str">
        <f aca="false">IF(OR(K657="",N(H657)=0),"",K657/H657)</f>
        <v/>
      </c>
      <c r="M657" s="68"/>
      <c r="N657" s="28"/>
      <c r="O657" s="25"/>
      <c r="P657" s="83" t="str">
        <f aca="false">IF(OR(N657="",N(H657)=0),"",N657/H657)</f>
        <v/>
      </c>
      <c r="Q657" s="25"/>
    </row>
    <row r="658" customFormat="false" ht="15" hidden="false" customHeight="false" outlineLevel="0" collapsed="false">
      <c r="A658" s="69"/>
      <c r="B658" s="68"/>
      <c r="C658" s="76" t="str">
        <f aca="false">IF(B658="","",IFERROR(INDEX(EN_Des,MATCH(B658,EN_Code,0)),"Code inconnu"))</f>
        <v/>
      </c>
      <c r="D658" s="25"/>
      <c r="E658" s="25"/>
      <c r="F658" s="82"/>
      <c r="G658" s="82"/>
      <c r="H658" s="83" t="str">
        <f aca="false">IF(OR(F658="",G658=""),"",G658-F658)</f>
        <v/>
      </c>
      <c r="I658" s="82"/>
      <c r="J658" s="82"/>
      <c r="K658" s="28"/>
      <c r="L658" s="90" t="str">
        <f aca="false">IF(OR(K658="",N(H658)=0),"",K658/H658)</f>
        <v/>
      </c>
      <c r="M658" s="68"/>
      <c r="N658" s="28"/>
      <c r="O658" s="25"/>
      <c r="P658" s="83" t="str">
        <f aca="false">IF(OR(N658="",N(H658)=0),"",N658/H658)</f>
        <v/>
      </c>
      <c r="Q658" s="25"/>
    </row>
    <row r="659" customFormat="false" ht="15" hidden="false" customHeight="false" outlineLevel="0" collapsed="false">
      <c r="A659" s="69"/>
      <c r="B659" s="68"/>
      <c r="C659" s="76" t="str">
        <f aca="false">IF(B659="","",IFERROR(INDEX(EN_Des,MATCH(B659,EN_Code,0)),"Code inconnu"))</f>
        <v/>
      </c>
      <c r="D659" s="25"/>
      <c r="E659" s="25"/>
      <c r="F659" s="82"/>
      <c r="G659" s="82"/>
      <c r="H659" s="83" t="str">
        <f aca="false">IF(OR(F659="",G659=""),"",G659-F659)</f>
        <v/>
      </c>
      <c r="I659" s="82"/>
      <c r="J659" s="82"/>
      <c r="K659" s="28"/>
      <c r="L659" s="90" t="str">
        <f aca="false">IF(OR(K659="",N(H659)=0),"",K659/H659)</f>
        <v/>
      </c>
      <c r="M659" s="68"/>
      <c r="N659" s="28"/>
      <c r="O659" s="25"/>
      <c r="P659" s="83" t="str">
        <f aca="false">IF(OR(N659="",N(H659)=0),"",N659/H659)</f>
        <v/>
      </c>
      <c r="Q659" s="25"/>
    </row>
    <row r="660" customFormat="false" ht="15" hidden="false" customHeight="false" outlineLevel="0" collapsed="false">
      <c r="A660" s="69"/>
      <c r="B660" s="68"/>
      <c r="C660" s="76" t="str">
        <f aca="false">IF(B660="","",IFERROR(INDEX(EN_Des,MATCH(B660,EN_Code,0)),"Code inconnu"))</f>
        <v/>
      </c>
      <c r="D660" s="25"/>
      <c r="E660" s="25"/>
      <c r="F660" s="82"/>
      <c r="G660" s="82"/>
      <c r="H660" s="83" t="str">
        <f aca="false">IF(OR(F660="",G660=""),"",G660-F660)</f>
        <v/>
      </c>
      <c r="I660" s="82"/>
      <c r="J660" s="82"/>
      <c r="K660" s="28"/>
      <c r="L660" s="90" t="str">
        <f aca="false">IF(OR(K660="",N(H660)=0),"",K660/H660)</f>
        <v/>
      </c>
      <c r="M660" s="68"/>
      <c r="N660" s="28"/>
      <c r="O660" s="25"/>
      <c r="P660" s="83" t="str">
        <f aca="false">IF(OR(N660="",N(H660)=0),"",N660/H660)</f>
        <v/>
      </c>
      <c r="Q660" s="25"/>
    </row>
    <row r="661" customFormat="false" ht="15" hidden="false" customHeight="false" outlineLevel="0" collapsed="false">
      <c r="A661" s="69"/>
      <c r="B661" s="68"/>
      <c r="C661" s="76" t="str">
        <f aca="false">IF(B661="","",IFERROR(INDEX(EN_Des,MATCH(B661,EN_Code,0)),"Code inconnu"))</f>
        <v/>
      </c>
      <c r="D661" s="25"/>
      <c r="E661" s="25"/>
      <c r="F661" s="82"/>
      <c r="G661" s="82"/>
      <c r="H661" s="83" t="str">
        <f aca="false">IF(OR(F661="",G661=""),"",G661-F661)</f>
        <v/>
      </c>
      <c r="I661" s="82"/>
      <c r="J661" s="82"/>
      <c r="K661" s="28"/>
      <c r="L661" s="90" t="str">
        <f aca="false">IF(OR(K661="",N(H661)=0),"",K661/H661)</f>
        <v/>
      </c>
      <c r="M661" s="68"/>
      <c r="N661" s="28"/>
      <c r="O661" s="25"/>
      <c r="P661" s="83" t="str">
        <f aca="false">IF(OR(N661="",N(H661)=0),"",N661/H661)</f>
        <v/>
      </c>
      <c r="Q661" s="25"/>
    </row>
    <row r="662" customFormat="false" ht="15" hidden="false" customHeight="false" outlineLevel="0" collapsed="false">
      <c r="A662" s="69"/>
      <c r="B662" s="68"/>
      <c r="C662" s="76" t="str">
        <f aca="false">IF(B662="","",IFERROR(INDEX(EN_Des,MATCH(B662,EN_Code,0)),"Code inconnu"))</f>
        <v/>
      </c>
      <c r="D662" s="25"/>
      <c r="E662" s="25"/>
      <c r="F662" s="82"/>
      <c r="G662" s="82"/>
      <c r="H662" s="83" t="str">
        <f aca="false">IF(OR(F662="",G662=""),"",G662-F662)</f>
        <v/>
      </c>
      <c r="I662" s="82"/>
      <c r="J662" s="82"/>
      <c r="K662" s="28"/>
      <c r="L662" s="90" t="str">
        <f aca="false">IF(OR(K662="",N(H662)=0),"",K662/H662)</f>
        <v/>
      </c>
      <c r="M662" s="68"/>
      <c r="N662" s="28"/>
      <c r="O662" s="25"/>
      <c r="P662" s="83" t="str">
        <f aca="false">IF(OR(N662="",N(H662)=0),"",N662/H662)</f>
        <v/>
      </c>
      <c r="Q662" s="25"/>
    </row>
    <row r="663" customFormat="false" ht="15" hidden="false" customHeight="false" outlineLevel="0" collapsed="false">
      <c r="A663" s="69"/>
      <c r="B663" s="68"/>
      <c r="C663" s="76" t="str">
        <f aca="false">IF(B663="","",IFERROR(INDEX(EN_Des,MATCH(B663,EN_Code,0)),"Code inconnu"))</f>
        <v/>
      </c>
      <c r="D663" s="25"/>
      <c r="E663" s="25"/>
      <c r="F663" s="82"/>
      <c r="G663" s="82"/>
      <c r="H663" s="83" t="str">
        <f aca="false">IF(OR(F663="",G663=""),"",G663-F663)</f>
        <v/>
      </c>
      <c r="I663" s="82"/>
      <c r="J663" s="82"/>
      <c r="K663" s="28"/>
      <c r="L663" s="90" t="str">
        <f aca="false">IF(OR(K663="",N(H663)=0),"",K663/H663)</f>
        <v/>
      </c>
      <c r="M663" s="68"/>
      <c r="N663" s="28"/>
      <c r="O663" s="25"/>
      <c r="P663" s="83" t="str">
        <f aca="false">IF(OR(N663="",N(H663)=0),"",N663/H663)</f>
        <v/>
      </c>
      <c r="Q663" s="25"/>
    </row>
    <row r="664" customFormat="false" ht="15" hidden="false" customHeight="false" outlineLevel="0" collapsed="false">
      <c r="A664" s="69"/>
      <c r="B664" s="68"/>
      <c r="C664" s="76" t="str">
        <f aca="false">IF(B664="","",IFERROR(INDEX(EN_Des,MATCH(B664,EN_Code,0)),"Code inconnu"))</f>
        <v/>
      </c>
      <c r="D664" s="25"/>
      <c r="E664" s="25"/>
      <c r="F664" s="82"/>
      <c r="G664" s="82"/>
      <c r="H664" s="83" t="str">
        <f aca="false">IF(OR(F664="",G664=""),"",G664-F664)</f>
        <v/>
      </c>
      <c r="I664" s="82"/>
      <c r="J664" s="82"/>
      <c r="K664" s="28"/>
      <c r="L664" s="90" t="str">
        <f aca="false">IF(OR(K664="",N(H664)=0),"",K664/H664)</f>
        <v/>
      </c>
      <c r="M664" s="68"/>
      <c r="N664" s="28"/>
      <c r="O664" s="25"/>
      <c r="P664" s="83" t="str">
        <f aca="false">IF(OR(N664="",N(H664)=0),"",N664/H664)</f>
        <v/>
      </c>
      <c r="Q664" s="25"/>
    </row>
    <row r="665" customFormat="false" ht="15" hidden="false" customHeight="false" outlineLevel="0" collapsed="false">
      <c r="A665" s="69"/>
      <c r="B665" s="68"/>
      <c r="C665" s="76" t="str">
        <f aca="false">IF(B665="","",IFERROR(INDEX(EN_Des,MATCH(B665,EN_Code,0)),"Code inconnu"))</f>
        <v/>
      </c>
      <c r="D665" s="25"/>
      <c r="E665" s="25"/>
      <c r="F665" s="82"/>
      <c r="G665" s="82"/>
      <c r="H665" s="83" t="str">
        <f aca="false">IF(OR(F665="",G665=""),"",G665-F665)</f>
        <v/>
      </c>
      <c r="I665" s="82"/>
      <c r="J665" s="82"/>
      <c r="K665" s="28"/>
      <c r="L665" s="90" t="str">
        <f aca="false">IF(OR(K665="",N(H665)=0),"",K665/H665)</f>
        <v/>
      </c>
      <c r="M665" s="68"/>
      <c r="N665" s="28"/>
      <c r="O665" s="25"/>
      <c r="P665" s="83" t="str">
        <f aca="false">IF(OR(N665="",N(H665)=0),"",N665/H665)</f>
        <v/>
      </c>
      <c r="Q665" s="25"/>
    </row>
    <row r="666" customFormat="false" ht="15" hidden="false" customHeight="false" outlineLevel="0" collapsed="false">
      <c r="A666" s="69"/>
      <c r="B666" s="68"/>
      <c r="C666" s="76" t="str">
        <f aca="false">IF(B666="","",IFERROR(INDEX(EN_Des,MATCH(B666,EN_Code,0)),"Code inconnu"))</f>
        <v/>
      </c>
      <c r="D666" s="25"/>
      <c r="E666" s="25"/>
      <c r="F666" s="82"/>
      <c r="G666" s="82"/>
      <c r="H666" s="83" t="str">
        <f aca="false">IF(OR(F666="",G666=""),"",G666-F666)</f>
        <v/>
      </c>
      <c r="I666" s="82"/>
      <c r="J666" s="82"/>
      <c r="K666" s="28"/>
      <c r="L666" s="90" t="str">
        <f aca="false">IF(OR(K666="",N(H666)=0),"",K666/H666)</f>
        <v/>
      </c>
      <c r="M666" s="68"/>
      <c r="N666" s="28"/>
      <c r="O666" s="25"/>
      <c r="P666" s="83" t="str">
        <f aca="false">IF(OR(N666="",N(H666)=0),"",N666/H666)</f>
        <v/>
      </c>
      <c r="Q666" s="25"/>
    </row>
    <row r="667" customFormat="false" ht="15" hidden="false" customHeight="false" outlineLevel="0" collapsed="false">
      <c r="A667" s="69"/>
      <c r="B667" s="68"/>
      <c r="C667" s="76" t="str">
        <f aca="false">IF(B667="","",IFERROR(INDEX(EN_Des,MATCH(B667,EN_Code,0)),"Code inconnu"))</f>
        <v/>
      </c>
      <c r="D667" s="25"/>
      <c r="E667" s="25"/>
      <c r="F667" s="82"/>
      <c r="G667" s="82"/>
      <c r="H667" s="83" t="str">
        <f aca="false">IF(OR(F667="",G667=""),"",G667-F667)</f>
        <v/>
      </c>
      <c r="I667" s="82"/>
      <c r="J667" s="82"/>
      <c r="K667" s="28"/>
      <c r="L667" s="90" t="str">
        <f aca="false">IF(OR(K667="",N(H667)=0),"",K667/H667)</f>
        <v/>
      </c>
      <c r="M667" s="68"/>
      <c r="N667" s="28"/>
      <c r="O667" s="25"/>
      <c r="P667" s="83" t="str">
        <f aca="false">IF(OR(N667="",N(H667)=0),"",N667/H667)</f>
        <v/>
      </c>
      <c r="Q667" s="25"/>
    </row>
    <row r="668" customFormat="false" ht="15" hidden="false" customHeight="false" outlineLevel="0" collapsed="false">
      <c r="A668" s="69"/>
      <c r="B668" s="68"/>
      <c r="C668" s="76" t="str">
        <f aca="false">IF(B668="","",IFERROR(INDEX(EN_Des,MATCH(B668,EN_Code,0)),"Code inconnu"))</f>
        <v/>
      </c>
      <c r="D668" s="25"/>
      <c r="E668" s="25"/>
      <c r="F668" s="82"/>
      <c r="G668" s="82"/>
      <c r="H668" s="83" t="str">
        <f aca="false">IF(OR(F668="",G668=""),"",G668-F668)</f>
        <v/>
      </c>
      <c r="I668" s="82"/>
      <c r="J668" s="82"/>
      <c r="K668" s="28"/>
      <c r="L668" s="90" t="str">
        <f aca="false">IF(OR(K668="",N(H668)=0),"",K668/H668)</f>
        <v/>
      </c>
      <c r="M668" s="68"/>
      <c r="N668" s="28"/>
      <c r="O668" s="25"/>
      <c r="P668" s="83" t="str">
        <f aca="false">IF(OR(N668="",N(H668)=0),"",N668/H668)</f>
        <v/>
      </c>
      <c r="Q668" s="25"/>
    </row>
    <row r="669" customFormat="false" ht="15" hidden="false" customHeight="false" outlineLevel="0" collapsed="false">
      <c r="A669" s="69"/>
      <c r="B669" s="68"/>
      <c r="C669" s="76" t="str">
        <f aca="false">IF(B669="","",IFERROR(INDEX(EN_Des,MATCH(B669,EN_Code,0)),"Code inconnu"))</f>
        <v/>
      </c>
      <c r="D669" s="25"/>
      <c r="E669" s="25"/>
      <c r="F669" s="82"/>
      <c r="G669" s="82"/>
      <c r="H669" s="83" t="str">
        <f aca="false">IF(OR(F669="",G669=""),"",G669-F669)</f>
        <v/>
      </c>
      <c r="I669" s="82"/>
      <c r="J669" s="82"/>
      <c r="K669" s="28"/>
      <c r="L669" s="90" t="str">
        <f aca="false">IF(OR(K669="",N(H669)=0),"",K669/H669)</f>
        <v/>
      </c>
      <c r="M669" s="68"/>
      <c r="N669" s="28"/>
      <c r="O669" s="25"/>
      <c r="P669" s="83" t="str">
        <f aca="false">IF(OR(N669="",N(H669)=0),"",N669/H669)</f>
        <v/>
      </c>
      <c r="Q669" s="25"/>
    </row>
    <row r="670" customFormat="false" ht="15" hidden="false" customHeight="false" outlineLevel="0" collapsed="false">
      <c r="A670" s="69"/>
      <c r="B670" s="68"/>
      <c r="C670" s="76" t="str">
        <f aca="false">IF(B670="","",IFERROR(INDEX(EN_Des,MATCH(B670,EN_Code,0)),"Code inconnu"))</f>
        <v/>
      </c>
      <c r="D670" s="25"/>
      <c r="E670" s="25"/>
      <c r="F670" s="82"/>
      <c r="G670" s="82"/>
      <c r="H670" s="83" t="str">
        <f aca="false">IF(OR(F670="",G670=""),"",G670-F670)</f>
        <v/>
      </c>
      <c r="I670" s="82"/>
      <c r="J670" s="82"/>
      <c r="K670" s="28"/>
      <c r="L670" s="90" t="str">
        <f aca="false">IF(OR(K670="",N(H670)=0),"",K670/H670)</f>
        <v/>
      </c>
      <c r="M670" s="68"/>
      <c r="N670" s="28"/>
      <c r="O670" s="25"/>
      <c r="P670" s="83" t="str">
        <f aca="false">IF(OR(N670="",N(H670)=0),"",N670/H670)</f>
        <v/>
      </c>
      <c r="Q670" s="25"/>
    </row>
    <row r="671" customFormat="false" ht="15" hidden="false" customHeight="false" outlineLevel="0" collapsed="false">
      <c r="A671" s="69"/>
      <c r="B671" s="68"/>
      <c r="C671" s="76" t="str">
        <f aca="false">IF(B671="","",IFERROR(INDEX(EN_Des,MATCH(B671,EN_Code,0)),"Code inconnu"))</f>
        <v/>
      </c>
      <c r="D671" s="25"/>
      <c r="E671" s="25"/>
      <c r="F671" s="82"/>
      <c r="G671" s="82"/>
      <c r="H671" s="83" t="str">
        <f aca="false">IF(OR(F671="",G671=""),"",G671-F671)</f>
        <v/>
      </c>
      <c r="I671" s="82"/>
      <c r="J671" s="82"/>
      <c r="K671" s="28"/>
      <c r="L671" s="90" t="str">
        <f aca="false">IF(OR(K671="",N(H671)=0),"",K671/H671)</f>
        <v/>
      </c>
      <c r="M671" s="68"/>
      <c r="N671" s="28"/>
      <c r="O671" s="25"/>
      <c r="P671" s="83" t="str">
        <f aca="false">IF(OR(N671="",N(H671)=0),"",N671/H671)</f>
        <v/>
      </c>
      <c r="Q671" s="25"/>
    </row>
    <row r="672" customFormat="false" ht="15" hidden="false" customHeight="false" outlineLevel="0" collapsed="false">
      <c r="A672" s="69"/>
      <c r="B672" s="68"/>
      <c r="C672" s="76" t="str">
        <f aca="false">IF(B672="","",IFERROR(INDEX(EN_Des,MATCH(B672,EN_Code,0)),"Code inconnu"))</f>
        <v/>
      </c>
      <c r="D672" s="25"/>
      <c r="E672" s="25"/>
      <c r="F672" s="82"/>
      <c r="G672" s="82"/>
      <c r="H672" s="83" t="str">
        <f aca="false">IF(OR(F672="",G672=""),"",G672-F672)</f>
        <v/>
      </c>
      <c r="I672" s="82"/>
      <c r="J672" s="82"/>
      <c r="K672" s="28"/>
      <c r="L672" s="90" t="str">
        <f aca="false">IF(OR(K672="",N(H672)=0),"",K672/H672)</f>
        <v/>
      </c>
      <c r="M672" s="68"/>
      <c r="N672" s="28"/>
      <c r="O672" s="25"/>
      <c r="P672" s="83" t="str">
        <f aca="false">IF(OR(N672="",N(H672)=0),"",N672/H672)</f>
        <v/>
      </c>
      <c r="Q672" s="25"/>
    </row>
    <row r="673" customFormat="false" ht="15" hidden="false" customHeight="false" outlineLevel="0" collapsed="false">
      <c r="A673" s="69"/>
      <c r="B673" s="68"/>
      <c r="C673" s="76" t="str">
        <f aca="false">IF(B673="","",IFERROR(INDEX(EN_Des,MATCH(B673,EN_Code,0)),"Code inconnu"))</f>
        <v/>
      </c>
      <c r="D673" s="25"/>
      <c r="E673" s="25"/>
      <c r="F673" s="82"/>
      <c r="G673" s="82"/>
      <c r="H673" s="83" t="str">
        <f aca="false">IF(OR(F673="",G673=""),"",G673-F673)</f>
        <v/>
      </c>
      <c r="I673" s="82"/>
      <c r="J673" s="82"/>
      <c r="K673" s="28"/>
      <c r="L673" s="90" t="str">
        <f aca="false">IF(OR(K673="",N(H673)=0),"",K673/H673)</f>
        <v/>
      </c>
      <c r="M673" s="68"/>
      <c r="N673" s="28"/>
      <c r="O673" s="25"/>
      <c r="P673" s="83" t="str">
        <f aca="false">IF(OR(N673="",N(H673)=0),"",N673/H673)</f>
        <v/>
      </c>
      <c r="Q673" s="25"/>
    </row>
    <row r="674" customFormat="false" ht="15" hidden="false" customHeight="false" outlineLevel="0" collapsed="false">
      <c r="A674" s="69"/>
      <c r="B674" s="68"/>
      <c r="C674" s="76" t="str">
        <f aca="false">IF(B674="","",IFERROR(INDEX(EN_Des,MATCH(B674,EN_Code,0)),"Code inconnu"))</f>
        <v/>
      </c>
      <c r="D674" s="25"/>
      <c r="E674" s="25"/>
      <c r="F674" s="82"/>
      <c r="G674" s="82"/>
      <c r="H674" s="83" t="str">
        <f aca="false">IF(OR(F674="",G674=""),"",G674-F674)</f>
        <v/>
      </c>
      <c r="I674" s="82"/>
      <c r="J674" s="82"/>
      <c r="K674" s="28"/>
      <c r="L674" s="90" t="str">
        <f aca="false">IF(OR(K674="",N(H674)=0),"",K674/H674)</f>
        <v/>
      </c>
      <c r="M674" s="68"/>
      <c r="N674" s="28"/>
      <c r="O674" s="25"/>
      <c r="P674" s="83" t="str">
        <f aca="false">IF(OR(N674="",N(H674)=0),"",N674/H674)</f>
        <v/>
      </c>
      <c r="Q674" s="25"/>
    </row>
    <row r="675" customFormat="false" ht="15" hidden="false" customHeight="false" outlineLevel="0" collapsed="false">
      <c r="A675" s="69"/>
      <c r="B675" s="68"/>
      <c r="C675" s="76" t="str">
        <f aca="false">IF(B675="","",IFERROR(INDEX(EN_Des,MATCH(B675,EN_Code,0)),"Code inconnu"))</f>
        <v/>
      </c>
      <c r="D675" s="25"/>
      <c r="E675" s="25"/>
      <c r="F675" s="82"/>
      <c r="G675" s="82"/>
      <c r="H675" s="83" t="str">
        <f aca="false">IF(OR(F675="",G675=""),"",G675-F675)</f>
        <v/>
      </c>
      <c r="I675" s="82"/>
      <c r="J675" s="82"/>
      <c r="K675" s="28"/>
      <c r="L675" s="90" t="str">
        <f aca="false">IF(OR(K675="",N(H675)=0),"",K675/H675)</f>
        <v/>
      </c>
      <c r="M675" s="68"/>
      <c r="N675" s="28"/>
      <c r="O675" s="25"/>
      <c r="P675" s="83" t="str">
        <f aca="false">IF(OR(N675="",N(H675)=0),"",N675/H675)</f>
        <v/>
      </c>
      <c r="Q675" s="25"/>
    </row>
    <row r="676" customFormat="false" ht="15" hidden="false" customHeight="false" outlineLevel="0" collapsed="false">
      <c r="A676" s="69"/>
      <c r="B676" s="68"/>
      <c r="C676" s="76" t="str">
        <f aca="false">IF(B676="","",IFERROR(INDEX(EN_Des,MATCH(B676,EN_Code,0)),"Code inconnu"))</f>
        <v/>
      </c>
      <c r="D676" s="25"/>
      <c r="E676" s="25"/>
      <c r="F676" s="82"/>
      <c r="G676" s="82"/>
      <c r="H676" s="83" t="str">
        <f aca="false">IF(OR(F676="",G676=""),"",G676-F676)</f>
        <v/>
      </c>
      <c r="I676" s="82"/>
      <c r="J676" s="82"/>
      <c r="K676" s="28"/>
      <c r="L676" s="90" t="str">
        <f aca="false">IF(OR(K676="",N(H676)=0),"",K676/H676)</f>
        <v/>
      </c>
      <c r="M676" s="68"/>
      <c r="N676" s="28"/>
      <c r="O676" s="25"/>
      <c r="P676" s="83" t="str">
        <f aca="false">IF(OR(N676="",N(H676)=0),"",N676/H676)</f>
        <v/>
      </c>
      <c r="Q676" s="25"/>
    </row>
    <row r="677" customFormat="false" ht="15" hidden="false" customHeight="false" outlineLevel="0" collapsed="false">
      <c r="A677" s="69"/>
      <c r="B677" s="68"/>
      <c r="C677" s="76" t="str">
        <f aca="false">IF(B677="","",IFERROR(INDEX(EN_Des,MATCH(B677,EN_Code,0)),"Code inconnu"))</f>
        <v/>
      </c>
      <c r="D677" s="25"/>
      <c r="E677" s="25"/>
      <c r="F677" s="82"/>
      <c r="G677" s="82"/>
      <c r="H677" s="83" t="str">
        <f aca="false">IF(OR(F677="",G677=""),"",G677-F677)</f>
        <v/>
      </c>
      <c r="I677" s="82"/>
      <c r="J677" s="82"/>
      <c r="K677" s="28"/>
      <c r="L677" s="90" t="str">
        <f aca="false">IF(OR(K677="",N(H677)=0),"",K677/H677)</f>
        <v/>
      </c>
      <c r="M677" s="68"/>
      <c r="N677" s="28"/>
      <c r="O677" s="25"/>
      <c r="P677" s="83" t="str">
        <f aca="false">IF(OR(N677="",N(H677)=0),"",N677/H677)</f>
        <v/>
      </c>
      <c r="Q677" s="25"/>
    </row>
    <row r="678" customFormat="false" ht="15" hidden="false" customHeight="false" outlineLevel="0" collapsed="false">
      <c r="A678" s="69"/>
      <c r="B678" s="68"/>
      <c r="C678" s="76" t="str">
        <f aca="false">IF(B678="","",IFERROR(INDEX(EN_Des,MATCH(B678,EN_Code,0)),"Code inconnu"))</f>
        <v/>
      </c>
      <c r="D678" s="25"/>
      <c r="E678" s="25"/>
      <c r="F678" s="82"/>
      <c r="G678" s="82"/>
      <c r="H678" s="83" t="str">
        <f aca="false">IF(OR(F678="",G678=""),"",G678-F678)</f>
        <v/>
      </c>
      <c r="I678" s="82"/>
      <c r="J678" s="82"/>
      <c r="K678" s="28"/>
      <c r="L678" s="90" t="str">
        <f aca="false">IF(OR(K678="",N(H678)=0),"",K678/H678)</f>
        <v/>
      </c>
      <c r="M678" s="68"/>
      <c r="N678" s="28"/>
      <c r="O678" s="25"/>
      <c r="P678" s="83" t="str">
        <f aca="false">IF(OR(N678="",N(H678)=0),"",N678/H678)</f>
        <v/>
      </c>
      <c r="Q678" s="25"/>
    </row>
    <row r="679" customFormat="false" ht="15" hidden="false" customHeight="false" outlineLevel="0" collapsed="false">
      <c r="A679" s="69"/>
      <c r="B679" s="68"/>
      <c r="C679" s="76" t="str">
        <f aca="false">IF(B679="","",IFERROR(INDEX(EN_Des,MATCH(B679,EN_Code,0)),"Code inconnu"))</f>
        <v/>
      </c>
      <c r="D679" s="25"/>
      <c r="E679" s="25"/>
      <c r="F679" s="82"/>
      <c r="G679" s="82"/>
      <c r="H679" s="83" t="str">
        <f aca="false">IF(OR(F679="",G679=""),"",G679-F679)</f>
        <v/>
      </c>
      <c r="I679" s="82"/>
      <c r="J679" s="82"/>
      <c r="K679" s="28"/>
      <c r="L679" s="90" t="str">
        <f aca="false">IF(OR(K679="",N(H679)=0),"",K679/H679)</f>
        <v/>
      </c>
      <c r="M679" s="68"/>
      <c r="N679" s="28"/>
      <c r="O679" s="25"/>
      <c r="P679" s="83" t="str">
        <f aca="false">IF(OR(N679="",N(H679)=0),"",N679/H679)</f>
        <v/>
      </c>
      <c r="Q679" s="25"/>
    </row>
    <row r="680" customFormat="false" ht="15" hidden="false" customHeight="false" outlineLevel="0" collapsed="false">
      <c r="A680" s="69"/>
      <c r="B680" s="68"/>
      <c r="C680" s="76" t="str">
        <f aca="false">IF(B680="","",IFERROR(INDEX(EN_Des,MATCH(B680,EN_Code,0)),"Code inconnu"))</f>
        <v/>
      </c>
      <c r="D680" s="25"/>
      <c r="E680" s="25"/>
      <c r="F680" s="82"/>
      <c r="G680" s="82"/>
      <c r="H680" s="83" t="str">
        <f aca="false">IF(OR(F680="",G680=""),"",G680-F680)</f>
        <v/>
      </c>
      <c r="I680" s="82"/>
      <c r="J680" s="82"/>
      <c r="K680" s="28"/>
      <c r="L680" s="90" t="str">
        <f aca="false">IF(OR(K680="",N(H680)=0),"",K680/H680)</f>
        <v/>
      </c>
      <c r="M680" s="68"/>
      <c r="N680" s="28"/>
      <c r="O680" s="25"/>
      <c r="P680" s="83" t="str">
        <f aca="false">IF(OR(N680="",N(H680)=0),"",N680/H680)</f>
        <v/>
      </c>
      <c r="Q680" s="25"/>
    </row>
    <row r="681" customFormat="false" ht="15" hidden="false" customHeight="false" outlineLevel="0" collapsed="false">
      <c r="A681" s="69"/>
      <c r="B681" s="68"/>
      <c r="C681" s="76" t="str">
        <f aca="false">IF(B681="","",IFERROR(INDEX(EN_Des,MATCH(B681,EN_Code,0)),"Code inconnu"))</f>
        <v/>
      </c>
      <c r="D681" s="25"/>
      <c r="E681" s="25"/>
      <c r="F681" s="82"/>
      <c r="G681" s="82"/>
      <c r="H681" s="83" t="str">
        <f aca="false">IF(OR(F681="",G681=""),"",G681-F681)</f>
        <v/>
      </c>
      <c r="I681" s="82"/>
      <c r="J681" s="82"/>
      <c r="K681" s="28"/>
      <c r="L681" s="90" t="str">
        <f aca="false">IF(OR(K681="",N(H681)=0),"",K681/H681)</f>
        <v/>
      </c>
      <c r="M681" s="68"/>
      <c r="N681" s="28"/>
      <c r="O681" s="25"/>
      <c r="P681" s="83" t="str">
        <f aca="false">IF(OR(N681="",N(H681)=0),"",N681/H681)</f>
        <v/>
      </c>
      <c r="Q681" s="25"/>
    </row>
    <row r="682" customFormat="false" ht="15" hidden="false" customHeight="false" outlineLevel="0" collapsed="false">
      <c r="A682" s="69"/>
      <c r="B682" s="68"/>
      <c r="C682" s="76" t="str">
        <f aca="false">IF(B682="","",IFERROR(INDEX(EN_Des,MATCH(B682,EN_Code,0)),"Code inconnu"))</f>
        <v/>
      </c>
      <c r="D682" s="25"/>
      <c r="E682" s="25"/>
      <c r="F682" s="82"/>
      <c r="G682" s="82"/>
      <c r="H682" s="83" t="str">
        <f aca="false">IF(OR(F682="",G682=""),"",G682-F682)</f>
        <v/>
      </c>
      <c r="I682" s="82"/>
      <c r="J682" s="82"/>
      <c r="K682" s="28"/>
      <c r="L682" s="90" t="str">
        <f aca="false">IF(OR(K682="",N(H682)=0),"",K682/H682)</f>
        <v/>
      </c>
      <c r="M682" s="68"/>
      <c r="N682" s="28"/>
      <c r="O682" s="25"/>
      <c r="P682" s="83" t="str">
        <f aca="false">IF(OR(N682="",N(H682)=0),"",N682/H682)</f>
        <v/>
      </c>
      <c r="Q682" s="25"/>
    </row>
    <row r="683" customFormat="false" ht="15" hidden="false" customHeight="false" outlineLevel="0" collapsed="false">
      <c r="A683" s="69"/>
      <c r="B683" s="68"/>
      <c r="C683" s="76" t="str">
        <f aca="false">IF(B683="","",IFERROR(INDEX(EN_Des,MATCH(B683,EN_Code,0)),"Code inconnu"))</f>
        <v/>
      </c>
      <c r="D683" s="25"/>
      <c r="E683" s="25"/>
      <c r="F683" s="82"/>
      <c r="G683" s="82"/>
      <c r="H683" s="83" t="str">
        <f aca="false">IF(OR(F683="",G683=""),"",G683-F683)</f>
        <v/>
      </c>
      <c r="I683" s="82"/>
      <c r="J683" s="82"/>
      <c r="K683" s="28"/>
      <c r="L683" s="90" t="str">
        <f aca="false">IF(OR(K683="",N(H683)=0),"",K683/H683)</f>
        <v/>
      </c>
      <c r="M683" s="68"/>
      <c r="N683" s="28"/>
      <c r="O683" s="25"/>
      <c r="P683" s="83" t="str">
        <f aca="false">IF(OR(N683="",N(H683)=0),"",N683/H683)</f>
        <v/>
      </c>
      <c r="Q683" s="25"/>
    </row>
    <row r="684" customFormat="false" ht="15" hidden="false" customHeight="false" outlineLevel="0" collapsed="false">
      <c r="A684" s="69"/>
      <c r="B684" s="68"/>
      <c r="C684" s="76" t="str">
        <f aca="false">IF(B684="","",IFERROR(INDEX(EN_Des,MATCH(B684,EN_Code,0)),"Code inconnu"))</f>
        <v/>
      </c>
      <c r="D684" s="25"/>
      <c r="E684" s="25"/>
      <c r="F684" s="82"/>
      <c r="G684" s="82"/>
      <c r="H684" s="83" t="str">
        <f aca="false">IF(OR(F684="",G684=""),"",G684-F684)</f>
        <v/>
      </c>
      <c r="I684" s="82"/>
      <c r="J684" s="82"/>
      <c r="K684" s="28"/>
      <c r="L684" s="90" t="str">
        <f aca="false">IF(OR(K684="",N(H684)=0),"",K684/H684)</f>
        <v/>
      </c>
      <c r="M684" s="68"/>
      <c r="N684" s="28"/>
      <c r="O684" s="25"/>
      <c r="P684" s="83" t="str">
        <f aca="false">IF(OR(N684="",N(H684)=0),"",N684/H684)</f>
        <v/>
      </c>
      <c r="Q684" s="25"/>
    </row>
    <row r="685" customFormat="false" ht="15" hidden="false" customHeight="false" outlineLevel="0" collapsed="false">
      <c r="A685" s="69"/>
      <c r="B685" s="68"/>
      <c r="C685" s="76" t="str">
        <f aca="false">IF(B685="","",IFERROR(INDEX(EN_Des,MATCH(B685,EN_Code,0)),"Code inconnu"))</f>
        <v/>
      </c>
      <c r="D685" s="25"/>
      <c r="E685" s="25"/>
      <c r="F685" s="82"/>
      <c r="G685" s="82"/>
      <c r="H685" s="83" t="str">
        <f aca="false">IF(OR(F685="",G685=""),"",G685-F685)</f>
        <v/>
      </c>
      <c r="I685" s="82"/>
      <c r="J685" s="82"/>
      <c r="K685" s="28"/>
      <c r="L685" s="90" t="str">
        <f aca="false">IF(OR(K685="",N(H685)=0),"",K685/H685)</f>
        <v/>
      </c>
      <c r="M685" s="68"/>
      <c r="N685" s="28"/>
      <c r="O685" s="25"/>
      <c r="P685" s="83" t="str">
        <f aca="false">IF(OR(N685="",N(H685)=0),"",N685/H685)</f>
        <v/>
      </c>
      <c r="Q685" s="25"/>
    </row>
    <row r="686" customFormat="false" ht="15" hidden="false" customHeight="false" outlineLevel="0" collapsed="false">
      <c r="A686" s="69"/>
      <c r="B686" s="68"/>
      <c r="C686" s="76" t="str">
        <f aca="false">IF(B686="","",IFERROR(INDEX(EN_Des,MATCH(B686,EN_Code,0)),"Code inconnu"))</f>
        <v/>
      </c>
      <c r="D686" s="25"/>
      <c r="E686" s="25"/>
      <c r="F686" s="82"/>
      <c r="G686" s="82"/>
      <c r="H686" s="83" t="str">
        <f aca="false">IF(OR(F686="",G686=""),"",G686-F686)</f>
        <v/>
      </c>
      <c r="I686" s="82"/>
      <c r="J686" s="82"/>
      <c r="K686" s="28"/>
      <c r="L686" s="90" t="str">
        <f aca="false">IF(OR(K686="",N(H686)=0),"",K686/H686)</f>
        <v/>
      </c>
      <c r="M686" s="68"/>
      <c r="N686" s="28"/>
      <c r="O686" s="25"/>
      <c r="P686" s="83" t="str">
        <f aca="false">IF(OR(N686="",N(H686)=0),"",N686/H686)</f>
        <v/>
      </c>
      <c r="Q686" s="25"/>
    </row>
    <row r="687" customFormat="false" ht="15" hidden="false" customHeight="false" outlineLevel="0" collapsed="false">
      <c r="A687" s="69"/>
      <c r="B687" s="68"/>
      <c r="C687" s="76" t="str">
        <f aca="false">IF(B687="","",IFERROR(INDEX(EN_Des,MATCH(B687,EN_Code,0)),"Code inconnu"))</f>
        <v/>
      </c>
      <c r="D687" s="25"/>
      <c r="E687" s="25"/>
      <c r="F687" s="82"/>
      <c r="G687" s="82"/>
      <c r="H687" s="83" t="str">
        <f aca="false">IF(OR(F687="",G687=""),"",G687-F687)</f>
        <v/>
      </c>
      <c r="I687" s="82"/>
      <c r="J687" s="82"/>
      <c r="K687" s="28"/>
      <c r="L687" s="90" t="str">
        <f aca="false">IF(OR(K687="",N(H687)=0),"",K687/H687)</f>
        <v/>
      </c>
      <c r="M687" s="68"/>
      <c r="N687" s="28"/>
      <c r="O687" s="25"/>
      <c r="P687" s="83" t="str">
        <f aca="false">IF(OR(N687="",N(H687)=0),"",N687/H687)</f>
        <v/>
      </c>
      <c r="Q687" s="25"/>
    </row>
    <row r="688" customFormat="false" ht="15" hidden="false" customHeight="false" outlineLevel="0" collapsed="false">
      <c r="A688" s="69"/>
      <c r="B688" s="68"/>
      <c r="C688" s="76" t="str">
        <f aca="false">IF(B688="","",IFERROR(INDEX(EN_Des,MATCH(B688,EN_Code,0)),"Code inconnu"))</f>
        <v/>
      </c>
      <c r="D688" s="25"/>
      <c r="E688" s="25"/>
      <c r="F688" s="82"/>
      <c r="G688" s="82"/>
      <c r="H688" s="83" t="str">
        <f aca="false">IF(OR(F688="",G688=""),"",G688-F688)</f>
        <v/>
      </c>
      <c r="I688" s="82"/>
      <c r="J688" s="82"/>
      <c r="K688" s="28"/>
      <c r="L688" s="90" t="str">
        <f aca="false">IF(OR(K688="",N(H688)=0),"",K688/H688)</f>
        <v/>
      </c>
      <c r="M688" s="68"/>
      <c r="N688" s="28"/>
      <c r="O688" s="25"/>
      <c r="P688" s="83" t="str">
        <f aca="false">IF(OR(N688="",N(H688)=0),"",N688/H688)</f>
        <v/>
      </c>
      <c r="Q688" s="25"/>
    </row>
    <row r="689" customFormat="false" ht="15" hidden="false" customHeight="false" outlineLevel="0" collapsed="false">
      <c r="A689" s="69"/>
      <c r="B689" s="68"/>
      <c r="C689" s="76" t="str">
        <f aca="false">IF(B689="","",IFERROR(INDEX(EN_Des,MATCH(B689,EN_Code,0)),"Code inconnu"))</f>
        <v/>
      </c>
      <c r="D689" s="25"/>
      <c r="E689" s="25"/>
      <c r="F689" s="82"/>
      <c r="G689" s="82"/>
      <c r="H689" s="83" t="str">
        <f aca="false">IF(OR(F689="",G689=""),"",G689-F689)</f>
        <v/>
      </c>
      <c r="I689" s="82"/>
      <c r="J689" s="82"/>
      <c r="K689" s="28"/>
      <c r="L689" s="90" t="str">
        <f aca="false">IF(OR(K689="",N(H689)=0),"",K689/H689)</f>
        <v/>
      </c>
      <c r="M689" s="68"/>
      <c r="N689" s="28"/>
      <c r="O689" s="25"/>
      <c r="P689" s="83" t="str">
        <f aca="false">IF(OR(N689="",N(H689)=0),"",N689/H689)</f>
        <v/>
      </c>
      <c r="Q689" s="25"/>
    </row>
    <row r="690" customFormat="false" ht="15" hidden="false" customHeight="false" outlineLevel="0" collapsed="false">
      <c r="A690" s="69"/>
      <c r="B690" s="68"/>
      <c r="C690" s="76" t="str">
        <f aca="false">IF(B690="","",IFERROR(INDEX(EN_Des,MATCH(B690,EN_Code,0)),"Code inconnu"))</f>
        <v/>
      </c>
      <c r="D690" s="25"/>
      <c r="E690" s="25"/>
      <c r="F690" s="82"/>
      <c r="G690" s="82"/>
      <c r="H690" s="83" t="str">
        <f aca="false">IF(OR(F690="",G690=""),"",G690-F690)</f>
        <v/>
      </c>
      <c r="I690" s="82"/>
      <c r="J690" s="82"/>
      <c r="K690" s="28"/>
      <c r="L690" s="90" t="str">
        <f aca="false">IF(OR(K690="",N(H690)=0),"",K690/H690)</f>
        <v/>
      </c>
      <c r="M690" s="68"/>
      <c r="N690" s="28"/>
      <c r="O690" s="25"/>
      <c r="P690" s="83" t="str">
        <f aca="false">IF(OR(N690="",N(H690)=0),"",N690/H690)</f>
        <v/>
      </c>
      <c r="Q690" s="25"/>
    </row>
    <row r="691" customFormat="false" ht="15" hidden="false" customHeight="false" outlineLevel="0" collapsed="false">
      <c r="A691" s="69"/>
      <c r="B691" s="68"/>
      <c r="C691" s="76" t="str">
        <f aca="false">IF(B691="","",IFERROR(INDEX(EN_Des,MATCH(B691,EN_Code,0)),"Code inconnu"))</f>
        <v/>
      </c>
      <c r="D691" s="25"/>
      <c r="E691" s="25"/>
      <c r="F691" s="82"/>
      <c r="G691" s="82"/>
      <c r="H691" s="83" t="str">
        <f aca="false">IF(OR(F691="",G691=""),"",G691-F691)</f>
        <v/>
      </c>
      <c r="I691" s="82"/>
      <c r="J691" s="82"/>
      <c r="K691" s="28"/>
      <c r="L691" s="90" t="str">
        <f aca="false">IF(OR(K691="",N(H691)=0),"",K691/H691)</f>
        <v/>
      </c>
      <c r="M691" s="68"/>
      <c r="N691" s="28"/>
      <c r="O691" s="25"/>
      <c r="P691" s="83" t="str">
        <f aca="false">IF(OR(N691="",N(H691)=0),"",N691/H691)</f>
        <v/>
      </c>
      <c r="Q691" s="25"/>
    </row>
    <row r="692" customFormat="false" ht="15" hidden="false" customHeight="false" outlineLevel="0" collapsed="false">
      <c r="A692" s="69"/>
      <c r="B692" s="68"/>
      <c r="C692" s="76" t="str">
        <f aca="false">IF(B692="","",IFERROR(INDEX(EN_Des,MATCH(B692,EN_Code,0)),"Code inconnu"))</f>
        <v/>
      </c>
      <c r="D692" s="25"/>
      <c r="E692" s="25"/>
      <c r="F692" s="82"/>
      <c r="G692" s="82"/>
      <c r="H692" s="83" t="str">
        <f aca="false">IF(OR(F692="",G692=""),"",G692-F692)</f>
        <v/>
      </c>
      <c r="I692" s="82"/>
      <c r="J692" s="82"/>
      <c r="K692" s="28"/>
      <c r="L692" s="90" t="str">
        <f aca="false">IF(OR(K692="",N(H692)=0),"",K692/H692)</f>
        <v/>
      </c>
      <c r="M692" s="68"/>
      <c r="N692" s="28"/>
      <c r="O692" s="25"/>
      <c r="P692" s="83" t="str">
        <f aca="false">IF(OR(N692="",N(H692)=0),"",N692/H692)</f>
        <v/>
      </c>
      <c r="Q692" s="25"/>
    </row>
    <row r="693" customFormat="false" ht="15" hidden="false" customHeight="false" outlineLevel="0" collapsed="false">
      <c r="A693" s="69"/>
      <c r="B693" s="68"/>
      <c r="C693" s="76" t="str">
        <f aca="false">IF(B693="","",IFERROR(INDEX(EN_Des,MATCH(B693,EN_Code,0)),"Code inconnu"))</f>
        <v/>
      </c>
      <c r="D693" s="25"/>
      <c r="E693" s="25"/>
      <c r="F693" s="82"/>
      <c r="G693" s="82"/>
      <c r="H693" s="83" t="str">
        <f aca="false">IF(OR(F693="",G693=""),"",G693-F693)</f>
        <v/>
      </c>
      <c r="I693" s="82"/>
      <c r="J693" s="82"/>
      <c r="K693" s="28"/>
      <c r="L693" s="90" t="str">
        <f aca="false">IF(OR(K693="",N(H693)=0),"",K693/H693)</f>
        <v/>
      </c>
      <c r="M693" s="68"/>
      <c r="N693" s="28"/>
      <c r="O693" s="25"/>
      <c r="P693" s="83" t="str">
        <f aca="false">IF(OR(N693="",N(H693)=0),"",N693/H693)</f>
        <v/>
      </c>
      <c r="Q693" s="25"/>
    </row>
    <row r="694" customFormat="false" ht="15" hidden="false" customHeight="false" outlineLevel="0" collapsed="false">
      <c r="A694" s="69"/>
      <c r="B694" s="68"/>
      <c r="C694" s="76" t="str">
        <f aca="false">IF(B694="","",IFERROR(INDEX(EN_Des,MATCH(B694,EN_Code,0)),"Code inconnu"))</f>
        <v/>
      </c>
      <c r="D694" s="25"/>
      <c r="E694" s="25"/>
      <c r="F694" s="82"/>
      <c r="G694" s="82"/>
      <c r="H694" s="83" t="str">
        <f aca="false">IF(OR(F694="",G694=""),"",G694-F694)</f>
        <v/>
      </c>
      <c r="I694" s="82"/>
      <c r="J694" s="82"/>
      <c r="K694" s="28"/>
      <c r="L694" s="90" t="str">
        <f aca="false">IF(OR(K694="",N(H694)=0),"",K694/H694)</f>
        <v/>
      </c>
      <c r="M694" s="68"/>
      <c r="N694" s="28"/>
      <c r="O694" s="25"/>
      <c r="P694" s="83" t="str">
        <f aca="false">IF(OR(N694="",N(H694)=0),"",N694/H694)</f>
        <v/>
      </c>
      <c r="Q694" s="25"/>
    </row>
    <row r="695" customFormat="false" ht="15" hidden="false" customHeight="false" outlineLevel="0" collapsed="false">
      <c r="A695" s="69"/>
      <c r="B695" s="68"/>
      <c r="C695" s="76" t="str">
        <f aca="false">IF(B695="","",IFERROR(INDEX(EN_Des,MATCH(B695,EN_Code,0)),"Code inconnu"))</f>
        <v/>
      </c>
      <c r="D695" s="25"/>
      <c r="E695" s="25"/>
      <c r="F695" s="82"/>
      <c r="G695" s="82"/>
      <c r="H695" s="83" t="str">
        <f aca="false">IF(OR(F695="",G695=""),"",G695-F695)</f>
        <v/>
      </c>
      <c r="I695" s="82"/>
      <c r="J695" s="82"/>
      <c r="K695" s="28"/>
      <c r="L695" s="90" t="str">
        <f aca="false">IF(OR(K695="",N(H695)=0),"",K695/H695)</f>
        <v/>
      </c>
      <c r="M695" s="68"/>
      <c r="N695" s="28"/>
      <c r="O695" s="25"/>
      <c r="P695" s="83" t="str">
        <f aca="false">IF(OR(N695="",N(H695)=0),"",N695/H695)</f>
        <v/>
      </c>
      <c r="Q695" s="25"/>
    </row>
    <row r="696" customFormat="false" ht="15" hidden="false" customHeight="false" outlineLevel="0" collapsed="false">
      <c r="A696" s="69"/>
      <c r="B696" s="68"/>
      <c r="C696" s="76" t="str">
        <f aca="false">IF(B696="","",IFERROR(INDEX(EN_Des,MATCH(B696,EN_Code,0)),"Code inconnu"))</f>
        <v/>
      </c>
      <c r="D696" s="25"/>
      <c r="E696" s="25"/>
      <c r="F696" s="82"/>
      <c r="G696" s="82"/>
      <c r="H696" s="83" t="str">
        <f aca="false">IF(OR(F696="",G696=""),"",G696-F696)</f>
        <v/>
      </c>
      <c r="I696" s="82"/>
      <c r="J696" s="82"/>
      <c r="K696" s="28"/>
      <c r="L696" s="90" t="str">
        <f aca="false">IF(OR(K696="",N(H696)=0),"",K696/H696)</f>
        <v/>
      </c>
      <c r="M696" s="68"/>
      <c r="N696" s="28"/>
      <c r="O696" s="25"/>
      <c r="P696" s="83" t="str">
        <f aca="false">IF(OR(N696="",N(H696)=0),"",N696/H696)</f>
        <v/>
      </c>
      <c r="Q696" s="25"/>
    </row>
    <row r="697" customFormat="false" ht="15" hidden="false" customHeight="false" outlineLevel="0" collapsed="false">
      <c r="A697" s="69"/>
      <c r="B697" s="68"/>
      <c r="C697" s="76" t="str">
        <f aca="false">IF(B697="","",IFERROR(INDEX(EN_Des,MATCH(B697,EN_Code,0)),"Code inconnu"))</f>
        <v/>
      </c>
      <c r="D697" s="25"/>
      <c r="E697" s="25"/>
      <c r="F697" s="82"/>
      <c r="G697" s="82"/>
      <c r="H697" s="83" t="str">
        <f aca="false">IF(OR(F697="",G697=""),"",G697-F697)</f>
        <v/>
      </c>
      <c r="I697" s="82"/>
      <c r="J697" s="82"/>
      <c r="K697" s="28"/>
      <c r="L697" s="90" t="str">
        <f aca="false">IF(OR(K697="",N(H697)=0),"",K697/H697)</f>
        <v/>
      </c>
      <c r="M697" s="68"/>
      <c r="N697" s="28"/>
      <c r="O697" s="25"/>
      <c r="P697" s="83" t="str">
        <f aca="false">IF(OR(N697="",N(H697)=0),"",N697/H697)</f>
        <v/>
      </c>
      <c r="Q697" s="25"/>
    </row>
    <row r="698" customFormat="false" ht="15" hidden="false" customHeight="false" outlineLevel="0" collapsed="false">
      <c r="A698" s="69"/>
      <c r="B698" s="68"/>
      <c r="C698" s="76" t="str">
        <f aca="false">IF(B698="","",IFERROR(INDEX(EN_Des,MATCH(B698,EN_Code,0)),"Code inconnu"))</f>
        <v/>
      </c>
      <c r="D698" s="25"/>
      <c r="E698" s="25"/>
      <c r="F698" s="82"/>
      <c r="G698" s="82"/>
      <c r="H698" s="83" t="str">
        <f aca="false">IF(OR(F698="",G698=""),"",G698-F698)</f>
        <v/>
      </c>
      <c r="I698" s="82"/>
      <c r="J698" s="82"/>
      <c r="K698" s="28"/>
      <c r="L698" s="90" t="str">
        <f aca="false">IF(OR(K698="",N(H698)=0),"",K698/H698)</f>
        <v/>
      </c>
      <c r="M698" s="68"/>
      <c r="N698" s="28"/>
      <c r="O698" s="25"/>
      <c r="P698" s="83" t="str">
        <f aca="false">IF(OR(N698="",N(H698)=0),"",N698/H698)</f>
        <v/>
      </c>
      <c r="Q698" s="25"/>
    </row>
    <row r="699" customFormat="false" ht="15" hidden="false" customHeight="false" outlineLevel="0" collapsed="false">
      <c r="A699" s="69"/>
      <c r="B699" s="68"/>
      <c r="C699" s="76" t="str">
        <f aca="false">IF(B699="","",IFERROR(INDEX(EN_Des,MATCH(B699,EN_Code,0)),"Code inconnu"))</f>
        <v/>
      </c>
      <c r="D699" s="25"/>
      <c r="E699" s="25"/>
      <c r="F699" s="82"/>
      <c r="G699" s="82"/>
      <c r="H699" s="83" t="str">
        <f aca="false">IF(OR(F699="",G699=""),"",G699-F699)</f>
        <v/>
      </c>
      <c r="I699" s="82"/>
      <c r="J699" s="82"/>
      <c r="K699" s="28"/>
      <c r="L699" s="90" t="str">
        <f aca="false">IF(OR(K699="",N(H699)=0),"",K699/H699)</f>
        <v/>
      </c>
      <c r="M699" s="68"/>
      <c r="N699" s="28"/>
      <c r="O699" s="25"/>
      <c r="P699" s="83" t="str">
        <f aca="false">IF(OR(N699="",N(H699)=0),"",N699/H699)</f>
        <v/>
      </c>
      <c r="Q699" s="25"/>
    </row>
    <row r="700" customFormat="false" ht="15" hidden="false" customHeight="false" outlineLevel="0" collapsed="false">
      <c r="A700" s="69"/>
      <c r="B700" s="68"/>
      <c r="C700" s="76" t="str">
        <f aca="false">IF(B700="","",IFERROR(INDEX(EN_Des,MATCH(B700,EN_Code,0)),"Code inconnu"))</f>
        <v/>
      </c>
      <c r="D700" s="25"/>
      <c r="E700" s="25"/>
      <c r="F700" s="82"/>
      <c r="G700" s="82"/>
      <c r="H700" s="83" t="str">
        <f aca="false">IF(OR(F700="",G700=""),"",G700-F700)</f>
        <v/>
      </c>
      <c r="I700" s="82"/>
      <c r="J700" s="82"/>
      <c r="K700" s="28"/>
      <c r="L700" s="90" t="str">
        <f aca="false">IF(OR(K700="",N(H700)=0),"",K700/H700)</f>
        <v/>
      </c>
      <c r="M700" s="68"/>
      <c r="N700" s="28"/>
      <c r="O700" s="25"/>
      <c r="P700" s="83" t="str">
        <f aca="false">IF(OR(N700="",N(H700)=0),"",N700/H700)</f>
        <v/>
      </c>
      <c r="Q700" s="25"/>
    </row>
    <row r="701" customFormat="false" ht="15" hidden="false" customHeight="false" outlineLevel="0" collapsed="false">
      <c r="A701" s="69"/>
      <c r="B701" s="68"/>
      <c r="C701" s="76" t="str">
        <f aca="false">IF(B701="","",IFERROR(INDEX(EN_Des,MATCH(B701,EN_Code,0)),"Code inconnu"))</f>
        <v/>
      </c>
      <c r="D701" s="25"/>
      <c r="E701" s="25"/>
      <c r="F701" s="82"/>
      <c r="G701" s="82"/>
      <c r="H701" s="83" t="str">
        <f aca="false">IF(OR(F701="",G701=""),"",G701-F701)</f>
        <v/>
      </c>
      <c r="I701" s="82"/>
      <c r="J701" s="82"/>
      <c r="K701" s="28"/>
      <c r="L701" s="90" t="str">
        <f aca="false">IF(OR(K701="",N(H701)=0),"",K701/H701)</f>
        <v/>
      </c>
      <c r="M701" s="68"/>
      <c r="N701" s="28"/>
      <c r="O701" s="25"/>
      <c r="P701" s="83" t="str">
        <f aca="false">IF(OR(N701="",N(H701)=0),"",N701/H701)</f>
        <v/>
      </c>
      <c r="Q701" s="25"/>
    </row>
    <row r="702" customFormat="false" ht="15" hidden="false" customHeight="false" outlineLevel="0" collapsed="false">
      <c r="A702" s="69"/>
      <c r="B702" s="68"/>
      <c r="C702" s="76" t="str">
        <f aca="false">IF(B702="","",IFERROR(INDEX(EN_Des,MATCH(B702,EN_Code,0)),"Code inconnu"))</f>
        <v/>
      </c>
      <c r="D702" s="25"/>
      <c r="E702" s="25"/>
      <c r="F702" s="82"/>
      <c r="G702" s="82"/>
      <c r="H702" s="83" t="str">
        <f aca="false">IF(OR(F702="",G702=""),"",G702-F702)</f>
        <v/>
      </c>
      <c r="I702" s="82"/>
      <c r="J702" s="82"/>
      <c r="K702" s="28"/>
      <c r="L702" s="90" t="str">
        <f aca="false">IF(OR(K702="",N(H702)=0),"",K702/H702)</f>
        <v/>
      </c>
      <c r="M702" s="68"/>
      <c r="N702" s="28"/>
      <c r="O702" s="25"/>
      <c r="P702" s="83" t="str">
        <f aca="false">IF(OR(N702="",N(H702)=0),"",N702/H702)</f>
        <v/>
      </c>
      <c r="Q702" s="25"/>
    </row>
    <row r="703" customFormat="false" ht="15" hidden="false" customHeight="false" outlineLevel="0" collapsed="false">
      <c r="A703" s="69"/>
      <c r="B703" s="68"/>
      <c r="C703" s="76" t="str">
        <f aca="false">IF(B703="","",IFERROR(INDEX(EN_Des,MATCH(B703,EN_Code,0)),"Code inconnu"))</f>
        <v/>
      </c>
      <c r="D703" s="25"/>
      <c r="E703" s="25"/>
      <c r="F703" s="82"/>
      <c r="G703" s="82"/>
      <c r="H703" s="83" t="str">
        <f aca="false">IF(OR(F703="",G703=""),"",G703-F703)</f>
        <v/>
      </c>
      <c r="I703" s="82"/>
      <c r="J703" s="82"/>
      <c r="K703" s="28"/>
      <c r="L703" s="90" t="str">
        <f aca="false">IF(OR(K703="",N(H703)=0),"",K703/H703)</f>
        <v/>
      </c>
      <c r="M703" s="68"/>
      <c r="N703" s="28"/>
      <c r="O703" s="25"/>
      <c r="P703" s="83" t="str">
        <f aca="false">IF(OR(N703="",N(H703)=0),"",N703/H703)</f>
        <v/>
      </c>
      <c r="Q703" s="25"/>
    </row>
    <row r="704" customFormat="false" ht="15" hidden="false" customHeight="false" outlineLevel="0" collapsed="false">
      <c r="A704" s="69"/>
      <c r="B704" s="68"/>
      <c r="C704" s="76" t="str">
        <f aca="false">IF(B704="","",IFERROR(INDEX(EN_Des,MATCH(B704,EN_Code,0)),"Code inconnu"))</f>
        <v/>
      </c>
      <c r="D704" s="25"/>
      <c r="E704" s="25"/>
      <c r="F704" s="82"/>
      <c r="G704" s="82"/>
      <c r="H704" s="83" t="str">
        <f aca="false">IF(OR(F704="",G704=""),"",G704-F704)</f>
        <v/>
      </c>
      <c r="I704" s="82"/>
      <c r="J704" s="82"/>
      <c r="K704" s="28"/>
      <c r="L704" s="90" t="str">
        <f aca="false">IF(OR(K704="",N(H704)=0),"",K704/H704)</f>
        <v/>
      </c>
      <c r="M704" s="68"/>
      <c r="N704" s="28"/>
      <c r="O704" s="25"/>
      <c r="P704" s="83" t="str">
        <f aca="false">IF(OR(N704="",N(H704)=0),"",N704/H704)</f>
        <v/>
      </c>
      <c r="Q704" s="25"/>
    </row>
    <row r="705" customFormat="false" ht="15" hidden="false" customHeight="false" outlineLevel="0" collapsed="false">
      <c r="A705" s="69"/>
      <c r="B705" s="68"/>
      <c r="C705" s="76" t="str">
        <f aca="false">IF(B705="","",IFERROR(INDEX(EN_Des,MATCH(B705,EN_Code,0)),"Code inconnu"))</f>
        <v/>
      </c>
      <c r="D705" s="25"/>
      <c r="E705" s="25"/>
      <c r="F705" s="82"/>
      <c r="G705" s="82"/>
      <c r="H705" s="83" t="str">
        <f aca="false">IF(OR(F705="",G705=""),"",G705-F705)</f>
        <v/>
      </c>
      <c r="I705" s="82"/>
      <c r="J705" s="82"/>
      <c r="K705" s="28"/>
      <c r="L705" s="90" t="str">
        <f aca="false">IF(OR(K705="",N(H705)=0),"",K705/H705)</f>
        <v/>
      </c>
      <c r="M705" s="68"/>
      <c r="N705" s="28"/>
      <c r="O705" s="25"/>
      <c r="P705" s="83" t="str">
        <f aca="false">IF(OR(N705="",N(H705)=0),"",N705/H705)</f>
        <v/>
      </c>
      <c r="Q705" s="25"/>
    </row>
    <row r="706" customFormat="false" ht="15" hidden="false" customHeight="false" outlineLevel="0" collapsed="false">
      <c r="A706" s="69"/>
      <c r="B706" s="68"/>
      <c r="C706" s="76" t="str">
        <f aca="false">IF(B706="","",IFERROR(INDEX(EN_Des,MATCH(B706,EN_Code,0)),"Code inconnu"))</f>
        <v/>
      </c>
      <c r="D706" s="25"/>
      <c r="E706" s="25"/>
      <c r="F706" s="82"/>
      <c r="G706" s="82"/>
      <c r="H706" s="83" t="str">
        <f aca="false">IF(OR(F706="",G706=""),"",G706-F706)</f>
        <v/>
      </c>
      <c r="I706" s="82"/>
      <c r="J706" s="82"/>
      <c r="K706" s="28"/>
      <c r="L706" s="90" t="str">
        <f aca="false">IF(OR(K706="",N(H706)=0),"",K706/H706)</f>
        <v/>
      </c>
      <c r="M706" s="68"/>
      <c r="N706" s="28"/>
      <c r="O706" s="25"/>
      <c r="P706" s="83" t="str">
        <f aca="false">IF(OR(N706="",N(H706)=0),"",N706/H706)</f>
        <v/>
      </c>
      <c r="Q706" s="25"/>
    </row>
    <row r="707" customFormat="false" ht="15" hidden="false" customHeight="false" outlineLevel="0" collapsed="false">
      <c r="A707" s="69"/>
      <c r="B707" s="68"/>
      <c r="C707" s="76" t="str">
        <f aca="false">IF(B707="","",IFERROR(INDEX(EN_Des,MATCH(B707,EN_Code,0)),"Code inconnu"))</f>
        <v/>
      </c>
      <c r="D707" s="25"/>
      <c r="E707" s="25"/>
      <c r="F707" s="82"/>
      <c r="G707" s="82"/>
      <c r="H707" s="83" t="str">
        <f aca="false">IF(OR(F707="",G707=""),"",G707-F707)</f>
        <v/>
      </c>
      <c r="I707" s="82"/>
      <c r="J707" s="82"/>
      <c r="K707" s="28"/>
      <c r="L707" s="90" t="str">
        <f aca="false">IF(OR(K707="",N(H707)=0),"",K707/H707)</f>
        <v/>
      </c>
      <c r="M707" s="68"/>
      <c r="N707" s="28"/>
      <c r="O707" s="25"/>
      <c r="P707" s="83" t="str">
        <f aca="false">IF(OR(N707="",N(H707)=0),"",N707/H707)</f>
        <v/>
      </c>
      <c r="Q707" s="25"/>
    </row>
    <row r="708" customFormat="false" ht="15" hidden="false" customHeight="false" outlineLevel="0" collapsed="false">
      <c r="A708" s="69"/>
      <c r="B708" s="68"/>
      <c r="C708" s="76" t="str">
        <f aca="false">IF(B708="","",IFERROR(INDEX(EN_Des,MATCH(B708,EN_Code,0)),"Code inconnu"))</f>
        <v/>
      </c>
      <c r="D708" s="25"/>
      <c r="E708" s="25"/>
      <c r="F708" s="82"/>
      <c r="G708" s="82"/>
      <c r="H708" s="83" t="str">
        <f aca="false">IF(OR(F708="",G708=""),"",G708-F708)</f>
        <v/>
      </c>
      <c r="I708" s="82"/>
      <c r="J708" s="82"/>
      <c r="K708" s="28"/>
      <c r="L708" s="90" t="str">
        <f aca="false">IF(OR(K708="",N(H708)=0),"",K708/H708)</f>
        <v/>
      </c>
      <c r="M708" s="68"/>
      <c r="N708" s="28"/>
      <c r="O708" s="25"/>
      <c r="P708" s="83" t="str">
        <f aca="false">IF(OR(N708="",N(H708)=0),"",N708/H708)</f>
        <v/>
      </c>
      <c r="Q708" s="25"/>
    </row>
    <row r="709" customFormat="false" ht="15" hidden="false" customHeight="false" outlineLevel="0" collapsed="false">
      <c r="A709" s="69"/>
      <c r="B709" s="68"/>
      <c r="C709" s="76" t="str">
        <f aca="false">IF(B709="","",IFERROR(INDEX(EN_Des,MATCH(B709,EN_Code,0)),"Code inconnu"))</f>
        <v/>
      </c>
      <c r="D709" s="25"/>
      <c r="E709" s="25"/>
      <c r="F709" s="82"/>
      <c r="G709" s="82"/>
      <c r="H709" s="83" t="str">
        <f aca="false">IF(OR(F709="",G709=""),"",G709-F709)</f>
        <v/>
      </c>
      <c r="I709" s="82"/>
      <c r="J709" s="82"/>
      <c r="K709" s="28"/>
      <c r="L709" s="90" t="str">
        <f aca="false">IF(OR(K709="",N(H709)=0),"",K709/H709)</f>
        <v/>
      </c>
      <c r="M709" s="68"/>
      <c r="N709" s="28"/>
      <c r="O709" s="25"/>
      <c r="P709" s="83" t="str">
        <f aca="false">IF(OR(N709="",N(H709)=0),"",N709/H709)</f>
        <v/>
      </c>
      <c r="Q709" s="25"/>
    </row>
    <row r="710" customFormat="false" ht="15" hidden="false" customHeight="false" outlineLevel="0" collapsed="false">
      <c r="A710" s="69"/>
      <c r="B710" s="68"/>
      <c r="C710" s="76" t="str">
        <f aca="false">IF(B710="","",IFERROR(INDEX(EN_Des,MATCH(B710,EN_Code,0)),"Code inconnu"))</f>
        <v/>
      </c>
      <c r="D710" s="25"/>
      <c r="E710" s="25"/>
      <c r="F710" s="82"/>
      <c r="G710" s="82"/>
      <c r="H710" s="83" t="str">
        <f aca="false">IF(OR(F710="",G710=""),"",G710-F710)</f>
        <v/>
      </c>
      <c r="I710" s="82"/>
      <c r="J710" s="82"/>
      <c r="K710" s="28"/>
      <c r="L710" s="90" t="str">
        <f aca="false">IF(OR(K710="",N(H710)=0),"",K710/H710)</f>
        <v/>
      </c>
      <c r="M710" s="68"/>
      <c r="N710" s="28"/>
      <c r="O710" s="25"/>
      <c r="P710" s="83" t="str">
        <f aca="false">IF(OR(N710="",N(H710)=0),"",N710/H710)</f>
        <v/>
      </c>
      <c r="Q710" s="25"/>
    </row>
    <row r="711" customFormat="false" ht="15" hidden="false" customHeight="false" outlineLevel="0" collapsed="false">
      <c r="A711" s="69"/>
      <c r="B711" s="68"/>
      <c r="C711" s="76" t="str">
        <f aca="false">IF(B711="","",IFERROR(INDEX(EN_Des,MATCH(B711,EN_Code,0)),"Code inconnu"))</f>
        <v/>
      </c>
      <c r="D711" s="25"/>
      <c r="E711" s="25"/>
      <c r="F711" s="82"/>
      <c r="G711" s="82"/>
      <c r="H711" s="83" t="str">
        <f aca="false">IF(OR(F711="",G711=""),"",G711-F711)</f>
        <v/>
      </c>
      <c r="I711" s="82"/>
      <c r="J711" s="82"/>
      <c r="K711" s="28"/>
      <c r="L711" s="90" t="str">
        <f aca="false">IF(OR(K711="",N(H711)=0),"",K711/H711)</f>
        <v/>
      </c>
      <c r="M711" s="68"/>
      <c r="N711" s="28"/>
      <c r="O711" s="25"/>
      <c r="P711" s="83" t="str">
        <f aca="false">IF(OR(N711="",N(H711)=0),"",N711/H711)</f>
        <v/>
      </c>
      <c r="Q711" s="25"/>
    </row>
    <row r="712" customFormat="false" ht="15" hidden="false" customHeight="false" outlineLevel="0" collapsed="false">
      <c r="A712" s="69"/>
      <c r="B712" s="68"/>
      <c r="C712" s="76" t="str">
        <f aca="false">IF(B712="","",IFERROR(INDEX(EN_Des,MATCH(B712,EN_Code,0)),"Code inconnu"))</f>
        <v/>
      </c>
      <c r="D712" s="25"/>
      <c r="E712" s="25"/>
      <c r="F712" s="82"/>
      <c r="G712" s="82"/>
      <c r="H712" s="83" t="str">
        <f aca="false">IF(OR(F712="",G712=""),"",G712-F712)</f>
        <v/>
      </c>
      <c r="I712" s="82"/>
      <c r="J712" s="82"/>
      <c r="K712" s="28"/>
      <c r="L712" s="90" t="str">
        <f aca="false">IF(OR(K712="",N(H712)=0),"",K712/H712)</f>
        <v/>
      </c>
      <c r="M712" s="68"/>
      <c r="N712" s="28"/>
      <c r="O712" s="25"/>
      <c r="P712" s="83" t="str">
        <f aca="false">IF(OR(N712="",N(H712)=0),"",N712/H712)</f>
        <v/>
      </c>
      <c r="Q712" s="25"/>
    </row>
    <row r="713" customFormat="false" ht="15" hidden="false" customHeight="false" outlineLevel="0" collapsed="false">
      <c r="A713" s="69"/>
      <c r="B713" s="68"/>
      <c r="C713" s="76" t="str">
        <f aca="false">IF(B713="","",IFERROR(INDEX(EN_Des,MATCH(B713,EN_Code,0)),"Code inconnu"))</f>
        <v/>
      </c>
      <c r="D713" s="25"/>
      <c r="E713" s="25"/>
      <c r="F713" s="82"/>
      <c r="G713" s="82"/>
      <c r="H713" s="83" t="str">
        <f aca="false">IF(OR(F713="",G713=""),"",G713-F713)</f>
        <v/>
      </c>
      <c r="I713" s="82"/>
      <c r="J713" s="82"/>
      <c r="K713" s="28"/>
      <c r="L713" s="90" t="str">
        <f aca="false">IF(OR(K713="",N(H713)=0),"",K713/H713)</f>
        <v/>
      </c>
      <c r="M713" s="68"/>
      <c r="N713" s="28"/>
      <c r="O713" s="25"/>
      <c r="P713" s="83" t="str">
        <f aca="false">IF(OR(N713="",N(H713)=0),"",N713/H713)</f>
        <v/>
      </c>
      <c r="Q713" s="25"/>
    </row>
    <row r="714" customFormat="false" ht="15" hidden="false" customHeight="false" outlineLevel="0" collapsed="false">
      <c r="A714" s="69"/>
      <c r="B714" s="68"/>
      <c r="C714" s="76" t="str">
        <f aca="false">IF(B714="","",IFERROR(INDEX(EN_Des,MATCH(B714,EN_Code,0)),"Code inconnu"))</f>
        <v/>
      </c>
      <c r="D714" s="25"/>
      <c r="E714" s="25"/>
      <c r="F714" s="82"/>
      <c r="G714" s="82"/>
      <c r="H714" s="83" t="str">
        <f aca="false">IF(OR(F714="",G714=""),"",G714-F714)</f>
        <v/>
      </c>
      <c r="I714" s="82"/>
      <c r="J714" s="82"/>
      <c r="K714" s="28"/>
      <c r="L714" s="90" t="str">
        <f aca="false">IF(OR(K714="",N(H714)=0),"",K714/H714)</f>
        <v/>
      </c>
      <c r="M714" s="68"/>
      <c r="N714" s="28"/>
      <c r="O714" s="25"/>
      <c r="P714" s="83" t="str">
        <f aca="false">IF(OR(N714="",N(H714)=0),"",N714/H714)</f>
        <v/>
      </c>
      <c r="Q714" s="25"/>
    </row>
    <row r="715" customFormat="false" ht="15" hidden="false" customHeight="false" outlineLevel="0" collapsed="false">
      <c r="A715" s="69"/>
      <c r="B715" s="68"/>
      <c r="C715" s="76" t="str">
        <f aca="false">IF(B715="","",IFERROR(INDEX(EN_Des,MATCH(B715,EN_Code,0)),"Code inconnu"))</f>
        <v/>
      </c>
      <c r="D715" s="25"/>
      <c r="E715" s="25"/>
      <c r="F715" s="82"/>
      <c r="G715" s="82"/>
      <c r="H715" s="83" t="str">
        <f aca="false">IF(OR(F715="",G715=""),"",G715-F715)</f>
        <v/>
      </c>
      <c r="I715" s="82"/>
      <c r="J715" s="82"/>
      <c r="K715" s="28"/>
      <c r="L715" s="90" t="str">
        <f aca="false">IF(OR(K715="",N(H715)=0),"",K715/H715)</f>
        <v/>
      </c>
      <c r="M715" s="68"/>
      <c r="N715" s="28"/>
      <c r="O715" s="25"/>
      <c r="P715" s="83" t="str">
        <f aca="false">IF(OR(N715="",N(H715)=0),"",N715/H715)</f>
        <v/>
      </c>
      <c r="Q715" s="25"/>
    </row>
    <row r="716" customFormat="false" ht="15" hidden="false" customHeight="false" outlineLevel="0" collapsed="false">
      <c r="A716" s="69"/>
      <c r="B716" s="68"/>
      <c r="C716" s="76" t="str">
        <f aca="false">IF(B716="","",IFERROR(INDEX(EN_Des,MATCH(B716,EN_Code,0)),"Code inconnu"))</f>
        <v/>
      </c>
      <c r="D716" s="25"/>
      <c r="E716" s="25"/>
      <c r="F716" s="82"/>
      <c r="G716" s="82"/>
      <c r="H716" s="83" t="str">
        <f aca="false">IF(OR(F716="",G716=""),"",G716-F716)</f>
        <v/>
      </c>
      <c r="I716" s="82"/>
      <c r="J716" s="82"/>
      <c r="K716" s="28"/>
      <c r="L716" s="90" t="str">
        <f aca="false">IF(OR(K716="",N(H716)=0),"",K716/H716)</f>
        <v/>
      </c>
      <c r="M716" s="68"/>
      <c r="N716" s="28"/>
      <c r="O716" s="25"/>
      <c r="P716" s="83" t="str">
        <f aca="false">IF(OR(N716="",N(H716)=0),"",N716/H716)</f>
        <v/>
      </c>
      <c r="Q716" s="25"/>
    </row>
    <row r="717" customFormat="false" ht="15" hidden="false" customHeight="false" outlineLevel="0" collapsed="false">
      <c r="A717" s="69"/>
      <c r="B717" s="68"/>
      <c r="C717" s="76" t="str">
        <f aca="false">IF(B717="","",IFERROR(INDEX(EN_Des,MATCH(B717,EN_Code,0)),"Code inconnu"))</f>
        <v/>
      </c>
      <c r="D717" s="25"/>
      <c r="E717" s="25"/>
      <c r="F717" s="82"/>
      <c r="G717" s="82"/>
      <c r="H717" s="83" t="str">
        <f aca="false">IF(OR(F717="",G717=""),"",G717-F717)</f>
        <v/>
      </c>
      <c r="I717" s="82"/>
      <c r="J717" s="82"/>
      <c r="K717" s="28"/>
      <c r="L717" s="90" t="str">
        <f aca="false">IF(OR(K717="",N(H717)=0),"",K717/H717)</f>
        <v/>
      </c>
      <c r="M717" s="68"/>
      <c r="N717" s="28"/>
      <c r="O717" s="25"/>
      <c r="P717" s="83" t="str">
        <f aca="false">IF(OR(N717="",N(H717)=0),"",N717/H717)</f>
        <v/>
      </c>
      <c r="Q717" s="25"/>
    </row>
    <row r="718" customFormat="false" ht="15" hidden="false" customHeight="false" outlineLevel="0" collapsed="false">
      <c r="A718" s="69"/>
      <c r="B718" s="68"/>
      <c r="C718" s="76" t="str">
        <f aca="false">IF(B718="","",IFERROR(INDEX(EN_Des,MATCH(B718,EN_Code,0)),"Code inconnu"))</f>
        <v/>
      </c>
      <c r="D718" s="25"/>
      <c r="E718" s="25"/>
      <c r="F718" s="82"/>
      <c r="G718" s="82"/>
      <c r="H718" s="83" t="str">
        <f aca="false">IF(OR(F718="",G718=""),"",G718-F718)</f>
        <v/>
      </c>
      <c r="I718" s="82"/>
      <c r="J718" s="82"/>
      <c r="K718" s="28"/>
      <c r="L718" s="90" t="str">
        <f aca="false">IF(OR(K718="",N(H718)=0),"",K718/H718)</f>
        <v/>
      </c>
      <c r="M718" s="68"/>
      <c r="N718" s="28"/>
      <c r="O718" s="25"/>
      <c r="P718" s="83" t="str">
        <f aca="false">IF(OR(N718="",N(H718)=0),"",N718/H718)</f>
        <v/>
      </c>
      <c r="Q718" s="25"/>
    </row>
    <row r="719" customFormat="false" ht="15" hidden="false" customHeight="false" outlineLevel="0" collapsed="false">
      <c r="A719" s="69"/>
      <c r="B719" s="68"/>
      <c r="C719" s="76" t="str">
        <f aca="false">IF(B719="","",IFERROR(INDEX(EN_Des,MATCH(B719,EN_Code,0)),"Code inconnu"))</f>
        <v/>
      </c>
      <c r="D719" s="25"/>
      <c r="E719" s="25"/>
      <c r="F719" s="82"/>
      <c r="G719" s="82"/>
      <c r="H719" s="83" t="str">
        <f aca="false">IF(OR(F719="",G719=""),"",G719-F719)</f>
        <v/>
      </c>
      <c r="I719" s="82"/>
      <c r="J719" s="82"/>
      <c r="K719" s="28"/>
      <c r="L719" s="90" t="str">
        <f aca="false">IF(OR(K719="",N(H719)=0),"",K719/H719)</f>
        <v/>
      </c>
      <c r="M719" s="68"/>
      <c r="N719" s="28"/>
      <c r="O719" s="25"/>
      <c r="P719" s="83" t="str">
        <f aca="false">IF(OR(N719="",N(H719)=0),"",N719/H719)</f>
        <v/>
      </c>
      <c r="Q719" s="25"/>
    </row>
    <row r="720" customFormat="false" ht="15" hidden="false" customHeight="false" outlineLevel="0" collapsed="false">
      <c r="A720" s="69"/>
      <c r="B720" s="68"/>
      <c r="C720" s="76" t="str">
        <f aca="false">IF(B720="","",IFERROR(INDEX(EN_Des,MATCH(B720,EN_Code,0)),"Code inconnu"))</f>
        <v/>
      </c>
      <c r="D720" s="25"/>
      <c r="E720" s="25"/>
      <c r="F720" s="82"/>
      <c r="G720" s="82"/>
      <c r="H720" s="83" t="str">
        <f aca="false">IF(OR(F720="",G720=""),"",G720-F720)</f>
        <v/>
      </c>
      <c r="I720" s="82"/>
      <c r="J720" s="82"/>
      <c r="K720" s="28"/>
      <c r="L720" s="90" t="str">
        <f aca="false">IF(OR(K720="",N(H720)=0),"",K720/H720)</f>
        <v/>
      </c>
      <c r="M720" s="68"/>
      <c r="N720" s="28"/>
      <c r="O720" s="25"/>
      <c r="P720" s="83" t="str">
        <f aca="false">IF(OR(N720="",N(H720)=0),"",N720/H720)</f>
        <v/>
      </c>
      <c r="Q720" s="25"/>
    </row>
    <row r="721" customFormat="false" ht="15" hidden="false" customHeight="false" outlineLevel="0" collapsed="false">
      <c r="A721" s="69"/>
      <c r="B721" s="68"/>
      <c r="C721" s="76" t="str">
        <f aca="false">IF(B721="","",IFERROR(INDEX(EN_Des,MATCH(B721,EN_Code,0)),"Code inconnu"))</f>
        <v/>
      </c>
      <c r="D721" s="25"/>
      <c r="E721" s="25"/>
      <c r="F721" s="82"/>
      <c r="G721" s="82"/>
      <c r="H721" s="83" t="str">
        <f aca="false">IF(OR(F721="",G721=""),"",G721-F721)</f>
        <v/>
      </c>
      <c r="I721" s="82"/>
      <c r="J721" s="82"/>
      <c r="K721" s="28"/>
      <c r="L721" s="90" t="str">
        <f aca="false">IF(OR(K721="",N(H721)=0),"",K721/H721)</f>
        <v/>
      </c>
      <c r="M721" s="68"/>
      <c r="N721" s="28"/>
      <c r="O721" s="25"/>
      <c r="P721" s="83" t="str">
        <f aca="false">IF(OR(N721="",N(H721)=0),"",N721/H721)</f>
        <v/>
      </c>
      <c r="Q721" s="25"/>
    </row>
    <row r="722" customFormat="false" ht="15" hidden="false" customHeight="false" outlineLevel="0" collapsed="false">
      <c r="A722" s="69"/>
      <c r="B722" s="68"/>
      <c r="C722" s="76" t="str">
        <f aca="false">IF(B722="","",IFERROR(INDEX(EN_Des,MATCH(B722,EN_Code,0)),"Code inconnu"))</f>
        <v/>
      </c>
      <c r="D722" s="25"/>
      <c r="E722" s="25"/>
      <c r="F722" s="82"/>
      <c r="G722" s="82"/>
      <c r="H722" s="83" t="str">
        <f aca="false">IF(OR(F722="",G722=""),"",G722-F722)</f>
        <v/>
      </c>
      <c r="I722" s="82"/>
      <c r="J722" s="82"/>
      <c r="K722" s="28"/>
      <c r="L722" s="90" t="str">
        <f aca="false">IF(OR(K722="",N(H722)=0),"",K722/H722)</f>
        <v/>
      </c>
      <c r="M722" s="68"/>
      <c r="N722" s="28"/>
      <c r="O722" s="25"/>
      <c r="P722" s="83" t="str">
        <f aca="false">IF(OR(N722="",N(H722)=0),"",N722/H722)</f>
        <v/>
      </c>
      <c r="Q722" s="25"/>
    </row>
    <row r="723" customFormat="false" ht="15" hidden="false" customHeight="false" outlineLevel="0" collapsed="false">
      <c r="A723" s="69"/>
      <c r="B723" s="68"/>
      <c r="C723" s="76" t="str">
        <f aca="false">IF(B723="","",IFERROR(INDEX(EN_Des,MATCH(B723,EN_Code,0)),"Code inconnu"))</f>
        <v/>
      </c>
      <c r="D723" s="25"/>
      <c r="E723" s="25"/>
      <c r="F723" s="82"/>
      <c r="G723" s="82"/>
      <c r="H723" s="83" t="str">
        <f aca="false">IF(OR(F723="",G723=""),"",G723-F723)</f>
        <v/>
      </c>
      <c r="I723" s="82"/>
      <c r="J723" s="82"/>
      <c r="K723" s="28"/>
      <c r="L723" s="90" t="str">
        <f aca="false">IF(OR(K723="",N(H723)=0),"",K723/H723)</f>
        <v/>
      </c>
      <c r="M723" s="68"/>
      <c r="N723" s="28"/>
      <c r="O723" s="25"/>
      <c r="P723" s="83" t="str">
        <f aca="false">IF(OR(N723="",N(H723)=0),"",N723/H723)</f>
        <v/>
      </c>
      <c r="Q723" s="25"/>
    </row>
    <row r="724" customFormat="false" ht="15" hidden="false" customHeight="false" outlineLevel="0" collapsed="false">
      <c r="A724" s="69"/>
      <c r="B724" s="68"/>
      <c r="C724" s="76" t="str">
        <f aca="false">IF(B724="","",IFERROR(INDEX(EN_Des,MATCH(B724,EN_Code,0)),"Code inconnu"))</f>
        <v/>
      </c>
      <c r="D724" s="25"/>
      <c r="E724" s="25"/>
      <c r="F724" s="82"/>
      <c r="G724" s="82"/>
      <c r="H724" s="83" t="str">
        <f aca="false">IF(OR(F724="",G724=""),"",G724-F724)</f>
        <v/>
      </c>
      <c r="I724" s="82"/>
      <c r="J724" s="82"/>
      <c r="K724" s="28"/>
      <c r="L724" s="90" t="str">
        <f aca="false">IF(OR(K724="",N(H724)=0),"",K724/H724)</f>
        <v/>
      </c>
      <c r="M724" s="68"/>
      <c r="N724" s="28"/>
      <c r="O724" s="25"/>
      <c r="P724" s="83" t="str">
        <f aca="false">IF(OR(N724="",N(H724)=0),"",N724/H724)</f>
        <v/>
      </c>
      <c r="Q724" s="25"/>
    </row>
    <row r="725" customFormat="false" ht="15" hidden="false" customHeight="false" outlineLevel="0" collapsed="false">
      <c r="A725" s="69"/>
      <c r="B725" s="68"/>
      <c r="C725" s="76" t="str">
        <f aca="false">IF(B725="","",IFERROR(INDEX(EN_Des,MATCH(B725,EN_Code,0)),"Code inconnu"))</f>
        <v/>
      </c>
      <c r="D725" s="25"/>
      <c r="E725" s="25"/>
      <c r="F725" s="82"/>
      <c r="G725" s="82"/>
      <c r="H725" s="83" t="str">
        <f aca="false">IF(OR(F725="",G725=""),"",G725-F725)</f>
        <v/>
      </c>
      <c r="I725" s="82"/>
      <c r="J725" s="82"/>
      <c r="K725" s="28"/>
      <c r="L725" s="90" t="str">
        <f aca="false">IF(OR(K725="",N(H725)=0),"",K725/H725)</f>
        <v/>
      </c>
      <c r="M725" s="68"/>
      <c r="N725" s="28"/>
      <c r="O725" s="25"/>
      <c r="P725" s="83" t="str">
        <f aca="false">IF(OR(N725="",N(H725)=0),"",N725/H725)</f>
        <v/>
      </c>
      <c r="Q725" s="25"/>
    </row>
    <row r="726" customFormat="false" ht="15" hidden="false" customHeight="false" outlineLevel="0" collapsed="false">
      <c r="A726" s="69"/>
      <c r="B726" s="68"/>
      <c r="C726" s="76" t="str">
        <f aca="false">IF(B726="","",IFERROR(INDEX(EN_Des,MATCH(B726,EN_Code,0)),"Code inconnu"))</f>
        <v/>
      </c>
      <c r="D726" s="25"/>
      <c r="E726" s="25"/>
      <c r="F726" s="82"/>
      <c r="G726" s="82"/>
      <c r="H726" s="83" t="str">
        <f aca="false">IF(OR(F726="",G726=""),"",G726-F726)</f>
        <v/>
      </c>
      <c r="I726" s="82"/>
      <c r="J726" s="82"/>
      <c r="K726" s="28"/>
      <c r="L726" s="90" t="str">
        <f aca="false">IF(OR(K726="",N(H726)=0),"",K726/H726)</f>
        <v/>
      </c>
      <c r="M726" s="68"/>
      <c r="N726" s="28"/>
      <c r="O726" s="25"/>
      <c r="P726" s="83" t="str">
        <f aca="false">IF(OR(N726="",N(H726)=0),"",N726/H726)</f>
        <v/>
      </c>
      <c r="Q726" s="25"/>
    </row>
    <row r="727" customFormat="false" ht="15" hidden="false" customHeight="false" outlineLevel="0" collapsed="false">
      <c r="A727" s="69"/>
      <c r="B727" s="68"/>
      <c r="C727" s="76" t="str">
        <f aca="false">IF(B727="","",IFERROR(INDEX(EN_Des,MATCH(B727,EN_Code,0)),"Code inconnu"))</f>
        <v/>
      </c>
      <c r="D727" s="25"/>
      <c r="E727" s="25"/>
      <c r="F727" s="82"/>
      <c r="G727" s="82"/>
      <c r="H727" s="83" t="str">
        <f aca="false">IF(OR(F727="",G727=""),"",G727-F727)</f>
        <v/>
      </c>
      <c r="I727" s="82"/>
      <c r="J727" s="82"/>
      <c r="K727" s="28"/>
      <c r="L727" s="90" t="str">
        <f aca="false">IF(OR(K727="",N(H727)=0),"",K727/H727)</f>
        <v/>
      </c>
      <c r="M727" s="68"/>
      <c r="N727" s="28"/>
      <c r="O727" s="25"/>
      <c r="P727" s="83" t="str">
        <f aca="false">IF(OR(N727="",N(H727)=0),"",N727/H727)</f>
        <v/>
      </c>
      <c r="Q727" s="25"/>
    </row>
    <row r="728" customFormat="false" ht="15" hidden="false" customHeight="false" outlineLevel="0" collapsed="false">
      <c r="A728" s="69"/>
      <c r="B728" s="68"/>
      <c r="C728" s="76" t="str">
        <f aca="false">IF(B728="","",IFERROR(INDEX(EN_Des,MATCH(B728,EN_Code,0)),"Code inconnu"))</f>
        <v/>
      </c>
      <c r="D728" s="25"/>
      <c r="E728" s="25"/>
      <c r="F728" s="82"/>
      <c r="G728" s="82"/>
      <c r="H728" s="83" t="str">
        <f aca="false">IF(OR(F728="",G728=""),"",G728-F728)</f>
        <v/>
      </c>
      <c r="I728" s="82"/>
      <c r="J728" s="82"/>
      <c r="K728" s="28"/>
      <c r="L728" s="90" t="str">
        <f aca="false">IF(OR(K728="",N(H728)=0),"",K728/H728)</f>
        <v/>
      </c>
      <c r="M728" s="68"/>
      <c r="N728" s="28"/>
      <c r="O728" s="25"/>
      <c r="P728" s="83" t="str">
        <f aca="false">IF(OR(N728="",N(H728)=0),"",N728/H728)</f>
        <v/>
      </c>
      <c r="Q728" s="25"/>
    </row>
    <row r="729" customFormat="false" ht="15" hidden="false" customHeight="false" outlineLevel="0" collapsed="false">
      <c r="A729" s="69"/>
      <c r="B729" s="68"/>
      <c r="C729" s="76" t="str">
        <f aca="false">IF(B729="","",IFERROR(INDEX(EN_Des,MATCH(B729,EN_Code,0)),"Code inconnu"))</f>
        <v/>
      </c>
      <c r="D729" s="25"/>
      <c r="E729" s="25"/>
      <c r="F729" s="82"/>
      <c r="G729" s="82"/>
      <c r="H729" s="83" t="str">
        <f aca="false">IF(OR(F729="",G729=""),"",G729-F729)</f>
        <v/>
      </c>
      <c r="I729" s="82"/>
      <c r="J729" s="82"/>
      <c r="K729" s="28"/>
      <c r="L729" s="90" t="str">
        <f aca="false">IF(OR(K729="",N(H729)=0),"",K729/H729)</f>
        <v/>
      </c>
      <c r="M729" s="68"/>
      <c r="N729" s="28"/>
      <c r="O729" s="25"/>
      <c r="P729" s="83" t="str">
        <f aca="false">IF(OR(N729="",N(H729)=0),"",N729/H729)</f>
        <v/>
      </c>
      <c r="Q729" s="25"/>
    </row>
    <row r="730" customFormat="false" ht="15" hidden="false" customHeight="false" outlineLevel="0" collapsed="false">
      <c r="A730" s="69"/>
      <c r="B730" s="68"/>
      <c r="C730" s="76" t="str">
        <f aca="false">IF(B730="","",IFERROR(INDEX(EN_Des,MATCH(B730,EN_Code,0)),"Code inconnu"))</f>
        <v/>
      </c>
      <c r="D730" s="25"/>
      <c r="E730" s="25"/>
      <c r="F730" s="82"/>
      <c r="G730" s="82"/>
      <c r="H730" s="83" t="str">
        <f aca="false">IF(OR(F730="",G730=""),"",G730-F730)</f>
        <v/>
      </c>
      <c r="I730" s="82"/>
      <c r="J730" s="82"/>
      <c r="K730" s="28"/>
      <c r="L730" s="90" t="str">
        <f aca="false">IF(OR(K730="",N(H730)=0),"",K730/H730)</f>
        <v/>
      </c>
      <c r="M730" s="68"/>
      <c r="N730" s="28"/>
      <c r="O730" s="25"/>
      <c r="P730" s="83" t="str">
        <f aca="false">IF(OR(N730="",N(H730)=0),"",N730/H730)</f>
        <v/>
      </c>
      <c r="Q730" s="25"/>
    </row>
    <row r="731" customFormat="false" ht="15" hidden="false" customHeight="false" outlineLevel="0" collapsed="false">
      <c r="A731" s="69"/>
      <c r="B731" s="68"/>
      <c r="C731" s="76" t="str">
        <f aca="false">IF(B731="","",IFERROR(INDEX(EN_Des,MATCH(B731,EN_Code,0)),"Code inconnu"))</f>
        <v/>
      </c>
      <c r="D731" s="25"/>
      <c r="E731" s="25"/>
      <c r="F731" s="82"/>
      <c r="G731" s="82"/>
      <c r="H731" s="83" t="str">
        <f aca="false">IF(OR(F731="",G731=""),"",G731-F731)</f>
        <v/>
      </c>
      <c r="I731" s="82"/>
      <c r="J731" s="82"/>
      <c r="K731" s="28"/>
      <c r="L731" s="90" t="str">
        <f aca="false">IF(OR(K731="",N(H731)=0),"",K731/H731)</f>
        <v/>
      </c>
      <c r="M731" s="68"/>
      <c r="N731" s="28"/>
      <c r="O731" s="25"/>
      <c r="P731" s="83" t="str">
        <f aca="false">IF(OR(N731="",N(H731)=0),"",N731/H731)</f>
        <v/>
      </c>
      <c r="Q731" s="25"/>
    </row>
    <row r="732" customFormat="false" ht="15" hidden="false" customHeight="false" outlineLevel="0" collapsed="false">
      <c r="A732" s="69"/>
      <c r="B732" s="68"/>
      <c r="C732" s="76" t="str">
        <f aca="false">IF(B732="","",IFERROR(INDEX(EN_Des,MATCH(B732,EN_Code,0)),"Code inconnu"))</f>
        <v/>
      </c>
      <c r="D732" s="25"/>
      <c r="E732" s="25"/>
      <c r="F732" s="82"/>
      <c r="G732" s="82"/>
      <c r="H732" s="83" t="str">
        <f aca="false">IF(OR(F732="",G732=""),"",G732-F732)</f>
        <v/>
      </c>
      <c r="I732" s="82"/>
      <c r="J732" s="82"/>
      <c r="K732" s="28"/>
      <c r="L732" s="90" t="str">
        <f aca="false">IF(OR(K732="",N(H732)=0),"",K732/H732)</f>
        <v/>
      </c>
      <c r="M732" s="68"/>
      <c r="N732" s="28"/>
      <c r="O732" s="25"/>
      <c r="P732" s="83" t="str">
        <f aca="false">IF(OR(N732="",N(H732)=0),"",N732/H732)</f>
        <v/>
      </c>
      <c r="Q732" s="25"/>
    </row>
    <row r="733" customFormat="false" ht="15" hidden="false" customHeight="false" outlineLevel="0" collapsed="false">
      <c r="A733" s="69"/>
      <c r="B733" s="68"/>
      <c r="C733" s="76" t="str">
        <f aca="false">IF(B733="","",IFERROR(INDEX(EN_Des,MATCH(B733,EN_Code,0)),"Code inconnu"))</f>
        <v/>
      </c>
      <c r="D733" s="25"/>
      <c r="E733" s="25"/>
      <c r="F733" s="82"/>
      <c r="G733" s="82"/>
      <c r="H733" s="83" t="str">
        <f aca="false">IF(OR(F733="",G733=""),"",G733-F733)</f>
        <v/>
      </c>
      <c r="I733" s="82"/>
      <c r="J733" s="82"/>
      <c r="K733" s="28"/>
      <c r="L733" s="90" t="str">
        <f aca="false">IF(OR(K733="",N(H733)=0),"",K733/H733)</f>
        <v/>
      </c>
      <c r="M733" s="68"/>
      <c r="N733" s="28"/>
      <c r="O733" s="25"/>
      <c r="P733" s="83" t="str">
        <f aca="false">IF(OR(N733="",N(H733)=0),"",N733/H733)</f>
        <v/>
      </c>
      <c r="Q733" s="25"/>
    </row>
    <row r="734" customFormat="false" ht="15" hidden="false" customHeight="false" outlineLevel="0" collapsed="false">
      <c r="A734" s="69"/>
      <c r="B734" s="68"/>
      <c r="C734" s="76" t="str">
        <f aca="false">IF(B734="","",IFERROR(INDEX(EN_Des,MATCH(B734,EN_Code,0)),"Code inconnu"))</f>
        <v/>
      </c>
      <c r="D734" s="25"/>
      <c r="E734" s="25"/>
      <c r="F734" s="82"/>
      <c r="G734" s="82"/>
      <c r="H734" s="83" t="str">
        <f aca="false">IF(OR(F734="",G734=""),"",G734-F734)</f>
        <v/>
      </c>
      <c r="I734" s="82"/>
      <c r="J734" s="82"/>
      <c r="K734" s="28"/>
      <c r="L734" s="90" t="str">
        <f aca="false">IF(OR(K734="",N(H734)=0),"",K734/H734)</f>
        <v/>
      </c>
      <c r="M734" s="68"/>
      <c r="N734" s="28"/>
      <c r="O734" s="25"/>
      <c r="P734" s="83" t="str">
        <f aca="false">IF(OR(N734="",N(H734)=0),"",N734/H734)</f>
        <v/>
      </c>
      <c r="Q734" s="25"/>
    </row>
    <row r="735" customFormat="false" ht="15" hidden="false" customHeight="false" outlineLevel="0" collapsed="false">
      <c r="A735" s="69"/>
      <c r="B735" s="68"/>
      <c r="C735" s="76" t="str">
        <f aca="false">IF(B735="","",IFERROR(INDEX(EN_Des,MATCH(B735,EN_Code,0)),"Code inconnu"))</f>
        <v/>
      </c>
      <c r="D735" s="25"/>
      <c r="E735" s="25"/>
      <c r="F735" s="82"/>
      <c r="G735" s="82"/>
      <c r="H735" s="83" t="str">
        <f aca="false">IF(OR(F735="",G735=""),"",G735-F735)</f>
        <v/>
      </c>
      <c r="I735" s="82"/>
      <c r="J735" s="82"/>
      <c r="K735" s="28"/>
      <c r="L735" s="90" t="str">
        <f aca="false">IF(OR(K735="",N(H735)=0),"",K735/H735)</f>
        <v/>
      </c>
      <c r="M735" s="68"/>
      <c r="N735" s="28"/>
      <c r="O735" s="25"/>
      <c r="P735" s="83" t="str">
        <f aca="false">IF(OR(N735="",N(H735)=0),"",N735/H735)</f>
        <v/>
      </c>
      <c r="Q735" s="25"/>
    </row>
    <row r="736" customFormat="false" ht="15" hidden="false" customHeight="false" outlineLevel="0" collapsed="false">
      <c r="A736" s="69"/>
      <c r="B736" s="68"/>
      <c r="C736" s="76" t="str">
        <f aca="false">IF(B736="","",IFERROR(INDEX(EN_Des,MATCH(B736,EN_Code,0)),"Code inconnu"))</f>
        <v/>
      </c>
      <c r="D736" s="25"/>
      <c r="E736" s="25"/>
      <c r="F736" s="82"/>
      <c r="G736" s="82"/>
      <c r="H736" s="83" t="str">
        <f aca="false">IF(OR(F736="",G736=""),"",G736-F736)</f>
        <v/>
      </c>
      <c r="I736" s="82"/>
      <c r="J736" s="82"/>
      <c r="K736" s="28"/>
      <c r="L736" s="90" t="str">
        <f aca="false">IF(OR(K736="",N(H736)=0),"",K736/H736)</f>
        <v/>
      </c>
      <c r="M736" s="68"/>
      <c r="N736" s="28"/>
      <c r="O736" s="25"/>
      <c r="P736" s="83" t="str">
        <f aca="false">IF(OR(N736="",N(H736)=0),"",N736/H736)</f>
        <v/>
      </c>
      <c r="Q736" s="25"/>
    </row>
    <row r="737" customFormat="false" ht="15" hidden="false" customHeight="false" outlineLevel="0" collapsed="false">
      <c r="A737" s="69"/>
      <c r="B737" s="68"/>
      <c r="C737" s="76" t="str">
        <f aca="false">IF(B737="","",IFERROR(INDEX(EN_Des,MATCH(B737,EN_Code,0)),"Code inconnu"))</f>
        <v/>
      </c>
      <c r="D737" s="25"/>
      <c r="E737" s="25"/>
      <c r="F737" s="82"/>
      <c r="G737" s="82"/>
      <c r="H737" s="83" t="str">
        <f aca="false">IF(OR(F737="",G737=""),"",G737-F737)</f>
        <v/>
      </c>
      <c r="I737" s="82"/>
      <c r="J737" s="82"/>
      <c r="K737" s="28"/>
      <c r="L737" s="90" t="str">
        <f aca="false">IF(OR(K737="",N(H737)=0),"",K737/H737)</f>
        <v/>
      </c>
      <c r="M737" s="68"/>
      <c r="N737" s="28"/>
      <c r="O737" s="25"/>
      <c r="P737" s="83" t="str">
        <f aca="false">IF(OR(N737="",N(H737)=0),"",N737/H737)</f>
        <v/>
      </c>
      <c r="Q737" s="25"/>
    </row>
    <row r="738" customFormat="false" ht="15" hidden="false" customHeight="false" outlineLevel="0" collapsed="false">
      <c r="A738" s="69"/>
      <c r="B738" s="68"/>
      <c r="C738" s="76" t="str">
        <f aca="false">IF(B738="","",IFERROR(INDEX(EN_Des,MATCH(B738,EN_Code,0)),"Code inconnu"))</f>
        <v/>
      </c>
      <c r="D738" s="25"/>
      <c r="E738" s="25"/>
      <c r="F738" s="82"/>
      <c r="G738" s="82"/>
      <c r="H738" s="83" t="str">
        <f aca="false">IF(OR(F738="",G738=""),"",G738-F738)</f>
        <v/>
      </c>
      <c r="I738" s="82"/>
      <c r="J738" s="82"/>
      <c r="K738" s="28"/>
      <c r="L738" s="90" t="str">
        <f aca="false">IF(OR(K738="",N(H738)=0),"",K738/H738)</f>
        <v/>
      </c>
      <c r="M738" s="68"/>
      <c r="N738" s="28"/>
      <c r="O738" s="25"/>
      <c r="P738" s="83" t="str">
        <f aca="false">IF(OR(N738="",N(H738)=0),"",N738/H738)</f>
        <v/>
      </c>
      <c r="Q738" s="25"/>
    </row>
    <row r="739" customFormat="false" ht="15" hidden="false" customHeight="false" outlineLevel="0" collapsed="false">
      <c r="A739" s="69"/>
      <c r="B739" s="68"/>
      <c r="C739" s="76" t="str">
        <f aca="false">IF(B739="","",IFERROR(INDEX(EN_Des,MATCH(B739,EN_Code,0)),"Code inconnu"))</f>
        <v/>
      </c>
      <c r="D739" s="25"/>
      <c r="E739" s="25"/>
      <c r="F739" s="82"/>
      <c r="G739" s="82"/>
      <c r="H739" s="83" t="str">
        <f aca="false">IF(OR(F739="",G739=""),"",G739-F739)</f>
        <v/>
      </c>
      <c r="I739" s="82"/>
      <c r="J739" s="82"/>
      <c r="K739" s="28"/>
      <c r="L739" s="90" t="str">
        <f aca="false">IF(OR(K739="",N(H739)=0),"",K739/H739)</f>
        <v/>
      </c>
      <c r="M739" s="68"/>
      <c r="N739" s="28"/>
      <c r="O739" s="25"/>
      <c r="P739" s="83" t="str">
        <f aca="false">IF(OR(N739="",N(H739)=0),"",N739/H739)</f>
        <v/>
      </c>
      <c r="Q739" s="25"/>
    </row>
    <row r="740" customFormat="false" ht="15" hidden="false" customHeight="false" outlineLevel="0" collapsed="false">
      <c r="A740" s="69"/>
      <c r="B740" s="68"/>
      <c r="C740" s="76" t="str">
        <f aca="false">IF(B740="","",IFERROR(INDEX(EN_Des,MATCH(B740,EN_Code,0)),"Code inconnu"))</f>
        <v/>
      </c>
      <c r="D740" s="25"/>
      <c r="E740" s="25"/>
      <c r="F740" s="82"/>
      <c r="G740" s="82"/>
      <c r="H740" s="83" t="str">
        <f aca="false">IF(OR(F740="",G740=""),"",G740-F740)</f>
        <v/>
      </c>
      <c r="I740" s="82"/>
      <c r="J740" s="82"/>
      <c r="K740" s="28"/>
      <c r="L740" s="90" t="str">
        <f aca="false">IF(OR(K740="",N(H740)=0),"",K740/H740)</f>
        <v/>
      </c>
      <c r="M740" s="68"/>
      <c r="N740" s="28"/>
      <c r="O740" s="25"/>
      <c r="P740" s="83" t="str">
        <f aca="false">IF(OR(N740="",N(H740)=0),"",N740/H740)</f>
        <v/>
      </c>
      <c r="Q740" s="25"/>
    </row>
    <row r="741" customFormat="false" ht="15" hidden="false" customHeight="false" outlineLevel="0" collapsed="false">
      <c r="A741" s="69"/>
      <c r="B741" s="68"/>
      <c r="C741" s="76" t="str">
        <f aca="false">IF(B741="","",IFERROR(INDEX(EN_Des,MATCH(B741,EN_Code,0)),"Code inconnu"))</f>
        <v/>
      </c>
      <c r="D741" s="25"/>
      <c r="E741" s="25"/>
      <c r="F741" s="82"/>
      <c r="G741" s="82"/>
      <c r="H741" s="83" t="str">
        <f aca="false">IF(OR(F741="",G741=""),"",G741-F741)</f>
        <v/>
      </c>
      <c r="I741" s="82"/>
      <c r="J741" s="82"/>
      <c r="K741" s="28"/>
      <c r="L741" s="90" t="str">
        <f aca="false">IF(OR(K741="",N(H741)=0),"",K741/H741)</f>
        <v/>
      </c>
      <c r="M741" s="68"/>
      <c r="N741" s="28"/>
      <c r="O741" s="25"/>
      <c r="P741" s="83" t="str">
        <f aca="false">IF(OR(N741="",N(H741)=0),"",N741/H741)</f>
        <v/>
      </c>
      <c r="Q741" s="25"/>
    </row>
    <row r="742" customFormat="false" ht="15" hidden="false" customHeight="false" outlineLevel="0" collapsed="false">
      <c r="A742" s="69"/>
      <c r="B742" s="68"/>
      <c r="C742" s="76" t="str">
        <f aca="false">IF(B742="","",IFERROR(INDEX(EN_Des,MATCH(B742,EN_Code,0)),"Code inconnu"))</f>
        <v/>
      </c>
      <c r="D742" s="25"/>
      <c r="E742" s="25"/>
      <c r="F742" s="82"/>
      <c r="G742" s="82"/>
      <c r="H742" s="83" t="str">
        <f aca="false">IF(OR(F742="",G742=""),"",G742-F742)</f>
        <v/>
      </c>
      <c r="I742" s="82"/>
      <c r="J742" s="82"/>
      <c r="K742" s="28"/>
      <c r="L742" s="90" t="str">
        <f aca="false">IF(OR(K742="",N(H742)=0),"",K742/H742)</f>
        <v/>
      </c>
      <c r="M742" s="68"/>
      <c r="N742" s="28"/>
      <c r="O742" s="25"/>
      <c r="P742" s="83" t="str">
        <f aca="false">IF(OR(N742="",N(H742)=0),"",N742/H742)</f>
        <v/>
      </c>
      <c r="Q742" s="25"/>
    </row>
    <row r="743" customFormat="false" ht="15" hidden="false" customHeight="false" outlineLevel="0" collapsed="false">
      <c r="A743" s="69"/>
      <c r="B743" s="68"/>
      <c r="C743" s="76" t="str">
        <f aca="false">IF(B743="","",IFERROR(INDEX(EN_Des,MATCH(B743,EN_Code,0)),"Code inconnu"))</f>
        <v/>
      </c>
      <c r="D743" s="25"/>
      <c r="E743" s="25"/>
      <c r="F743" s="82"/>
      <c r="G743" s="82"/>
      <c r="H743" s="83" t="str">
        <f aca="false">IF(OR(F743="",G743=""),"",G743-F743)</f>
        <v/>
      </c>
      <c r="I743" s="82"/>
      <c r="J743" s="82"/>
      <c r="K743" s="28"/>
      <c r="L743" s="90" t="str">
        <f aca="false">IF(OR(K743="",N(H743)=0),"",K743/H743)</f>
        <v/>
      </c>
      <c r="M743" s="68"/>
      <c r="N743" s="28"/>
      <c r="O743" s="25"/>
      <c r="P743" s="83" t="str">
        <f aca="false">IF(OR(N743="",N(H743)=0),"",N743/H743)</f>
        <v/>
      </c>
      <c r="Q743" s="25"/>
    </row>
    <row r="744" customFormat="false" ht="15" hidden="false" customHeight="false" outlineLevel="0" collapsed="false">
      <c r="A744" s="69"/>
      <c r="B744" s="68"/>
      <c r="C744" s="76" t="str">
        <f aca="false">IF(B744="","",IFERROR(INDEX(EN_Des,MATCH(B744,EN_Code,0)),"Code inconnu"))</f>
        <v/>
      </c>
      <c r="D744" s="25"/>
      <c r="E744" s="25"/>
      <c r="F744" s="82"/>
      <c r="G744" s="82"/>
      <c r="H744" s="83" t="str">
        <f aca="false">IF(OR(F744="",G744=""),"",G744-F744)</f>
        <v/>
      </c>
      <c r="I744" s="82"/>
      <c r="J744" s="82"/>
      <c r="K744" s="28"/>
      <c r="L744" s="90" t="str">
        <f aca="false">IF(OR(K744="",N(H744)=0),"",K744/H744)</f>
        <v/>
      </c>
      <c r="M744" s="68"/>
      <c r="N744" s="28"/>
      <c r="O744" s="25"/>
      <c r="P744" s="83" t="str">
        <f aca="false">IF(OR(N744="",N(H744)=0),"",N744/H744)</f>
        <v/>
      </c>
      <c r="Q744" s="25"/>
    </row>
    <row r="745" customFormat="false" ht="15" hidden="false" customHeight="false" outlineLevel="0" collapsed="false">
      <c r="A745" s="69"/>
      <c r="B745" s="68"/>
      <c r="C745" s="76" t="str">
        <f aca="false">IF(B745="","",IFERROR(INDEX(EN_Des,MATCH(B745,EN_Code,0)),"Code inconnu"))</f>
        <v/>
      </c>
      <c r="D745" s="25"/>
      <c r="E745" s="25"/>
      <c r="F745" s="82"/>
      <c r="G745" s="82"/>
      <c r="H745" s="83" t="str">
        <f aca="false">IF(OR(F745="",G745=""),"",G745-F745)</f>
        <v/>
      </c>
      <c r="I745" s="82"/>
      <c r="J745" s="82"/>
      <c r="K745" s="28"/>
      <c r="L745" s="90" t="str">
        <f aca="false">IF(OR(K745="",N(H745)=0),"",K745/H745)</f>
        <v/>
      </c>
      <c r="M745" s="68"/>
      <c r="N745" s="28"/>
      <c r="O745" s="25"/>
      <c r="P745" s="83" t="str">
        <f aca="false">IF(OR(N745="",N(H745)=0),"",N745/H745)</f>
        <v/>
      </c>
      <c r="Q745" s="25"/>
    </row>
    <row r="746" customFormat="false" ht="15" hidden="false" customHeight="false" outlineLevel="0" collapsed="false">
      <c r="A746" s="69"/>
      <c r="B746" s="68"/>
      <c r="C746" s="76" t="str">
        <f aca="false">IF(B746="","",IFERROR(INDEX(EN_Des,MATCH(B746,EN_Code,0)),"Code inconnu"))</f>
        <v/>
      </c>
      <c r="D746" s="25"/>
      <c r="E746" s="25"/>
      <c r="F746" s="82"/>
      <c r="G746" s="82"/>
      <c r="H746" s="83" t="str">
        <f aca="false">IF(OR(F746="",G746=""),"",G746-F746)</f>
        <v/>
      </c>
      <c r="I746" s="82"/>
      <c r="J746" s="82"/>
      <c r="K746" s="28"/>
      <c r="L746" s="90" t="str">
        <f aca="false">IF(OR(K746="",N(H746)=0),"",K746/H746)</f>
        <v/>
      </c>
      <c r="M746" s="68"/>
      <c r="N746" s="28"/>
      <c r="O746" s="25"/>
      <c r="P746" s="83" t="str">
        <f aca="false">IF(OR(N746="",N(H746)=0),"",N746/H746)</f>
        <v/>
      </c>
      <c r="Q746" s="25"/>
    </row>
    <row r="747" customFormat="false" ht="15" hidden="false" customHeight="false" outlineLevel="0" collapsed="false">
      <c r="A747" s="69"/>
      <c r="B747" s="68"/>
      <c r="C747" s="76" t="str">
        <f aca="false">IF(B747="","",IFERROR(INDEX(EN_Des,MATCH(B747,EN_Code,0)),"Code inconnu"))</f>
        <v/>
      </c>
      <c r="D747" s="25"/>
      <c r="E747" s="25"/>
      <c r="F747" s="82"/>
      <c r="G747" s="82"/>
      <c r="H747" s="83" t="str">
        <f aca="false">IF(OR(F747="",G747=""),"",G747-F747)</f>
        <v/>
      </c>
      <c r="I747" s="82"/>
      <c r="J747" s="82"/>
      <c r="K747" s="28"/>
      <c r="L747" s="90" t="str">
        <f aca="false">IF(OR(K747="",N(H747)=0),"",K747/H747)</f>
        <v/>
      </c>
      <c r="M747" s="68"/>
      <c r="N747" s="28"/>
      <c r="O747" s="25"/>
      <c r="P747" s="83" t="str">
        <f aca="false">IF(OR(N747="",N(H747)=0),"",N747/H747)</f>
        <v/>
      </c>
      <c r="Q747" s="25"/>
    </row>
    <row r="748" customFormat="false" ht="15" hidden="false" customHeight="false" outlineLevel="0" collapsed="false">
      <c r="A748" s="69"/>
      <c r="B748" s="68"/>
      <c r="C748" s="76" t="str">
        <f aca="false">IF(B748="","",IFERROR(INDEX(EN_Des,MATCH(B748,EN_Code,0)),"Code inconnu"))</f>
        <v/>
      </c>
      <c r="D748" s="25"/>
      <c r="E748" s="25"/>
      <c r="F748" s="82"/>
      <c r="G748" s="82"/>
      <c r="H748" s="83" t="str">
        <f aca="false">IF(OR(F748="",G748=""),"",G748-F748)</f>
        <v/>
      </c>
      <c r="I748" s="82"/>
      <c r="J748" s="82"/>
      <c r="K748" s="28"/>
      <c r="L748" s="90" t="str">
        <f aca="false">IF(OR(K748="",N(H748)=0),"",K748/H748)</f>
        <v/>
      </c>
      <c r="M748" s="68"/>
      <c r="N748" s="28"/>
      <c r="O748" s="25"/>
      <c r="P748" s="83" t="str">
        <f aca="false">IF(OR(N748="",N(H748)=0),"",N748/H748)</f>
        <v/>
      </c>
      <c r="Q748" s="25"/>
    </row>
    <row r="749" customFormat="false" ht="15" hidden="false" customHeight="false" outlineLevel="0" collapsed="false">
      <c r="A749" s="69"/>
      <c r="B749" s="68"/>
      <c r="C749" s="76" t="str">
        <f aca="false">IF(B749="","",IFERROR(INDEX(EN_Des,MATCH(B749,EN_Code,0)),"Code inconnu"))</f>
        <v/>
      </c>
      <c r="D749" s="25"/>
      <c r="E749" s="25"/>
      <c r="F749" s="82"/>
      <c r="G749" s="82"/>
      <c r="H749" s="83" t="str">
        <f aca="false">IF(OR(F749="",G749=""),"",G749-F749)</f>
        <v/>
      </c>
      <c r="I749" s="82"/>
      <c r="J749" s="82"/>
      <c r="K749" s="28"/>
      <c r="L749" s="90" t="str">
        <f aca="false">IF(OR(K749="",N(H749)=0),"",K749/H749)</f>
        <v/>
      </c>
      <c r="M749" s="68"/>
      <c r="N749" s="28"/>
      <c r="O749" s="25"/>
      <c r="P749" s="83" t="str">
        <f aca="false">IF(OR(N749="",N(H749)=0),"",N749/H749)</f>
        <v/>
      </c>
      <c r="Q749" s="25"/>
    </row>
    <row r="750" customFormat="false" ht="15" hidden="false" customHeight="false" outlineLevel="0" collapsed="false">
      <c r="A750" s="69"/>
      <c r="B750" s="68"/>
      <c r="C750" s="76" t="str">
        <f aca="false">IF(B750="","",IFERROR(INDEX(EN_Des,MATCH(B750,EN_Code,0)),"Code inconnu"))</f>
        <v/>
      </c>
      <c r="D750" s="25"/>
      <c r="E750" s="25"/>
      <c r="F750" s="82"/>
      <c r="G750" s="82"/>
      <c r="H750" s="83" t="str">
        <f aca="false">IF(OR(F750="",G750=""),"",G750-F750)</f>
        <v/>
      </c>
      <c r="I750" s="82"/>
      <c r="J750" s="82"/>
      <c r="K750" s="28"/>
      <c r="L750" s="90" t="str">
        <f aca="false">IF(OR(K750="",N(H750)=0),"",K750/H750)</f>
        <v/>
      </c>
      <c r="M750" s="68"/>
      <c r="N750" s="28"/>
      <c r="O750" s="25"/>
      <c r="P750" s="83" t="str">
        <f aca="false">IF(OR(N750="",N(H750)=0),"",N750/H750)</f>
        <v/>
      </c>
      <c r="Q750" s="25"/>
    </row>
    <row r="751" customFormat="false" ht="15" hidden="false" customHeight="false" outlineLevel="0" collapsed="false">
      <c r="A751" s="69"/>
      <c r="B751" s="68"/>
      <c r="C751" s="76" t="str">
        <f aca="false">IF(B751="","",IFERROR(INDEX(EN_Des,MATCH(B751,EN_Code,0)),"Code inconnu"))</f>
        <v/>
      </c>
      <c r="D751" s="25"/>
      <c r="E751" s="25"/>
      <c r="F751" s="82"/>
      <c r="G751" s="82"/>
      <c r="H751" s="83" t="str">
        <f aca="false">IF(OR(F751="",G751=""),"",G751-F751)</f>
        <v/>
      </c>
      <c r="I751" s="82"/>
      <c r="J751" s="82"/>
      <c r="K751" s="28"/>
      <c r="L751" s="90" t="str">
        <f aca="false">IF(OR(K751="",N(H751)=0),"",K751/H751)</f>
        <v/>
      </c>
      <c r="M751" s="68"/>
      <c r="N751" s="28"/>
      <c r="O751" s="25"/>
      <c r="P751" s="83" t="str">
        <f aca="false">IF(OR(N751="",N(H751)=0),"",N751/H751)</f>
        <v/>
      </c>
      <c r="Q751" s="25"/>
    </row>
    <row r="752" customFormat="false" ht="15" hidden="false" customHeight="false" outlineLevel="0" collapsed="false">
      <c r="A752" s="69"/>
      <c r="B752" s="68"/>
      <c r="C752" s="76" t="str">
        <f aca="false">IF(B752="","",IFERROR(INDEX(EN_Des,MATCH(B752,EN_Code,0)),"Code inconnu"))</f>
        <v/>
      </c>
      <c r="D752" s="25"/>
      <c r="E752" s="25"/>
      <c r="F752" s="82"/>
      <c r="G752" s="82"/>
      <c r="H752" s="83" t="str">
        <f aca="false">IF(OR(F752="",G752=""),"",G752-F752)</f>
        <v/>
      </c>
      <c r="I752" s="82"/>
      <c r="J752" s="82"/>
      <c r="K752" s="28"/>
      <c r="L752" s="90" t="str">
        <f aca="false">IF(OR(K752="",N(H752)=0),"",K752/H752)</f>
        <v/>
      </c>
      <c r="M752" s="68"/>
      <c r="N752" s="28"/>
      <c r="O752" s="25"/>
      <c r="P752" s="83" t="str">
        <f aca="false">IF(OR(N752="",N(H752)=0),"",N752/H752)</f>
        <v/>
      </c>
      <c r="Q752" s="25"/>
    </row>
    <row r="753" customFormat="false" ht="15" hidden="false" customHeight="false" outlineLevel="0" collapsed="false">
      <c r="A753" s="69"/>
      <c r="B753" s="68"/>
      <c r="C753" s="76" t="str">
        <f aca="false">IF(B753="","",IFERROR(INDEX(EN_Des,MATCH(B753,EN_Code,0)),"Code inconnu"))</f>
        <v/>
      </c>
      <c r="D753" s="25"/>
      <c r="E753" s="25"/>
      <c r="F753" s="82"/>
      <c r="G753" s="82"/>
      <c r="H753" s="83" t="str">
        <f aca="false">IF(OR(F753="",G753=""),"",G753-F753)</f>
        <v/>
      </c>
      <c r="I753" s="82"/>
      <c r="J753" s="82"/>
      <c r="K753" s="28"/>
      <c r="L753" s="90" t="str">
        <f aca="false">IF(OR(K753="",N(H753)=0),"",K753/H753)</f>
        <v/>
      </c>
      <c r="M753" s="68"/>
      <c r="N753" s="28"/>
      <c r="O753" s="25"/>
      <c r="P753" s="83" t="str">
        <f aca="false">IF(OR(N753="",N(H753)=0),"",N753/H753)</f>
        <v/>
      </c>
      <c r="Q753" s="25"/>
    </row>
    <row r="754" customFormat="false" ht="15" hidden="false" customHeight="false" outlineLevel="0" collapsed="false">
      <c r="A754" s="69"/>
      <c r="B754" s="68"/>
      <c r="C754" s="76" t="str">
        <f aca="false">IF(B754="","",IFERROR(INDEX(EN_Des,MATCH(B754,EN_Code,0)),"Code inconnu"))</f>
        <v/>
      </c>
      <c r="D754" s="25"/>
      <c r="E754" s="25"/>
      <c r="F754" s="82"/>
      <c r="G754" s="82"/>
      <c r="H754" s="83" t="str">
        <f aca="false">IF(OR(F754="",G754=""),"",G754-F754)</f>
        <v/>
      </c>
      <c r="I754" s="82"/>
      <c r="J754" s="82"/>
      <c r="K754" s="28"/>
      <c r="L754" s="90" t="str">
        <f aca="false">IF(OR(K754="",N(H754)=0),"",K754/H754)</f>
        <v/>
      </c>
      <c r="M754" s="68"/>
      <c r="N754" s="28"/>
      <c r="O754" s="25"/>
      <c r="P754" s="83" t="str">
        <f aca="false">IF(OR(N754="",N(H754)=0),"",N754/H754)</f>
        <v/>
      </c>
      <c r="Q754" s="25"/>
    </row>
    <row r="755" customFormat="false" ht="15" hidden="false" customHeight="false" outlineLevel="0" collapsed="false">
      <c r="A755" s="69"/>
      <c r="B755" s="68"/>
      <c r="C755" s="76" t="str">
        <f aca="false">IF(B755="","",IFERROR(INDEX(EN_Des,MATCH(B755,EN_Code,0)),"Code inconnu"))</f>
        <v/>
      </c>
      <c r="D755" s="25"/>
      <c r="E755" s="25"/>
      <c r="F755" s="82"/>
      <c r="G755" s="82"/>
      <c r="H755" s="83" t="str">
        <f aca="false">IF(OR(F755="",G755=""),"",G755-F755)</f>
        <v/>
      </c>
      <c r="I755" s="82"/>
      <c r="J755" s="82"/>
      <c r="K755" s="28"/>
      <c r="L755" s="90" t="str">
        <f aca="false">IF(OR(K755="",N(H755)=0),"",K755/H755)</f>
        <v/>
      </c>
      <c r="M755" s="68"/>
      <c r="N755" s="28"/>
      <c r="O755" s="25"/>
      <c r="P755" s="83" t="str">
        <f aca="false">IF(OR(N755="",N(H755)=0),"",N755/H755)</f>
        <v/>
      </c>
      <c r="Q755" s="25"/>
    </row>
    <row r="756" customFormat="false" ht="15" hidden="false" customHeight="false" outlineLevel="0" collapsed="false">
      <c r="A756" s="69"/>
      <c r="B756" s="68"/>
      <c r="C756" s="76" t="str">
        <f aca="false">IF(B756="","",IFERROR(INDEX(EN_Des,MATCH(B756,EN_Code,0)),"Code inconnu"))</f>
        <v/>
      </c>
      <c r="D756" s="25"/>
      <c r="E756" s="25"/>
      <c r="F756" s="82"/>
      <c r="G756" s="82"/>
      <c r="H756" s="83" t="str">
        <f aca="false">IF(OR(F756="",G756=""),"",G756-F756)</f>
        <v/>
      </c>
      <c r="I756" s="82"/>
      <c r="J756" s="82"/>
      <c r="K756" s="28"/>
      <c r="L756" s="90" t="str">
        <f aca="false">IF(OR(K756="",N(H756)=0),"",K756/H756)</f>
        <v/>
      </c>
      <c r="M756" s="68"/>
      <c r="N756" s="28"/>
      <c r="O756" s="25"/>
      <c r="P756" s="83" t="str">
        <f aca="false">IF(OR(N756="",N(H756)=0),"",N756/H756)</f>
        <v/>
      </c>
      <c r="Q756" s="25"/>
    </row>
    <row r="757" customFormat="false" ht="15" hidden="false" customHeight="false" outlineLevel="0" collapsed="false">
      <c r="A757" s="69"/>
      <c r="B757" s="68"/>
      <c r="C757" s="76" t="str">
        <f aca="false">IF(B757="","",IFERROR(INDEX(EN_Des,MATCH(B757,EN_Code,0)),"Code inconnu"))</f>
        <v/>
      </c>
      <c r="D757" s="25"/>
      <c r="E757" s="25"/>
      <c r="F757" s="82"/>
      <c r="G757" s="82"/>
      <c r="H757" s="83" t="str">
        <f aca="false">IF(OR(F757="",G757=""),"",G757-F757)</f>
        <v/>
      </c>
      <c r="I757" s="82"/>
      <c r="J757" s="82"/>
      <c r="K757" s="28"/>
      <c r="L757" s="90" t="str">
        <f aca="false">IF(OR(K757="",N(H757)=0),"",K757/H757)</f>
        <v/>
      </c>
      <c r="M757" s="68"/>
      <c r="N757" s="28"/>
      <c r="O757" s="25"/>
      <c r="P757" s="83" t="str">
        <f aca="false">IF(OR(N757="",N(H757)=0),"",N757/H757)</f>
        <v/>
      </c>
      <c r="Q757" s="25"/>
    </row>
    <row r="758" customFormat="false" ht="15" hidden="false" customHeight="false" outlineLevel="0" collapsed="false">
      <c r="A758" s="69"/>
      <c r="B758" s="68"/>
      <c r="C758" s="76" t="str">
        <f aca="false">IF(B758="","",IFERROR(INDEX(EN_Des,MATCH(B758,EN_Code,0)),"Code inconnu"))</f>
        <v/>
      </c>
      <c r="D758" s="25"/>
      <c r="E758" s="25"/>
      <c r="F758" s="82"/>
      <c r="G758" s="82"/>
      <c r="H758" s="83" t="str">
        <f aca="false">IF(OR(F758="",G758=""),"",G758-F758)</f>
        <v/>
      </c>
      <c r="I758" s="82"/>
      <c r="J758" s="82"/>
      <c r="K758" s="28"/>
      <c r="L758" s="90" t="str">
        <f aca="false">IF(OR(K758="",N(H758)=0),"",K758/H758)</f>
        <v/>
      </c>
      <c r="M758" s="68"/>
      <c r="N758" s="28"/>
      <c r="O758" s="25"/>
      <c r="P758" s="83" t="str">
        <f aca="false">IF(OR(N758="",N(H758)=0),"",N758/H758)</f>
        <v/>
      </c>
      <c r="Q758" s="25"/>
    </row>
    <row r="759" customFormat="false" ht="15" hidden="false" customHeight="false" outlineLevel="0" collapsed="false">
      <c r="A759" s="69"/>
      <c r="B759" s="68"/>
      <c r="C759" s="76" t="str">
        <f aca="false">IF(B759="","",IFERROR(INDEX(EN_Des,MATCH(B759,EN_Code,0)),"Code inconnu"))</f>
        <v/>
      </c>
      <c r="D759" s="25"/>
      <c r="E759" s="25"/>
      <c r="F759" s="82"/>
      <c r="G759" s="82"/>
      <c r="H759" s="83" t="str">
        <f aca="false">IF(OR(F759="",G759=""),"",G759-F759)</f>
        <v/>
      </c>
      <c r="I759" s="82"/>
      <c r="J759" s="82"/>
      <c r="K759" s="28"/>
      <c r="L759" s="90" t="str">
        <f aca="false">IF(OR(K759="",N(H759)=0),"",K759/H759)</f>
        <v/>
      </c>
      <c r="M759" s="68"/>
      <c r="N759" s="28"/>
      <c r="O759" s="25"/>
      <c r="P759" s="83" t="str">
        <f aca="false">IF(OR(N759="",N(H759)=0),"",N759/H759)</f>
        <v/>
      </c>
      <c r="Q759" s="25"/>
    </row>
    <row r="760" customFormat="false" ht="15" hidden="false" customHeight="false" outlineLevel="0" collapsed="false">
      <c r="A760" s="69"/>
      <c r="B760" s="68"/>
      <c r="C760" s="76" t="str">
        <f aca="false">IF(B760="","",IFERROR(INDEX(EN_Des,MATCH(B760,EN_Code,0)),"Code inconnu"))</f>
        <v/>
      </c>
      <c r="D760" s="25"/>
      <c r="E760" s="25"/>
      <c r="F760" s="82"/>
      <c r="G760" s="82"/>
      <c r="H760" s="83" t="str">
        <f aca="false">IF(OR(F760="",G760=""),"",G760-F760)</f>
        <v/>
      </c>
      <c r="I760" s="82"/>
      <c r="J760" s="82"/>
      <c r="K760" s="28"/>
      <c r="L760" s="90" t="str">
        <f aca="false">IF(OR(K760="",N(H760)=0),"",K760/H760)</f>
        <v/>
      </c>
      <c r="M760" s="68"/>
      <c r="N760" s="28"/>
      <c r="O760" s="25"/>
      <c r="P760" s="83" t="str">
        <f aca="false">IF(OR(N760="",N(H760)=0),"",N760/H760)</f>
        <v/>
      </c>
      <c r="Q760" s="25"/>
    </row>
    <row r="761" customFormat="false" ht="15" hidden="false" customHeight="false" outlineLevel="0" collapsed="false">
      <c r="A761" s="69"/>
      <c r="B761" s="68"/>
      <c r="C761" s="76" t="str">
        <f aca="false">IF(B761="","",IFERROR(INDEX(EN_Des,MATCH(B761,EN_Code,0)),"Code inconnu"))</f>
        <v/>
      </c>
      <c r="D761" s="25"/>
      <c r="E761" s="25"/>
      <c r="F761" s="82"/>
      <c r="G761" s="82"/>
      <c r="H761" s="83" t="str">
        <f aca="false">IF(OR(F761="",G761=""),"",G761-F761)</f>
        <v/>
      </c>
      <c r="I761" s="82"/>
      <c r="J761" s="82"/>
      <c r="K761" s="28"/>
      <c r="L761" s="90" t="str">
        <f aca="false">IF(OR(K761="",N(H761)=0),"",K761/H761)</f>
        <v/>
      </c>
      <c r="M761" s="68"/>
      <c r="N761" s="28"/>
      <c r="O761" s="25"/>
      <c r="P761" s="83" t="str">
        <f aca="false">IF(OR(N761="",N(H761)=0),"",N761/H761)</f>
        <v/>
      </c>
      <c r="Q761" s="25"/>
    </row>
    <row r="762" customFormat="false" ht="15" hidden="false" customHeight="false" outlineLevel="0" collapsed="false">
      <c r="A762" s="69"/>
      <c r="B762" s="68"/>
      <c r="C762" s="76" t="str">
        <f aca="false">IF(B762="","",IFERROR(INDEX(EN_Des,MATCH(B762,EN_Code,0)),"Code inconnu"))</f>
        <v/>
      </c>
      <c r="D762" s="25"/>
      <c r="E762" s="25"/>
      <c r="F762" s="82"/>
      <c r="G762" s="82"/>
      <c r="H762" s="83" t="str">
        <f aca="false">IF(OR(F762="",G762=""),"",G762-F762)</f>
        <v/>
      </c>
      <c r="I762" s="82"/>
      <c r="J762" s="82"/>
      <c r="K762" s="28"/>
      <c r="L762" s="90" t="str">
        <f aca="false">IF(OR(K762="",N(H762)=0),"",K762/H762)</f>
        <v/>
      </c>
      <c r="M762" s="68"/>
      <c r="N762" s="28"/>
      <c r="O762" s="25"/>
      <c r="P762" s="83" t="str">
        <f aca="false">IF(OR(N762="",N(H762)=0),"",N762/H762)</f>
        <v/>
      </c>
      <c r="Q762" s="25"/>
    </row>
    <row r="763" customFormat="false" ht="15" hidden="false" customHeight="false" outlineLevel="0" collapsed="false">
      <c r="A763" s="69"/>
      <c r="B763" s="68"/>
      <c r="C763" s="76" t="str">
        <f aca="false">IF(B763="","",IFERROR(INDEX(EN_Des,MATCH(B763,EN_Code,0)),"Code inconnu"))</f>
        <v/>
      </c>
      <c r="D763" s="25"/>
      <c r="E763" s="25"/>
      <c r="F763" s="82"/>
      <c r="G763" s="82"/>
      <c r="H763" s="83" t="str">
        <f aca="false">IF(OR(F763="",G763=""),"",G763-F763)</f>
        <v/>
      </c>
      <c r="I763" s="82"/>
      <c r="J763" s="82"/>
      <c r="K763" s="28"/>
      <c r="L763" s="90" t="str">
        <f aca="false">IF(OR(K763="",N(H763)=0),"",K763/H763)</f>
        <v/>
      </c>
      <c r="M763" s="68"/>
      <c r="N763" s="28"/>
      <c r="O763" s="25"/>
      <c r="P763" s="83" t="str">
        <f aca="false">IF(OR(N763="",N(H763)=0),"",N763/H763)</f>
        <v/>
      </c>
      <c r="Q763" s="25"/>
    </row>
    <row r="764" customFormat="false" ht="15" hidden="false" customHeight="false" outlineLevel="0" collapsed="false">
      <c r="A764" s="69"/>
      <c r="B764" s="68"/>
      <c r="C764" s="76" t="str">
        <f aca="false">IF(B764="","",IFERROR(INDEX(EN_Des,MATCH(B764,EN_Code,0)),"Code inconnu"))</f>
        <v/>
      </c>
      <c r="D764" s="25"/>
      <c r="E764" s="25"/>
      <c r="F764" s="82"/>
      <c r="G764" s="82"/>
      <c r="H764" s="83" t="str">
        <f aca="false">IF(OR(F764="",G764=""),"",G764-F764)</f>
        <v/>
      </c>
      <c r="I764" s="82"/>
      <c r="J764" s="82"/>
      <c r="K764" s="28"/>
      <c r="L764" s="90" t="str">
        <f aca="false">IF(OR(K764="",N(H764)=0),"",K764/H764)</f>
        <v/>
      </c>
      <c r="M764" s="68"/>
      <c r="N764" s="28"/>
      <c r="O764" s="25"/>
      <c r="P764" s="83" t="str">
        <f aca="false">IF(OR(N764="",N(H764)=0),"",N764/H764)</f>
        <v/>
      </c>
      <c r="Q764" s="25"/>
    </row>
    <row r="765" customFormat="false" ht="15" hidden="false" customHeight="false" outlineLevel="0" collapsed="false">
      <c r="A765" s="69"/>
      <c r="B765" s="68"/>
      <c r="C765" s="76" t="str">
        <f aca="false">IF(B765="","",IFERROR(INDEX(EN_Des,MATCH(B765,EN_Code,0)),"Code inconnu"))</f>
        <v/>
      </c>
      <c r="D765" s="25"/>
      <c r="E765" s="25"/>
      <c r="F765" s="82"/>
      <c r="G765" s="82"/>
      <c r="H765" s="83" t="str">
        <f aca="false">IF(OR(F765="",G765=""),"",G765-F765)</f>
        <v/>
      </c>
      <c r="I765" s="82"/>
      <c r="J765" s="82"/>
      <c r="K765" s="28"/>
      <c r="L765" s="90" t="str">
        <f aca="false">IF(OR(K765="",N(H765)=0),"",K765/H765)</f>
        <v/>
      </c>
      <c r="M765" s="68"/>
      <c r="N765" s="28"/>
      <c r="O765" s="25"/>
      <c r="P765" s="83" t="str">
        <f aca="false">IF(OR(N765="",N(H765)=0),"",N765/H765)</f>
        <v/>
      </c>
      <c r="Q765" s="25"/>
    </row>
    <row r="766" customFormat="false" ht="15" hidden="false" customHeight="false" outlineLevel="0" collapsed="false">
      <c r="A766" s="69"/>
      <c r="B766" s="68"/>
      <c r="C766" s="76" t="str">
        <f aca="false">IF(B766="","",IFERROR(INDEX(EN_Des,MATCH(B766,EN_Code,0)),"Code inconnu"))</f>
        <v/>
      </c>
      <c r="D766" s="25"/>
      <c r="E766" s="25"/>
      <c r="F766" s="82"/>
      <c r="G766" s="82"/>
      <c r="H766" s="83" t="str">
        <f aca="false">IF(OR(F766="",G766=""),"",G766-F766)</f>
        <v/>
      </c>
      <c r="I766" s="82"/>
      <c r="J766" s="82"/>
      <c r="K766" s="28"/>
      <c r="L766" s="90" t="str">
        <f aca="false">IF(OR(K766="",N(H766)=0),"",K766/H766)</f>
        <v/>
      </c>
      <c r="M766" s="68"/>
      <c r="N766" s="28"/>
      <c r="O766" s="25"/>
      <c r="P766" s="83" t="str">
        <f aca="false">IF(OR(N766="",N(H766)=0),"",N766/H766)</f>
        <v/>
      </c>
      <c r="Q766" s="25"/>
    </row>
    <row r="767" customFormat="false" ht="15" hidden="false" customHeight="false" outlineLevel="0" collapsed="false">
      <c r="A767" s="69"/>
      <c r="B767" s="68"/>
      <c r="C767" s="76" t="str">
        <f aca="false">IF(B767="","",IFERROR(INDEX(EN_Des,MATCH(B767,EN_Code,0)),"Code inconnu"))</f>
        <v/>
      </c>
      <c r="D767" s="25"/>
      <c r="E767" s="25"/>
      <c r="F767" s="82"/>
      <c r="G767" s="82"/>
      <c r="H767" s="83" t="str">
        <f aca="false">IF(OR(F767="",G767=""),"",G767-F767)</f>
        <v/>
      </c>
      <c r="I767" s="82"/>
      <c r="J767" s="82"/>
      <c r="K767" s="28"/>
      <c r="L767" s="90" t="str">
        <f aca="false">IF(OR(K767="",N(H767)=0),"",K767/H767)</f>
        <v/>
      </c>
      <c r="M767" s="68"/>
      <c r="N767" s="28"/>
      <c r="O767" s="25"/>
      <c r="P767" s="83" t="str">
        <f aca="false">IF(OR(N767="",N(H767)=0),"",N767/H767)</f>
        <v/>
      </c>
      <c r="Q767" s="25"/>
    </row>
    <row r="768" customFormat="false" ht="15" hidden="false" customHeight="false" outlineLevel="0" collapsed="false">
      <c r="A768" s="69"/>
      <c r="B768" s="68"/>
      <c r="C768" s="76" t="str">
        <f aca="false">IF(B768="","",IFERROR(INDEX(EN_Des,MATCH(B768,EN_Code,0)),"Code inconnu"))</f>
        <v/>
      </c>
      <c r="D768" s="25"/>
      <c r="E768" s="25"/>
      <c r="F768" s="82"/>
      <c r="G768" s="82"/>
      <c r="H768" s="83" t="str">
        <f aca="false">IF(OR(F768="",G768=""),"",G768-F768)</f>
        <v/>
      </c>
      <c r="I768" s="82"/>
      <c r="J768" s="82"/>
      <c r="K768" s="28"/>
      <c r="L768" s="90" t="str">
        <f aca="false">IF(OR(K768="",N(H768)=0),"",K768/H768)</f>
        <v/>
      </c>
      <c r="M768" s="68"/>
      <c r="N768" s="28"/>
      <c r="O768" s="25"/>
      <c r="P768" s="83" t="str">
        <f aca="false">IF(OR(N768="",N(H768)=0),"",N768/H768)</f>
        <v/>
      </c>
      <c r="Q768" s="25"/>
    </row>
    <row r="769" customFormat="false" ht="15" hidden="false" customHeight="false" outlineLevel="0" collapsed="false">
      <c r="A769" s="69"/>
      <c r="B769" s="68"/>
      <c r="C769" s="76" t="str">
        <f aca="false">IF(B769="","",IFERROR(INDEX(EN_Des,MATCH(B769,EN_Code,0)),"Code inconnu"))</f>
        <v/>
      </c>
      <c r="D769" s="25"/>
      <c r="E769" s="25"/>
      <c r="F769" s="82"/>
      <c r="G769" s="82"/>
      <c r="H769" s="83" t="str">
        <f aca="false">IF(OR(F769="",G769=""),"",G769-F769)</f>
        <v/>
      </c>
      <c r="I769" s="82"/>
      <c r="J769" s="82"/>
      <c r="K769" s="28"/>
      <c r="L769" s="90" t="str">
        <f aca="false">IF(OR(K769="",N(H769)=0),"",K769/H769)</f>
        <v/>
      </c>
      <c r="M769" s="68"/>
      <c r="N769" s="28"/>
      <c r="O769" s="25"/>
      <c r="P769" s="83" t="str">
        <f aca="false">IF(OR(N769="",N(H769)=0),"",N769/H769)</f>
        <v/>
      </c>
      <c r="Q769" s="25"/>
    </row>
    <row r="770" customFormat="false" ht="15" hidden="false" customHeight="false" outlineLevel="0" collapsed="false">
      <c r="A770" s="69"/>
      <c r="B770" s="68"/>
      <c r="C770" s="76" t="str">
        <f aca="false">IF(B770="","",IFERROR(INDEX(EN_Des,MATCH(B770,EN_Code,0)),"Code inconnu"))</f>
        <v/>
      </c>
      <c r="D770" s="25"/>
      <c r="E770" s="25"/>
      <c r="F770" s="82"/>
      <c r="G770" s="82"/>
      <c r="H770" s="83" t="str">
        <f aca="false">IF(OR(F770="",G770=""),"",G770-F770)</f>
        <v/>
      </c>
      <c r="I770" s="82"/>
      <c r="J770" s="82"/>
      <c r="K770" s="28"/>
      <c r="L770" s="90" t="str">
        <f aca="false">IF(OR(K770="",N(H770)=0),"",K770/H770)</f>
        <v/>
      </c>
      <c r="M770" s="68"/>
      <c r="N770" s="28"/>
      <c r="O770" s="25"/>
      <c r="P770" s="83" t="str">
        <f aca="false">IF(OR(N770="",N(H770)=0),"",N770/H770)</f>
        <v/>
      </c>
      <c r="Q770" s="25"/>
    </row>
    <row r="771" customFormat="false" ht="15" hidden="false" customHeight="false" outlineLevel="0" collapsed="false">
      <c r="A771" s="69"/>
      <c r="B771" s="68"/>
      <c r="C771" s="76" t="str">
        <f aca="false">IF(B771="","",IFERROR(INDEX(EN_Des,MATCH(B771,EN_Code,0)),"Code inconnu"))</f>
        <v/>
      </c>
      <c r="D771" s="25"/>
      <c r="E771" s="25"/>
      <c r="F771" s="82"/>
      <c r="G771" s="82"/>
      <c r="H771" s="83" t="str">
        <f aca="false">IF(OR(F771="",G771=""),"",G771-F771)</f>
        <v/>
      </c>
      <c r="I771" s="82"/>
      <c r="J771" s="82"/>
      <c r="K771" s="28"/>
      <c r="L771" s="90" t="str">
        <f aca="false">IF(OR(K771="",N(H771)=0),"",K771/H771)</f>
        <v/>
      </c>
      <c r="M771" s="68"/>
      <c r="N771" s="28"/>
      <c r="O771" s="25"/>
      <c r="P771" s="83" t="str">
        <f aca="false">IF(OR(N771="",N(H771)=0),"",N771/H771)</f>
        <v/>
      </c>
      <c r="Q771" s="25"/>
    </row>
    <row r="772" customFormat="false" ht="15" hidden="false" customHeight="false" outlineLevel="0" collapsed="false">
      <c r="A772" s="69"/>
      <c r="B772" s="68"/>
      <c r="C772" s="76" t="str">
        <f aca="false">IF(B772="","",IFERROR(INDEX(EN_Des,MATCH(B772,EN_Code,0)),"Code inconnu"))</f>
        <v/>
      </c>
      <c r="D772" s="25"/>
      <c r="E772" s="25"/>
      <c r="F772" s="82"/>
      <c r="G772" s="82"/>
      <c r="H772" s="83" t="str">
        <f aca="false">IF(OR(F772="",G772=""),"",G772-F772)</f>
        <v/>
      </c>
      <c r="I772" s="82"/>
      <c r="J772" s="82"/>
      <c r="K772" s="28"/>
      <c r="L772" s="90" t="str">
        <f aca="false">IF(OR(K772="",N(H772)=0),"",K772/H772)</f>
        <v/>
      </c>
      <c r="M772" s="68"/>
      <c r="N772" s="28"/>
      <c r="O772" s="25"/>
      <c r="P772" s="83" t="str">
        <f aca="false">IF(OR(N772="",N(H772)=0),"",N772/H772)</f>
        <v/>
      </c>
      <c r="Q772" s="25"/>
    </row>
    <row r="773" customFormat="false" ht="15" hidden="false" customHeight="false" outlineLevel="0" collapsed="false">
      <c r="A773" s="69"/>
      <c r="B773" s="68"/>
      <c r="C773" s="76" t="str">
        <f aca="false">IF(B773="","",IFERROR(INDEX(EN_Des,MATCH(B773,EN_Code,0)),"Code inconnu"))</f>
        <v/>
      </c>
      <c r="D773" s="25"/>
      <c r="E773" s="25"/>
      <c r="F773" s="82"/>
      <c r="G773" s="82"/>
      <c r="H773" s="83" t="str">
        <f aca="false">IF(OR(F773="",G773=""),"",G773-F773)</f>
        <v/>
      </c>
      <c r="I773" s="82"/>
      <c r="J773" s="82"/>
      <c r="K773" s="28"/>
      <c r="L773" s="90" t="str">
        <f aca="false">IF(OR(K773="",N(H773)=0),"",K773/H773)</f>
        <v/>
      </c>
      <c r="M773" s="68"/>
      <c r="N773" s="28"/>
      <c r="O773" s="25"/>
      <c r="P773" s="83" t="str">
        <f aca="false">IF(OR(N773="",N(H773)=0),"",N773/H773)</f>
        <v/>
      </c>
      <c r="Q773" s="25"/>
    </row>
    <row r="774" customFormat="false" ht="15" hidden="false" customHeight="false" outlineLevel="0" collapsed="false">
      <c r="A774" s="69"/>
      <c r="B774" s="68"/>
      <c r="C774" s="76" t="str">
        <f aca="false">IF(B774="","",IFERROR(INDEX(EN_Des,MATCH(B774,EN_Code,0)),"Code inconnu"))</f>
        <v/>
      </c>
      <c r="D774" s="25"/>
      <c r="E774" s="25"/>
      <c r="F774" s="82"/>
      <c r="G774" s="82"/>
      <c r="H774" s="83" t="str">
        <f aca="false">IF(OR(F774="",G774=""),"",G774-F774)</f>
        <v/>
      </c>
      <c r="I774" s="82"/>
      <c r="J774" s="82"/>
      <c r="K774" s="28"/>
      <c r="L774" s="90" t="str">
        <f aca="false">IF(OR(K774="",N(H774)=0),"",K774/H774)</f>
        <v/>
      </c>
      <c r="M774" s="68"/>
      <c r="N774" s="28"/>
      <c r="O774" s="25"/>
      <c r="P774" s="83" t="str">
        <f aca="false">IF(OR(N774="",N(H774)=0),"",N774/H774)</f>
        <v/>
      </c>
      <c r="Q774" s="25"/>
    </row>
    <row r="775" customFormat="false" ht="15" hidden="false" customHeight="false" outlineLevel="0" collapsed="false">
      <c r="A775" s="69"/>
      <c r="B775" s="68"/>
      <c r="C775" s="76" t="str">
        <f aca="false">IF(B775="","",IFERROR(INDEX(EN_Des,MATCH(B775,EN_Code,0)),"Code inconnu"))</f>
        <v/>
      </c>
      <c r="D775" s="25"/>
      <c r="E775" s="25"/>
      <c r="F775" s="82"/>
      <c r="G775" s="82"/>
      <c r="H775" s="83" t="str">
        <f aca="false">IF(OR(F775="",G775=""),"",G775-F775)</f>
        <v/>
      </c>
      <c r="I775" s="82"/>
      <c r="J775" s="82"/>
      <c r="K775" s="28"/>
      <c r="L775" s="90" t="str">
        <f aca="false">IF(OR(K775="",N(H775)=0),"",K775/H775)</f>
        <v/>
      </c>
      <c r="M775" s="68"/>
      <c r="N775" s="28"/>
      <c r="O775" s="25"/>
      <c r="P775" s="83" t="str">
        <f aca="false">IF(OR(N775="",N(H775)=0),"",N775/H775)</f>
        <v/>
      </c>
      <c r="Q775" s="25"/>
    </row>
    <row r="776" customFormat="false" ht="15" hidden="false" customHeight="false" outlineLevel="0" collapsed="false">
      <c r="A776" s="69"/>
      <c r="B776" s="68"/>
      <c r="C776" s="76" t="str">
        <f aca="false">IF(B776="","",IFERROR(INDEX(EN_Des,MATCH(B776,EN_Code,0)),"Code inconnu"))</f>
        <v/>
      </c>
      <c r="D776" s="25"/>
      <c r="E776" s="25"/>
      <c r="F776" s="82"/>
      <c r="G776" s="82"/>
      <c r="H776" s="83" t="str">
        <f aca="false">IF(OR(F776="",G776=""),"",G776-F776)</f>
        <v/>
      </c>
      <c r="I776" s="82"/>
      <c r="J776" s="82"/>
      <c r="K776" s="28"/>
      <c r="L776" s="90" t="str">
        <f aca="false">IF(OR(K776="",N(H776)=0),"",K776/H776)</f>
        <v/>
      </c>
      <c r="M776" s="68"/>
      <c r="N776" s="28"/>
      <c r="O776" s="25"/>
      <c r="P776" s="83" t="str">
        <f aca="false">IF(OR(N776="",N(H776)=0),"",N776/H776)</f>
        <v/>
      </c>
      <c r="Q776" s="25"/>
    </row>
    <row r="777" customFormat="false" ht="15" hidden="false" customHeight="false" outlineLevel="0" collapsed="false">
      <c r="A777" s="69"/>
      <c r="B777" s="68"/>
      <c r="C777" s="76" t="str">
        <f aca="false">IF(B777="","",IFERROR(INDEX(EN_Des,MATCH(B777,EN_Code,0)),"Code inconnu"))</f>
        <v/>
      </c>
      <c r="D777" s="25"/>
      <c r="E777" s="25"/>
      <c r="F777" s="82"/>
      <c r="G777" s="82"/>
      <c r="H777" s="83" t="str">
        <f aca="false">IF(OR(F777="",G777=""),"",G777-F777)</f>
        <v/>
      </c>
      <c r="I777" s="82"/>
      <c r="J777" s="82"/>
      <c r="K777" s="28"/>
      <c r="L777" s="90" t="str">
        <f aca="false">IF(OR(K777="",N(H777)=0),"",K777/H777)</f>
        <v/>
      </c>
      <c r="M777" s="68"/>
      <c r="N777" s="28"/>
      <c r="O777" s="25"/>
      <c r="P777" s="83" t="str">
        <f aca="false">IF(OR(N777="",N(H777)=0),"",N777/H777)</f>
        <v/>
      </c>
      <c r="Q777" s="25"/>
    </row>
    <row r="778" customFormat="false" ht="15" hidden="false" customHeight="false" outlineLevel="0" collapsed="false">
      <c r="A778" s="69"/>
      <c r="B778" s="68"/>
      <c r="C778" s="76" t="str">
        <f aca="false">IF(B778="","",IFERROR(INDEX(EN_Des,MATCH(B778,EN_Code,0)),"Code inconnu"))</f>
        <v/>
      </c>
      <c r="D778" s="25"/>
      <c r="E778" s="25"/>
      <c r="F778" s="82"/>
      <c r="G778" s="82"/>
      <c r="H778" s="83" t="str">
        <f aca="false">IF(OR(F778="",G778=""),"",G778-F778)</f>
        <v/>
      </c>
      <c r="I778" s="82"/>
      <c r="J778" s="82"/>
      <c r="K778" s="28"/>
      <c r="L778" s="90" t="str">
        <f aca="false">IF(OR(K778="",N(H778)=0),"",K778/H778)</f>
        <v/>
      </c>
      <c r="M778" s="68"/>
      <c r="N778" s="28"/>
      <c r="O778" s="25"/>
      <c r="P778" s="83" t="str">
        <f aca="false">IF(OR(N778="",N(H778)=0),"",N778/H778)</f>
        <v/>
      </c>
      <c r="Q778" s="25"/>
    </row>
    <row r="779" customFormat="false" ht="15" hidden="false" customHeight="false" outlineLevel="0" collapsed="false">
      <c r="A779" s="69"/>
      <c r="B779" s="68"/>
      <c r="C779" s="76" t="str">
        <f aca="false">IF(B779="","",IFERROR(INDEX(EN_Des,MATCH(B779,EN_Code,0)),"Code inconnu"))</f>
        <v/>
      </c>
      <c r="D779" s="25"/>
      <c r="E779" s="25"/>
      <c r="F779" s="82"/>
      <c r="G779" s="82"/>
      <c r="H779" s="83" t="str">
        <f aca="false">IF(OR(F779="",G779=""),"",G779-F779)</f>
        <v/>
      </c>
      <c r="I779" s="82"/>
      <c r="J779" s="82"/>
      <c r="K779" s="28"/>
      <c r="L779" s="90" t="str">
        <f aca="false">IF(OR(K779="",N(H779)=0),"",K779/H779)</f>
        <v/>
      </c>
      <c r="M779" s="68"/>
      <c r="N779" s="28"/>
      <c r="O779" s="25"/>
      <c r="P779" s="83" t="str">
        <f aca="false">IF(OR(N779="",N(H779)=0),"",N779/H779)</f>
        <v/>
      </c>
      <c r="Q779" s="25"/>
    </row>
    <row r="780" customFormat="false" ht="15" hidden="false" customHeight="false" outlineLevel="0" collapsed="false">
      <c r="A780" s="69"/>
      <c r="B780" s="68"/>
      <c r="C780" s="76" t="str">
        <f aca="false">IF(B780="","",IFERROR(INDEX(EN_Des,MATCH(B780,EN_Code,0)),"Code inconnu"))</f>
        <v/>
      </c>
      <c r="D780" s="25"/>
      <c r="E780" s="25"/>
      <c r="F780" s="82"/>
      <c r="G780" s="82"/>
      <c r="H780" s="83" t="str">
        <f aca="false">IF(OR(F780="",G780=""),"",G780-F780)</f>
        <v/>
      </c>
      <c r="I780" s="82"/>
      <c r="J780" s="82"/>
      <c r="K780" s="28"/>
      <c r="L780" s="90" t="str">
        <f aca="false">IF(OR(K780="",N(H780)=0),"",K780/H780)</f>
        <v/>
      </c>
      <c r="M780" s="68"/>
      <c r="N780" s="28"/>
      <c r="O780" s="25"/>
      <c r="P780" s="83" t="str">
        <f aca="false">IF(OR(N780="",N(H780)=0),"",N780/H780)</f>
        <v/>
      </c>
      <c r="Q780" s="25"/>
    </row>
    <row r="781" customFormat="false" ht="15" hidden="false" customHeight="false" outlineLevel="0" collapsed="false">
      <c r="A781" s="69"/>
      <c r="B781" s="68"/>
      <c r="C781" s="76" t="str">
        <f aca="false">IF(B781="","",IFERROR(INDEX(EN_Des,MATCH(B781,EN_Code,0)),"Code inconnu"))</f>
        <v/>
      </c>
      <c r="D781" s="25"/>
      <c r="E781" s="25"/>
      <c r="F781" s="82"/>
      <c r="G781" s="82"/>
      <c r="H781" s="83" t="str">
        <f aca="false">IF(OR(F781="",G781=""),"",G781-F781)</f>
        <v/>
      </c>
      <c r="I781" s="82"/>
      <c r="J781" s="82"/>
      <c r="K781" s="28"/>
      <c r="L781" s="90" t="str">
        <f aca="false">IF(OR(K781="",N(H781)=0),"",K781/H781)</f>
        <v/>
      </c>
      <c r="M781" s="68"/>
      <c r="N781" s="28"/>
      <c r="O781" s="25"/>
      <c r="P781" s="83" t="str">
        <f aca="false">IF(OR(N781="",N(H781)=0),"",N781/H781)</f>
        <v/>
      </c>
      <c r="Q781" s="25"/>
    </row>
    <row r="782" customFormat="false" ht="15" hidden="false" customHeight="false" outlineLevel="0" collapsed="false">
      <c r="A782" s="69"/>
      <c r="B782" s="68"/>
      <c r="C782" s="76" t="str">
        <f aca="false">IF(B782="","",IFERROR(INDEX(EN_Des,MATCH(B782,EN_Code,0)),"Code inconnu"))</f>
        <v/>
      </c>
      <c r="D782" s="25"/>
      <c r="E782" s="25"/>
      <c r="F782" s="82"/>
      <c r="G782" s="82"/>
      <c r="H782" s="83" t="str">
        <f aca="false">IF(OR(F782="",G782=""),"",G782-F782)</f>
        <v/>
      </c>
      <c r="I782" s="82"/>
      <c r="J782" s="82"/>
      <c r="K782" s="28"/>
      <c r="L782" s="90" t="str">
        <f aca="false">IF(OR(K782="",N(H782)=0),"",K782/H782)</f>
        <v/>
      </c>
      <c r="M782" s="68"/>
      <c r="N782" s="28"/>
      <c r="O782" s="25"/>
      <c r="P782" s="83" t="str">
        <f aca="false">IF(OR(N782="",N(H782)=0),"",N782/H782)</f>
        <v/>
      </c>
      <c r="Q782" s="25"/>
    </row>
    <row r="783" customFormat="false" ht="15" hidden="false" customHeight="false" outlineLevel="0" collapsed="false">
      <c r="A783" s="69"/>
      <c r="B783" s="68"/>
      <c r="C783" s="76" t="str">
        <f aca="false">IF(B783="","",IFERROR(INDEX(EN_Des,MATCH(B783,EN_Code,0)),"Code inconnu"))</f>
        <v/>
      </c>
      <c r="D783" s="25"/>
      <c r="E783" s="25"/>
      <c r="F783" s="82"/>
      <c r="G783" s="82"/>
      <c r="H783" s="83" t="str">
        <f aca="false">IF(OR(F783="",G783=""),"",G783-F783)</f>
        <v/>
      </c>
      <c r="I783" s="82"/>
      <c r="J783" s="82"/>
      <c r="K783" s="28"/>
      <c r="L783" s="90" t="str">
        <f aca="false">IF(OR(K783="",N(H783)=0),"",K783/H783)</f>
        <v/>
      </c>
      <c r="M783" s="68"/>
      <c r="N783" s="28"/>
      <c r="O783" s="25"/>
      <c r="P783" s="83" t="str">
        <f aca="false">IF(OR(N783="",N(H783)=0),"",N783/H783)</f>
        <v/>
      </c>
      <c r="Q783" s="25"/>
    </row>
    <row r="784" customFormat="false" ht="15" hidden="false" customHeight="false" outlineLevel="0" collapsed="false">
      <c r="A784" s="69"/>
      <c r="B784" s="68"/>
      <c r="C784" s="76" t="str">
        <f aca="false">IF(B784="","",IFERROR(INDEX(EN_Des,MATCH(B784,EN_Code,0)),"Code inconnu"))</f>
        <v/>
      </c>
      <c r="D784" s="25"/>
      <c r="E784" s="25"/>
      <c r="F784" s="82"/>
      <c r="G784" s="82"/>
      <c r="H784" s="83" t="str">
        <f aca="false">IF(OR(F784="",G784=""),"",G784-F784)</f>
        <v/>
      </c>
      <c r="I784" s="82"/>
      <c r="J784" s="82"/>
      <c r="K784" s="28"/>
      <c r="L784" s="90" t="str">
        <f aca="false">IF(OR(K784="",N(H784)=0),"",K784/H784)</f>
        <v/>
      </c>
      <c r="M784" s="68"/>
      <c r="N784" s="28"/>
      <c r="O784" s="25"/>
      <c r="P784" s="83" t="str">
        <f aca="false">IF(OR(N784="",N(H784)=0),"",N784/H784)</f>
        <v/>
      </c>
      <c r="Q784" s="25"/>
    </row>
    <row r="785" customFormat="false" ht="15" hidden="false" customHeight="false" outlineLevel="0" collapsed="false">
      <c r="A785" s="69"/>
      <c r="B785" s="68"/>
      <c r="C785" s="76" t="str">
        <f aca="false">IF(B785="","",IFERROR(INDEX(EN_Des,MATCH(B785,EN_Code,0)),"Code inconnu"))</f>
        <v/>
      </c>
      <c r="D785" s="25"/>
      <c r="E785" s="25"/>
      <c r="F785" s="82"/>
      <c r="G785" s="82"/>
      <c r="H785" s="83" t="str">
        <f aca="false">IF(OR(F785="",G785=""),"",G785-F785)</f>
        <v/>
      </c>
      <c r="I785" s="82"/>
      <c r="J785" s="82"/>
      <c r="K785" s="28"/>
      <c r="L785" s="90" t="str">
        <f aca="false">IF(OR(K785="",N(H785)=0),"",K785/H785)</f>
        <v/>
      </c>
      <c r="M785" s="68"/>
      <c r="N785" s="28"/>
      <c r="O785" s="25"/>
      <c r="P785" s="83" t="str">
        <f aca="false">IF(OR(N785="",N(H785)=0),"",N785/H785)</f>
        <v/>
      </c>
      <c r="Q785" s="25"/>
    </row>
    <row r="786" customFormat="false" ht="15" hidden="false" customHeight="false" outlineLevel="0" collapsed="false">
      <c r="A786" s="69"/>
      <c r="B786" s="68"/>
      <c r="C786" s="76" t="str">
        <f aca="false">IF(B786="","",IFERROR(INDEX(EN_Des,MATCH(B786,EN_Code,0)),"Code inconnu"))</f>
        <v/>
      </c>
      <c r="D786" s="25"/>
      <c r="E786" s="25"/>
      <c r="F786" s="82"/>
      <c r="G786" s="82"/>
      <c r="H786" s="83" t="str">
        <f aca="false">IF(OR(F786="",G786=""),"",G786-F786)</f>
        <v/>
      </c>
      <c r="I786" s="82"/>
      <c r="J786" s="82"/>
      <c r="K786" s="28"/>
      <c r="L786" s="90" t="str">
        <f aca="false">IF(OR(K786="",N(H786)=0),"",K786/H786)</f>
        <v/>
      </c>
      <c r="M786" s="68"/>
      <c r="N786" s="28"/>
      <c r="O786" s="25"/>
      <c r="P786" s="83" t="str">
        <f aca="false">IF(OR(N786="",N(H786)=0),"",N786/H786)</f>
        <v/>
      </c>
      <c r="Q786" s="25"/>
    </row>
    <row r="787" customFormat="false" ht="15" hidden="false" customHeight="false" outlineLevel="0" collapsed="false">
      <c r="A787" s="69"/>
      <c r="B787" s="68"/>
      <c r="C787" s="76" t="str">
        <f aca="false">IF(B787="","",IFERROR(INDEX(EN_Des,MATCH(B787,EN_Code,0)),"Code inconnu"))</f>
        <v/>
      </c>
      <c r="D787" s="25"/>
      <c r="E787" s="25"/>
      <c r="F787" s="82"/>
      <c r="G787" s="82"/>
      <c r="H787" s="83" t="str">
        <f aca="false">IF(OR(F787="",G787=""),"",G787-F787)</f>
        <v/>
      </c>
      <c r="I787" s="82"/>
      <c r="J787" s="82"/>
      <c r="K787" s="28"/>
      <c r="L787" s="90" t="str">
        <f aca="false">IF(OR(K787="",N(H787)=0),"",K787/H787)</f>
        <v/>
      </c>
      <c r="M787" s="68"/>
      <c r="N787" s="28"/>
      <c r="O787" s="25"/>
      <c r="P787" s="83" t="str">
        <f aca="false">IF(OR(N787="",N(H787)=0),"",N787/H787)</f>
        <v/>
      </c>
      <c r="Q787" s="25"/>
    </row>
    <row r="788" customFormat="false" ht="15" hidden="false" customHeight="false" outlineLevel="0" collapsed="false">
      <c r="A788" s="69"/>
      <c r="B788" s="68"/>
      <c r="C788" s="76" t="str">
        <f aca="false">IF(B788="","",IFERROR(INDEX(EN_Des,MATCH(B788,EN_Code,0)),"Code inconnu"))</f>
        <v/>
      </c>
      <c r="D788" s="25"/>
      <c r="E788" s="25"/>
      <c r="F788" s="82"/>
      <c r="G788" s="82"/>
      <c r="H788" s="83" t="str">
        <f aca="false">IF(OR(F788="",G788=""),"",G788-F788)</f>
        <v/>
      </c>
      <c r="I788" s="82"/>
      <c r="J788" s="82"/>
      <c r="K788" s="28"/>
      <c r="L788" s="90" t="str">
        <f aca="false">IF(OR(K788="",N(H788)=0),"",K788/H788)</f>
        <v/>
      </c>
      <c r="M788" s="68"/>
      <c r="N788" s="28"/>
      <c r="O788" s="25"/>
      <c r="P788" s="83" t="str">
        <f aca="false">IF(OR(N788="",N(H788)=0),"",N788/H788)</f>
        <v/>
      </c>
      <c r="Q788" s="25"/>
    </row>
    <row r="789" customFormat="false" ht="15" hidden="false" customHeight="false" outlineLevel="0" collapsed="false">
      <c r="A789" s="69"/>
      <c r="B789" s="68"/>
      <c r="C789" s="76" t="str">
        <f aca="false">IF(B789="","",IFERROR(INDEX(EN_Des,MATCH(B789,EN_Code,0)),"Code inconnu"))</f>
        <v/>
      </c>
      <c r="D789" s="25"/>
      <c r="E789" s="25"/>
      <c r="F789" s="82"/>
      <c r="G789" s="82"/>
      <c r="H789" s="83" t="str">
        <f aca="false">IF(OR(F789="",G789=""),"",G789-F789)</f>
        <v/>
      </c>
      <c r="I789" s="82"/>
      <c r="J789" s="82"/>
      <c r="K789" s="28"/>
      <c r="L789" s="90" t="str">
        <f aca="false">IF(OR(K789="",N(H789)=0),"",K789/H789)</f>
        <v/>
      </c>
      <c r="M789" s="68"/>
      <c r="N789" s="28"/>
      <c r="O789" s="25"/>
      <c r="P789" s="83" t="str">
        <f aca="false">IF(OR(N789="",N(H789)=0),"",N789/H789)</f>
        <v/>
      </c>
      <c r="Q789" s="25"/>
    </row>
    <row r="790" customFormat="false" ht="15" hidden="false" customHeight="false" outlineLevel="0" collapsed="false">
      <c r="A790" s="69"/>
      <c r="B790" s="68"/>
      <c r="C790" s="76" t="str">
        <f aca="false">IF(B790="","",IFERROR(INDEX(EN_Des,MATCH(B790,EN_Code,0)),"Code inconnu"))</f>
        <v/>
      </c>
      <c r="D790" s="25"/>
      <c r="E790" s="25"/>
      <c r="F790" s="82"/>
      <c r="G790" s="82"/>
      <c r="H790" s="83" t="str">
        <f aca="false">IF(OR(F790="",G790=""),"",G790-F790)</f>
        <v/>
      </c>
      <c r="I790" s="82"/>
      <c r="J790" s="82"/>
      <c r="K790" s="28"/>
      <c r="L790" s="90" t="str">
        <f aca="false">IF(OR(K790="",N(H790)=0),"",K790/H790)</f>
        <v/>
      </c>
      <c r="M790" s="68"/>
      <c r="N790" s="28"/>
      <c r="O790" s="25"/>
      <c r="P790" s="83" t="str">
        <f aca="false">IF(OR(N790="",N(H790)=0),"",N790/H790)</f>
        <v/>
      </c>
      <c r="Q790" s="25"/>
    </row>
    <row r="791" customFormat="false" ht="15" hidden="false" customHeight="false" outlineLevel="0" collapsed="false">
      <c r="A791" s="69"/>
      <c r="B791" s="68"/>
      <c r="C791" s="76" t="str">
        <f aca="false">IF(B791="","",IFERROR(INDEX(EN_Des,MATCH(B791,EN_Code,0)),"Code inconnu"))</f>
        <v/>
      </c>
      <c r="D791" s="25"/>
      <c r="E791" s="25"/>
      <c r="F791" s="82"/>
      <c r="G791" s="82"/>
      <c r="H791" s="83" t="str">
        <f aca="false">IF(OR(F791="",G791=""),"",G791-F791)</f>
        <v/>
      </c>
      <c r="I791" s="82"/>
      <c r="J791" s="82"/>
      <c r="K791" s="28"/>
      <c r="L791" s="90" t="str">
        <f aca="false">IF(OR(K791="",N(H791)=0),"",K791/H791)</f>
        <v/>
      </c>
      <c r="M791" s="68"/>
      <c r="N791" s="28"/>
      <c r="O791" s="25"/>
      <c r="P791" s="83" t="str">
        <f aca="false">IF(OR(N791="",N(H791)=0),"",N791/H791)</f>
        <v/>
      </c>
      <c r="Q791" s="25"/>
    </row>
    <row r="792" customFormat="false" ht="15" hidden="false" customHeight="false" outlineLevel="0" collapsed="false">
      <c r="A792" s="69"/>
      <c r="B792" s="68"/>
      <c r="C792" s="76" t="str">
        <f aca="false">IF(B792="","",IFERROR(INDEX(EN_Des,MATCH(B792,EN_Code,0)),"Code inconnu"))</f>
        <v/>
      </c>
      <c r="D792" s="25"/>
      <c r="E792" s="25"/>
      <c r="F792" s="82"/>
      <c r="G792" s="82"/>
      <c r="H792" s="83" t="str">
        <f aca="false">IF(OR(F792="",G792=""),"",G792-F792)</f>
        <v/>
      </c>
      <c r="I792" s="82"/>
      <c r="J792" s="82"/>
      <c r="K792" s="28"/>
      <c r="L792" s="90" t="str">
        <f aca="false">IF(OR(K792="",N(H792)=0),"",K792/H792)</f>
        <v/>
      </c>
      <c r="M792" s="68"/>
      <c r="N792" s="28"/>
      <c r="O792" s="25"/>
      <c r="P792" s="83" t="str">
        <f aca="false">IF(OR(N792="",N(H792)=0),"",N792/H792)</f>
        <v/>
      </c>
      <c r="Q792" s="25"/>
    </row>
    <row r="793" customFormat="false" ht="15" hidden="false" customHeight="false" outlineLevel="0" collapsed="false">
      <c r="A793" s="69"/>
      <c r="B793" s="68"/>
      <c r="C793" s="76" t="str">
        <f aca="false">IF(B793="","",IFERROR(INDEX(EN_Des,MATCH(B793,EN_Code,0)),"Code inconnu"))</f>
        <v/>
      </c>
      <c r="D793" s="25"/>
      <c r="E793" s="25"/>
      <c r="F793" s="82"/>
      <c r="G793" s="82"/>
      <c r="H793" s="83" t="str">
        <f aca="false">IF(OR(F793="",G793=""),"",G793-F793)</f>
        <v/>
      </c>
      <c r="I793" s="82"/>
      <c r="J793" s="82"/>
      <c r="K793" s="28"/>
      <c r="L793" s="90" t="str">
        <f aca="false">IF(OR(K793="",N(H793)=0),"",K793/H793)</f>
        <v/>
      </c>
      <c r="M793" s="68"/>
      <c r="N793" s="28"/>
      <c r="O793" s="25"/>
      <c r="P793" s="83" t="str">
        <f aca="false">IF(OR(N793="",N(H793)=0),"",N793/H793)</f>
        <v/>
      </c>
      <c r="Q793" s="25"/>
    </row>
    <row r="794" customFormat="false" ht="15" hidden="false" customHeight="false" outlineLevel="0" collapsed="false">
      <c r="A794" s="69"/>
      <c r="B794" s="68"/>
      <c r="C794" s="76" t="str">
        <f aca="false">IF(B794="","",IFERROR(INDEX(EN_Des,MATCH(B794,EN_Code,0)),"Code inconnu"))</f>
        <v/>
      </c>
      <c r="D794" s="25"/>
      <c r="E794" s="25"/>
      <c r="F794" s="82"/>
      <c r="G794" s="82"/>
      <c r="H794" s="83" t="str">
        <f aca="false">IF(OR(F794="",G794=""),"",G794-F794)</f>
        <v/>
      </c>
      <c r="I794" s="82"/>
      <c r="J794" s="82"/>
      <c r="K794" s="28"/>
      <c r="L794" s="90" t="str">
        <f aca="false">IF(OR(K794="",N(H794)=0),"",K794/H794)</f>
        <v/>
      </c>
      <c r="M794" s="68"/>
      <c r="N794" s="28"/>
      <c r="O794" s="25"/>
      <c r="P794" s="83" t="str">
        <f aca="false">IF(OR(N794="",N(H794)=0),"",N794/H794)</f>
        <v/>
      </c>
      <c r="Q794" s="25"/>
    </row>
    <row r="795" customFormat="false" ht="15" hidden="false" customHeight="false" outlineLevel="0" collapsed="false">
      <c r="A795" s="69"/>
      <c r="B795" s="68"/>
      <c r="C795" s="76" t="str">
        <f aca="false">IF(B795="","",IFERROR(INDEX(EN_Des,MATCH(B795,EN_Code,0)),"Code inconnu"))</f>
        <v/>
      </c>
      <c r="D795" s="25"/>
      <c r="E795" s="25"/>
      <c r="F795" s="82"/>
      <c r="G795" s="82"/>
      <c r="H795" s="83" t="str">
        <f aca="false">IF(OR(F795="",G795=""),"",G795-F795)</f>
        <v/>
      </c>
      <c r="I795" s="82"/>
      <c r="J795" s="82"/>
      <c r="K795" s="28"/>
      <c r="L795" s="90" t="str">
        <f aca="false">IF(OR(K795="",N(H795)=0),"",K795/H795)</f>
        <v/>
      </c>
      <c r="M795" s="68"/>
      <c r="N795" s="28"/>
      <c r="O795" s="25"/>
      <c r="P795" s="83" t="str">
        <f aca="false">IF(OR(N795="",N(H795)=0),"",N795/H795)</f>
        <v/>
      </c>
      <c r="Q795" s="25"/>
    </row>
    <row r="796" customFormat="false" ht="15" hidden="false" customHeight="false" outlineLevel="0" collapsed="false">
      <c r="A796" s="69"/>
      <c r="B796" s="68"/>
      <c r="C796" s="76" t="str">
        <f aca="false">IF(B796="","",IFERROR(INDEX(EN_Des,MATCH(B796,EN_Code,0)),"Code inconnu"))</f>
        <v/>
      </c>
      <c r="D796" s="25"/>
      <c r="E796" s="25"/>
      <c r="F796" s="82"/>
      <c r="G796" s="82"/>
      <c r="H796" s="83" t="str">
        <f aca="false">IF(OR(F796="",G796=""),"",G796-F796)</f>
        <v/>
      </c>
      <c r="I796" s="82"/>
      <c r="J796" s="82"/>
      <c r="K796" s="28"/>
      <c r="L796" s="90" t="str">
        <f aca="false">IF(OR(K796="",N(H796)=0),"",K796/H796)</f>
        <v/>
      </c>
      <c r="M796" s="68"/>
      <c r="N796" s="28"/>
      <c r="O796" s="25"/>
      <c r="P796" s="83" t="str">
        <f aca="false">IF(OR(N796="",N(H796)=0),"",N796/H796)</f>
        <v/>
      </c>
      <c r="Q796" s="25"/>
    </row>
    <row r="797" customFormat="false" ht="15" hidden="false" customHeight="false" outlineLevel="0" collapsed="false">
      <c r="A797" s="69"/>
      <c r="B797" s="68"/>
      <c r="C797" s="76" t="str">
        <f aca="false">IF(B797="","",IFERROR(INDEX(EN_Des,MATCH(B797,EN_Code,0)),"Code inconnu"))</f>
        <v/>
      </c>
      <c r="D797" s="25"/>
      <c r="E797" s="25"/>
      <c r="F797" s="82"/>
      <c r="G797" s="82"/>
      <c r="H797" s="83" t="str">
        <f aca="false">IF(OR(F797="",G797=""),"",G797-F797)</f>
        <v/>
      </c>
      <c r="I797" s="82"/>
      <c r="J797" s="82"/>
      <c r="K797" s="28"/>
      <c r="L797" s="90" t="str">
        <f aca="false">IF(OR(K797="",N(H797)=0),"",K797/H797)</f>
        <v/>
      </c>
      <c r="M797" s="68"/>
      <c r="N797" s="28"/>
      <c r="O797" s="25"/>
      <c r="P797" s="83" t="str">
        <f aca="false">IF(OR(N797="",N(H797)=0),"",N797/H797)</f>
        <v/>
      </c>
      <c r="Q797" s="25"/>
    </row>
    <row r="798" customFormat="false" ht="15" hidden="false" customHeight="false" outlineLevel="0" collapsed="false">
      <c r="A798" s="69"/>
      <c r="B798" s="68"/>
      <c r="C798" s="76" t="str">
        <f aca="false">IF(B798="","",IFERROR(INDEX(EN_Des,MATCH(B798,EN_Code,0)),"Code inconnu"))</f>
        <v/>
      </c>
      <c r="D798" s="25"/>
      <c r="E798" s="25"/>
      <c r="F798" s="82"/>
      <c r="G798" s="82"/>
      <c r="H798" s="83" t="str">
        <f aca="false">IF(OR(F798="",G798=""),"",G798-F798)</f>
        <v/>
      </c>
      <c r="I798" s="82"/>
      <c r="J798" s="82"/>
      <c r="K798" s="28"/>
      <c r="L798" s="90" t="str">
        <f aca="false">IF(OR(K798="",N(H798)=0),"",K798/H798)</f>
        <v/>
      </c>
      <c r="M798" s="68"/>
      <c r="N798" s="28"/>
      <c r="O798" s="25"/>
      <c r="P798" s="83" t="str">
        <f aca="false">IF(OR(N798="",N(H798)=0),"",N798/H798)</f>
        <v/>
      </c>
      <c r="Q798" s="25"/>
    </row>
    <row r="799" customFormat="false" ht="15" hidden="false" customHeight="false" outlineLevel="0" collapsed="false">
      <c r="A799" s="69"/>
      <c r="B799" s="68"/>
      <c r="C799" s="76" t="str">
        <f aca="false">IF(B799="","",IFERROR(INDEX(EN_Des,MATCH(B799,EN_Code,0)),"Code inconnu"))</f>
        <v/>
      </c>
      <c r="D799" s="25"/>
      <c r="E799" s="25"/>
      <c r="F799" s="82"/>
      <c r="G799" s="82"/>
      <c r="H799" s="83" t="str">
        <f aca="false">IF(OR(F799="",G799=""),"",G799-F799)</f>
        <v/>
      </c>
      <c r="I799" s="82"/>
      <c r="J799" s="82"/>
      <c r="K799" s="28"/>
      <c r="L799" s="90" t="str">
        <f aca="false">IF(OR(K799="",N(H799)=0),"",K799/H799)</f>
        <v/>
      </c>
      <c r="M799" s="68"/>
      <c r="N799" s="28"/>
      <c r="O799" s="25"/>
      <c r="P799" s="83" t="str">
        <f aca="false">IF(OR(N799="",N(H799)=0),"",N799/H799)</f>
        <v/>
      </c>
      <c r="Q799" s="25"/>
    </row>
    <row r="800" customFormat="false" ht="15" hidden="false" customHeight="false" outlineLevel="0" collapsed="false">
      <c r="A800" s="69"/>
      <c r="B800" s="68"/>
      <c r="C800" s="76" t="str">
        <f aca="false">IF(B800="","",IFERROR(INDEX(EN_Des,MATCH(B800,EN_Code,0)),"Code inconnu"))</f>
        <v/>
      </c>
      <c r="D800" s="25"/>
      <c r="E800" s="25"/>
      <c r="F800" s="82"/>
      <c r="G800" s="82"/>
      <c r="H800" s="83" t="str">
        <f aca="false">IF(OR(F800="",G800=""),"",G800-F800)</f>
        <v/>
      </c>
      <c r="I800" s="82"/>
      <c r="J800" s="82"/>
      <c r="K800" s="28"/>
      <c r="L800" s="90" t="str">
        <f aca="false">IF(OR(K800="",N(H800)=0),"",K800/H800)</f>
        <v/>
      </c>
      <c r="M800" s="68"/>
      <c r="N800" s="28"/>
      <c r="O800" s="25"/>
      <c r="P800" s="83" t="str">
        <f aca="false">IF(OR(N800="",N(H800)=0),"",N800/H800)</f>
        <v/>
      </c>
      <c r="Q800" s="25"/>
    </row>
    <row r="801" customFormat="false" ht="15" hidden="false" customHeight="false" outlineLevel="0" collapsed="false">
      <c r="A801" s="69"/>
      <c r="B801" s="68"/>
      <c r="C801" s="76" t="str">
        <f aca="false">IF(B801="","",IFERROR(INDEX(EN_Des,MATCH(B801,EN_Code,0)),"Code inconnu"))</f>
        <v/>
      </c>
      <c r="D801" s="25"/>
      <c r="E801" s="25"/>
      <c r="F801" s="82"/>
      <c r="G801" s="82"/>
      <c r="H801" s="83" t="str">
        <f aca="false">IF(OR(F801="",G801=""),"",G801-F801)</f>
        <v/>
      </c>
      <c r="I801" s="82"/>
      <c r="J801" s="82"/>
      <c r="K801" s="28"/>
      <c r="L801" s="90" t="str">
        <f aca="false">IF(OR(K801="",N(H801)=0),"",K801/H801)</f>
        <v/>
      </c>
      <c r="M801" s="68"/>
      <c r="N801" s="28"/>
      <c r="O801" s="25"/>
      <c r="P801" s="83" t="str">
        <f aca="false">IF(OR(N801="",N(H801)=0),"",N801/H801)</f>
        <v/>
      </c>
      <c r="Q801" s="25"/>
    </row>
    <row r="802" customFormat="false" ht="15" hidden="false" customHeight="false" outlineLevel="0" collapsed="false">
      <c r="A802" s="69"/>
      <c r="B802" s="68"/>
      <c r="C802" s="76" t="str">
        <f aca="false">IF(B802="","",IFERROR(INDEX(EN_Des,MATCH(B802,EN_Code,0)),"Code inconnu"))</f>
        <v/>
      </c>
      <c r="D802" s="25"/>
      <c r="E802" s="25"/>
      <c r="F802" s="82"/>
      <c r="G802" s="82"/>
      <c r="H802" s="83" t="str">
        <f aca="false">IF(OR(F802="",G802=""),"",G802-F802)</f>
        <v/>
      </c>
      <c r="I802" s="82"/>
      <c r="J802" s="82"/>
      <c r="K802" s="28"/>
      <c r="L802" s="90" t="str">
        <f aca="false">IF(OR(K802="",N(H802)=0),"",K802/H802)</f>
        <v/>
      </c>
      <c r="M802" s="68"/>
      <c r="N802" s="28"/>
      <c r="O802" s="25"/>
      <c r="P802" s="83" t="str">
        <f aca="false">IF(OR(N802="",N(H802)=0),"",N802/H802)</f>
        <v/>
      </c>
      <c r="Q802" s="25"/>
    </row>
    <row r="803" customFormat="false" ht="15" hidden="false" customHeight="false" outlineLevel="0" collapsed="false">
      <c r="A803" s="69"/>
      <c r="B803" s="68"/>
      <c r="C803" s="76" t="str">
        <f aca="false">IF(B803="","",IFERROR(INDEX(EN_Des,MATCH(B803,EN_Code,0)),"Code inconnu"))</f>
        <v/>
      </c>
      <c r="D803" s="25"/>
      <c r="E803" s="25"/>
      <c r="F803" s="82"/>
      <c r="G803" s="82"/>
      <c r="H803" s="83" t="str">
        <f aca="false">IF(OR(F803="",G803=""),"",G803-F803)</f>
        <v/>
      </c>
      <c r="I803" s="82"/>
      <c r="J803" s="82"/>
      <c r="K803" s="28"/>
      <c r="L803" s="90" t="str">
        <f aca="false">IF(OR(K803="",N(H803)=0),"",K803/H803)</f>
        <v/>
      </c>
      <c r="M803" s="68"/>
      <c r="N803" s="28"/>
      <c r="O803" s="25"/>
      <c r="P803" s="83" t="str">
        <f aca="false">IF(OR(N803="",N(H803)=0),"",N803/H803)</f>
        <v/>
      </c>
      <c r="Q803" s="25"/>
    </row>
    <row r="804" customFormat="false" ht="15" hidden="false" customHeight="false" outlineLevel="0" collapsed="false">
      <c r="A804" s="69"/>
      <c r="B804" s="68"/>
      <c r="C804" s="76" t="str">
        <f aca="false">IF(B804="","",IFERROR(INDEX(EN_Des,MATCH(B804,EN_Code,0)),"Code inconnu"))</f>
        <v/>
      </c>
      <c r="D804" s="25"/>
      <c r="E804" s="25"/>
      <c r="F804" s="82"/>
      <c r="G804" s="82"/>
      <c r="H804" s="83" t="str">
        <f aca="false">IF(OR(F804="",G804=""),"",G804-F804)</f>
        <v/>
      </c>
      <c r="I804" s="82"/>
      <c r="J804" s="82"/>
      <c r="K804" s="28"/>
      <c r="L804" s="90" t="str">
        <f aca="false">IF(OR(K804="",N(H804)=0),"",K804/H804)</f>
        <v/>
      </c>
      <c r="M804" s="68"/>
      <c r="N804" s="28"/>
      <c r="O804" s="25"/>
      <c r="P804" s="83" t="str">
        <f aca="false">IF(OR(N804="",N(H804)=0),"",N804/H804)</f>
        <v/>
      </c>
      <c r="Q804" s="25"/>
    </row>
    <row r="805" customFormat="false" ht="15" hidden="false" customHeight="false" outlineLevel="0" collapsed="false">
      <c r="A805" s="69"/>
      <c r="B805" s="68"/>
      <c r="C805" s="76" t="str">
        <f aca="false">IF(B805="","",IFERROR(INDEX(EN_Des,MATCH(B805,EN_Code,0)),"Code inconnu"))</f>
        <v/>
      </c>
      <c r="D805" s="25"/>
      <c r="E805" s="25"/>
      <c r="F805" s="82"/>
      <c r="G805" s="82"/>
      <c r="H805" s="83" t="str">
        <f aca="false">IF(OR(F805="",G805=""),"",G805-F805)</f>
        <v/>
      </c>
      <c r="I805" s="82"/>
      <c r="J805" s="82"/>
      <c r="K805" s="28"/>
      <c r="L805" s="90" t="str">
        <f aca="false">IF(OR(K805="",N(H805)=0),"",K805/H805)</f>
        <v/>
      </c>
      <c r="M805" s="68"/>
      <c r="N805" s="28"/>
      <c r="O805" s="25"/>
      <c r="P805" s="83" t="str">
        <f aca="false">IF(OR(N805="",N(H805)=0),"",N805/H805)</f>
        <v/>
      </c>
      <c r="Q805" s="25"/>
    </row>
    <row r="806" customFormat="false" ht="15" hidden="false" customHeight="false" outlineLevel="0" collapsed="false">
      <c r="A806" s="69"/>
      <c r="B806" s="68"/>
      <c r="C806" s="76" t="str">
        <f aca="false">IF(B806="","",IFERROR(INDEX(EN_Des,MATCH(B806,EN_Code,0)),"Code inconnu"))</f>
        <v/>
      </c>
      <c r="D806" s="25"/>
      <c r="E806" s="25"/>
      <c r="F806" s="82"/>
      <c r="G806" s="82"/>
      <c r="H806" s="83" t="str">
        <f aca="false">IF(OR(F806="",G806=""),"",G806-F806)</f>
        <v/>
      </c>
      <c r="I806" s="82"/>
      <c r="J806" s="82"/>
      <c r="K806" s="28"/>
      <c r="L806" s="90" t="str">
        <f aca="false">IF(OR(K806="",N(H806)=0),"",K806/H806)</f>
        <v/>
      </c>
      <c r="M806" s="68"/>
      <c r="N806" s="28"/>
      <c r="O806" s="25"/>
      <c r="P806" s="83" t="str">
        <f aca="false">IF(OR(N806="",N(H806)=0),"",N806/H806)</f>
        <v/>
      </c>
      <c r="Q806" s="25"/>
    </row>
    <row r="807" customFormat="false" ht="15" hidden="false" customHeight="false" outlineLevel="0" collapsed="false">
      <c r="A807" s="69"/>
      <c r="B807" s="68"/>
      <c r="C807" s="76" t="str">
        <f aca="false">IF(B807="","",IFERROR(INDEX(EN_Des,MATCH(B807,EN_Code,0)),"Code inconnu"))</f>
        <v/>
      </c>
      <c r="D807" s="25"/>
      <c r="E807" s="25"/>
      <c r="F807" s="82"/>
      <c r="G807" s="82"/>
      <c r="H807" s="83" t="str">
        <f aca="false">IF(OR(F807="",G807=""),"",G807-F807)</f>
        <v/>
      </c>
      <c r="I807" s="82"/>
      <c r="J807" s="82"/>
      <c r="K807" s="28"/>
      <c r="L807" s="90" t="str">
        <f aca="false">IF(OR(K807="",N(H807)=0),"",K807/H807)</f>
        <v/>
      </c>
      <c r="M807" s="68"/>
      <c r="N807" s="28"/>
      <c r="O807" s="25"/>
      <c r="P807" s="83" t="str">
        <f aca="false">IF(OR(N807="",N(H807)=0),"",N807/H807)</f>
        <v/>
      </c>
      <c r="Q807" s="25"/>
    </row>
    <row r="808" customFormat="false" ht="15" hidden="false" customHeight="false" outlineLevel="0" collapsed="false">
      <c r="A808" s="69"/>
      <c r="B808" s="68"/>
      <c r="C808" s="76" t="str">
        <f aca="false">IF(B808="","",IFERROR(INDEX(EN_Des,MATCH(B808,EN_Code,0)),"Code inconnu"))</f>
        <v/>
      </c>
      <c r="D808" s="25"/>
      <c r="E808" s="25"/>
      <c r="F808" s="82"/>
      <c r="G808" s="82"/>
      <c r="H808" s="83" t="str">
        <f aca="false">IF(OR(F808="",G808=""),"",G808-F808)</f>
        <v/>
      </c>
      <c r="I808" s="82"/>
      <c r="J808" s="82"/>
      <c r="K808" s="28"/>
      <c r="L808" s="90" t="str">
        <f aca="false">IF(OR(K808="",N(H808)=0),"",K808/H808)</f>
        <v/>
      </c>
      <c r="M808" s="68"/>
      <c r="N808" s="28"/>
      <c r="O808" s="25"/>
      <c r="P808" s="83" t="str">
        <f aca="false">IF(OR(N808="",N(H808)=0),"",N808/H808)</f>
        <v/>
      </c>
      <c r="Q808" s="25"/>
    </row>
    <row r="809" customFormat="false" ht="15" hidden="false" customHeight="false" outlineLevel="0" collapsed="false">
      <c r="A809" s="69"/>
      <c r="B809" s="68"/>
      <c r="C809" s="76" t="str">
        <f aca="false">IF(B809="","",IFERROR(INDEX(EN_Des,MATCH(B809,EN_Code,0)),"Code inconnu"))</f>
        <v/>
      </c>
      <c r="D809" s="25"/>
      <c r="E809" s="25"/>
      <c r="F809" s="82"/>
      <c r="G809" s="82"/>
      <c r="H809" s="83" t="str">
        <f aca="false">IF(OR(F809="",G809=""),"",G809-F809)</f>
        <v/>
      </c>
      <c r="I809" s="82"/>
      <c r="J809" s="82"/>
      <c r="K809" s="28"/>
      <c r="L809" s="90" t="str">
        <f aca="false">IF(OR(K809="",N(H809)=0),"",K809/H809)</f>
        <v/>
      </c>
      <c r="M809" s="68"/>
      <c r="N809" s="28"/>
      <c r="O809" s="25"/>
      <c r="P809" s="83" t="str">
        <f aca="false">IF(OR(N809="",N(H809)=0),"",N809/H809)</f>
        <v/>
      </c>
      <c r="Q809" s="25"/>
    </row>
    <row r="810" customFormat="false" ht="15" hidden="false" customHeight="false" outlineLevel="0" collapsed="false">
      <c r="A810" s="69"/>
      <c r="B810" s="68"/>
      <c r="C810" s="76" t="str">
        <f aca="false">IF(B810="","",IFERROR(INDEX(EN_Des,MATCH(B810,EN_Code,0)),"Code inconnu"))</f>
        <v/>
      </c>
      <c r="D810" s="25"/>
      <c r="E810" s="25"/>
      <c r="F810" s="82"/>
      <c r="G810" s="82"/>
      <c r="H810" s="83" t="str">
        <f aca="false">IF(OR(F810="",G810=""),"",G810-F810)</f>
        <v/>
      </c>
      <c r="I810" s="82"/>
      <c r="J810" s="82"/>
      <c r="K810" s="28"/>
      <c r="L810" s="90" t="str">
        <f aca="false">IF(OR(K810="",N(H810)=0),"",K810/H810)</f>
        <v/>
      </c>
      <c r="M810" s="68"/>
      <c r="N810" s="28"/>
      <c r="O810" s="25"/>
      <c r="P810" s="83" t="str">
        <f aca="false">IF(OR(N810="",N(H810)=0),"",N810/H810)</f>
        <v/>
      </c>
      <c r="Q810" s="25"/>
    </row>
    <row r="811" customFormat="false" ht="15" hidden="false" customHeight="false" outlineLevel="0" collapsed="false">
      <c r="A811" s="69"/>
      <c r="B811" s="68"/>
      <c r="C811" s="76" t="str">
        <f aca="false">IF(B811="","",IFERROR(INDEX(EN_Des,MATCH(B811,EN_Code,0)),"Code inconnu"))</f>
        <v/>
      </c>
      <c r="D811" s="25"/>
      <c r="E811" s="25"/>
      <c r="F811" s="82"/>
      <c r="G811" s="82"/>
      <c r="H811" s="83" t="str">
        <f aca="false">IF(OR(F811="",G811=""),"",G811-F811)</f>
        <v/>
      </c>
      <c r="I811" s="82"/>
      <c r="J811" s="82"/>
      <c r="K811" s="28"/>
      <c r="L811" s="90" t="str">
        <f aca="false">IF(OR(K811="",N(H811)=0),"",K811/H811)</f>
        <v/>
      </c>
      <c r="M811" s="68"/>
      <c r="N811" s="28"/>
      <c r="O811" s="25"/>
      <c r="P811" s="83" t="str">
        <f aca="false">IF(OR(N811="",N(H811)=0),"",N811/H811)</f>
        <v/>
      </c>
      <c r="Q811" s="25"/>
    </row>
    <row r="812" customFormat="false" ht="15" hidden="false" customHeight="false" outlineLevel="0" collapsed="false">
      <c r="A812" s="69"/>
      <c r="B812" s="68"/>
      <c r="C812" s="76" t="str">
        <f aca="false">IF(B812="","",IFERROR(INDEX(EN_Des,MATCH(B812,EN_Code,0)),"Code inconnu"))</f>
        <v/>
      </c>
      <c r="D812" s="25"/>
      <c r="E812" s="25"/>
      <c r="F812" s="82"/>
      <c r="G812" s="82"/>
      <c r="H812" s="83" t="str">
        <f aca="false">IF(OR(F812="",G812=""),"",G812-F812)</f>
        <v/>
      </c>
      <c r="I812" s="82"/>
      <c r="J812" s="82"/>
      <c r="K812" s="28"/>
      <c r="L812" s="90" t="str">
        <f aca="false">IF(OR(K812="",N(H812)=0),"",K812/H812)</f>
        <v/>
      </c>
      <c r="M812" s="68"/>
      <c r="N812" s="28"/>
      <c r="O812" s="25"/>
      <c r="P812" s="83" t="str">
        <f aca="false">IF(OR(N812="",N(H812)=0),"",N812/H812)</f>
        <v/>
      </c>
      <c r="Q812" s="25"/>
    </row>
    <row r="813" customFormat="false" ht="15" hidden="false" customHeight="false" outlineLevel="0" collapsed="false">
      <c r="A813" s="69"/>
      <c r="B813" s="68"/>
      <c r="C813" s="76" t="str">
        <f aca="false">IF(B813="","",IFERROR(INDEX(EN_Des,MATCH(B813,EN_Code,0)),"Code inconnu"))</f>
        <v/>
      </c>
      <c r="D813" s="25"/>
      <c r="E813" s="25"/>
      <c r="F813" s="82"/>
      <c r="G813" s="82"/>
      <c r="H813" s="83" t="str">
        <f aca="false">IF(OR(F813="",G813=""),"",G813-F813)</f>
        <v/>
      </c>
      <c r="I813" s="82"/>
      <c r="J813" s="82"/>
      <c r="K813" s="28"/>
      <c r="L813" s="90" t="str">
        <f aca="false">IF(OR(K813="",N(H813)=0),"",K813/H813)</f>
        <v/>
      </c>
      <c r="M813" s="68"/>
      <c r="N813" s="28"/>
      <c r="O813" s="25"/>
      <c r="P813" s="83" t="str">
        <f aca="false">IF(OR(N813="",N(H813)=0),"",N813/H813)</f>
        <v/>
      </c>
      <c r="Q813" s="25"/>
    </row>
    <row r="814" customFormat="false" ht="15" hidden="false" customHeight="false" outlineLevel="0" collapsed="false">
      <c r="A814" s="69"/>
      <c r="B814" s="68"/>
      <c r="C814" s="76" t="str">
        <f aca="false">IF(B814="","",IFERROR(INDEX(EN_Des,MATCH(B814,EN_Code,0)),"Code inconnu"))</f>
        <v/>
      </c>
      <c r="D814" s="25"/>
      <c r="E814" s="25"/>
      <c r="F814" s="82"/>
      <c r="G814" s="82"/>
      <c r="H814" s="83" t="str">
        <f aca="false">IF(OR(F814="",G814=""),"",G814-F814)</f>
        <v/>
      </c>
      <c r="I814" s="82"/>
      <c r="J814" s="82"/>
      <c r="K814" s="28"/>
      <c r="L814" s="90" t="str">
        <f aca="false">IF(OR(K814="",N(H814)=0),"",K814/H814)</f>
        <v/>
      </c>
      <c r="M814" s="68"/>
      <c r="N814" s="28"/>
      <c r="O814" s="25"/>
      <c r="P814" s="83" t="str">
        <f aca="false">IF(OR(N814="",N(H814)=0),"",N814/H814)</f>
        <v/>
      </c>
      <c r="Q814" s="25"/>
    </row>
    <row r="815" customFormat="false" ht="15" hidden="false" customHeight="false" outlineLevel="0" collapsed="false">
      <c r="A815" s="69"/>
      <c r="B815" s="68"/>
      <c r="C815" s="76" t="str">
        <f aca="false">IF(B815="","",IFERROR(INDEX(EN_Des,MATCH(B815,EN_Code,0)),"Code inconnu"))</f>
        <v/>
      </c>
      <c r="D815" s="25"/>
      <c r="E815" s="25"/>
      <c r="F815" s="82"/>
      <c r="G815" s="82"/>
      <c r="H815" s="83" t="str">
        <f aca="false">IF(OR(F815="",G815=""),"",G815-F815)</f>
        <v/>
      </c>
      <c r="I815" s="82"/>
      <c r="J815" s="82"/>
      <c r="K815" s="28"/>
      <c r="L815" s="90" t="str">
        <f aca="false">IF(OR(K815="",N(H815)=0),"",K815/H815)</f>
        <v/>
      </c>
      <c r="M815" s="68"/>
      <c r="N815" s="28"/>
      <c r="O815" s="25"/>
      <c r="P815" s="83" t="str">
        <f aca="false">IF(OR(N815="",N(H815)=0),"",N815/H815)</f>
        <v/>
      </c>
      <c r="Q815" s="25"/>
    </row>
    <row r="816" customFormat="false" ht="15" hidden="false" customHeight="false" outlineLevel="0" collapsed="false">
      <c r="A816" s="69"/>
      <c r="B816" s="68"/>
      <c r="C816" s="76" t="str">
        <f aca="false">IF(B816="","",IFERROR(INDEX(EN_Des,MATCH(B816,EN_Code,0)),"Code inconnu"))</f>
        <v/>
      </c>
      <c r="D816" s="25"/>
      <c r="E816" s="25"/>
      <c r="F816" s="82"/>
      <c r="G816" s="82"/>
      <c r="H816" s="83" t="str">
        <f aca="false">IF(OR(F816="",G816=""),"",G816-F816)</f>
        <v/>
      </c>
      <c r="I816" s="82"/>
      <c r="J816" s="82"/>
      <c r="K816" s="28"/>
      <c r="L816" s="90" t="str">
        <f aca="false">IF(OR(K816="",N(H816)=0),"",K816/H816)</f>
        <v/>
      </c>
      <c r="M816" s="68"/>
      <c r="N816" s="28"/>
      <c r="O816" s="25"/>
      <c r="P816" s="83" t="str">
        <f aca="false">IF(OR(N816="",N(H816)=0),"",N816/H816)</f>
        <v/>
      </c>
      <c r="Q816" s="25"/>
    </row>
    <row r="817" customFormat="false" ht="15" hidden="false" customHeight="false" outlineLevel="0" collapsed="false">
      <c r="A817" s="69"/>
      <c r="B817" s="68"/>
      <c r="C817" s="76" t="str">
        <f aca="false">IF(B817="","",IFERROR(INDEX(EN_Des,MATCH(B817,EN_Code,0)),"Code inconnu"))</f>
        <v/>
      </c>
      <c r="D817" s="25"/>
      <c r="E817" s="25"/>
      <c r="F817" s="82"/>
      <c r="G817" s="82"/>
      <c r="H817" s="83" t="str">
        <f aca="false">IF(OR(F817="",G817=""),"",G817-F817)</f>
        <v/>
      </c>
      <c r="I817" s="82"/>
      <c r="J817" s="82"/>
      <c r="K817" s="28"/>
      <c r="L817" s="90" t="str">
        <f aca="false">IF(OR(K817="",N(H817)=0),"",K817/H817)</f>
        <v/>
      </c>
      <c r="M817" s="68"/>
      <c r="N817" s="28"/>
      <c r="O817" s="25"/>
      <c r="P817" s="83" t="str">
        <f aca="false">IF(OR(N817="",N(H817)=0),"",N817/H817)</f>
        <v/>
      </c>
      <c r="Q817" s="25"/>
    </row>
    <row r="818" customFormat="false" ht="15" hidden="false" customHeight="false" outlineLevel="0" collapsed="false">
      <c r="A818" s="69"/>
      <c r="B818" s="68"/>
      <c r="C818" s="76" t="str">
        <f aca="false">IF(B818="","",IFERROR(INDEX(EN_Des,MATCH(B818,EN_Code,0)),"Code inconnu"))</f>
        <v/>
      </c>
      <c r="D818" s="25"/>
      <c r="E818" s="25"/>
      <c r="F818" s="82"/>
      <c r="G818" s="82"/>
      <c r="H818" s="83" t="str">
        <f aca="false">IF(OR(F818="",G818=""),"",G818-F818)</f>
        <v/>
      </c>
      <c r="I818" s="82"/>
      <c r="J818" s="82"/>
      <c r="K818" s="28"/>
      <c r="L818" s="90" t="str">
        <f aca="false">IF(OR(K818="",N(H818)=0),"",K818/H818)</f>
        <v/>
      </c>
      <c r="M818" s="68"/>
      <c r="N818" s="28"/>
      <c r="O818" s="25"/>
      <c r="P818" s="83" t="str">
        <f aca="false">IF(OR(N818="",N(H818)=0),"",N818/H818)</f>
        <v/>
      </c>
      <c r="Q818" s="25"/>
    </row>
    <row r="819" customFormat="false" ht="15" hidden="false" customHeight="false" outlineLevel="0" collapsed="false">
      <c r="A819" s="69"/>
      <c r="B819" s="68"/>
      <c r="C819" s="76" t="str">
        <f aca="false">IF(B819="","",IFERROR(INDEX(EN_Des,MATCH(B819,EN_Code,0)),"Code inconnu"))</f>
        <v/>
      </c>
      <c r="D819" s="25"/>
      <c r="E819" s="25"/>
      <c r="F819" s="82"/>
      <c r="G819" s="82"/>
      <c r="H819" s="83" t="str">
        <f aca="false">IF(OR(F819="",G819=""),"",G819-F819)</f>
        <v/>
      </c>
      <c r="I819" s="82"/>
      <c r="J819" s="82"/>
      <c r="K819" s="28"/>
      <c r="L819" s="90" t="str">
        <f aca="false">IF(OR(K819="",N(H819)=0),"",K819/H819)</f>
        <v/>
      </c>
      <c r="M819" s="68"/>
      <c r="N819" s="28"/>
      <c r="O819" s="25"/>
      <c r="P819" s="83" t="str">
        <f aca="false">IF(OR(N819="",N(H819)=0),"",N819/H819)</f>
        <v/>
      </c>
      <c r="Q819" s="25"/>
    </row>
    <row r="820" customFormat="false" ht="15" hidden="false" customHeight="false" outlineLevel="0" collapsed="false">
      <c r="A820" s="69"/>
      <c r="B820" s="68"/>
      <c r="C820" s="76" t="str">
        <f aca="false">IF(B820="","",IFERROR(INDEX(EN_Des,MATCH(B820,EN_Code,0)),"Code inconnu"))</f>
        <v/>
      </c>
      <c r="D820" s="25"/>
      <c r="E820" s="25"/>
      <c r="F820" s="82"/>
      <c r="G820" s="82"/>
      <c r="H820" s="83" t="str">
        <f aca="false">IF(OR(F820="",G820=""),"",G820-F820)</f>
        <v/>
      </c>
      <c r="I820" s="82"/>
      <c r="J820" s="82"/>
      <c r="K820" s="28"/>
      <c r="L820" s="90" t="str">
        <f aca="false">IF(OR(K820="",N(H820)=0),"",K820/H820)</f>
        <v/>
      </c>
      <c r="M820" s="68"/>
      <c r="N820" s="28"/>
      <c r="O820" s="25"/>
      <c r="P820" s="83" t="str">
        <f aca="false">IF(OR(N820="",N(H820)=0),"",N820/H820)</f>
        <v/>
      </c>
      <c r="Q820" s="25"/>
    </row>
    <row r="821" customFormat="false" ht="15" hidden="false" customHeight="false" outlineLevel="0" collapsed="false">
      <c r="A821" s="69"/>
      <c r="B821" s="68"/>
      <c r="C821" s="76" t="str">
        <f aca="false">IF(B821="","",IFERROR(INDEX(EN_Des,MATCH(B821,EN_Code,0)),"Code inconnu"))</f>
        <v/>
      </c>
      <c r="D821" s="25"/>
      <c r="E821" s="25"/>
      <c r="F821" s="82"/>
      <c r="G821" s="82"/>
      <c r="H821" s="83" t="str">
        <f aca="false">IF(OR(F821="",G821=""),"",G821-F821)</f>
        <v/>
      </c>
      <c r="I821" s="82"/>
      <c r="J821" s="82"/>
      <c r="K821" s="28"/>
      <c r="L821" s="90" t="str">
        <f aca="false">IF(OR(K821="",N(H821)=0),"",K821/H821)</f>
        <v/>
      </c>
      <c r="M821" s="68"/>
      <c r="N821" s="28"/>
      <c r="O821" s="25"/>
      <c r="P821" s="83" t="str">
        <f aca="false">IF(OR(N821="",N(H821)=0),"",N821/H821)</f>
        <v/>
      </c>
      <c r="Q821" s="25"/>
    </row>
    <row r="822" customFormat="false" ht="15" hidden="false" customHeight="false" outlineLevel="0" collapsed="false">
      <c r="A822" s="69"/>
      <c r="B822" s="68"/>
      <c r="C822" s="76" t="str">
        <f aca="false">IF(B822="","",IFERROR(INDEX(EN_Des,MATCH(B822,EN_Code,0)),"Code inconnu"))</f>
        <v/>
      </c>
      <c r="D822" s="25"/>
      <c r="E822" s="25"/>
      <c r="F822" s="82"/>
      <c r="G822" s="82"/>
      <c r="H822" s="83" t="str">
        <f aca="false">IF(OR(F822="",G822=""),"",G822-F822)</f>
        <v/>
      </c>
      <c r="I822" s="82"/>
      <c r="J822" s="82"/>
      <c r="K822" s="28"/>
      <c r="L822" s="90" t="str">
        <f aca="false">IF(OR(K822="",N(H822)=0),"",K822/H822)</f>
        <v/>
      </c>
      <c r="M822" s="68"/>
      <c r="N822" s="28"/>
      <c r="O822" s="25"/>
      <c r="P822" s="83" t="str">
        <f aca="false">IF(OR(N822="",N(H822)=0),"",N822/H822)</f>
        <v/>
      </c>
      <c r="Q822" s="25"/>
    </row>
    <row r="823" customFormat="false" ht="15" hidden="false" customHeight="false" outlineLevel="0" collapsed="false">
      <c r="A823" s="69"/>
      <c r="B823" s="68"/>
      <c r="C823" s="76" t="str">
        <f aca="false">IF(B823="","",IFERROR(INDEX(EN_Des,MATCH(B823,EN_Code,0)),"Code inconnu"))</f>
        <v/>
      </c>
      <c r="D823" s="25"/>
      <c r="E823" s="25"/>
      <c r="F823" s="82"/>
      <c r="G823" s="82"/>
      <c r="H823" s="83" t="str">
        <f aca="false">IF(OR(F823="",G823=""),"",G823-F823)</f>
        <v/>
      </c>
      <c r="I823" s="82"/>
      <c r="J823" s="82"/>
      <c r="K823" s="28"/>
      <c r="L823" s="90" t="str">
        <f aca="false">IF(OR(K823="",N(H823)=0),"",K823/H823)</f>
        <v/>
      </c>
      <c r="M823" s="68"/>
      <c r="N823" s="28"/>
      <c r="O823" s="25"/>
      <c r="P823" s="83" t="str">
        <f aca="false">IF(OR(N823="",N(H823)=0),"",N823/H823)</f>
        <v/>
      </c>
      <c r="Q823" s="25"/>
    </row>
    <row r="824" customFormat="false" ht="15" hidden="false" customHeight="false" outlineLevel="0" collapsed="false">
      <c r="A824" s="69"/>
      <c r="B824" s="68"/>
      <c r="C824" s="76" t="str">
        <f aca="false">IF(B824="","",IFERROR(INDEX(EN_Des,MATCH(B824,EN_Code,0)),"Code inconnu"))</f>
        <v/>
      </c>
      <c r="D824" s="25"/>
      <c r="E824" s="25"/>
      <c r="F824" s="82"/>
      <c r="G824" s="82"/>
      <c r="H824" s="83" t="str">
        <f aca="false">IF(OR(F824="",G824=""),"",G824-F824)</f>
        <v/>
      </c>
      <c r="I824" s="82"/>
      <c r="J824" s="82"/>
      <c r="K824" s="28"/>
      <c r="L824" s="90" t="str">
        <f aca="false">IF(OR(K824="",N(H824)=0),"",K824/H824)</f>
        <v/>
      </c>
      <c r="M824" s="68"/>
      <c r="N824" s="28"/>
      <c r="O824" s="25"/>
      <c r="P824" s="83" t="str">
        <f aca="false">IF(OR(N824="",N(H824)=0),"",N824/H824)</f>
        <v/>
      </c>
      <c r="Q824" s="25"/>
    </row>
    <row r="825" customFormat="false" ht="15" hidden="false" customHeight="false" outlineLevel="0" collapsed="false">
      <c r="A825" s="69"/>
      <c r="B825" s="68"/>
      <c r="C825" s="76" t="str">
        <f aca="false">IF(B825="","",IFERROR(INDEX(EN_Des,MATCH(B825,EN_Code,0)),"Code inconnu"))</f>
        <v/>
      </c>
      <c r="D825" s="25"/>
      <c r="E825" s="25"/>
      <c r="F825" s="82"/>
      <c r="G825" s="82"/>
      <c r="H825" s="83" t="str">
        <f aca="false">IF(OR(F825="",G825=""),"",G825-F825)</f>
        <v/>
      </c>
      <c r="I825" s="82"/>
      <c r="J825" s="82"/>
      <c r="K825" s="28"/>
      <c r="L825" s="90" t="str">
        <f aca="false">IF(OR(K825="",N(H825)=0),"",K825/H825)</f>
        <v/>
      </c>
      <c r="M825" s="68"/>
      <c r="N825" s="28"/>
      <c r="O825" s="25"/>
      <c r="P825" s="83" t="str">
        <f aca="false">IF(OR(N825="",N(H825)=0),"",N825/H825)</f>
        <v/>
      </c>
      <c r="Q825" s="25"/>
    </row>
    <row r="826" customFormat="false" ht="15" hidden="false" customHeight="false" outlineLevel="0" collapsed="false">
      <c r="A826" s="69"/>
      <c r="B826" s="68"/>
      <c r="C826" s="76" t="str">
        <f aca="false">IF(B826="","",IFERROR(INDEX(EN_Des,MATCH(B826,EN_Code,0)),"Code inconnu"))</f>
        <v/>
      </c>
      <c r="D826" s="25"/>
      <c r="E826" s="25"/>
      <c r="F826" s="82"/>
      <c r="G826" s="82"/>
      <c r="H826" s="83" t="str">
        <f aca="false">IF(OR(F826="",G826=""),"",G826-F826)</f>
        <v/>
      </c>
      <c r="I826" s="82"/>
      <c r="J826" s="82"/>
      <c r="K826" s="28"/>
      <c r="L826" s="90" t="str">
        <f aca="false">IF(OR(K826="",N(H826)=0),"",K826/H826)</f>
        <v/>
      </c>
      <c r="M826" s="68"/>
      <c r="N826" s="28"/>
      <c r="O826" s="25"/>
      <c r="P826" s="83" t="str">
        <f aca="false">IF(OR(N826="",N(H826)=0),"",N826/H826)</f>
        <v/>
      </c>
      <c r="Q826" s="25"/>
    </row>
    <row r="827" customFormat="false" ht="15" hidden="false" customHeight="false" outlineLevel="0" collapsed="false">
      <c r="A827" s="69"/>
      <c r="B827" s="68"/>
      <c r="C827" s="76" t="str">
        <f aca="false">IF(B827="","",IFERROR(INDEX(EN_Des,MATCH(B827,EN_Code,0)),"Code inconnu"))</f>
        <v/>
      </c>
      <c r="D827" s="25"/>
      <c r="E827" s="25"/>
      <c r="F827" s="82"/>
      <c r="G827" s="82"/>
      <c r="H827" s="83" t="str">
        <f aca="false">IF(OR(F827="",G827=""),"",G827-F827)</f>
        <v/>
      </c>
      <c r="I827" s="82"/>
      <c r="J827" s="82"/>
      <c r="K827" s="28"/>
      <c r="L827" s="90" t="str">
        <f aca="false">IF(OR(K827="",N(H827)=0),"",K827/H827)</f>
        <v/>
      </c>
      <c r="M827" s="68"/>
      <c r="N827" s="28"/>
      <c r="O827" s="25"/>
      <c r="P827" s="83" t="str">
        <f aca="false">IF(OR(N827="",N(H827)=0),"",N827/H827)</f>
        <v/>
      </c>
      <c r="Q827" s="25"/>
    </row>
    <row r="828" customFormat="false" ht="15" hidden="false" customHeight="false" outlineLevel="0" collapsed="false">
      <c r="A828" s="69"/>
      <c r="B828" s="68"/>
      <c r="C828" s="76" t="str">
        <f aca="false">IF(B828="","",IFERROR(INDEX(EN_Des,MATCH(B828,EN_Code,0)),"Code inconnu"))</f>
        <v/>
      </c>
      <c r="D828" s="25"/>
      <c r="E828" s="25"/>
      <c r="F828" s="82"/>
      <c r="G828" s="82"/>
      <c r="H828" s="83" t="str">
        <f aca="false">IF(OR(F828="",G828=""),"",G828-F828)</f>
        <v/>
      </c>
      <c r="I828" s="82"/>
      <c r="J828" s="82"/>
      <c r="K828" s="28"/>
      <c r="L828" s="90" t="str">
        <f aca="false">IF(OR(K828="",N(H828)=0),"",K828/H828)</f>
        <v/>
      </c>
      <c r="M828" s="68"/>
      <c r="N828" s="28"/>
      <c r="O828" s="25"/>
      <c r="P828" s="83" t="str">
        <f aca="false">IF(OR(N828="",N(H828)=0),"",N828/H828)</f>
        <v/>
      </c>
      <c r="Q828" s="25"/>
    </row>
    <row r="829" customFormat="false" ht="15" hidden="false" customHeight="false" outlineLevel="0" collapsed="false">
      <c r="A829" s="69"/>
      <c r="B829" s="68"/>
      <c r="C829" s="76" t="str">
        <f aca="false">IF(B829="","",IFERROR(INDEX(EN_Des,MATCH(B829,EN_Code,0)),"Code inconnu"))</f>
        <v/>
      </c>
      <c r="D829" s="25"/>
      <c r="E829" s="25"/>
      <c r="F829" s="82"/>
      <c r="G829" s="82"/>
      <c r="H829" s="83" t="str">
        <f aca="false">IF(OR(F829="",G829=""),"",G829-F829)</f>
        <v/>
      </c>
      <c r="I829" s="82"/>
      <c r="J829" s="82"/>
      <c r="K829" s="28"/>
      <c r="L829" s="90" t="str">
        <f aca="false">IF(OR(K829="",N(H829)=0),"",K829/H829)</f>
        <v/>
      </c>
      <c r="M829" s="68"/>
      <c r="N829" s="28"/>
      <c r="O829" s="25"/>
      <c r="P829" s="83" t="str">
        <f aca="false">IF(OR(N829="",N(H829)=0),"",N829/H829)</f>
        <v/>
      </c>
      <c r="Q829" s="25"/>
    </row>
    <row r="830" customFormat="false" ht="15" hidden="false" customHeight="false" outlineLevel="0" collapsed="false">
      <c r="A830" s="69"/>
      <c r="B830" s="68"/>
      <c r="C830" s="76" t="str">
        <f aca="false">IF(B830="","",IFERROR(INDEX(EN_Des,MATCH(B830,EN_Code,0)),"Code inconnu"))</f>
        <v/>
      </c>
      <c r="D830" s="25"/>
      <c r="E830" s="25"/>
      <c r="F830" s="82"/>
      <c r="G830" s="82"/>
      <c r="H830" s="83" t="str">
        <f aca="false">IF(OR(F830="",G830=""),"",G830-F830)</f>
        <v/>
      </c>
      <c r="I830" s="82"/>
      <c r="J830" s="82"/>
      <c r="K830" s="28"/>
      <c r="L830" s="90" t="str">
        <f aca="false">IF(OR(K830="",N(H830)=0),"",K830/H830)</f>
        <v/>
      </c>
      <c r="M830" s="68"/>
      <c r="N830" s="28"/>
      <c r="O830" s="25"/>
      <c r="P830" s="83" t="str">
        <f aca="false">IF(OR(N830="",N(H830)=0),"",N830/H830)</f>
        <v/>
      </c>
      <c r="Q830" s="25"/>
    </row>
    <row r="831" customFormat="false" ht="15" hidden="false" customHeight="false" outlineLevel="0" collapsed="false">
      <c r="A831" s="69"/>
      <c r="B831" s="68"/>
      <c r="C831" s="76" t="str">
        <f aca="false">IF(B831="","",IFERROR(INDEX(EN_Des,MATCH(B831,EN_Code,0)),"Code inconnu"))</f>
        <v/>
      </c>
      <c r="D831" s="25"/>
      <c r="E831" s="25"/>
      <c r="F831" s="82"/>
      <c r="G831" s="82"/>
      <c r="H831" s="83" t="str">
        <f aca="false">IF(OR(F831="",G831=""),"",G831-F831)</f>
        <v/>
      </c>
      <c r="I831" s="82"/>
      <c r="J831" s="82"/>
      <c r="K831" s="28"/>
      <c r="L831" s="90" t="str">
        <f aca="false">IF(OR(K831="",N(H831)=0),"",K831/H831)</f>
        <v/>
      </c>
      <c r="M831" s="68"/>
      <c r="N831" s="28"/>
      <c r="O831" s="25"/>
      <c r="P831" s="83" t="str">
        <f aca="false">IF(OR(N831="",N(H831)=0),"",N831/H831)</f>
        <v/>
      </c>
      <c r="Q831" s="25"/>
    </row>
    <row r="832" customFormat="false" ht="15" hidden="false" customHeight="false" outlineLevel="0" collapsed="false">
      <c r="A832" s="69"/>
      <c r="B832" s="68"/>
      <c r="C832" s="76" t="str">
        <f aca="false">IF(B832="","",IFERROR(INDEX(EN_Des,MATCH(B832,EN_Code,0)),"Code inconnu"))</f>
        <v/>
      </c>
      <c r="D832" s="25"/>
      <c r="E832" s="25"/>
      <c r="F832" s="82"/>
      <c r="G832" s="82"/>
      <c r="H832" s="83" t="str">
        <f aca="false">IF(OR(F832="",G832=""),"",G832-F832)</f>
        <v/>
      </c>
      <c r="I832" s="82"/>
      <c r="J832" s="82"/>
      <c r="K832" s="28"/>
      <c r="L832" s="90" t="str">
        <f aca="false">IF(OR(K832="",N(H832)=0),"",K832/H832)</f>
        <v/>
      </c>
      <c r="M832" s="68"/>
      <c r="N832" s="28"/>
      <c r="O832" s="25"/>
      <c r="P832" s="83" t="str">
        <f aca="false">IF(OR(N832="",N(H832)=0),"",N832/H832)</f>
        <v/>
      </c>
      <c r="Q832" s="25"/>
    </row>
    <row r="833" customFormat="false" ht="15" hidden="false" customHeight="false" outlineLevel="0" collapsed="false">
      <c r="A833" s="69"/>
      <c r="B833" s="68"/>
      <c r="C833" s="76" t="str">
        <f aca="false">IF(B833="","",IFERROR(INDEX(EN_Des,MATCH(B833,EN_Code,0)),"Code inconnu"))</f>
        <v/>
      </c>
      <c r="D833" s="25"/>
      <c r="E833" s="25"/>
      <c r="F833" s="82"/>
      <c r="G833" s="82"/>
      <c r="H833" s="83" t="str">
        <f aca="false">IF(OR(F833="",G833=""),"",G833-F833)</f>
        <v/>
      </c>
      <c r="I833" s="82"/>
      <c r="J833" s="82"/>
      <c r="K833" s="28"/>
      <c r="L833" s="90" t="str">
        <f aca="false">IF(OR(K833="",N(H833)=0),"",K833/H833)</f>
        <v/>
      </c>
      <c r="M833" s="68"/>
      <c r="N833" s="28"/>
      <c r="O833" s="25"/>
      <c r="P833" s="83" t="str">
        <f aca="false">IF(OR(N833="",N(H833)=0),"",N833/H833)</f>
        <v/>
      </c>
      <c r="Q833" s="25"/>
    </row>
    <row r="834" customFormat="false" ht="15" hidden="false" customHeight="false" outlineLevel="0" collapsed="false">
      <c r="A834" s="69"/>
      <c r="B834" s="68"/>
      <c r="C834" s="76" t="str">
        <f aca="false">IF(B834="","",IFERROR(INDEX(EN_Des,MATCH(B834,EN_Code,0)),"Code inconnu"))</f>
        <v/>
      </c>
      <c r="D834" s="25"/>
      <c r="E834" s="25"/>
      <c r="F834" s="82"/>
      <c r="G834" s="82"/>
      <c r="H834" s="83" t="str">
        <f aca="false">IF(OR(F834="",G834=""),"",G834-F834)</f>
        <v/>
      </c>
      <c r="I834" s="82"/>
      <c r="J834" s="82"/>
      <c r="K834" s="28"/>
      <c r="L834" s="90" t="str">
        <f aca="false">IF(OR(K834="",N(H834)=0),"",K834/H834)</f>
        <v/>
      </c>
      <c r="M834" s="68"/>
      <c r="N834" s="28"/>
      <c r="O834" s="25"/>
      <c r="P834" s="83" t="str">
        <f aca="false">IF(OR(N834="",N(H834)=0),"",N834/H834)</f>
        <v/>
      </c>
      <c r="Q834" s="25"/>
    </row>
    <row r="835" customFormat="false" ht="15" hidden="false" customHeight="false" outlineLevel="0" collapsed="false">
      <c r="A835" s="69"/>
      <c r="B835" s="68"/>
      <c r="C835" s="76" t="str">
        <f aca="false">IF(B835="","",IFERROR(INDEX(EN_Des,MATCH(B835,EN_Code,0)),"Code inconnu"))</f>
        <v/>
      </c>
      <c r="D835" s="25"/>
      <c r="E835" s="25"/>
      <c r="F835" s="82"/>
      <c r="G835" s="82"/>
      <c r="H835" s="83" t="str">
        <f aca="false">IF(OR(F835="",G835=""),"",G835-F835)</f>
        <v/>
      </c>
      <c r="I835" s="82"/>
      <c r="J835" s="82"/>
      <c r="K835" s="28"/>
      <c r="L835" s="90" t="str">
        <f aca="false">IF(OR(K835="",N(H835)=0),"",K835/H835)</f>
        <v/>
      </c>
      <c r="M835" s="68"/>
      <c r="N835" s="28"/>
      <c r="O835" s="25"/>
      <c r="P835" s="83" t="str">
        <f aca="false">IF(OR(N835="",N(H835)=0),"",N835/H835)</f>
        <v/>
      </c>
      <c r="Q835" s="25"/>
    </row>
    <row r="836" customFormat="false" ht="15" hidden="false" customHeight="false" outlineLevel="0" collapsed="false">
      <c r="A836" s="69"/>
      <c r="B836" s="68"/>
      <c r="C836" s="76" t="str">
        <f aca="false">IF(B836="","",IFERROR(INDEX(EN_Des,MATCH(B836,EN_Code,0)),"Code inconnu"))</f>
        <v/>
      </c>
      <c r="D836" s="25"/>
      <c r="E836" s="25"/>
      <c r="F836" s="82"/>
      <c r="G836" s="82"/>
      <c r="H836" s="83" t="str">
        <f aca="false">IF(OR(F836="",G836=""),"",G836-F836)</f>
        <v/>
      </c>
      <c r="I836" s="82"/>
      <c r="J836" s="82"/>
      <c r="K836" s="28"/>
      <c r="L836" s="90" t="str">
        <f aca="false">IF(OR(K836="",N(H836)=0),"",K836/H836)</f>
        <v/>
      </c>
      <c r="M836" s="68"/>
      <c r="N836" s="28"/>
      <c r="O836" s="25"/>
      <c r="P836" s="83" t="str">
        <f aca="false">IF(OR(N836="",N(H836)=0),"",N836/H836)</f>
        <v/>
      </c>
      <c r="Q836" s="25"/>
    </row>
    <row r="837" customFormat="false" ht="15" hidden="false" customHeight="false" outlineLevel="0" collapsed="false">
      <c r="A837" s="69"/>
      <c r="B837" s="68"/>
      <c r="C837" s="76" t="str">
        <f aca="false">IF(B837="","",IFERROR(INDEX(EN_Des,MATCH(B837,EN_Code,0)),"Code inconnu"))</f>
        <v/>
      </c>
      <c r="D837" s="25"/>
      <c r="E837" s="25"/>
      <c r="F837" s="82"/>
      <c r="G837" s="82"/>
      <c r="H837" s="83" t="str">
        <f aca="false">IF(OR(F837="",G837=""),"",G837-F837)</f>
        <v/>
      </c>
      <c r="I837" s="82"/>
      <c r="J837" s="82"/>
      <c r="K837" s="28"/>
      <c r="L837" s="90" t="str">
        <f aca="false">IF(OR(K837="",N(H837)=0),"",K837/H837)</f>
        <v/>
      </c>
      <c r="M837" s="68"/>
      <c r="N837" s="28"/>
      <c r="O837" s="25"/>
      <c r="P837" s="83" t="str">
        <f aca="false">IF(OR(N837="",N(H837)=0),"",N837/H837)</f>
        <v/>
      </c>
      <c r="Q837" s="25"/>
    </row>
    <row r="838" customFormat="false" ht="15" hidden="false" customHeight="false" outlineLevel="0" collapsed="false">
      <c r="A838" s="69"/>
      <c r="B838" s="68"/>
      <c r="C838" s="76" t="str">
        <f aca="false">IF(B838="","",IFERROR(INDEX(EN_Des,MATCH(B838,EN_Code,0)),"Code inconnu"))</f>
        <v/>
      </c>
      <c r="D838" s="25"/>
      <c r="E838" s="25"/>
      <c r="F838" s="82"/>
      <c r="G838" s="82"/>
      <c r="H838" s="83" t="str">
        <f aca="false">IF(OR(F838="",G838=""),"",G838-F838)</f>
        <v/>
      </c>
      <c r="I838" s="82"/>
      <c r="J838" s="82"/>
      <c r="K838" s="28"/>
      <c r="L838" s="90" t="str">
        <f aca="false">IF(OR(K838="",N(H838)=0),"",K838/H838)</f>
        <v/>
      </c>
      <c r="M838" s="68"/>
      <c r="N838" s="28"/>
      <c r="O838" s="25"/>
      <c r="P838" s="83" t="str">
        <f aca="false">IF(OR(N838="",N(H838)=0),"",N838/H838)</f>
        <v/>
      </c>
      <c r="Q838" s="25"/>
    </row>
    <row r="839" customFormat="false" ht="15" hidden="false" customHeight="false" outlineLevel="0" collapsed="false">
      <c r="A839" s="69"/>
      <c r="B839" s="68"/>
      <c r="C839" s="76" t="str">
        <f aca="false">IF(B839="","",IFERROR(INDEX(EN_Des,MATCH(B839,EN_Code,0)),"Code inconnu"))</f>
        <v/>
      </c>
      <c r="D839" s="25"/>
      <c r="E839" s="25"/>
      <c r="F839" s="82"/>
      <c r="G839" s="82"/>
      <c r="H839" s="83" t="str">
        <f aca="false">IF(OR(F839="",G839=""),"",G839-F839)</f>
        <v/>
      </c>
      <c r="I839" s="82"/>
      <c r="J839" s="82"/>
      <c r="K839" s="28"/>
      <c r="L839" s="90" t="str">
        <f aca="false">IF(OR(K839="",N(H839)=0),"",K839/H839)</f>
        <v/>
      </c>
      <c r="M839" s="68"/>
      <c r="N839" s="28"/>
      <c r="O839" s="25"/>
      <c r="P839" s="83" t="str">
        <f aca="false">IF(OR(N839="",N(H839)=0),"",N839/H839)</f>
        <v/>
      </c>
      <c r="Q839" s="25"/>
    </row>
    <row r="840" customFormat="false" ht="15" hidden="false" customHeight="false" outlineLevel="0" collapsed="false">
      <c r="A840" s="69"/>
      <c r="B840" s="68"/>
      <c r="C840" s="76" t="str">
        <f aca="false">IF(B840="","",IFERROR(INDEX(EN_Des,MATCH(B840,EN_Code,0)),"Code inconnu"))</f>
        <v/>
      </c>
      <c r="D840" s="25"/>
      <c r="E840" s="25"/>
      <c r="F840" s="82"/>
      <c r="G840" s="82"/>
      <c r="H840" s="83" t="str">
        <f aca="false">IF(OR(F840="",G840=""),"",G840-F840)</f>
        <v/>
      </c>
      <c r="I840" s="82"/>
      <c r="J840" s="82"/>
      <c r="K840" s="28"/>
      <c r="L840" s="90" t="str">
        <f aca="false">IF(OR(K840="",N(H840)=0),"",K840/H840)</f>
        <v/>
      </c>
      <c r="M840" s="68"/>
      <c r="N840" s="28"/>
      <c r="O840" s="25"/>
      <c r="P840" s="83" t="str">
        <f aca="false">IF(OR(N840="",N(H840)=0),"",N840/H840)</f>
        <v/>
      </c>
      <c r="Q840" s="25"/>
    </row>
    <row r="841" customFormat="false" ht="15" hidden="false" customHeight="false" outlineLevel="0" collapsed="false">
      <c r="A841" s="69"/>
      <c r="B841" s="68"/>
      <c r="C841" s="76" t="str">
        <f aca="false">IF(B841="","",IFERROR(INDEX(EN_Des,MATCH(B841,EN_Code,0)),"Code inconnu"))</f>
        <v/>
      </c>
      <c r="D841" s="25"/>
      <c r="E841" s="25"/>
      <c r="F841" s="82"/>
      <c r="G841" s="82"/>
      <c r="H841" s="83" t="str">
        <f aca="false">IF(OR(F841="",G841=""),"",G841-F841)</f>
        <v/>
      </c>
      <c r="I841" s="82"/>
      <c r="J841" s="82"/>
      <c r="K841" s="28"/>
      <c r="L841" s="90" t="str">
        <f aca="false">IF(OR(K841="",N(H841)=0),"",K841/H841)</f>
        <v/>
      </c>
      <c r="M841" s="68"/>
      <c r="N841" s="28"/>
      <c r="O841" s="25"/>
      <c r="P841" s="83" t="str">
        <f aca="false">IF(OR(N841="",N(H841)=0),"",N841/H841)</f>
        <v/>
      </c>
      <c r="Q841" s="25"/>
    </row>
    <row r="842" customFormat="false" ht="15" hidden="false" customHeight="false" outlineLevel="0" collapsed="false">
      <c r="A842" s="69"/>
      <c r="B842" s="68"/>
      <c r="C842" s="76" t="str">
        <f aca="false">IF(B842="","",IFERROR(INDEX(EN_Des,MATCH(B842,EN_Code,0)),"Code inconnu"))</f>
        <v/>
      </c>
      <c r="D842" s="25"/>
      <c r="E842" s="25"/>
      <c r="F842" s="82"/>
      <c r="G842" s="82"/>
      <c r="H842" s="83" t="str">
        <f aca="false">IF(OR(F842="",G842=""),"",G842-F842)</f>
        <v/>
      </c>
      <c r="I842" s="82"/>
      <c r="J842" s="82"/>
      <c r="K842" s="28"/>
      <c r="L842" s="90" t="str">
        <f aca="false">IF(OR(K842="",N(H842)=0),"",K842/H842)</f>
        <v/>
      </c>
      <c r="M842" s="68"/>
      <c r="N842" s="28"/>
      <c r="O842" s="25"/>
      <c r="P842" s="83" t="str">
        <f aca="false">IF(OR(N842="",N(H842)=0),"",N842/H842)</f>
        <v/>
      </c>
      <c r="Q842" s="25"/>
    </row>
    <row r="843" customFormat="false" ht="15" hidden="false" customHeight="false" outlineLevel="0" collapsed="false">
      <c r="A843" s="69"/>
      <c r="B843" s="68"/>
      <c r="C843" s="76" t="str">
        <f aca="false">IF(B843="","",IFERROR(INDEX(EN_Des,MATCH(B843,EN_Code,0)),"Code inconnu"))</f>
        <v/>
      </c>
      <c r="D843" s="25"/>
      <c r="E843" s="25"/>
      <c r="F843" s="82"/>
      <c r="G843" s="82"/>
      <c r="H843" s="83" t="str">
        <f aca="false">IF(OR(F843="",G843=""),"",G843-F843)</f>
        <v/>
      </c>
      <c r="I843" s="82"/>
      <c r="J843" s="82"/>
      <c r="K843" s="28"/>
      <c r="L843" s="90" t="str">
        <f aca="false">IF(OR(K843="",N(H843)=0),"",K843/H843)</f>
        <v/>
      </c>
      <c r="M843" s="68"/>
      <c r="N843" s="28"/>
      <c r="O843" s="25"/>
      <c r="P843" s="83" t="str">
        <f aca="false">IF(OR(N843="",N(H843)=0),"",N843/H843)</f>
        <v/>
      </c>
      <c r="Q843" s="25"/>
    </row>
    <row r="844" customFormat="false" ht="15" hidden="false" customHeight="false" outlineLevel="0" collapsed="false">
      <c r="A844" s="69"/>
      <c r="B844" s="68"/>
      <c r="C844" s="76" t="str">
        <f aca="false">IF(B844="","",IFERROR(INDEX(EN_Des,MATCH(B844,EN_Code,0)),"Code inconnu"))</f>
        <v/>
      </c>
      <c r="D844" s="25"/>
      <c r="E844" s="25"/>
      <c r="F844" s="82"/>
      <c r="G844" s="82"/>
      <c r="H844" s="83" t="str">
        <f aca="false">IF(OR(F844="",G844=""),"",G844-F844)</f>
        <v/>
      </c>
      <c r="I844" s="82"/>
      <c r="J844" s="82"/>
      <c r="K844" s="28"/>
      <c r="L844" s="90" t="str">
        <f aca="false">IF(OR(K844="",N(H844)=0),"",K844/H844)</f>
        <v/>
      </c>
      <c r="M844" s="68"/>
      <c r="N844" s="28"/>
      <c r="O844" s="25"/>
      <c r="P844" s="83" t="str">
        <f aca="false">IF(OR(N844="",N(H844)=0),"",N844/H844)</f>
        <v/>
      </c>
      <c r="Q844" s="25"/>
    </row>
    <row r="845" customFormat="false" ht="15" hidden="false" customHeight="false" outlineLevel="0" collapsed="false">
      <c r="A845" s="69"/>
      <c r="B845" s="68"/>
      <c r="C845" s="76" t="str">
        <f aca="false">IF(B845="","",IFERROR(INDEX(EN_Des,MATCH(B845,EN_Code,0)),"Code inconnu"))</f>
        <v/>
      </c>
      <c r="D845" s="25"/>
      <c r="E845" s="25"/>
      <c r="F845" s="82"/>
      <c r="G845" s="82"/>
      <c r="H845" s="83" t="str">
        <f aca="false">IF(OR(F845="",G845=""),"",G845-F845)</f>
        <v/>
      </c>
      <c r="I845" s="82"/>
      <c r="J845" s="82"/>
      <c r="K845" s="28"/>
      <c r="L845" s="90" t="str">
        <f aca="false">IF(OR(K845="",N(H845)=0),"",K845/H845)</f>
        <v/>
      </c>
      <c r="M845" s="68"/>
      <c r="N845" s="28"/>
      <c r="O845" s="25"/>
      <c r="P845" s="83" t="str">
        <f aca="false">IF(OR(N845="",N(H845)=0),"",N845/H845)</f>
        <v/>
      </c>
      <c r="Q845" s="25"/>
    </row>
    <row r="846" customFormat="false" ht="15" hidden="false" customHeight="false" outlineLevel="0" collapsed="false">
      <c r="A846" s="69"/>
      <c r="B846" s="68"/>
      <c r="C846" s="76" t="str">
        <f aca="false">IF(B846="","",IFERROR(INDEX(EN_Des,MATCH(B846,EN_Code,0)),"Code inconnu"))</f>
        <v/>
      </c>
      <c r="D846" s="25"/>
      <c r="E846" s="25"/>
      <c r="F846" s="82"/>
      <c r="G846" s="82"/>
      <c r="H846" s="83" t="str">
        <f aca="false">IF(OR(F846="",G846=""),"",G846-F846)</f>
        <v/>
      </c>
      <c r="I846" s="82"/>
      <c r="J846" s="82"/>
      <c r="K846" s="28"/>
      <c r="L846" s="90" t="str">
        <f aca="false">IF(OR(K846="",N(H846)=0),"",K846/H846)</f>
        <v/>
      </c>
      <c r="M846" s="68"/>
      <c r="N846" s="28"/>
      <c r="O846" s="25"/>
      <c r="P846" s="83" t="str">
        <f aca="false">IF(OR(N846="",N(H846)=0),"",N846/H846)</f>
        <v/>
      </c>
      <c r="Q846" s="25"/>
    </row>
    <row r="847" customFormat="false" ht="15" hidden="false" customHeight="false" outlineLevel="0" collapsed="false">
      <c r="A847" s="69"/>
      <c r="B847" s="68"/>
      <c r="C847" s="76" t="str">
        <f aca="false">IF(B847="","",IFERROR(INDEX(EN_Des,MATCH(B847,EN_Code,0)),"Code inconnu"))</f>
        <v/>
      </c>
      <c r="D847" s="25"/>
      <c r="E847" s="25"/>
      <c r="F847" s="82"/>
      <c r="G847" s="82"/>
      <c r="H847" s="83" t="str">
        <f aca="false">IF(OR(F847="",G847=""),"",G847-F847)</f>
        <v/>
      </c>
      <c r="I847" s="82"/>
      <c r="J847" s="82"/>
      <c r="K847" s="28"/>
      <c r="L847" s="90" t="str">
        <f aca="false">IF(OR(K847="",N(H847)=0),"",K847/H847)</f>
        <v/>
      </c>
      <c r="M847" s="68"/>
      <c r="N847" s="28"/>
      <c r="O847" s="25"/>
      <c r="P847" s="83" t="str">
        <f aca="false">IF(OR(N847="",N(H847)=0),"",N847/H847)</f>
        <v/>
      </c>
      <c r="Q847" s="25"/>
    </row>
    <row r="848" customFormat="false" ht="15" hidden="false" customHeight="false" outlineLevel="0" collapsed="false">
      <c r="A848" s="69"/>
      <c r="B848" s="68"/>
      <c r="C848" s="76" t="str">
        <f aca="false">IF(B848="","",IFERROR(INDEX(EN_Des,MATCH(B848,EN_Code,0)),"Code inconnu"))</f>
        <v/>
      </c>
      <c r="D848" s="25"/>
      <c r="E848" s="25"/>
      <c r="F848" s="82"/>
      <c r="G848" s="82"/>
      <c r="H848" s="83" t="str">
        <f aca="false">IF(OR(F848="",G848=""),"",G848-F848)</f>
        <v/>
      </c>
      <c r="I848" s="82"/>
      <c r="J848" s="82"/>
      <c r="K848" s="28"/>
      <c r="L848" s="90" t="str">
        <f aca="false">IF(OR(K848="",N(H848)=0),"",K848/H848)</f>
        <v/>
      </c>
      <c r="M848" s="68"/>
      <c r="N848" s="28"/>
      <c r="O848" s="25"/>
      <c r="P848" s="83" t="str">
        <f aca="false">IF(OR(N848="",N(H848)=0),"",N848/H848)</f>
        <v/>
      </c>
      <c r="Q848" s="25"/>
    </row>
    <row r="849" customFormat="false" ht="15" hidden="false" customHeight="false" outlineLevel="0" collapsed="false">
      <c r="A849" s="69"/>
      <c r="B849" s="68"/>
      <c r="C849" s="76" t="str">
        <f aca="false">IF(B849="","",IFERROR(INDEX(EN_Des,MATCH(B849,EN_Code,0)),"Code inconnu"))</f>
        <v/>
      </c>
      <c r="D849" s="25"/>
      <c r="E849" s="25"/>
      <c r="F849" s="82"/>
      <c r="G849" s="82"/>
      <c r="H849" s="83" t="str">
        <f aca="false">IF(OR(F849="",G849=""),"",G849-F849)</f>
        <v/>
      </c>
      <c r="I849" s="82"/>
      <c r="J849" s="82"/>
      <c r="K849" s="28"/>
      <c r="L849" s="90" t="str">
        <f aca="false">IF(OR(K849="",N(H849)=0),"",K849/H849)</f>
        <v/>
      </c>
      <c r="M849" s="68"/>
      <c r="N849" s="28"/>
      <c r="O849" s="25"/>
      <c r="P849" s="83" t="str">
        <f aca="false">IF(OR(N849="",N(H849)=0),"",N849/H849)</f>
        <v/>
      </c>
      <c r="Q849" s="25"/>
    </row>
    <row r="850" customFormat="false" ht="15" hidden="false" customHeight="false" outlineLevel="0" collapsed="false">
      <c r="A850" s="69"/>
      <c r="B850" s="68"/>
      <c r="C850" s="76" t="str">
        <f aca="false">IF(B850="","",IFERROR(INDEX(EN_Des,MATCH(B850,EN_Code,0)),"Code inconnu"))</f>
        <v/>
      </c>
      <c r="D850" s="25"/>
      <c r="E850" s="25"/>
      <c r="F850" s="82"/>
      <c r="G850" s="82"/>
      <c r="H850" s="83" t="str">
        <f aca="false">IF(OR(F850="",G850=""),"",G850-F850)</f>
        <v/>
      </c>
      <c r="I850" s="82"/>
      <c r="J850" s="82"/>
      <c r="K850" s="28"/>
      <c r="L850" s="90" t="str">
        <f aca="false">IF(OR(K850="",N(H850)=0),"",K850/H850)</f>
        <v/>
      </c>
      <c r="M850" s="68"/>
      <c r="N850" s="28"/>
      <c r="O850" s="25"/>
      <c r="P850" s="83" t="str">
        <f aca="false">IF(OR(N850="",N(H850)=0),"",N850/H850)</f>
        <v/>
      </c>
      <c r="Q850" s="25"/>
    </row>
    <row r="851" customFormat="false" ht="15" hidden="false" customHeight="false" outlineLevel="0" collapsed="false">
      <c r="A851" s="69"/>
      <c r="B851" s="68"/>
      <c r="C851" s="76" t="str">
        <f aca="false">IF(B851="","",IFERROR(INDEX(EN_Des,MATCH(B851,EN_Code,0)),"Code inconnu"))</f>
        <v/>
      </c>
      <c r="D851" s="25"/>
      <c r="E851" s="25"/>
      <c r="F851" s="82"/>
      <c r="G851" s="82"/>
      <c r="H851" s="83" t="str">
        <f aca="false">IF(OR(F851="",G851=""),"",G851-F851)</f>
        <v/>
      </c>
      <c r="I851" s="82"/>
      <c r="J851" s="82"/>
      <c r="K851" s="28"/>
      <c r="L851" s="90" t="str">
        <f aca="false">IF(OR(K851="",N(H851)=0),"",K851/H851)</f>
        <v/>
      </c>
      <c r="M851" s="68"/>
      <c r="N851" s="28"/>
      <c r="O851" s="25"/>
      <c r="P851" s="83" t="str">
        <f aca="false">IF(OR(N851="",N(H851)=0),"",N851/H851)</f>
        <v/>
      </c>
      <c r="Q851" s="25"/>
    </row>
    <row r="852" customFormat="false" ht="15" hidden="false" customHeight="false" outlineLevel="0" collapsed="false">
      <c r="A852" s="69"/>
      <c r="B852" s="68"/>
      <c r="C852" s="76" t="str">
        <f aca="false">IF(B852="","",IFERROR(INDEX(EN_Des,MATCH(B852,EN_Code,0)),"Code inconnu"))</f>
        <v/>
      </c>
      <c r="D852" s="25"/>
      <c r="E852" s="25"/>
      <c r="F852" s="82"/>
      <c r="G852" s="82"/>
      <c r="H852" s="83" t="str">
        <f aca="false">IF(OR(F852="",G852=""),"",G852-F852)</f>
        <v/>
      </c>
      <c r="I852" s="82"/>
      <c r="J852" s="82"/>
      <c r="K852" s="28"/>
      <c r="L852" s="90" t="str">
        <f aca="false">IF(OR(K852="",N(H852)=0),"",K852/H852)</f>
        <v/>
      </c>
      <c r="M852" s="68"/>
      <c r="N852" s="28"/>
      <c r="O852" s="25"/>
      <c r="P852" s="83" t="str">
        <f aca="false">IF(OR(N852="",N(H852)=0),"",N852/H852)</f>
        <v/>
      </c>
      <c r="Q852" s="25"/>
    </row>
    <row r="853" customFormat="false" ht="15" hidden="false" customHeight="false" outlineLevel="0" collapsed="false">
      <c r="A853" s="69"/>
      <c r="B853" s="68"/>
      <c r="C853" s="76" t="str">
        <f aca="false">IF(B853="","",IFERROR(INDEX(EN_Des,MATCH(B853,EN_Code,0)),"Code inconnu"))</f>
        <v/>
      </c>
      <c r="D853" s="25"/>
      <c r="E853" s="25"/>
      <c r="F853" s="82"/>
      <c r="G853" s="82"/>
      <c r="H853" s="83" t="str">
        <f aca="false">IF(OR(F853="",G853=""),"",G853-F853)</f>
        <v/>
      </c>
      <c r="I853" s="82"/>
      <c r="J853" s="82"/>
      <c r="K853" s="28"/>
      <c r="L853" s="90" t="str">
        <f aca="false">IF(OR(K853="",N(H853)=0),"",K853/H853)</f>
        <v/>
      </c>
      <c r="M853" s="68"/>
      <c r="N853" s="28"/>
      <c r="O853" s="25"/>
      <c r="P853" s="83" t="str">
        <f aca="false">IF(OR(N853="",N(H853)=0),"",N853/H853)</f>
        <v/>
      </c>
      <c r="Q853" s="25"/>
    </row>
    <row r="854" customFormat="false" ht="15" hidden="false" customHeight="false" outlineLevel="0" collapsed="false">
      <c r="A854" s="69"/>
      <c r="B854" s="68"/>
      <c r="C854" s="76" t="str">
        <f aca="false">IF(B854="","",IFERROR(INDEX(EN_Des,MATCH(B854,EN_Code,0)),"Code inconnu"))</f>
        <v/>
      </c>
      <c r="D854" s="25"/>
      <c r="E854" s="25"/>
      <c r="F854" s="82"/>
      <c r="G854" s="82"/>
      <c r="H854" s="83" t="str">
        <f aca="false">IF(OR(F854="",G854=""),"",G854-F854)</f>
        <v/>
      </c>
      <c r="I854" s="82"/>
      <c r="J854" s="82"/>
      <c r="K854" s="28"/>
      <c r="L854" s="90" t="str">
        <f aca="false">IF(OR(K854="",N(H854)=0),"",K854/H854)</f>
        <v/>
      </c>
      <c r="M854" s="68"/>
      <c r="N854" s="28"/>
      <c r="O854" s="25"/>
      <c r="P854" s="83" t="str">
        <f aca="false">IF(OR(N854="",N(H854)=0),"",N854/H854)</f>
        <v/>
      </c>
      <c r="Q854" s="25"/>
    </row>
    <row r="855" customFormat="false" ht="15" hidden="false" customHeight="false" outlineLevel="0" collapsed="false">
      <c r="A855" s="69"/>
      <c r="B855" s="68"/>
      <c r="C855" s="76" t="str">
        <f aca="false">IF(B855="","",IFERROR(INDEX(EN_Des,MATCH(B855,EN_Code,0)),"Code inconnu"))</f>
        <v/>
      </c>
      <c r="D855" s="25"/>
      <c r="E855" s="25"/>
      <c r="F855" s="82"/>
      <c r="G855" s="82"/>
      <c r="H855" s="83" t="str">
        <f aca="false">IF(OR(F855="",G855=""),"",G855-F855)</f>
        <v/>
      </c>
      <c r="I855" s="82"/>
      <c r="J855" s="82"/>
      <c r="K855" s="28"/>
      <c r="L855" s="90" t="str">
        <f aca="false">IF(OR(K855="",N(H855)=0),"",K855/H855)</f>
        <v/>
      </c>
      <c r="M855" s="68"/>
      <c r="N855" s="28"/>
      <c r="O855" s="25"/>
      <c r="P855" s="83" t="str">
        <f aca="false">IF(OR(N855="",N(H855)=0),"",N855/H855)</f>
        <v/>
      </c>
      <c r="Q855" s="25"/>
    </row>
    <row r="856" customFormat="false" ht="15" hidden="false" customHeight="false" outlineLevel="0" collapsed="false">
      <c r="A856" s="69"/>
      <c r="B856" s="68"/>
      <c r="C856" s="76" t="str">
        <f aca="false">IF(B856="","",IFERROR(INDEX(EN_Des,MATCH(B856,EN_Code,0)),"Code inconnu"))</f>
        <v/>
      </c>
      <c r="D856" s="25"/>
      <c r="E856" s="25"/>
      <c r="F856" s="82"/>
      <c r="G856" s="82"/>
      <c r="H856" s="83" t="str">
        <f aca="false">IF(OR(F856="",G856=""),"",G856-F856)</f>
        <v/>
      </c>
      <c r="I856" s="82"/>
      <c r="J856" s="82"/>
      <c r="K856" s="28"/>
      <c r="L856" s="90" t="str">
        <f aca="false">IF(OR(K856="",N(H856)=0),"",K856/H856)</f>
        <v/>
      </c>
      <c r="M856" s="68"/>
      <c r="N856" s="28"/>
      <c r="O856" s="25"/>
      <c r="P856" s="83" t="str">
        <f aca="false">IF(OR(N856="",N(H856)=0),"",N856/H856)</f>
        <v/>
      </c>
      <c r="Q856" s="25"/>
    </row>
    <row r="857" customFormat="false" ht="15" hidden="false" customHeight="false" outlineLevel="0" collapsed="false">
      <c r="A857" s="69"/>
      <c r="B857" s="68"/>
      <c r="C857" s="76" t="str">
        <f aca="false">IF(B857="","",IFERROR(INDEX(EN_Des,MATCH(B857,EN_Code,0)),"Code inconnu"))</f>
        <v/>
      </c>
      <c r="D857" s="25"/>
      <c r="E857" s="25"/>
      <c r="F857" s="82"/>
      <c r="G857" s="82"/>
      <c r="H857" s="83" t="str">
        <f aca="false">IF(OR(F857="",G857=""),"",G857-F857)</f>
        <v/>
      </c>
      <c r="I857" s="82"/>
      <c r="J857" s="82"/>
      <c r="K857" s="28"/>
      <c r="L857" s="90" t="str">
        <f aca="false">IF(OR(K857="",N(H857)=0),"",K857/H857)</f>
        <v/>
      </c>
      <c r="M857" s="68"/>
      <c r="N857" s="28"/>
      <c r="O857" s="25"/>
      <c r="P857" s="83" t="str">
        <f aca="false">IF(OR(N857="",N(H857)=0),"",N857/H857)</f>
        <v/>
      </c>
      <c r="Q857" s="25"/>
    </row>
    <row r="858" customFormat="false" ht="15" hidden="false" customHeight="false" outlineLevel="0" collapsed="false">
      <c r="A858" s="69"/>
      <c r="B858" s="68"/>
      <c r="C858" s="76" t="str">
        <f aca="false">IF(B858="","",IFERROR(INDEX(EN_Des,MATCH(B858,EN_Code,0)),"Code inconnu"))</f>
        <v/>
      </c>
      <c r="D858" s="25"/>
      <c r="E858" s="25"/>
      <c r="F858" s="82"/>
      <c r="G858" s="82"/>
      <c r="H858" s="83" t="str">
        <f aca="false">IF(OR(F858="",G858=""),"",G858-F858)</f>
        <v/>
      </c>
      <c r="I858" s="82"/>
      <c r="J858" s="82"/>
      <c r="K858" s="28"/>
      <c r="L858" s="90" t="str">
        <f aca="false">IF(OR(K858="",N(H858)=0),"",K858/H858)</f>
        <v/>
      </c>
      <c r="M858" s="68"/>
      <c r="N858" s="28"/>
      <c r="O858" s="25"/>
      <c r="P858" s="83" t="str">
        <f aca="false">IF(OR(N858="",N(H858)=0),"",N858/H858)</f>
        <v/>
      </c>
      <c r="Q858" s="25"/>
    </row>
    <row r="859" customFormat="false" ht="15" hidden="false" customHeight="false" outlineLevel="0" collapsed="false">
      <c r="A859" s="69"/>
      <c r="B859" s="68"/>
      <c r="C859" s="76" t="str">
        <f aca="false">IF(B859="","",IFERROR(INDEX(EN_Des,MATCH(B859,EN_Code,0)),"Code inconnu"))</f>
        <v/>
      </c>
      <c r="D859" s="25"/>
      <c r="E859" s="25"/>
      <c r="F859" s="82"/>
      <c r="G859" s="82"/>
      <c r="H859" s="83" t="str">
        <f aca="false">IF(OR(F859="",G859=""),"",G859-F859)</f>
        <v/>
      </c>
      <c r="I859" s="82"/>
      <c r="J859" s="82"/>
      <c r="K859" s="28"/>
      <c r="L859" s="90" t="str">
        <f aca="false">IF(OR(K859="",N(H859)=0),"",K859/H859)</f>
        <v/>
      </c>
      <c r="M859" s="68"/>
      <c r="N859" s="28"/>
      <c r="O859" s="25"/>
      <c r="P859" s="83" t="str">
        <f aca="false">IF(OR(N859="",N(H859)=0),"",N859/H859)</f>
        <v/>
      </c>
      <c r="Q859" s="25"/>
    </row>
    <row r="860" customFormat="false" ht="15" hidden="false" customHeight="false" outlineLevel="0" collapsed="false">
      <c r="A860" s="69"/>
      <c r="B860" s="68"/>
      <c r="C860" s="76" t="str">
        <f aca="false">IF(B860="","",IFERROR(INDEX(EN_Des,MATCH(B860,EN_Code,0)),"Code inconnu"))</f>
        <v/>
      </c>
      <c r="D860" s="25"/>
      <c r="E860" s="25"/>
      <c r="F860" s="82"/>
      <c r="G860" s="82"/>
      <c r="H860" s="83" t="str">
        <f aca="false">IF(OR(F860="",G860=""),"",G860-F860)</f>
        <v/>
      </c>
      <c r="I860" s="82"/>
      <c r="J860" s="82"/>
      <c r="K860" s="28"/>
      <c r="L860" s="90" t="str">
        <f aca="false">IF(OR(K860="",N(H860)=0),"",K860/H860)</f>
        <v/>
      </c>
      <c r="M860" s="68"/>
      <c r="N860" s="28"/>
      <c r="O860" s="25"/>
      <c r="P860" s="83" t="str">
        <f aca="false">IF(OR(N860="",N(H860)=0),"",N860/H860)</f>
        <v/>
      </c>
      <c r="Q860" s="25"/>
    </row>
    <row r="861" customFormat="false" ht="15" hidden="false" customHeight="false" outlineLevel="0" collapsed="false">
      <c r="A861" s="69"/>
      <c r="B861" s="68"/>
      <c r="C861" s="76" t="str">
        <f aca="false">IF(B861="","",IFERROR(INDEX(EN_Des,MATCH(B861,EN_Code,0)),"Code inconnu"))</f>
        <v/>
      </c>
      <c r="D861" s="25"/>
      <c r="E861" s="25"/>
      <c r="F861" s="82"/>
      <c r="G861" s="82"/>
      <c r="H861" s="83" t="str">
        <f aca="false">IF(OR(F861="",G861=""),"",G861-F861)</f>
        <v/>
      </c>
      <c r="I861" s="82"/>
      <c r="J861" s="82"/>
      <c r="K861" s="28"/>
      <c r="L861" s="90" t="str">
        <f aca="false">IF(OR(K861="",N(H861)=0),"",K861/H861)</f>
        <v/>
      </c>
      <c r="M861" s="68"/>
      <c r="N861" s="28"/>
      <c r="O861" s="25"/>
      <c r="P861" s="83" t="str">
        <f aca="false">IF(OR(N861="",N(H861)=0),"",N861/H861)</f>
        <v/>
      </c>
      <c r="Q861" s="25"/>
    </row>
    <row r="862" customFormat="false" ht="15" hidden="false" customHeight="false" outlineLevel="0" collapsed="false">
      <c r="A862" s="69"/>
      <c r="B862" s="68"/>
      <c r="C862" s="76" t="str">
        <f aca="false">IF(B862="","",IFERROR(INDEX(EN_Des,MATCH(B862,EN_Code,0)),"Code inconnu"))</f>
        <v/>
      </c>
      <c r="D862" s="25"/>
      <c r="E862" s="25"/>
      <c r="F862" s="82"/>
      <c r="G862" s="82"/>
      <c r="H862" s="83" t="str">
        <f aca="false">IF(OR(F862="",G862=""),"",G862-F862)</f>
        <v/>
      </c>
      <c r="I862" s="82"/>
      <c r="J862" s="82"/>
      <c r="K862" s="28"/>
      <c r="L862" s="90" t="str">
        <f aca="false">IF(OR(K862="",N(H862)=0),"",K862/H862)</f>
        <v/>
      </c>
      <c r="M862" s="68"/>
      <c r="N862" s="28"/>
      <c r="O862" s="25"/>
      <c r="P862" s="83" t="str">
        <f aca="false">IF(OR(N862="",N(H862)=0),"",N862/H862)</f>
        <v/>
      </c>
      <c r="Q862" s="25"/>
    </row>
    <row r="863" customFormat="false" ht="15" hidden="false" customHeight="false" outlineLevel="0" collapsed="false">
      <c r="A863" s="69"/>
      <c r="B863" s="68"/>
      <c r="C863" s="76" t="str">
        <f aca="false">IF(B863="","",IFERROR(INDEX(EN_Des,MATCH(B863,EN_Code,0)),"Code inconnu"))</f>
        <v/>
      </c>
      <c r="D863" s="25"/>
      <c r="E863" s="25"/>
      <c r="F863" s="82"/>
      <c r="G863" s="82"/>
      <c r="H863" s="83" t="str">
        <f aca="false">IF(OR(F863="",G863=""),"",G863-F863)</f>
        <v/>
      </c>
      <c r="I863" s="82"/>
      <c r="J863" s="82"/>
      <c r="K863" s="28"/>
      <c r="L863" s="90" t="str">
        <f aca="false">IF(OR(K863="",N(H863)=0),"",K863/H863)</f>
        <v/>
      </c>
      <c r="M863" s="68"/>
      <c r="N863" s="28"/>
      <c r="O863" s="25"/>
      <c r="P863" s="83" t="str">
        <f aca="false">IF(OR(N863="",N(H863)=0),"",N863/H863)</f>
        <v/>
      </c>
      <c r="Q863" s="25"/>
    </row>
    <row r="864" customFormat="false" ht="15" hidden="false" customHeight="false" outlineLevel="0" collapsed="false">
      <c r="A864" s="69"/>
      <c r="B864" s="68"/>
      <c r="C864" s="76" t="str">
        <f aca="false">IF(B864="","",IFERROR(INDEX(EN_Des,MATCH(B864,EN_Code,0)),"Code inconnu"))</f>
        <v/>
      </c>
      <c r="D864" s="25"/>
      <c r="E864" s="25"/>
      <c r="F864" s="82"/>
      <c r="G864" s="82"/>
      <c r="H864" s="83" t="str">
        <f aca="false">IF(OR(F864="",G864=""),"",G864-F864)</f>
        <v/>
      </c>
      <c r="I864" s="82"/>
      <c r="J864" s="82"/>
      <c r="K864" s="28"/>
      <c r="L864" s="90" t="str">
        <f aca="false">IF(OR(K864="",N(H864)=0),"",K864/H864)</f>
        <v/>
      </c>
      <c r="M864" s="68"/>
      <c r="N864" s="28"/>
      <c r="O864" s="25"/>
      <c r="P864" s="83" t="str">
        <f aca="false">IF(OR(N864="",N(H864)=0),"",N864/H864)</f>
        <v/>
      </c>
      <c r="Q864" s="25"/>
    </row>
    <row r="865" customFormat="false" ht="15" hidden="false" customHeight="false" outlineLevel="0" collapsed="false">
      <c r="A865" s="69"/>
      <c r="B865" s="68"/>
      <c r="C865" s="76" t="str">
        <f aca="false">IF(B865="","",IFERROR(INDEX(EN_Des,MATCH(B865,EN_Code,0)),"Code inconnu"))</f>
        <v/>
      </c>
      <c r="D865" s="25"/>
      <c r="E865" s="25"/>
      <c r="F865" s="82"/>
      <c r="G865" s="82"/>
      <c r="H865" s="83" t="str">
        <f aca="false">IF(OR(F865="",G865=""),"",G865-F865)</f>
        <v/>
      </c>
      <c r="I865" s="82"/>
      <c r="J865" s="82"/>
      <c r="K865" s="28"/>
      <c r="L865" s="90" t="str">
        <f aca="false">IF(OR(K865="",N(H865)=0),"",K865/H865)</f>
        <v/>
      </c>
      <c r="M865" s="68"/>
      <c r="N865" s="28"/>
      <c r="O865" s="25"/>
      <c r="P865" s="83" t="str">
        <f aca="false">IF(OR(N865="",N(H865)=0),"",N865/H865)</f>
        <v/>
      </c>
      <c r="Q865" s="25"/>
    </row>
    <row r="866" customFormat="false" ht="15" hidden="false" customHeight="false" outlineLevel="0" collapsed="false">
      <c r="A866" s="69"/>
      <c r="B866" s="68"/>
      <c r="C866" s="76" t="str">
        <f aca="false">IF(B866="","",IFERROR(INDEX(EN_Des,MATCH(B866,EN_Code,0)),"Code inconnu"))</f>
        <v/>
      </c>
      <c r="D866" s="25"/>
      <c r="E866" s="25"/>
      <c r="F866" s="82"/>
      <c r="G866" s="82"/>
      <c r="H866" s="83" t="str">
        <f aca="false">IF(OR(F866="",G866=""),"",G866-F866)</f>
        <v/>
      </c>
      <c r="I866" s="82"/>
      <c r="J866" s="82"/>
      <c r="K866" s="28"/>
      <c r="L866" s="90" t="str">
        <f aca="false">IF(OR(K866="",N(H866)=0),"",K866/H866)</f>
        <v/>
      </c>
      <c r="M866" s="68"/>
      <c r="N866" s="28"/>
      <c r="O866" s="25"/>
      <c r="P866" s="83" t="str">
        <f aca="false">IF(OR(N866="",N(H866)=0),"",N866/H866)</f>
        <v/>
      </c>
      <c r="Q866" s="25"/>
    </row>
    <row r="867" customFormat="false" ht="15" hidden="false" customHeight="false" outlineLevel="0" collapsed="false">
      <c r="A867" s="69"/>
      <c r="B867" s="68"/>
      <c r="C867" s="76" t="str">
        <f aca="false">IF(B867="","",IFERROR(INDEX(EN_Des,MATCH(B867,EN_Code,0)),"Code inconnu"))</f>
        <v/>
      </c>
      <c r="D867" s="25"/>
      <c r="E867" s="25"/>
      <c r="F867" s="82"/>
      <c r="G867" s="82"/>
      <c r="H867" s="83" t="str">
        <f aca="false">IF(OR(F867="",G867=""),"",G867-F867)</f>
        <v/>
      </c>
      <c r="I867" s="82"/>
      <c r="J867" s="82"/>
      <c r="K867" s="28"/>
      <c r="L867" s="90" t="str">
        <f aca="false">IF(OR(K867="",N(H867)=0),"",K867/H867)</f>
        <v/>
      </c>
      <c r="M867" s="68"/>
      <c r="N867" s="28"/>
      <c r="O867" s="25"/>
      <c r="P867" s="83" t="str">
        <f aca="false">IF(OR(N867="",N(H867)=0),"",N867/H867)</f>
        <v/>
      </c>
      <c r="Q867" s="25"/>
    </row>
    <row r="868" customFormat="false" ht="15" hidden="false" customHeight="false" outlineLevel="0" collapsed="false">
      <c r="A868" s="69"/>
      <c r="B868" s="68"/>
      <c r="C868" s="76" t="str">
        <f aca="false">IF(B868="","",IFERROR(INDEX(EN_Des,MATCH(B868,EN_Code,0)),"Code inconnu"))</f>
        <v/>
      </c>
      <c r="D868" s="25"/>
      <c r="E868" s="25"/>
      <c r="F868" s="82"/>
      <c r="G868" s="82"/>
      <c r="H868" s="83" t="str">
        <f aca="false">IF(OR(F868="",G868=""),"",G868-F868)</f>
        <v/>
      </c>
      <c r="I868" s="82"/>
      <c r="J868" s="82"/>
      <c r="K868" s="28"/>
      <c r="L868" s="90" t="str">
        <f aca="false">IF(OR(K868="",N(H868)=0),"",K868/H868)</f>
        <v/>
      </c>
      <c r="M868" s="68"/>
      <c r="N868" s="28"/>
      <c r="O868" s="25"/>
      <c r="P868" s="83" t="str">
        <f aca="false">IF(OR(N868="",N(H868)=0),"",N868/H868)</f>
        <v/>
      </c>
      <c r="Q868" s="25"/>
    </row>
    <row r="869" customFormat="false" ht="15" hidden="false" customHeight="false" outlineLevel="0" collapsed="false">
      <c r="A869" s="69"/>
      <c r="B869" s="68"/>
      <c r="C869" s="76" t="str">
        <f aca="false">IF(B869="","",IFERROR(INDEX(EN_Des,MATCH(B869,EN_Code,0)),"Code inconnu"))</f>
        <v/>
      </c>
      <c r="D869" s="25"/>
      <c r="E869" s="25"/>
      <c r="F869" s="82"/>
      <c r="G869" s="82"/>
      <c r="H869" s="83" t="str">
        <f aca="false">IF(OR(F869="",G869=""),"",G869-F869)</f>
        <v/>
      </c>
      <c r="I869" s="82"/>
      <c r="J869" s="82"/>
      <c r="K869" s="28"/>
      <c r="L869" s="90" t="str">
        <f aca="false">IF(OR(K869="",N(H869)=0),"",K869/H869)</f>
        <v/>
      </c>
      <c r="M869" s="68"/>
      <c r="N869" s="28"/>
      <c r="O869" s="25"/>
      <c r="P869" s="83" t="str">
        <f aca="false">IF(OR(N869="",N(H869)=0),"",N869/H869)</f>
        <v/>
      </c>
      <c r="Q869" s="25"/>
    </row>
    <row r="870" customFormat="false" ht="15" hidden="false" customHeight="false" outlineLevel="0" collapsed="false">
      <c r="A870" s="69"/>
      <c r="B870" s="68"/>
      <c r="C870" s="76" t="str">
        <f aca="false">IF(B870="","",IFERROR(INDEX(EN_Des,MATCH(B870,EN_Code,0)),"Code inconnu"))</f>
        <v/>
      </c>
      <c r="D870" s="25"/>
      <c r="E870" s="25"/>
      <c r="F870" s="82"/>
      <c r="G870" s="82"/>
      <c r="H870" s="83" t="str">
        <f aca="false">IF(OR(F870="",G870=""),"",G870-F870)</f>
        <v/>
      </c>
      <c r="I870" s="82"/>
      <c r="J870" s="82"/>
      <c r="K870" s="28"/>
      <c r="L870" s="90" t="str">
        <f aca="false">IF(OR(K870="",N(H870)=0),"",K870/H870)</f>
        <v/>
      </c>
      <c r="M870" s="68"/>
      <c r="N870" s="28"/>
      <c r="O870" s="25"/>
      <c r="P870" s="83" t="str">
        <f aca="false">IF(OR(N870="",N(H870)=0),"",N870/H870)</f>
        <v/>
      </c>
      <c r="Q870" s="25"/>
    </row>
    <row r="871" customFormat="false" ht="15" hidden="false" customHeight="false" outlineLevel="0" collapsed="false">
      <c r="A871" s="69"/>
      <c r="B871" s="68"/>
      <c r="C871" s="76" t="str">
        <f aca="false">IF(B871="","",IFERROR(INDEX(EN_Des,MATCH(B871,EN_Code,0)),"Code inconnu"))</f>
        <v/>
      </c>
      <c r="D871" s="25"/>
      <c r="E871" s="25"/>
      <c r="F871" s="82"/>
      <c r="G871" s="82"/>
      <c r="H871" s="83" t="str">
        <f aca="false">IF(OR(F871="",G871=""),"",G871-F871)</f>
        <v/>
      </c>
      <c r="I871" s="82"/>
      <c r="J871" s="82"/>
      <c r="K871" s="28"/>
      <c r="L871" s="90" t="str">
        <f aca="false">IF(OR(K871="",N(H871)=0),"",K871/H871)</f>
        <v/>
      </c>
      <c r="M871" s="68"/>
      <c r="N871" s="28"/>
      <c r="O871" s="25"/>
      <c r="P871" s="83" t="str">
        <f aca="false">IF(OR(N871="",N(H871)=0),"",N871/H871)</f>
        <v/>
      </c>
      <c r="Q871" s="25"/>
    </row>
    <row r="872" customFormat="false" ht="15" hidden="false" customHeight="false" outlineLevel="0" collapsed="false">
      <c r="A872" s="69"/>
      <c r="B872" s="68"/>
      <c r="C872" s="76" t="str">
        <f aca="false">IF(B872="","",IFERROR(INDEX(EN_Des,MATCH(B872,EN_Code,0)),"Code inconnu"))</f>
        <v/>
      </c>
      <c r="D872" s="25"/>
      <c r="E872" s="25"/>
      <c r="F872" s="82"/>
      <c r="G872" s="82"/>
      <c r="H872" s="83" t="str">
        <f aca="false">IF(OR(F872="",G872=""),"",G872-F872)</f>
        <v/>
      </c>
      <c r="I872" s="82"/>
      <c r="J872" s="82"/>
      <c r="K872" s="28"/>
      <c r="L872" s="90" t="str">
        <f aca="false">IF(OR(K872="",N(H872)=0),"",K872/H872)</f>
        <v/>
      </c>
      <c r="M872" s="68"/>
      <c r="N872" s="28"/>
      <c r="O872" s="25"/>
      <c r="P872" s="83" t="str">
        <f aca="false">IF(OR(N872="",N(H872)=0),"",N872/H872)</f>
        <v/>
      </c>
      <c r="Q872" s="25"/>
    </row>
    <row r="873" customFormat="false" ht="15" hidden="false" customHeight="false" outlineLevel="0" collapsed="false">
      <c r="A873" s="69"/>
      <c r="B873" s="68"/>
      <c r="C873" s="76" t="str">
        <f aca="false">IF(B873="","",IFERROR(INDEX(EN_Des,MATCH(B873,EN_Code,0)),"Code inconnu"))</f>
        <v/>
      </c>
      <c r="D873" s="25"/>
      <c r="E873" s="25"/>
      <c r="F873" s="82"/>
      <c r="G873" s="82"/>
      <c r="H873" s="83" t="str">
        <f aca="false">IF(OR(F873="",G873=""),"",G873-F873)</f>
        <v/>
      </c>
      <c r="I873" s="82"/>
      <c r="J873" s="82"/>
      <c r="K873" s="28"/>
      <c r="L873" s="90" t="str">
        <f aca="false">IF(OR(K873="",N(H873)=0),"",K873/H873)</f>
        <v/>
      </c>
      <c r="M873" s="68"/>
      <c r="N873" s="28"/>
      <c r="O873" s="25"/>
      <c r="P873" s="83" t="str">
        <f aca="false">IF(OR(N873="",N(H873)=0),"",N873/H873)</f>
        <v/>
      </c>
      <c r="Q873" s="25"/>
    </row>
    <row r="874" customFormat="false" ht="15" hidden="false" customHeight="false" outlineLevel="0" collapsed="false">
      <c r="A874" s="69"/>
      <c r="B874" s="68"/>
      <c r="C874" s="76" t="str">
        <f aca="false">IF(B874="","",IFERROR(INDEX(EN_Des,MATCH(B874,EN_Code,0)),"Code inconnu"))</f>
        <v/>
      </c>
      <c r="D874" s="25"/>
      <c r="E874" s="25"/>
      <c r="F874" s="82"/>
      <c r="G874" s="82"/>
      <c r="H874" s="83" t="str">
        <f aca="false">IF(OR(F874="",G874=""),"",G874-F874)</f>
        <v/>
      </c>
      <c r="I874" s="82"/>
      <c r="J874" s="82"/>
      <c r="K874" s="28"/>
      <c r="L874" s="90" t="str">
        <f aca="false">IF(OR(K874="",N(H874)=0),"",K874/H874)</f>
        <v/>
      </c>
      <c r="M874" s="68"/>
      <c r="N874" s="28"/>
      <c r="O874" s="25"/>
      <c r="P874" s="83" t="str">
        <f aca="false">IF(OR(N874="",N(H874)=0),"",N874/H874)</f>
        <v/>
      </c>
      <c r="Q874" s="25"/>
    </row>
    <row r="875" customFormat="false" ht="15" hidden="false" customHeight="false" outlineLevel="0" collapsed="false">
      <c r="A875" s="69"/>
      <c r="B875" s="68"/>
      <c r="C875" s="76" t="str">
        <f aca="false">IF(B875="","",IFERROR(INDEX(EN_Des,MATCH(B875,EN_Code,0)),"Code inconnu"))</f>
        <v/>
      </c>
      <c r="D875" s="25"/>
      <c r="E875" s="25"/>
      <c r="F875" s="82"/>
      <c r="G875" s="82"/>
      <c r="H875" s="83" t="str">
        <f aca="false">IF(OR(F875="",G875=""),"",G875-F875)</f>
        <v/>
      </c>
      <c r="I875" s="82"/>
      <c r="J875" s="82"/>
      <c r="K875" s="28"/>
      <c r="L875" s="90" t="str">
        <f aca="false">IF(OR(K875="",N(H875)=0),"",K875/H875)</f>
        <v/>
      </c>
      <c r="M875" s="68"/>
      <c r="N875" s="28"/>
      <c r="O875" s="25"/>
      <c r="P875" s="83" t="str">
        <f aca="false">IF(OR(N875="",N(H875)=0),"",N875/H875)</f>
        <v/>
      </c>
      <c r="Q875" s="25"/>
    </row>
    <row r="876" customFormat="false" ht="15" hidden="false" customHeight="false" outlineLevel="0" collapsed="false">
      <c r="A876" s="69"/>
      <c r="B876" s="68"/>
      <c r="C876" s="76" t="str">
        <f aca="false">IF(B876="","",IFERROR(INDEX(EN_Des,MATCH(B876,EN_Code,0)),"Code inconnu"))</f>
        <v/>
      </c>
      <c r="D876" s="25"/>
      <c r="E876" s="25"/>
      <c r="F876" s="82"/>
      <c r="G876" s="82"/>
      <c r="H876" s="83" t="str">
        <f aca="false">IF(OR(F876="",G876=""),"",G876-F876)</f>
        <v/>
      </c>
      <c r="I876" s="82"/>
      <c r="J876" s="82"/>
      <c r="K876" s="28"/>
      <c r="L876" s="90" t="str">
        <f aca="false">IF(OR(K876="",N(H876)=0),"",K876/H876)</f>
        <v/>
      </c>
      <c r="M876" s="68"/>
      <c r="N876" s="28"/>
      <c r="O876" s="25"/>
      <c r="P876" s="83" t="str">
        <f aca="false">IF(OR(N876="",N(H876)=0),"",N876/H876)</f>
        <v/>
      </c>
      <c r="Q876" s="25"/>
    </row>
    <row r="877" customFormat="false" ht="15" hidden="false" customHeight="false" outlineLevel="0" collapsed="false">
      <c r="A877" s="69"/>
      <c r="B877" s="68"/>
      <c r="C877" s="76" t="str">
        <f aca="false">IF(B877="","",IFERROR(INDEX(EN_Des,MATCH(B877,EN_Code,0)),"Code inconnu"))</f>
        <v/>
      </c>
      <c r="D877" s="25"/>
      <c r="E877" s="25"/>
      <c r="F877" s="82"/>
      <c r="G877" s="82"/>
      <c r="H877" s="83" t="str">
        <f aca="false">IF(OR(F877="",G877=""),"",G877-F877)</f>
        <v/>
      </c>
      <c r="I877" s="82"/>
      <c r="J877" s="82"/>
      <c r="K877" s="28"/>
      <c r="L877" s="90" t="str">
        <f aca="false">IF(OR(K877="",N(H877)=0),"",K877/H877)</f>
        <v/>
      </c>
      <c r="M877" s="68"/>
      <c r="N877" s="28"/>
      <c r="O877" s="25"/>
      <c r="P877" s="83" t="str">
        <f aca="false">IF(OR(N877="",N(H877)=0),"",N877/H877)</f>
        <v/>
      </c>
      <c r="Q877" s="25"/>
    </row>
    <row r="878" customFormat="false" ht="15" hidden="false" customHeight="false" outlineLevel="0" collapsed="false">
      <c r="A878" s="69"/>
      <c r="B878" s="68"/>
      <c r="C878" s="76" t="str">
        <f aca="false">IF(B878="","",IFERROR(INDEX(EN_Des,MATCH(B878,EN_Code,0)),"Code inconnu"))</f>
        <v/>
      </c>
      <c r="D878" s="25"/>
      <c r="E878" s="25"/>
      <c r="F878" s="82"/>
      <c r="G878" s="82"/>
      <c r="H878" s="83" t="str">
        <f aca="false">IF(OR(F878="",G878=""),"",G878-F878)</f>
        <v/>
      </c>
      <c r="I878" s="82"/>
      <c r="J878" s="82"/>
      <c r="K878" s="28"/>
      <c r="L878" s="90" t="str">
        <f aca="false">IF(OR(K878="",N(H878)=0),"",K878/H878)</f>
        <v/>
      </c>
      <c r="M878" s="68"/>
      <c r="N878" s="28"/>
      <c r="O878" s="25"/>
      <c r="P878" s="83" t="str">
        <f aca="false">IF(OR(N878="",N(H878)=0),"",N878/H878)</f>
        <v/>
      </c>
      <c r="Q878" s="25"/>
    </row>
    <row r="879" customFormat="false" ht="15" hidden="false" customHeight="false" outlineLevel="0" collapsed="false">
      <c r="A879" s="69"/>
      <c r="B879" s="68"/>
      <c r="C879" s="76" t="str">
        <f aca="false">IF(B879="","",IFERROR(INDEX(EN_Des,MATCH(B879,EN_Code,0)),"Code inconnu"))</f>
        <v/>
      </c>
      <c r="D879" s="25"/>
      <c r="E879" s="25"/>
      <c r="F879" s="82"/>
      <c r="G879" s="82"/>
      <c r="H879" s="83" t="str">
        <f aca="false">IF(OR(F879="",G879=""),"",G879-F879)</f>
        <v/>
      </c>
      <c r="I879" s="82"/>
      <c r="J879" s="82"/>
      <c r="K879" s="28"/>
      <c r="L879" s="90" t="str">
        <f aca="false">IF(OR(K879="",N(H879)=0),"",K879/H879)</f>
        <v/>
      </c>
      <c r="M879" s="68"/>
      <c r="N879" s="28"/>
      <c r="O879" s="25"/>
      <c r="P879" s="83" t="str">
        <f aca="false">IF(OR(N879="",N(H879)=0),"",N879/H879)</f>
        <v/>
      </c>
      <c r="Q879" s="25"/>
    </row>
    <row r="880" customFormat="false" ht="15" hidden="false" customHeight="false" outlineLevel="0" collapsed="false">
      <c r="A880" s="69"/>
      <c r="B880" s="68"/>
      <c r="C880" s="76" t="str">
        <f aca="false">IF(B880="","",IFERROR(INDEX(EN_Des,MATCH(B880,EN_Code,0)),"Code inconnu"))</f>
        <v/>
      </c>
      <c r="D880" s="25"/>
      <c r="E880" s="25"/>
      <c r="F880" s="82"/>
      <c r="G880" s="82"/>
      <c r="H880" s="83" t="str">
        <f aca="false">IF(OR(F880="",G880=""),"",G880-F880)</f>
        <v/>
      </c>
      <c r="I880" s="82"/>
      <c r="J880" s="82"/>
      <c r="K880" s="28"/>
      <c r="L880" s="90" t="str">
        <f aca="false">IF(OR(K880="",N(H880)=0),"",K880/H880)</f>
        <v/>
      </c>
      <c r="M880" s="68"/>
      <c r="N880" s="28"/>
      <c r="O880" s="25"/>
      <c r="P880" s="83" t="str">
        <f aca="false">IF(OR(N880="",N(H880)=0),"",N880/H880)</f>
        <v/>
      </c>
      <c r="Q880" s="25"/>
    </row>
    <row r="881" customFormat="false" ht="15" hidden="false" customHeight="false" outlineLevel="0" collapsed="false">
      <c r="A881" s="69"/>
      <c r="B881" s="68"/>
      <c r="C881" s="76" t="str">
        <f aca="false">IF(B881="","",IFERROR(INDEX(EN_Des,MATCH(B881,EN_Code,0)),"Code inconnu"))</f>
        <v/>
      </c>
      <c r="D881" s="25"/>
      <c r="E881" s="25"/>
      <c r="F881" s="82"/>
      <c r="G881" s="82"/>
      <c r="H881" s="83" t="str">
        <f aca="false">IF(OR(F881="",G881=""),"",G881-F881)</f>
        <v/>
      </c>
      <c r="I881" s="82"/>
      <c r="J881" s="82"/>
      <c r="K881" s="28"/>
      <c r="L881" s="90" t="str">
        <f aca="false">IF(OR(K881="",N(H881)=0),"",K881/H881)</f>
        <v/>
      </c>
      <c r="M881" s="68"/>
      <c r="N881" s="28"/>
      <c r="O881" s="25"/>
      <c r="P881" s="83" t="str">
        <f aca="false">IF(OR(N881="",N(H881)=0),"",N881/H881)</f>
        <v/>
      </c>
      <c r="Q881" s="25"/>
    </row>
    <row r="882" customFormat="false" ht="15" hidden="false" customHeight="false" outlineLevel="0" collapsed="false">
      <c r="A882" s="69"/>
      <c r="B882" s="68"/>
      <c r="C882" s="76" t="str">
        <f aca="false">IF(B882="","",IFERROR(INDEX(EN_Des,MATCH(B882,EN_Code,0)),"Code inconnu"))</f>
        <v/>
      </c>
      <c r="D882" s="25"/>
      <c r="E882" s="25"/>
      <c r="F882" s="82"/>
      <c r="G882" s="82"/>
      <c r="H882" s="83" t="str">
        <f aca="false">IF(OR(F882="",G882=""),"",G882-F882)</f>
        <v/>
      </c>
      <c r="I882" s="82"/>
      <c r="J882" s="82"/>
      <c r="K882" s="28"/>
      <c r="L882" s="90" t="str">
        <f aca="false">IF(OR(K882="",N(H882)=0),"",K882/H882)</f>
        <v/>
      </c>
      <c r="M882" s="68"/>
      <c r="N882" s="28"/>
      <c r="O882" s="25"/>
      <c r="P882" s="83" t="str">
        <f aca="false">IF(OR(N882="",N(H882)=0),"",N882/H882)</f>
        <v/>
      </c>
      <c r="Q882" s="25"/>
    </row>
    <row r="883" customFormat="false" ht="15" hidden="false" customHeight="false" outlineLevel="0" collapsed="false">
      <c r="A883" s="69"/>
      <c r="B883" s="68"/>
      <c r="C883" s="76" t="str">
        <f aca="false">IF(B883="","",IFERROR(INDEX(EN_Des,MATCH(B883,EN_Code,0)),"Code inconnu"))</f>
        <v/>
      </c>
      <c r="D883" s="25"/>
      <c r="E883" s="25"/>
      <c r="F883" s="82"/>
      <c r="G883" s="82"/>
      <c r="H883" s="83" t="str">
        <f aca="false">IF(OR(F883="",G883=""),"",G883-F883)</f>
        <v/>
      </c>
      <c r="I883" s="82"/>
      <c r="J883" s="82"/>
      <c r="K883" s="28"/>
      <c r="L883" s="90" t="str">
        <f aca="false">IF(OR(K883="",N(H883)=0),"",K883/H883)</f>
        <v/>
      </c>
      <c r="M883" s="68"/>
      <c r="N883" s="28"/>
      <c r="O883" s="25"/>
      <c r="P883" s="83" t="str">
        <f aca="false">IF(OR(N883="",N(H883)=0),"",N883/H883)</f>
        <v/>
      </c>
      <c r="Q883" s="25"/>
    </row>
    <row r="884" customFormat="false" ht="15" hidden="false" customHeight="false" outlineLevel="0" collapsed="false">
      <c r="A884" s="69"/>
      <c r="B884" s="68"/>
      <c r="C884" s="76" t="str">
        <f aca="false">IF(B884="","",IFERROR(INDEX(EN_Des,MATCH(B884,EN_Code,0)),"Code inconnu"))</f>
        <v/>
      </c>
      <c r="D884" s="25"/>
      <c r="E884" s="25"/>
      <c r="F884" s="82"/>
      <c r="G884" s="82"/>
      <c r="H884" s="83" t="str">
        <f aca="false">IF(OR(F884="",G884=""),"",G884-F884)</f>
        <v/>
      </c>
      <c r="I884" s="82"/>
      <c r="J884" s="82"/>
      <c r="K884" s="28"/>
      <c r="L884" s="90" t="str">
        <f aca="false">IF(OR(K884="",N(H884)=0),"",K884/H884)</f>
        <v/>
      </c>
      <c r="M884" s="68"/>
      <c r="N884" s="28"/>
      <c r="O884" s="25"/>
      <c r="P884" s="83" t="str">
        <f aca="false">IF(OR(N884="",N(H884)=0),"",N884/H884)</f>
        <v/>
      </c>
      <c r="Q884" s="25"/>
    </row>
    <row r="885" customFormat="false" ht="15" hidden="false" customHeight="false" outlineLevel="0" collapsed="false">
      <c r="A885" s="69"/>
      <c r="B885" s="68"/>
      <c r="C885" s="76" t="str">
        <f aca="false">IF(B885="","",IFERROR(INDEX(EN_Des,MATCH(B885,EN_Code,0)),"Code inconnu"))</f>
        <v/>
      </c>
      <c r="D885" s="25"/>
      <c r="E885" s="25"/>
      <c r="F885" s="82"/>
      <c r="G885" s="82"/>
      <c r="H885" s="83" t="str">
        <f aca="false">IF(OR(F885="",G885=""),"",G885-F885)</f>
        <v/>
      </c>
      <c r="I885" s="82"/>
      <c r="J885" s="82"/>
      <c r="K885" s="28"/>
      <c r="L885" s="90" t="str">
        <f aca="false">IF(OR(K885="",N(H885)=0),"",K885/H885)</f>
        <v/>
      </c>
      <c r="M885" s="68"/>
      <c r="N885" s="28"/>
      <c r="O885" s="25"/>
      <c r="P885" s="83" t="str">
        <f aca="false">IF(OR(N885="",N(H885)=0),"",N885/H885)</f>
        <v/>
      </c>
      <c r="Q885" s="25"/>
    </row>
    <row r="886" customFormat="false" ht="15" hidden="false" customHeight="false" outlineLevel="0" collapsed="false">
      <c r="A886" s="69"/>
      <c r="B886" s="68"/>
      <c r="C886" s="76" t="str">
        <f aca="false">IF(B886="","",IFERROR(INDEX(EN_Des,MATCH(B886,EN_Code,0)),"Code inconnu"))</f>
        <v/>
      </c>
      <c r="D886" s="25"/>
      <c r="E886" s="25"/>
      <c r="F886" s="82"/>
      <c r="G886" s="82"/>
      <c r="H886" s="83" t="str">
        <f aca="false">IF(OR(F886="",G886=""),"",G886-F886)</f>
        <v/>
      </c>
      <c r="I886" s="82"/>
      <c r="J886" s="82"/>
      <c r="K886" s="28"/>
      <c r="L886" s="90" t="str">
        <f aca="false">IF(OR(K886="",N(H886)=0),"",K886/H886)</f>
        <v/>
      </c>
      <c r="M886" s="68"/>
      <c r="N886" s="28"/>
      <c r="O886" s="25"/>
      <c r="P886" s="83" t="str">
        <f aca="false">IF(OR(N886="",N(H886)=0),"",N886/H886)</f>
        <v/>
      </c>
      <c r="Q886" s="25"/>
    </row>
    <row r="887" customFormat="false" ht="15" hidden="false" customHeight="false" outlineLevel="0" collapsed="false">
      <c r="A887" s="69"/>
      <c r="B887" s="68"/>
      <c r="C887" s="76" t="str">
        <f aca="false">IF(B887="","",IFERROR(INDEX(EN_Des,MATCH(B887,EN_Code,0)),"Code inconnu"))</f>
        <v/>
      </c>
      <c r="D887" s="25"/>
      <c r="E887" s="25"/>
      <c r="F887" s="82"/>
      <c r="G887" s="82"/>
      <c r="H887" s="83" t="str">
        <f aca="false">IF(OR(F887="",G887=""),"",G887-F887)</f>
        <v/>
      </c>
      <c r="I887" s="82"/>
      <c r="J887" s="82"/>
      <c r="K887" s="28"/>
      <c r="L887" s="90" t="str">
        <f aca="false">IF(OR(K887="",N(H887)=0),"",K887/H887)</f>
        <v/>
      </c>
      <c r="M887" s="68"/>
      <c r="N887" s="28"/>
      <c r="O887" s="25"/>
      <c r="P887" s="83" t="str">
        <f aca="false">IF(OR(N887="",N(H887)=0),"",N887/H887)</f>
        <v/>
      </c>
      <c r="Q887" s="25"/>
    </row>
    <row r="888" customFormat="false" ht="15" hidden="false" customHeight="false" outlineLevel="0" collapsed="false">
      <c r="A888" s="69"/>
      <c r="B888" s="68"/>
      <c r="C888" s="76" t="str">
        <f aca="false">IF(B888="","",IFERROR(INDEX(EN_Des,MATCH(B888,EN_Code,0)),"Code inconnu"))</f>
        <v/>
      </c>
      <c r="D888" s="25"/>
      <c r="E888" s="25"/>
      <c r="F888" s="82"/>
      <c r="G888" s="82"/>
      <c r="H888" s="83" t="str">
        <f aca="false">IF(OR(F888="",G888=""),"",G888-F888)</f>
        <v/>
      </c>
      <c r="I888" s="82"/>
      <c r="J888" s="82"/>
      <c r="K888" s="28"/>
      <c r="L888" s="90" t="str">
        <f aca="false">IF(OR(K888="",N(H888)=0),"",K888/H888)</f>
        <v/>
      </c>
      <c r="M888" s="68"/>
      <c r="N888" s="28"/>
      <c r="O888" s="25"/>
      <c r="P888" s="83" t="str">
        <f aca="false">IF(OR(N888="",N(H888)=0),"",N888/H888)</f>
        <v/>
      </c>
      <c r="Q888" s="25"/>
    </row>
    <row r="889" customFormat="false" ht="15" hidden="false" customHeight="false" outlineLevel="0" collapsed="false">
      <c r="A889" s="69"/>
      <c r="B889" s="68"/>
      <c r="C889" s="76" t="str">
        <f aca="false">IF(B889="","",IFERROR(INDEX(EN_Des,MATCH(B889,EN_Code,0)),"Code inconnu"))</f>
        <v/>
      </c>
      <c r="D889" s="25"/>
      <c r="E889" s="25"/>
      <c r="F889" s="82"/>
      <c r="G889" s="82"/>
      <c r="H889" s="83" t="str">
        <f aca="false">IF(OR(F889="",G889=""),"",G889-F889)</f>
        <v/>
      </c>
      <c r="I889" s="82"/>
      <c r="J889" s="82"/>
      <c r="K889" s="28"/>
      <c r="L889" s="90" t="str">
        <f aca="false">IF(OR(K889="",N(H889)=0),"",K889/H889)</f>
        <v/>
      </c>
      <c r="M889" s="68"/>
      <c r="N889" s="28"/>
      <c r="O889" s="25"/>
      <c r="P889" s="83" t="str">
        <f aca="false">IF(OR(N889="",N(H889)=0),"",N889/H889)</f>
        <v/>
      </c>
      <c r="Q889" s="25"/>
    </row>
    <row r="890" customFormat="false" ht="15" hidden="false" customHeight="false" outlineLevel="0" collapsed="false">
      <c r="A890" s="69"/>
      <c r="B890" s="68"/>
      <c r="C890" s="76" t="str">
        <f aca="false">IF(B890="","",IFERROR(INDEX(EN_Des,MATCH(B890,EN_Code,0)),"Code inconnu"))</f>
        <v/>
      </c>
      <c r="D890" s="25"/>
      <c r="E890" s="25"/>
      <c r="F890" s="82"/>
      <c r="G890" s="82"/>
      <c r="H890" s="83" t="str">
        <f aca="false">IF(OR(F890="",G890=""),"",G890-F890)</f>
        <v/>
      </c>
      <c r="I890" s="82"/>
      <c r="J890" s="82"/>
      <c r="K890" s="28"/>
      <c r="L890" s="90" t="str">
        <f aca="false">IF(OR(K890="",N(H890)=0),"",K890/H890)</f>
        <v/>
      </c>
      <c r="M890" s="68"/>
      <c r="N890" s="28"/>
      <c r="O890" s="25"/>
      <c r="P890" s="83" t="str">
        <f aca="false">IF(OR(N890="",N(H890)=0),"",N890/H890)</f>
        <v/>
      </c>
      <c r="Q890" s="25"/>
    </row>
    <row r="891" customFormat="false" ht="15" hidden="false" customHeight="false" outlineLevel="0" collapsed="false">
      <c r="A891" s="69"/>
      <c r="B891" s="68"/>
      <c r="C891" s="76" t="str">
        <f aca="false">IF(B891="","",IFERROR(INDEX(EN_Des,MATCH(B891,EN_Code,0)),"Code inconnu"))</f>
        <v/>
      </c>
      <c r="D891" s="25"/>
      <c r="E891" s="25"/>
      <c r="F891" s="82"/>
      <c r="G891" s="82"/>
      <c r="H891" s="83" t="str">
        <f aca="false">IF(OR(F891="",G891=""),"",G891-F891)</f>
        <v/>
      </c>
      <c r="I891" s="82"/>
      <c r="J891" s="82"/>
      <c r="K891" s="28"/>
      <c r="L891" s="90" t="str">
        <f aca="false">IF(OR(K891="",N(H891)=0),"",K891/H891)</f>
        <v/>
      </c>
      <c r="M891" s="68"/>
      <c r="N891" s="28"/>
      <c r="O891" s="25"/>
      <c r="P891" s="83" t="str">
        <f aca="false">IF(OR(N891="",N(H891)=0),"",N891/H891)</f>
        <v/>
      </c>
      <c r="Q891" s="25"/>
    </row>
    <row r="892" customFormat="false" ht="15" hidden="false" customHeight="false" outlineLevel="0" collapsed="false">
      <c r="A892" s="69"/>
      <c r="B892" s="68"/>
      <c r="C892" s="76" t="str">
        <f aca="false">IF(B892="","",IFERROR(INDEX(EN_Des,MATCH(B892,EN_Code,0)),"Code inconnu"))</f>
        <v/>
      </c>
      <c r="D892" s="25"/>
      <c r="E892" s="25"/>
      <c r="F892" s="82"/>
      <c r="G892" s="82"/>
      <c r="H892" s="83" t="str">
        <f aca="false">IF(OR(F892="",G892=""),"",G892-F892)</f>
        <v/>
      </c>
      <c r="I892" s="82"/>
      <c r="J892" s="82"/>
      <c r="K892" s="28"/>
      <c r="L892" s="90" t="str">
        <f aca="false">IF(OR(K892="",N(H892)=0),"",K892/H892)</f>
        <v/>
      </c>
      <c r="M892" s="68"/>
      <c r="N892" s="28"/>
      <c r="O892" s="25"/>
      <c r="P892" s="83" t="str">
        <f aca="false">IF(OR(N892="",N(H892)=0),"",N892/H892)</f>
        <v/>
      </c>
      <c r="Q892" s="25"/>
    </row>
    <row r="893" customFormat="false" ht="15" hidden="false" customHeight="false" outlineLevel="0" collapsed="false">
      <c r="A893" s="69"/>
      <c r="B893" s="68"/>
      <c r="C893" s="76" t="str">
        <f aca="false">IF(B893="","",IFERROR(INDEX(EN_Des,MATCH(B893,EN_Code,0)),"Code inconnu"))</f>
        <v/>
      </c>
      <c r="D893" s="25"/>
      <c r="E893" s="25"/>
      <c r="F893" s="82"/>
      <c r="G893" s="82"/>
      <c r="H893" s="83" t="str">
        <f aca="false">IF(OR(F893="",G893=""),"",G893-F893)</f>
        <v/>
      </c>
      <c r="I893" s="82"/>
      <c r="J893" s="82"/>
      <c r="K893" s="28"/>
      <c r="L893" s="90" t="str">
        <f aca="false">IF(OR(K893="",N(H893)=0),"",K893/H893)</f>
        <v/>
      </c>
      <c r="M893" s="68"/>
      <c r="N893" s="28"/>
      <c r="O893" s="25"/>
      <c r="P893" s="83" t="str">
        <f aca="false">IF(OR(N893="",N(H893)=0),"",N893/H893)</f>
        <v/>
      </c>
      <c r="Q893" s="25"/>
    </row>
    <row r="894" customFormat="false" ht="15" hidden="false" customHeight="false" outlineLevel="0" collapsed="false">
      <c r="A894" s="69"/>
      <c r="B894" s="68"/>
      <c r="C894" s="76" t="str">
        <f aca="false">IF(B894="","",IFERROR(INDEX(EN_Des,MATCH(B894,EN_Code,0)),"Code inconnu"))</f>
        <v/>
      </c>
      <c r="D894" s="25"/>
      <c r="E894" s="25"/>
      <c r="F894" s="82"/>
      <c r="G894" s="82"/>
      <c r="H894" s="83" t="str">
        <f aca="false">IF(OR(F894="",G894=""),"",G894-F894)</f>
        <v/>
      </c>
      <c r="I894" s="82"/>
      <c r="J894" s="82"/>
      <c r="K894" s="28"/>
      <c r="L894" s="90" t="str">
        <f aca="false">IF(OR(K894="",N(H894)=0),"",K894/H894)</f>
        <v/>
      </c>
      <c r="M894" s="68"/>
      <c r="N894" s="28"/>
      <c r="O894" s="25"/>
      <c r="P894" s="83" t="str">
        <f aca="false">IF(OR(N894="",N(H894)=0),"",N894/H894)</f>
        <v/>
      </c>
      <c r="Q894" s="25"/>
    </row>
    <row r="895" customFormat="false" ht="15" hidden="false" customHeight="false" outlineLevel="0" collapsed="false">
      <c r="A895" s="69"/>
      <c r="B895" s="68"/>
      <c r="C895" s="76" t="str">
        <f aca="false">IF(B895="","",IFERROR(INDEX(EN_Des,MATCH(B895,EN_Code,0)),"Code inconnu"))</f>
        <v/>
      </c>
      <c r="D895" s="25"/>
      <c r="E895" s="25"/>
      <c r="F895" s="82"/>
      <c r="G895" s="82"/>
      <c r="H895" s="83" t="str">
        <f aca="false">IF(OR(F895="",G895=""),"",G895-F895)</f>
        <v/>
      </c>
      <c r="I895" s="82"/>
      <c r="J895" s="82"/>
      <c r="K895" s="28"/>
      <c r="L895" s="90" t="str">
        <f aca="false">IF(OR(K895="",N(H895)=0),"",K895/H895)</f>
        <v/>
      </c>
      <c r="M895" s="68"/>
      <c r="N895" s="28"/>
      <c r="O895" s="25"/>
      <c r="P895" s="83" t="str">
        <f aca="false">IF(OR(N895="",N(H895)=0),"",N895/H895)</f>
        <v/>
      </c>
      <c r="Q895" s="25"/>
    </row>
    <row r="896" customFormat="false" ht="15" hidden="false" customHeight="false" outlineLevel="0" collapsed="false">
      <c r="A896" s="69"/>
      <c r="B896" s="68"/>
      <c r="C896" s="76" t="str">
        <f aca="false">IF(B896="","",IFERROR(INDEX(EN_Des,MATCH(B896,EN_Code,0)),"Code inconnu"))</f>
        <v/>
      </c>
      <c r="D896" s="25"/>
      <c r="E896" s="25"/>
      <c r="F896" s="82"/>
      <c r="G896" s="82"/>
      <c r="H896" s="83" t="str">
        <f aca="false">IF(OR(F896="",G896=""),"",G896-F896)</f>
        <v/>
      </c>
      <c r="I896" s="82"/>
      <c r="J896" s="82"/>
      <c r="K896" s="28"/>
      <c r="L896" s="90" t="str">
        <f aca="false">IF(OR(K896="",N(H896)=0),"",K896/H896)</f>
        <v/>
      </c>
      <c r="M896" s="68"/>
      <c r="N896" s="28"/>
      <c r="O896" s="25"/>
      <c r="P896" s="83" t="str">
        <f aca="false">IF(OR(N896="",N(H896)=0),"",N896/H896)</f>
        <v/>
      </c>
      <c r="Q896" s="25"/>
    </row>
    <row r="897" customFormat="false" ht="15" hidden="false" customHeight="false" outlineLevel="0" collapsed="false">
      <c r="A897" s="69"/>
      <c r="B897" s="68"/>
      <c r="C897" s="76" t="str">
        <f aca="false">IF(B897="","",IFERROR(INDEX(EN_Des,MATCH(B897,EN_Code,0)),"Code inconnu"))</f>
        <v/>
      </c>
      <c r="D897" s="25"/>
      <c r="E897" s="25"/>
      <c r="F897" s="82"/>
      <c r="G897" s="82"/>
      <c r="H897" s="83" t="str">
        <f aca="false">IF(OR(F897="",G897=""),"",G897-F897)</f>
        <v/>
      </c>
      <c r="I897" s="82"/>
      <c r="J897" s="82"/>
      <c r="K897" s="28"/>
      <c r="L897" s="90" t="str">
        <f aca="false">IF(OR(K897="",N(H897)=0),"",K897/H897)</f>
        <v/>
      </c>
      <c r="M897" s="68"/>
      <c r="N897" s="28"/>
      <c r="O897" s="25"/>
      <c r="P897" s="83" t="str">
        <f aca="false">IF(OR(N897="",N(H897)=0),"",N897/H897)</f>
        <v/>
      </c>
      <c r="Q897" s="25"/>
    </row>
    <row r="898" customFormat="false" ht="15" hidden="false" customHeight="false" outlineLevel="0" collapsed="false">
      <c r="A898" s="69"/>
      <c r="B898" s="68"/>
      <c r="C898" s="76" t="str">
        <f aca="false">IF(B898="","",IFERROR(INDEX(EN_Des,MATCH(B898,EN_Code,0)),"Code inconnu"))</f>
        <v/>
      </c>
      <c r="D898" s="25"/>
      <c r="E898" s="25"/>
      <c r="F898" s="82"/>
      <c r="G898" s="82"/>
      <c r="H898" s="83" t="str">
        <f aca="false">IF(OR(F898="",G898=""),"",G898-F898)</f>
        <v/>
      </c>
      <c r="I898" s="82"/>
      <c r="J898" s="82"/>
      <c r="K898" s="28"/>
      <c r="L898" s="90" t="str">
        <f aca="false">IF(OR(K898="",N(H898)=0),"",K898/H898)</f>
        <v/>
      </c>
      <c r="M898" s="68"/>
      <c r="N898" s="28"/>
      <c r="O898" s="25"/>
      <c r="P898" s="83" t="str">
        <f aca="false">IF(OR(N898="",N(H898)=0),"",N898/H898)</f>
        <v/>
      </c>
      <c r="Q898" s="25"/>
    </row>
    <row r="899" customFormat="false" ht="15" hidden="false" customHeight="false" outlineLevel="0" collapsed="false">
      <c r="A899" s="69"/>
      <c r="B899" s="68"/>
      <c r="C899" s="76" t="str">
        <f aca="false">IF(B899="","",IFERROR(INDEX(EN_Des,MATCH(B899,EN_Code,0)),"Code inconnu"))</f>
        <v/>
      </c>
      <c r="D899" s="25"/>
      <c r="E899" s="25"/>
      <c r="F899" s="82"/>
      <c r="G899" s="82"/>
      <c r="H899" s="83" t="str">
        <f aca="false">IF(OR(F899="",G899=""),"",G899-F899)</f>
        <v/>
      </c>
      <c r="I899" s="82"/>
      <c r="J899" s="82"/>
      <c r="K899" s="28"/>
      <c r="L899" s="90" t="str">
        <f aca="false">IF(OR(K899="",N(H899)=0),"",K899/H899)</f>
        <v/>
      </c>
      <c r="M899" s="68"/>
      <c r="N899" s="28"/>
      <c r="O899" s="25"/>
      <c r="P899" s="83" t="str">
        <f aca="false">IF(OR(N899="",N(H899)=0),"",N899/H899)</f>
        <v/>
      </c>
      <c r="Q899" s="25"/>
    </row>
    <row r="900" customFormat="false" ht="15" hidden="false" customHeight="false" outlineLevel="0" collapsed="false">
      <c r="A900" s="69"/>
      <c r="B900" s="68"/>
      <c r="C900" s="76" t="str">
        <f aca="false">IF(B900="","",IFERROR(INDEX(EN_Des,MATCH(B900,EN_Code,0)),"Code inconnu"))</f>
        <v/>
      </c>
      <c r="D900" s="25"/>
      <c r="E900" s="25"/>
      <c r="F900" s="82"/>
      <c r="G900" s="82"/>
      <c r="H900" s="83" t="str">
        <f aca="false">IF(OR(F900="",G900=""),"",G900-F900)</f>
        <v/>
      </c>
      <c r="I900" s="82"/>
      <c r="J900" s="82"/>
      <c r="K900" s="28"/>
      <c r="L900" s="90" t="str">
        <f aca="false">IF(OR(K900="",N(H900)=0),"",K900/H900)</f>
        <v/>
      </c>
      <c r="M900" s="68"/>
      <c r="N900" s="28"/>
      <c r="O900" s="25"/>
      <c r="P900" s="83" t="str">
        <f aca="false">IF(OR(N900="",N(H900)=0),"",N900/H900)</f>
        <v/>
      </c>
      <c r="Q900" s="25"/>
    </row>
    <row r="901" customFormat="false" ht="15" hidden="false" customHeight="false" outlineLevel="0" collapsed="false">
      <c r="A901" s="69"/>
      <c r="B901" s="68"/>
      <c r="C901" s="76" t="str">
        <f aca="false">IF(B901="","",IFERROR(INDEX(EN_Des,MATCH(B901,EN_Code,0)),"Code inconnu"))</f>
        <v/>
      </c>
      <c r="D901" s="25"/>
      <c r="E901" s="25"/>
      <c r="F901" s="82"/>
      <c r="G901" s="82"/>
      <c r="H901" s="83" t="str">
        <f aca="false">IF(OR(F901="",G901=""),"",G901-F901)</f>
        <v/>
      </c>
      <c r="I901" s="82"/>
      <c r="J901" s="82"/>
      <c r="K901" s="28"/>
      <c r="L901" s="90" t="str">
        <f aca="false">IF(OR(K901="",N(H901)=0),"",K901/H901)</f>
        <v/>
      </c>
      <c r="M901" s="68"/>
      <c r="N901" s="28"/>
      <c r="O901" s="25"/>
      <c r="P901" s="83" t="str">
        <f aca="false">IF(OR(N901="",N(H901)=0),"",N901/H901)</f>
        <v/>
      </c>
      <c r="Q901" s="25"/>
    </row>
    <row r="902" customFormat="false" ht="15" hidden="false" customHeight="false" outlineLevel="0" collapsed="false">
      <c r="A902" s="69"/>
      <c r="B902" s="68"/>
      <c r="C902" s="76" t="str">
        <f aca="false">IF(B902="","",IFERROR(INDEX(EN_Des,MATCH(B902,EN_Code,0)),"Code inconnu"))</f>
        <v/>
      </c>
      <c r="D902" s="25"/>
      <c r="E902" s="25"/>
      <c r="F902" s="82"/>
      <c r="G902" s="82"/>
      <c r="H902" s="83" t="str">
        <f aca="false">IF(OR(F902="",G902=""),"",G902-F902)</f>
        <v/>
      </c>
      <c r="I902" s="82"/>
      <c r="J902" s="82"/>
      <c r="K902" s="28"/>
      <c r="L902" s="90" t="str">
        <f aca="false">IF(OR(K902="",N(H902)=0),"",K902/H902)</f>
        <v/>
      </c>
      <c r="M902" s="68"/>
      <c r="N902" s="28"/>
      <c r="O902" s="25"/>
      <c r="P902" s="83" t="str">
        <f aca="false">IF(OR(N902="",N(H902)=0),"",N902/H902)</f>
        <v/>
      </c>
      <c r="Q902" s="25"/>
    </row>
    <row r="903" customFormat="false" ht="15" hidden="false" customHeight="false" outlineLevel="0" collapsed="false">
      <c r="A903" s="69"/>
      <c r="B903" s="68"/>
      <c r="C903" s="76" t="str">
        <f aca="false">IF(B903="","",IFERROR(INDEX(EN_Des,MATCH(B903,EN_Code,0)),"Code inconnu"))</f>
        <v/>
      </c>
      <c r="D903" s="25"/>
      <c r="E903" s="25"/>
      <c r="F903" s="82"/>
      <c r="G903" s="82"/>
      <c r="H903" s="83" t="str">
        <f aca="false">IF(OR(F903="",G903=""),"",G903-F903)</f>
        <v/>
      </c>
      <c r="I903" s="82"/>
      <c r="J903" s="82"/>
      <c r="K903" s="28"/>
      <c r="L903" s="90" t="str">
        <f aca="false">IF(OR(K903="",N(H903)=0),"",K903/H903)</f>
        <v/>
      </c>
      <c r="M903" s="68"/>
      <c r="N903" s="28"/>
      <c r="O903" s="25"/>
      <c r="P903" s="83" t="str">
        <f aca="false">IF(OR(N903="",N(H903)=0),"",N903/H903)</f>
        <v/>
      </c>
      <c r="Q903" s="25"/>
    </row>
    <row r="904" customFormat="false" ht="15" hidden="false" customHeight="false" outlineLevel="0" collapsed="false">
      <c r="A904" s="69"/>
      <c r="B904" s="68"/>
      <c r="C904" s="76" t="str">
        <f aca="false">IF(B904="","",IFERROR(INDEX(EN_Des,MATCH(B904,EN_Code,0)),"Code inconnu"))</f>
        <v/>
      </c>
      <c r="D904" s="25"/>
      <c r="E904" s="25"/>
      <c r="F904" s="82"/>
      <c r="G904" s="82"/>
      <c r="H904" s="83" t="str">
        <f aca="false">IF(OR(F904="",G904=""),"",G904-F904)</f>
        <v/>
      </c>
      <c r="I904" s="82"/>
      <c r="J904" s="82"/>
      <c r="K904" s="28"/>
      <c r="L904" s="90" t="str">
        <f aca="false">IF(OR(K904="",N(H904)=0),"",K904/H904)</f>
        <v/>
      </c>
      <c r="M904" s="68"/>
      <c r="N904" s="28"/>
      <c r="O904" s="25"/>
      <c r="P904" s="83" t="str">
        <f aca="false">IF(OR(N904="",N(H904)=0),"",N904/H904)</f>
        <v/>
      </c>
      <c r="Q904" s="25"/>
    </row>
    <row r="905" customFormat="false" ht="15" hidden="false" customHeight="false" outlineLevel="0" collapsed="false">
      <c r="A905" s="69"/>
      <c r="B905" s="68"/>
      <c r="C905" s="76" t="str">
        <f aca="false">IF(B905="","",IFERROR(INDEX(EN_Des,MATCH(B905,EN_Code,0)),"Code inconnu"))</f>
        <v/>
      </c>
      <c r="D905" s="25"/>
      <c r="E905" s="25"/>
      <c r="F905" s="82"/>
      <c r="G905" s="82"/>
      <c r="H905" s="83" t="str">
        <f aca="false">IF(OR(F905="",G905=""),"",G905-F905)</f>
        <v/>
      </c>
      <c r="I905" s="82"/>
      <c r="J905" s="82"/>
      <c r="K905" s="28"/>
      <c r="L905" s="90" t="str">
        <f aca="false">IF(OR(K905="",N(H905)=0),"",K905/H905)</f>
        <v/>
      </c>
      <c r="M905" s="68"/>
      <c r="N905" s="28"/>
      <c r="O905" s="25"/>
      <c r="P905" s="83" t="str">
        <f aca="false">IF(OR(N905="",N(H905)=0),"",N905/H905)</f>
        <v/>
      </c>
      <c r="Q905" s="25"/>
    </row>
    <row r="906" customFormat="false" ht="15" hidden="false" customHeight="false" outlineLevel="0" collapsed="false">
      <c r="A906" s="69"/>
      <c r="B906" s="68"/>
      <c r="C906" s="76" t="str">
        <f aca="false">IF(B906="","",IFERROR(INDEX(EN_Des,MATCH(B906,EN_Code,0)),"Code inconnu"))</f>
        <v/>
      </c>
      <c r="D906" s="25"/>
      <c r="E906" s="25"/>
      <c r="F906" s="82"/>
      <c r="G906" s="82"/>
      <c r="H906" s="83" t="str">
        <f aca="false">IF(OR(F906="",G906=""),"",G906-F906)</f>
        <v/>
      </c>
      <c r="I906" s="82"/>
      <c r="J906" s="82"/>
      <c r="K906" s="28"/>
      <c r="L906" s="90" t="str">
        <f aca="false">IF(OR(K906="",N(H906)=0),"",K906/H906)</f>
        <v/>
      </c>
      <c r="M906" s="68"/>
      <c r="N906" s="28"/>
      <c r="O906" s="25"/>
      <c r="P906" s="83" t="str">
        <f aca="false">IF(OR(N906="",N(H906)=0),"",N906/H906)</f>
        <v/>
      </c>
      <c r="Q906" s="25"/>
    </row>
    <row r="907" customFormat="false" ht="15" hidden="false" customHeight="false" outlineLevel="0" collapsed="false">
      <c r="A907" s="69"/>
      <c r="B907" s="68"/>
      <c r="C907" s="76" t="str">
        <f aca="false">IF(B907="","",IFERROR(INDEX(EN_Des,MATCH(B907,EN_Code,0)),"Code inconnu"))</f>
        <v/>
      </c>
      <c r="D907" s="25"/>
      <c r="E907" s="25"/>
      <c r="F907" s="82"/>
      <c r="G907" s="82"/>
      <c r="H907" s="83" t="str">
        <f aca="false">IF(OR(F907="",G907=""),"",G907-F907)</f>
        <v/>
      </c>
      <c r="I907" s="82"/>
      <c r="J907" s="82"/>
      <c r="K907" s="28"/>
      <c r="L907" s="90" t="str">
        <f aca="false">IF(OR(K907="",N(H907)=0),"",K907/H907)</f>
        <v/>
      </c>
      <c r="M907" s="68"/>
      <c r="N907" s="28"/>
      <c r="O907" s="25"/>
      <c r="P907" s="83" t="str">
        <f aca="false">IF(OR(N907="",N(H907)=0),"",N907/H907)</f>
        <v/>
      </c>
      <c r="Q907" s="25"/>
    </row>
    <row r="908" customFormat="false" ht="15" hidden="false" customHeight="false" outlineLevel="0" collapsed="false">
      <c r="A908" s="69"/>
      <c r="B908" s="68"/>
      <c r="C908" s="76" t="str">
        <f aca="false">IF(B908="","",IFERROR(INDEX(EN_Des,MATCH(B908,EN_Code,0)),"Code inconnu"))</f>
        <v/>
      </c>
      <c r="D908" s="25"/>
      <c r="E908" s="25"/>
      <c r="F908" s="82"/>
      <c r="G908" s="82"/>
      <c r="H908" s="83" t="str">
        <f aca="false">IF(OR(F908="",G908=""),"",G908-F908)</f>
        <v/>
      </c>
      <c r="I908" s="82"/>
      <c r="J908" s="82"/>
      <c r="K908" s="28"/>
      <c r="L908" s="90" t="str">
        <f aca="false">IF(OR(K908="",N(H908)=0),"",K908/H908)</f>
        <v/>
      </c>
      <c r="M908" s="68"/>
      <c r="N908" s="28"/>
      <c r="O908" s="25"/>
      <c r="P908" s="83" t="str">
        <f aca="false">IF(OR(N908="",N(H908)=0),"",N908/H908)</f>
        <v/>
      </c>
      <c r="Q908" s="25"/>
    </row>
    <row r="909" customFormat="false" ht="15" hidden="false" customHeight="false" outlineLevel="0" collapsed="false">
      <c r="A909" s="69"/>
      <c r="B909" s="68"/>
      <c r="C909" s="76" t="str">
        <f aca="false">IF(B909="","",IFERROR(INDEX(EN_Des,MATCH(B909,EN_Code,0)),"Code inconnu"))</f>
        <v/>
      </c>
      <c r="D909" s="25"/>
      <c r="E909" s="25"/>
      <c r="F909" s="82"/>
      <c r="G909" s="82"/>
      <c r="H909" s="83" t="str">
        <f aca="false">IF(OR(F909="",G909=""),"",G909-F909)</f>
        <v/>
      </c>
      <c r="I909" s="82"/>
      <c r="J909" s="82"/>
      <c r="K909" s="28"/>
      <c r="L909" s="90" t="str">
        <f aca="false">IF(OR(K909="",N(H909)=0),"",K909/H909)</f>
        <v/>
      </c>
      <c r="M909" s="68"/>
      <c r="N909" s="28"/>
      <c r="O909" s="25"/>
      <c r="P909" s="83" t="str">
        <f aca="false">IF(OR(N909="",N(H909)=0),"",N909/H909)</f>
        <v/>
      </c>
      <c r="Q909" s="25"/>
    </row>
    <row r="910" customFormat="false" ht="15" hidden="false" customHeight="false" outlineLevel="0" collapsed="false">
      <c r="A910" s="69"/>
      <c r="B910" s="68"/>
      <c r="C910" s="76" t="str">
        <f aca="false">IF(B910="","",IFERROR(INDEX(EN_Des,MATCH(B910,EN_Code,0)),"Code inconnu"))</f>
        <v/>
      </c>
      <c r="D910" s="25"/>
      <c r="E910" s="25"/>
      <c r="F910" s="82"/>
      <c r="G910" s="82"/>
      <c r="H910" s="83" t="str">
        <f aca="false">IF(OR(F910="",G910=""),"",G910-F910)</f>
        <v/>
      </c>
      <c r="I910" s="82"/>
      <c r="J910" s="82"/>
      <c r="K910" s="28"/>
      <c r="L910" s="90" t="str">
        <f aca="false">IF(OR(K910="",N(H910)=0),"",K910/H910)</f>
        <v/>
      </c>
      <c r="M910" s="68"/>
      <c r="N910" s="28"/>
      <c r="O910" s="25"/>
      <c r="P910" s="83" t="str">
        <f aca="false">IF(OR(N910="",N(H910)=0),"",N910/H910)</f>
        <v/>
      </c>
      <c r="Q910" s="25"/>
    </row>
    <row r="911" customFormat="false" ht="15" hidden="false" customHeight="false" outlineLevel="0" collapsed="false">
      <c r="A911" s="69"/>
      <c r="B911" s="68"/>
      <c r="C911" s="76" t="str">
        <f aca="false">IF(B911="","",IFERROR(INDEX(EN_Des,MATCH(B911,EN_Code,0)),"Code inconnu"))</f>
        <v/>
      </c>
      <c r="D911" s="25"/>
      <c r="E911" s="25"/>
      <c r="F911" s="82"/>
      <c r="G911" s="82"/>
      <c r="H911" s="83" t="str">
        <f aca="false">IF(OR(F911="",G911=""),"",G911-F911)</f>
        <v/>
      </c>
      <c r="I911" s="82"/>
      <c r="J911" s="82"/>
      <c r="K911" s="28"/>
      <c r="L911" s="90" t="str">
        <f aca="false">IF(OR(K911="",N(H911)=0),"",K911/H911)</f>
        <v/>
      </c>
      <c r="M911" s="68"/>
      <c r="N911" s="28"/>
      <c r="O911" s="25"/>
      <c r="P911" s="83" t="str">
        <f aca="false">IF(OR(N911="",N(H911)=0),"",N911/H911)</f>
        <v/>
      </c>
      <c r="Q911" s="25"/>
    </row>
    <row r="912" customFormat="false" ht="15" hidden="false" customHeight="false" outlineLevel="0" collapsed="false">
      <c r="A912" s="69"/>
      <c r="B912" s="68"/>
      <c r="C912" s="76" t="str">
        <f aca="false">IF(B912="","",IFERROR(INDEX(EN_Des,MATCH(B912,EN_Code,0)),"Code inconnu"))</f>
        <v/>
      </c>
      <c r="D912" s="25"/>
      <c r="E912" s="25"/>
      <c r="F912" s="82"/>
      <c r="G912" s="82"/>
      <c r="H912" s="83" t="str">
        <f aca="false">IF(OR(F912="",G912=""),"",G912-F912)</f>
        <v/>
      </c>
      <c r="I912" s="82"/>
      <c r="J912" s="82"/>
      <c r="K912" s="28"/>
      <c r="L912" s="90" t="str">
        <f aca="false">IF(OR(K912="",N(H912)=0),"",K912/H912)</f>
        <v/>
      </c>
      <c r="M912" s="68"/>
      <c r="N912" s="28"/>
      <c r="O912" s="25"/>
      <c r="P912" s="83" t="str">
        <f aca="false">IF(OR(N912="",N(H912)=0),"",N912/H912)</f>
        <v/>
      </c>
      <c r="Q912" s="25"/>
    </row>
    <row r="913" customFormat="false" ht="15" hidden="false" customHeight="false" outlineLevel="0" collapsed="false">
      <c r="A913" s="69"/>
      <c r="B913" s="68"/>
      <c r="C913" s="76" t="str">
        <f aca="false">IF(B913="","",IFERROR(INDEX(EN_Des,MATCH(B913,EN_Code,0)),"Code inconnu"))</f>
        <v/>
      </c>
      <c r="D913" s="25"/>
      <c r="E913" s="25"/>
      <c r="F913" s="82"/>
      <c r="G913" s="82"/>
      <c r="H913" s="83" t="str">
        <f aca="false">IF(OR(F913="",G913=""),"",G913-F913)</f>
        <v/>
      </c>
      <c r="I913" s="82"/>
      <c r="J913" s="82"/>
      <c r="K913" s="28"/>
      <c r="L913" s="90" t="str">
        <f aca="false">IF(OR(K913="",N(H913)=0),"",K913/H913)</f>
        <v/>
      </c>
      <c r="M913" s="68"/>
      <c r="N913" s="28"/>
      <c r="O913" s="25"/>
      <c r="P913" s="83" t="str">
        <f aca="false">IF(OR(N913="",N(H913)=0),"",N913/H913)</f>
        <v/>
      </c>
      <c r="Q913" s="25"/>
    </row>
    <row r="914" customFormat="false" ht="15" hidden="false" customHeight="false" outlineLevel="0" collapsed="false">
      <c r="A914" s="69"/>
      <c r="B914" s="68"/>
      <c r="C914" s="76" t="str">
        <f aca="false">IF(B914="","",IFERROR(INDEX(EN_Des,MATCH(B914,EN_Code,0)),"Code inconnu"))</f>
        <v/>
      </c>
      <c r="D914" s="25"/>
      <c r="E914" s="25"/>
      <c r="F914" s="82"/>
      <c r="G914" s="82"/>
      <c r="H914" s="83" t="str">
        <f aca="false">IF(OR(F914="",G914=""),"",G914-F914)</f>
        <v/>
      </c>
      <c r="I914" s="82"/>
      <c r="J914" s="82"/>
      <c r="K914" s="28"/>
      <c r="L914" s="90" t="str">
        <f aca="false">IF(OR(K914="",N(H914)=0),"",K914/H914)</f>
        <v/>
      </c>
      <c r="M914" s="68"/>
      <c r="N914" s="28"/>
      <c r="O914" s="25"/>
      <c r="P914" s="83" t="str">
        <f aca="false">IF(OR(N914="",N(H914)=0),"",N914/H914)</f>
        <v/>
      </c>
      <c r="Q914" s="25"/>
    </row>
    <row r="915" customFormat="false" ht="15" hidden="false" customHeight="false" outlineLevel="0" collapsed="false">
      <c r="A915" s="69"/>
      <c r="B915" s="68"/>
      <c r="C915" s="76" t="str">
        <f aca="false">IF(B915="","",IFERROR(INDEX(EN_Des,MATCH(B915,EN_Code,0)),"Code inconnu"))</f>
        <v/>
      </c>
      <c r="D915" s="25"/>
      <c r="E915" s="25"/>
      <c r="F915" s="82"/>
      <c r="G915" s="82"/>
      <c r="H915" s="83" t="str">
        <f aca="false">IF(OR(F915="",G915=""),"",G915-F915)</f>
        <v/>
      </c>
      <c r="I915" s="82"/>
      <c r="J915" s="82"/>
      <c r="K915" s="28"/>
      <c r="L915" s="90" t="str">
        <f aca="false">IF(OR(K915="",N(H915)=0),"",K915/H915)</f>
        <v/>
      </c>
      <c r="M915" s="68"/>
      <c r="N915" s="28"/>
      <c r="O915" s="25"/>
      <c r="P915" s="83" t="str">
        <f aca="false">IF(OR(N915="",N(H915)=0),"",N915/H915)</f>
        <v/>
      </c>
      <c r="Q915" s="25"/>
    </row>
    <row r="916" customFormat="false" ht="15" hidden="false" customHeight="false" outlineLevel="0" collapsed="false">
      <c r="A916" s="69"/>
      <c r="B916" s="68"/>
      <c r="C916" s="76" t="str">
        <f aca="false">IF(B916="","",IFERROR(INDEX(EN_Des,MATCH(B916,EN_Code,0)),"Code inconnu"))</f>
        <v/>
      </c>
      <c r="D916" s="25"/>
      <c r="E916" s="25"/>
      <c r="F916" s="82"/>
      <c r="G916" s="82"/>
      <c r="H916" s="83" t="str">
        <f aca="false">IF(OR(F916="",G916=""),"",G916-F916)</f>
        <v/>
      </c>
      <c r="I916" s="82"/>
      <c r="J916" s="82"/>
      <c r="K916" s="28"/>
      <c r="L916" s="90" t="str">
        <f aca="false">IF(OR(K916="",N(H916)=0),"",K916/H916)</f>
        <v/>
      </c>
      <c r="M916" s="68"/>
      <c r="N916" s="28"/>
      <c r="O916" s="25"/>
      <c r="P916" s="83" t="str">
        <f aca="false">IF(OR(N916="",N(H916)=0),"",N916/H916)</f>
        <v/>
      </c>
      <c r="Q916" s="25"/>
    </row>
    <row r="917" customFormat="false" ht="15" hidden="false" customHeight="false" outlineLevel="0" collapsed="false">
      <c r="A917" s="69"/>
      <c r="B917" s="68"/>
      <c r="C917" s="76" t="str">
        <f aca="false">IF(B917="","",IFERROR(INDEX(EN_Des,MATCH(B917,EN_Code,0)),"Code inconnu"))</f>
        <v/>
      </c>
      <c r="D917" s="25"/>
      <c r="E917" s="25"/>
      <c r="F917" s="82"/>
      <c r="G917" s="82"/>
      <c r="H917" s="83" t="str">
        <f aca="false">IF(OR(F917="",G917=""),"",G917-F917)</f>
        <v/>
      </c>
      <c r="I917" s="82"/>
      <c r="J917" s="82"/>
      <c r="K917" s="28"/>
      <c r="L917" s="90" t="str">
        <f aca="false">IF(OR(K917="",N(H917)=0),"",K917/H917)</f>
        <v/>
      </c>
      <c r="M917" s="68"/>
      <c r="N917" s="28"/>
      <c r="O917" s="25"/>
      <c r="P917" s="83" t="str">
        <f aca="false">IF(OR(N917="",N(H917)=0),"",N917/H917)</f>
        <v/>
      </c>
      <c r="Q917" s="25"/>
    </row>
    <row r="918" customFormat="false" ht="15" hidden="false" customHeight="false" outlineLevel="0" collapsed="false">
      <c r="A918" s="69"/>
      <c r="B918" s="68"/>
      <c r="C918" s="76" t="str">
        <f aca="false">IF(B918="","",IFERROR(INDEX(EN_Des,MATCH(B918,EN_Code,0)),"Code inconnu"))</f>
        <v/>
      </c>
      <c r="D918" s="25"/>
      <c r="E918" s="25"/>
      <c r="F918" s="82"/>
      <c r="G918" s="82"/>
      <c r="H918" s="83" t="str">
        <f aca="false">IF(OR(F918="",G918=""),"",G918-F918)</f>
        <v/>
      </c>
      <c r="I918" s="82"/>
      <c r="J918" s="82"/>
      <c r="K918" s="28"/>
      <c r="L918" s="90" t="str">
        <f aca="false">IF(OR(K918="",N(H918)=0),"",K918/H918)</f>
        <v/>
      </c>
      <c r="M918" s="68"/>
      <c r="N918" s="28"/>
      <c r="O918" s="25"/>
      <c r="P918" s="83" t="str">
        <f aca="false">IF(OR(N918="",N(H918)=0),"",N918/H918)</f>
        <v/>
      </c>
      <c r="Q918" s="25"/>
    </row>
    <row r="919" customFormat="false" ht="15" hidden="false" customHeight="false" outlineLevel="0" collapsed="false">
      <c r="A919" s="69"/>
      <c r="B919" s="68"/>
      <c r="C919" s="76" t="str">
        <f aca="false">IF(B919="","",IFERROR(INDEX(EN_Des,MATCH(B919,EN_Code,0)),"Code inconnu"))</f>
        <v/>
      </c>
      <c r="D919" s="25"/>
      <c r="E919" s="25"/>
      <c r="F919" s="82"/>
      <c r="G919" s="82"/>
      <c r="H919" s="83" t="str">
        <f aca="false">IF(OR(F919="",G919=""),"",G919-F919)</f>
        <v/>
      </c>
      <c r="I919" s="82"/>
      <c r="J919" s="82"/>
      <c r="K919" s="28"/>
      <c r="L919" s="90" t="str">
        <f aca="false">IF(OR(K919="",N(H919)=0),"",K919/H919)</f>
        <v/>
      </c>
      <c r="M919" s="68"/>
      <c r="N919" s="28"/>
      <c r="O919" s="25"/>
      <c r="P919" s="83" t="str">
        <f aca="false">IF(OR(N919="",N(H919)=0),"",N919/H919)</f>
        <v/>
      </c>
      <c r="Q919" s="25"/>
    </row>
    <row r="920" customFormat="false" ht="15" hidden="false" customHeight="false" outlineLevel="0" collapsed="false">
      <c r="A920" s="69"/>
      <c r="B920" s="68"/>
      <c r="C920" s="76" t="str">
        <f aca="false">IF(B920="","",IFERROR(INDEX(EN_Des,MATCH(B920,EN_Code,0)),"Code inconnu"))</f>
        <v/>
      </c>
      <c r="D920" s="25"/>
      <c r="E920" s="25"/>
      <c r="F920" s="82"/>
      <c r="G920" s="82"/>
      <c r="H920" s="83" t="str">
        <f aca="false">IF(OR(F920="",G920=""),"",G920-F920)</f>
        <v/>
      </c>
      <c r="I920" s="82"/>
      <c r="J920" s="82"/>
      <c r="K920" s="28"/>
      <c r="L920" s="90" t="str">
        <f aca="false">IF(OR(K920="",N(H920)=0),"",K920/H920)</f>
        <v/>
      </c>
      <c r="M920" s="68"/>
      <c r="N920" s="28"/>
      <c r="O920" s="25"/>
      <c r="P920" s="83" t="str">
        <f aca="false">IF(OR(N920="",N(H920)=0),"",N920/H920)</f>
        <v/>
      </c>
      <c r="Q920" s="25"/>
    </row>
    <row r="921" customFormat="false" ht="15" hidden="false" customHeight="false" outlineLevel="0" collapsed="false">
      <c r="A921" s="69"/>
      <c r="B921" s="68"/>
      <c r="C921" s="76" t="str">
        <f aca="false">IF(B921="","",IFERROR(INDEX(EN_Des,MATCH(B921,EN_Code,0)),"Code inconnu"))</f>
        <v/>
      </c>
      <c r="D921" s="25"/>
      <c r="E921" s="25"/>
      <c r="F921" s="82"/>
      <c r="G921" s="82"/>
      <c r="H921" s="83" t="str">
        <f aca="false">IF(OR(F921="",G921=""),"",G921-F921)</f>
        <v/>
      </c>
      <c r="I921" s="82"/>
      <c r="J921" s="82"/>
      <c r="K921" s="28"/>
      <c r="L921" s="90" t="str">
        <f aca="false">IF(OR(K921="",N(H921)=0),"",K921/H921)</f>
        <v/>
      </c>
      <c r="M921" s="68"/>
      <c r="N921" s="28"/>
      <c r="O921" s="25"/>
      <c r="P921" s="83" t="str">
        <f aca="false">IF(OR(N921="",N(H921)=0),"",N921/H921)</f>
        <v/>
      </c>
      <c r="Q921" s="25"/>
    </row>
    <row r="922" customFormat="false" ht="15" hidden="false" customHeight="false" outlineLevel="0" collapsed="false">
      <c r="A922" s="69"/>
      <c r="B922" s="68"/>
      <c r="C922" s="76" t="str">
        <f aca="false">IF(B922="","",IFERROR(INDEX(EN_Des,MATCH(B922,EN_Code,0)),"Code inconnu"))</f>
        <v/>
      </c>
      <c r="D922" s="25"/>
      <c r="E922" s="25"/>
      <c r="F922" s="82"/>
      <c r="G922" s="82"/>
      <c r="H922" s="83" t="str">
        <f aca="false">IF(OR(F922="",G922=""),"",G922-F922)</f>
        <v/>
      </c>
      <c r="I922" s="82"/>
      <c r="J922" s="82"/>
      <c r="K922" s="28"/>
      <c r="L922" s="90" t="str">
        <f aca="false">IF(OR(K922="",N(H922)=0),"",K922/H922)</f>
        <v/>
      </c>
      <c r="M922" s="68"/>
      <c r="N922" s="28"/>
      <c r="O922" s="25"/>
      <c r="P922" s="83" t="str">
        <f aca="false">IF(OR(N922="",N(H922)=0),"",N922/H922)</f>
        <v/>
      </c>
      <c r="Q922" s="25"/>
    </row>
    <row r="923" customFormat="false" ht="15" hidden="false" customHeight="false" outlineLevel="0" collapsed="false">
      <c r="A923" s="69"/>
      <c r="B923" s="68"/>
      <c r="C923" s="76" t="str">
        <f aca="false">IF(B923="","",IFERROR(INDEX(EN_Des,MATCH(B923,EN_Code,0)),"Code inconnu"))</f>
        <v/>
      </c>
      <c r="D923" s="25"/>
      <c r="E923" s="25"/>
      <c r="F923" s="82"/>
      <c r="G923" s="82"/>
      <c r="H923" s="83" t="str">
        <f aca="false">IF(OR(F923="",G923=""),"",G923-F923)</f>
        <v/>
      </c>
      <c r="I923" s="82"/>
      <c r="J923" s="82"/>
      <c r="K923" s="28"/>
      <c r="L923" s="90" t="str">
        <f aca="false">IF(OR(K923="",N(H923)=0),"",K923/H923)</f>
        <v/>
      </c>
      <c r="M923" s="68"/>
      <c r="N923" s="28"/>
      <c r="O923" s="25"/>
      <c r="P923" s="83" t="str">
        <f aca="false">IF(OR(N923="",N(H923)=0),"",N923/H923)</f>
        <v/>
      </c>
      <c r="Q923" s="25"/>
    </row>
    <row r="924" customFormat="false" ht="15" hidden="false" customHeight="false" outlineLevel="0" collapsed="false">
      <c r="A924" s="69"/>
      <c r="B924" s="68"/>
      <c r="C924" s="76" t="str">
        <f aca="false">IF(B924="","",IFERROR(INDEX(EN_Des,MATCH(B924,EN_Code,0)),"Code inconnu"))</f>
        <v/>
      </c>
      <c r="D924" s="25"/>
      <c r="E924" s="25"/>
      <c r="F924" s="82"/>
      <c r="G924" s="82"/>
      <c r="H924" s="83" t="str">
        <f aca="false">IF(OR(F924="",G924=""),"",G924-F924)</f>
        <v/>
      </c>
      <c r="I924" s="82"/>
      <c r="J924" s="82"/>
      <c r="K924" s="28"/>
      <c r="L924" s="90" t="str">
        <f aca="false">IF(OR(K924="",N(H924)=0),"",K924/H924)</f>
        <v/>
      </c>
      <c r="M924" s="68"/>
      <c r="N924" s="28"/>
      <c r="O924" s="25"/>
      <c r="P924" s="83" t="str">
        <f aca="false">IF(OR(N924="",N(H924)=0),"",N924/H924)</f>
        <v/>
      </c>
      <c r="Q924" s="25"/>
    </row>
    <row r="925" customFormat="false" ht="15" hidden="false" customHeight="false" outlineLevel="0" collapsed="false">
      <c r="A925" s="69"/>
      <c r="B925" s="68"/>
      <c r="C925" s="76" t="str">
        <f aca="false">IF(B925="","",IFERROR(INDEX(EN_Des,MATCH(B925,EN_Code,0)),"Code inconnu"))</f>
        <v/>
      </c>
      <c r="D925" s="25"/>
      <c r="E925" s="25"/>
      <c r="F925" s="82"/>
      <c r="G925" s="82"/>
      <c r="H925" s="83" t="str">
        <f aca="false">IF(OR(F925="",G925=""),"",G925-F925)</f>
        <v/>
      </c>
      <c r="I925" s="82"/>
      <c r="J925" s="82"/>
      <c r="K925" s="28"/>
      <c r="L925" s="90" t="str">
        <f aca="false">IF(OR(K925="",N(H925)=0),"",K925/H925)</f>
        <v/>
      </c>
      <c r="M925" s="68"/>
      <c r="N925" s="28"/>
      <c r="O925" s="25"/>
      <c r="P925" s="83" t="str">
        <f aca="false">IF(OR(N925="",N(H925)=0),"",N925/H925)</f>
        <v/>
      </c>
      <c r="Q925" s="25"/>
    </row>
    <row r="926" customFormat="false" ht="15" hidden="false" customHeight="false" outlineLevel="0" collapsed="false">
      <c r="A926" s="69"/>
      <c r="B926" s="68"/>
      <c r="C926" s="76" t="str">
        <f aca="false">IF(B926="","",IFERROR(INDEX(EN_Des,MATCH(B926,EN_Code,0)),"Code inconnu"))</f>
        <v/>
      </c>
      <c r="D926" s="25"/>
      <c r="E926" s="25"/>
      <c r="F926" s="82"/>
      <c r="G926" s="82"/>
      <c r="H926" s="83" t="str">
        <f aca="false">IF(OR(F926="",G926=""),"",G926-F926)</f>
        <v/>
      </c>
      <c r="I926" s="82"/>
      <c r="J926" s="82"/>
      <c r="K926" s="28"/>
      <c r="L926" s="90" t="str">
        <f aca="false">IF(OR(K926="",N(H926)=0),"",K926/H926)</f>
        <v/>
      </c>
      <c r="M926" s="68"/>
      <c r="N926" s="28"/>
      <c r="O926" s="25"/>
      <c r="P926" s="83" t="str">
        <f aca="false">IF(OR(N926="",N(H926)=0),"",N926/H926)</f>
        <v/>
      </c>
      <c r="Q926" s="25"/>
    </row>
    <row r="927" customFormat="false" ht="15" hidden="false" customHeight="false" outlineLevel="0" collapsed="false">
      <c r="A927" s="69"/>
      <c r="B927" s="68"/>
      <c r="C927" s="76" t="str">
        <f aca="false">IF(B927="","",IFERROR(INDEX(EN_Des,MATCH(B927,EN_Code,0)),"Code inconnu"))</f>
        <v/>
      </c>
      <c r="D927" s="25"/>
      <c r="E927" s="25"/>
      <c r="F927" s="82"/>
      <c r="G927" s="82"/>
      <c r="H927" s="83" t="str">
        <f aca="false">IF(OR(F927="",G927=""),"",G927-F927)</f>
        <v/>
      </c>
      <c r="I927" s="82"/>
      <c r="J927" s="82"/>
      <c r="K927" s="28"/>
      <c r="L927" s="90" t="str">
        <f aca="false">IF(OR(K927="",N(H927)=0),"",K927/H927)</f>
        <v/>
      </c>
      <c r="M927" s="68"/>
      <c r="N927" s="28"/>
      <c r="O927" s="25"/>
      <c r="P927" s="83" t="str">
        <f aca="false">IF(OR(N927="",N(H927)=0),"",N927/H927)</f>
        <v/>
      </c>
      <c r="Q927" s="25"/>
    </row>
    <row r="928" customFormat="false" ht="15" hidden="false" customHeight="false" outlineLevel="0" collapsed="false">
      <c r="A928" s="69"/>
      <c r="B928" s="68"/>
      <c r="C928" s="76" t="str">
        <f aca="false">IF(B928="","",IFERROR(INDEX(EN_Des,MATCH(B928,EN_Code,0)),"Code inconnu"))</f>
        <v/>
      </c>
      <c r="D928" s="25"/>
      <c r="E928" s="25"/>
      <c r="F928" s="82"/>
      <c r="G928" s="82"/>
      <c r="H928" s="83" t="str">
        <f aca="false">IF(OR(F928="",G928=""),"",G928-F928)</f>
        <v/>
      </c>
      <c r="I928" s="82"/>
      <c r="J928" s="82"/>
      <c r="K928" s="28"/>
      <c r="L928" s="90" t="str">
        <f aca="false">IF(OR(K928="",N(H928)=0),"",K928/H928)</f>
        <v/>
      </c>
      <c r="M928" s="68"/>
      <c r="N928" s="28"/>
      <c r="O928" s="25"/>
      <c r="P928" s="83" t="str">
        <f aca="false">IF(OR(N928="",N(H928)=0),"",N928/H928)</f>
        <v/>
      </c>
      <c r="Q928" s="25"/>
    </row>
    <row r="929" customFormat="false" ht="15" hidden="false" customHeight="false" outlineLevel="0" collapsed="false">
      <c r="A929" s="69"/>
      <c r="B929" s="68"/>
      <c r="C929" s="76" t="str">
        <f aca="false">IF(B929="","",IFERROR(INDEX(EN_Des,MATCH(B929,EN_Code,0)),"Code inconnu"))</f>
        <v/>
      </c>
      <c r="D929" s="25"/>
      <c r="E929" s="25"/>
      <c r="F929" s="82"/>
      <c r="G929" s="82"/>
      <c r="H929" s="83" t="str">
        <f aca="false">IF(OR(F929="",G929=""),"",G929-F929)</f>
        <v/>
      </c>
      <c r="I929" s="82"/>
      <c r="J929" s="82"/>
      <c r="K929" s="28"/>
      <c r="L929" s="90" t="str">
        <f aca="false">IF(OR(K929="",N(H929)=0),"",K929/H929)</f>
        <v/>
      </c>
      <c r="M929" s="68"/>
      <c r="N929" s="28"/>
      <c r="O929" s="25"/>
      <c r="P929" s="83" t="str">
        <f aca="false">IF(OR(N929="",N(H929)=0),"",N929/H929)</f>
        <v/>
      </c>
      <c r="Q929" s="25"/>
    </row>
    <row r="930" customFormat="false" ht="15" hidden="false" customHeight="false" outlineLevel="0" collapsed="false">
      <c r="A930" s="69"/>
      <c r="B930" s="68"/>
      <c r="C930" s="76" t="str">
        <f aca="false">IF(B930="","",IFERROR(INDEX(EN_Des,MATCH(B930,EN_Code,0)),"Code inconnu"))</f>
        <v/>
      </c>
      <c r="D930" s="25"/>
      <c r="E930" s="25"/>
      <c r="F930" s="82"/>
      <c r="G930" s="82"/>
      <c r="H930" s="83" t="str">
        <f aca="false">IF(OR(F930="",G930=""),"",G930-F930)</f>
        <v/>
      </c>
      <c r="I930" s="82"/>
      <c r="J930" s="82"/>
      <c r="K930" s="28"/>
      <c r="L930" s="90" t="str">
        <f aca="false">IF(OR(K930="",N(H930)=0),"",K930/H930)</f>
        <v/>
      </c>
      <c r="M930" s="68"/>
      <c r="N930" s="28"/>
      <c r="O930" s="25"/>
      <c r="P930" s="83" t="str">
        <f aca="false">IF(OR(N930="",N(H930)=0),"",N930/H930)</f>
        <v/>
      </c>
      <c r="Q930" s="25"/>
    </row>
    <row r="931" customFormat="false" ht="15" hidden="false" customHeight="false" outlineLevel="0" collapsed="false">
      <c r="A931" s="69"/>
      <c r="B931" s="68"/>
      <c r="C931" s="76" t="str">
        <f aca="false">IF(B931="","",IFERROR(INDEX(EN_Des,MATCH(B931,EN_Code,0)),"Code inconnu"))</f>
        <v/>
      </c>
      <c r="D931" s="25"/>
      <c r="E931" s="25"/>
      <c r="F931" s="82"/>
      <c r="G931" s="82"/>
      <c r="H931" s="83" t="str">
        <f aca="false">IF(OR(F931="",G931=""),"",G931-F931)</f>
        <v/>
      </c>
      <c r="I931" s="82"/>
      <c r="J931" s="82"/>
      <c r="K931" s="28"/>
      <c r="L931" s="90" t="str">
        <f aca="false">IF(OR(K931="",N(H931)=0),"",K931/H931)</f>
        <v/>
      </c>
      <c r="M931" s="68"/>
      <c r="N931" s="28"/>
      <c r="O931" s="25"/>
      <c r="P931" s="83" t="str">
        <f aca="false">IF(OR(N931="",N(H931)=0),"",N931/H931)</f>
        <v/>
      </c>
      <c r="Q931" s="25"/>
    </row>
    <row r="932" customFormat="false" ht="15" hidden="false" customHeight="false" outlineLevel="0" collapsed="false">
      <c r="A932" s="69"/>
      <c r="B932" s="68"/>
      <c r="C932" s="76" t="str">
        <f aca="false">IF(B932="","",IFERROR(INDEX(EN_Des,MATCH(B932,EN_Code,0)),"Code inconnu"))</f>
        <v/>
      </c>
      <c r="D932" s="25"/>
      <c r="E932" s="25"/>
      <c r="F932" s="82"/>
      <c r="G932" s="82"/>
      <c r="H932" s="83" t="str">
        <f aca="false">IF(OR(F932="",G932=""),"",G932-F932)</f>
        <v/>
      </c>
      <c r="I932" s="82"/>
      <c r="J932" s="82"/>
      <c r="K932" s="28"/>
      <c r="L932" s="90" t="str">
        <f aca="false">IF(OR(K932="",N(H932)=0),"",K932/H932)</f>
        <v/>
      </c>
      <c r="M932" s="68"/>
      <c r="N932" s="28"/>
      <c r="O932" s="25"/>
      <c r="P932" s="83" t="str">
        <f aca="false">IF(OR(N932="",N(H932)=0),"",N932/H932)</f>
        <v/>
      </c>
      <c r="Q932" s="25"/>
    </row>
    <row r="933" customFormat="false" ht="15" hidden="false" customHeight="false" outlineLevel="0" collapsed="false">
      <c r="A933" s="69"/>
      <c r="B933" s="68"/>
      <c r="C933" s="76" t="str">
        <f aca="false">IF(B933="","",IFERROR(INDEX(EN_Des,MATCH(B933,EN_Code,0)),"Code inconnu"))</f>
        <v/>
      </c>
      <c r="D933" s="25"/>
      <c r="E933" s="25"/>
      <c r="F933" s="82"/>
      <c r="G933" s="82"/>
      <c r="H933" s="83" t="str">
        <f aca="false">IF(OR(F933="",G933=""),"",G933-F933)</f>
        <v/>
      </c>
      <c r="I933" s="82"/>
      <c r="J933" s="82"/>
      <c r="K933" s="28"/>
      <c r="L933" s="90" t="str">
        <f aca="false">IF(OR(K933="",N(H933)=0),"",K933/H933)</f>
        <v/>
      </c>
      <c r="M933" s="68"/>
      <c r="N933" s="28"/>
      <c r="O933" s="25"/>
      <c r="P933" s="83" t="str">
        <f aca="false">IF(OR(N933="",N(H933)=0),"",N933/H933)</f>
        <v/>
      </c>
      <c r="Q933" s="25"/>
    </row>
    <row r="934" customFormat="false" ht="15" hidden="false" customHeight="false" outlineLevel="0" collapsed="false">
      <c r="A934" s="69"/>
      <c r="B934" s="68"/>
      <c r="C934" s="76" t="str">
        <f aca="false">IF(B934="","",IFERROR(INDEX(EN_Des,MATCH(B934,EN_Code,0)),"Code inconnu"))</f>
        <v/>
      </c>
      <c r="D934" s="25"/>
      <c r="E934" s="25"/>
      <c r="F934" s="82"/>
      <c r="G934" s="82"/>
      <c r="H934" s="83" t="str">
        <f aca="false">IF(OR(F934="",G934=""),"",G934-F934)</f>
        <v/>
      </c>
      <c r="I934" s="82"/>
      <c r="J934" s="82"/>
      <c r="K934" s="28"/>
      <c r="L934" s="90" t="str">
        <f aca="false">IF(OR(K934="",N(H934)=0),"",K934/H934)</f>
        <v/>
      </c>
      <c r="M934" s="68"/>
      <c r="N934" s="28"/>
      <c r="O934" s="25"/>
      <c r="P934" s="83" t="str">
        <f aca="false">IF(OR(N934="",N(H934)=0),"",N934/H934)</f>
        <v/>
      </c>
      <c r="Q934" s="25"/>
    </row>
    <row r="935" customFormat="false" ht="15" hidden="false" customHeight="false" outlineLevel="0" collapsed="false">
      <c r="A935" s="69"/>
      <c r="B935" s="68"/>
      <c r="C935" s="76" t="str">
        <f aca="false">IF(B935="","",IFERROR(INDEX(EN_Des,MATCH(B935,EN_Code,0)),"Code inconnu"))</f>
        <v/>
      </c>
      <c r="D935" s="25"/>
      <c r="E935" s="25"/>
      <c r="F935" s="82"/>
      <c r="G935" s="82"/>
      <c r="H935" s="83" t="str">
        <f aca="false">IF(OR(F935="",G935=""),"",G935-F935)</f>
        <v/>
      </c>
      <c r="I935" s="82"/>
      <c r="J935" s="82"/>
      <c r="K935" s="28"/>
      <c r="L935" s="90" t="str">
        <f aca="false">IF(OR(K935="",N(H935)=0),"",K935/H935)</f>
        <v/>
      </c>
      <c r="M935" s="68"/>
      <c r="N935" s="28"/>
      <c r="O935" s="25"/>
      <c r="P935" s="83" t="str">
        <f aca="false">IF(OR(N935="",N(H935)=0),"",N935/H935)</f>
        <v/>
      </c>
      <c r="Q935" s="25"/>
    </row>
    <row r="936" customFormat="false" ht="15" hidden="false" customHeight="false" outlineLevel="0" collapsed="false">
      <c r="A936" s="69"/>
      <c r="B936" s="68"/>
      <c r="C936" s="76" t="str">
        <f aca="false">IF(B936="","",IFERROR(INDEX(EN_Des,MATCH(B936,EN_Code,0)),"Code inconnu"))</f>
        <v/>
      </c>
      <c r="D936" s="25"/>
      <c r="E936" s="25"/>
      <c r="F936" s="82"/>
      <c r="G936" s="82"/>
      <c r="H936" s="83" t="str">
        <f aca="false">IF(OR(F936="",G936=""),"",G936-F936)</f>
        <v/>
      </c>
      <c r="I936" s="82"/>
      <c r="J936" s="82"/>
      <c r="K936" s="28"/>
      <c r="L936" s="90" t="str">
        <f aca="false">IF(OR(K936="",N(H936)=0),"",K936/H936)</f>
        <v/>
      </c>
      <c r="M936" s="68"/>
      <c r="N936" s="28"/>
      <c r="O936" s="25"/>
      <c r="P936" s="83" t="str">
        <f aca="false">IF(OR(N936="",N(H936)=0),"",N936/H936)</f>
        <v/>
      </c>
      <c r="Q936" s="25"/>
    </row>
    <row r="937" customFormat="false" ht="15" hidden="false" customHeight="false" outlineLevel="0" collapsed="false">
      <c r="A937" s="69"/>
      <c r="B937" s="68"/>
      <c r="C937" s="76" t="str">
        <f aca="false">IF(B937="","",IFERROR(INDEX(EN_Des,MATCH(B937,EN_Code,0)),"Code inconnu"))</f>
        <v/>
      </c>
      <c r="D937" s="25"/>
      <c r="E937" s="25"/>
      <c r="F937" s="82"/>
      <c r="G937" s="82"/>
      <c r="H937" s="83" t="str">
        <f aca="false">IF(OR(F937="",G937=""),"",G937-F937)</f>
        <v/>
      </c>
      <c r="I937" s="82"/>
      <c r="J937" s="82"/>
      <c r="K937" s="28"/>
      <c r="L937" s="90" t="str">
        <f aca="false">IF(OR(K937="",N(H937)=0),"",K937/H937)</f>
        <v/>
      </c>
      <c r="M937" s="68"/>
      <c r="N937" s="28"/>
      <c r="O937" s="25"/>
      <c r="P937" s="83" t="str">
        <f aca="false">IF(OR(N937="",N(H937)=0),"",N937/H937)</f>
        <v/>
      </c>
      <c r="Q937" s="25"/>
    </row>
    <row r="938" customFormat="false" ht="15" hidden="false" customHeight="false" outlineLevel="0" collapsed="false">
      <c r="A938" s="69"/>
      <c r="B938" s="68"/>
      <c r="C938" s="76" t="str">
        <f aca="false">IF(B938="","",IFERROR(INDEX(EN_Des,MATCH(B938,EN_Code,0)),"Code inconnu"))</f>
        <v/>
      </c>
      <c r="D938" s="25"/>
      <c r="E938" s="25"/>
      <c r="F938" s="82"/>
      <c r="G938" s="82"/>
      <c r="H938" s="83" t="str">
        <f aca="false">IF(OR(F938="",G938=""),"",G938-F938)</f>
        <v/>
      </c>
      <c r="I938" s="82"/>
      <c r="J938" s="82"/>
      <c r="K938" s="28"/>
      <c r="L938" s="90" t="str">
        <f aca="false">IF(OR(K938="",N(H938)=0),"",K938/H938)</f>
        <v/>
      </c>
      <c r="M938" s="68"/>
      <c r="N938" s="28"/>
      <c r="O938" s="25"/>
      <c r="P938" s="83" t="str">
        <f aca="false">IF(OR(N938="",N(H938)=0),"",N938/H938)</f>
        <v/>
      </c>
      <c r="Q938" s="25"/>
    </row>
    <row r="939" customFormat="false" ht="15" hidden="false" customHeight="false" outlineLevel="0" collapsed="false">
      <c r="A939" s="69"/>
      <c r="B939" s="68"/>
      <c r="C939" s="76" t="str">
        <f aca="false">IF(B939="","",IFERROR(INDEX(EN_Des,MATCH(B939,EN_Code,0)),"Code inconnu"))</f>
        <v/>
      </c>
      <c r="D939" s="25"/>
      <c r="E939" s="25"/>
      <c r="F939" s="82"/>
      <c r="G939" s="82"/>
      <c r="H939" s="83" t="str">
        <f aca="false">IF(OR(F939="",G939=""),"",G939-F939)</f>
        <v/>
      </c>
      <c r="I939" s="82"/>
      <c r="J939" s="82"/>
      <c r="K939" s="28"/>
      <c r="L939" s="90" t="str">
        <f aca="false">IF(OR(K939="",N(H939)=0),"",K939/H939)</f>
        <v/>
      </c>
      <c r="M939" s="68"/>
      <c r="N939" s="28"/>
      <c r="O939" s="25"/>
      <c r="P939" s="83" t="str">
        <f aca="false">IF(OR(N939="",N(H939)=0),"",N939/H939)</f>
        <v/>
      </c>
      <c r="Q939" s="25"/>
    </row>
    <row r="940" customFormat="false" ht="15" hidden="false" customHeight="false" outlineLevel="0" collapsed="false">
      <c r="A940" s="69"/>
      <c r="B940" s="68"/>
      <c r="C940" s="76" t="str">
        <f aca="false">IF(B940="","",IFERROR(INDEX(EN_Des,MATCH(B940,EN_Code,0)),"Code inconnu"))</f>
        <v/>
      </c>
      <c r="D940" s="25"/>
      <c r="E940" s="25"/>
      <c r="F940" s="82"/>
      <c r="G940" s="82"/>
      <c r="H940" s="83" t="str">
        <f aca="false">IF(OR(F940="",G940=""),"",G940-F940)</f>
        <v/>
      </c>
      <c r="I940" s="82"/>
      <c r="J940" s="82"/>
      <c r="K940" s="28"/>
      <c r="L940" s="90" t="str">
        <f aca="false">IF(OR(K940="",N(H940)=0),"",K940/H940)</f>
        <v/>
      </c>
      <c r="M940" s="68"/>
      <c r="N940" s="28"/>
      <c r="O940" s="25"/>
      <c r="P940" s="83" t="str">
        <f aca="false">IF(OR(N940="",N(H940)=0),"",N940/H940)</f>
        <v/>
      </c>
      <c r="Q940" s="25"/>
    </row>
    <row r="941" customFormat="false" ht="15" hidden="false" customHeight="false" outlineLevel="0" collapsed="false">
      <c r="A941" s="69"/>
      <c r="B941" s="68"/>
      <c r="C941" s="76" t="str">
        <f aca="false">IF(B941="","",IFERROR(INDEX(EN_Des,MATCH(B941,EN_Code,0)),"Code inconnu"))</f>
        <v/>
      </c>
      <c r="D941" s="25"/>
      <c r="E941" s="25"/>
      <c r="F941" s="82"/>
      <c r="G941" s="82"/>
      <c r="H941" s="83" t="str">
        <f aca="false">IF(OR(F941="",G941=""),"",G941-F941)</f>
        <v/>
      </c>
      <c r="I941" s="82"/>
      <c r="J941" s="82"/>
      <c r="K941" s="28"/>
      <c r="L941" s="90" t="str">
        <f aca="false">IF(OR(K941="",N(H941)=0),"",K941/H941)</f>
        <v/>
      </c>
      <c r="M941" s="68"/>
      <c r="N941" s="28"/>
      <c r="O941" s="25"/>
      <c r="P941" s="83" t="str">
        <f aca="false">IF(OR(N941="",N(H941)=0),"",N941/H941)</f>
        <v/>
      </c>
      <c r="Q941" s="25"/>
    </row>
    <row r="942" customFormat="false" ht="15" hidden="false" customHeight="false" outlineLevel="0" collapsed="false">
      <c r="A942" s="69"/>
      <c r="B942" s="68"/>
      <c r="C942" s="76" t="str">
        <f aca="false">IF(B942="","",IFERROR(INDEX(EN_Des,MATCH(B942,EN_Code,0)),"Code inconnu"))</f>
        <v/>
      </c>
      <c r="D942" s="25"/>
      <c r="E942" s="25"/>
      <c r="F942" s="82"/>
      <c r="G942" s="82"/>
      <c r="H942" s="83" t="str">
        <f aca="false">IF(OR(F942="",G942=""),"",G942-F942)</f>
        <v/>
      </c>
      <c r="I942" s="82"/>
      <c r="J942" s="82"/>
      <c r="K942" s="28"/>
      <c r="L942" s="90" t="str">
        <f aca="false">IF(OR(K942="",N(H942)=0),"",K942/H942)</f>
        <v/>
      </c>
      <c r="M942" s="68"/>
      <c r="N942" s="28"/>
      <c r="O942" s="25"/>
      <c r="P942" s="83" t="str">
        <f aca="false">IF(OR(N942="",N(H942)=0),"",N942/H942)</f>
        <v/>
      </c>
      <c r="Q942" s="25"/>
    </row>
    <row r="943" customFormat="false" ht="15" hidden="false" customHeight="false" outlineLevel="0" collapsed="false">
      <c r="A943" s="69"/>
      <c r="B943" s="68"/>
      <c r="C943" s="76" t="str">
        <f aca="false">IF(B943="","",IFERROR(INDEX(EN_Des,MATCH(B943,EN_Code,0)),"Code inconnu"))</f>
        <v/>
      </c>
      <c r="D943" s="25"/>
      <c r="E943" s="25"/>
      <c r="F943" s="82"/>
      <c r="G943" s="82"/>
      <c r="H943" s="83" t="str">
        <f aca="false">IF(OR(F943="",G943=""),"",G943-F943)</f>
        <v/>
      </c>
      <c r="I943" s="82"/>
      <c r="J943" s="82"/>
      <c r="K943" s="28"/>
      <c r="L943" s="90" t="str">
        <f aca="false">IF(OR(K943="",N(H943)=0),"",K943/H943)</f>
        <v/>
      </c>
      <c r="M943" s="68"/>
      <c r="N943" s="28"/>
      <c r="O943" s="25"/>
      <c r="P943" s="83" t="str">
        <f aca="false">IF(OR(N943="",N(H943)=0),"",N943/H943)</f>
        <v/>
      </c>
      <c r="Q943" s="25"/>
    </row>
    <row r="944" customFormat="false" ht="15" hidden="false" customHeight="false" outlineLevel="0" collapsed="false">
      <c r="A944" s="69"/>
      <c r="B944" s="68"/>
      <c r="C944" s="76" t="str">
        <f aca="false">IF(B944="","",IFERROR(INDEX(EN_Des,MATCH(B944,EN_Code,0)),"Code inconnu"))</f>
        <v/>
      </c>
      <c r="D944" s="25"/>
      <c r="E944" s="25"/>
      <c r="F944" s="82"/>
      <c r="G944" s="82"/>
      <c r="H944" s="83" t="str">
        <f aca="false">IF(OR(F944="",G944=""),"",G944-F944)</f>
        <v/>
      </c>
      <c r="I944" s="82"/>
      <c r="J944" s="82"/>
      <c r="K944" s="28"/>
      <c r="L944" s="90" t="str">
        <f aca="false">IF(OR(K944="",N(H944)=0),"",K944/H944)</f>
        <v/>
      </c>
      <c r="M944" s="68"/>
      <c r="N944" s="28"/>
      <c r="O944" s="25"/>
      <c r="P944" s="83" t="str">
        <f aca="false">IF(OR(N944="",N(H944)=0),"",N944/H944)</f>
        <v/>
      </c>
      <c r="Q944" s="25"/>
    </row>
    <row r="945" customFormat="false" ht="15" hidden="false" customHeight="false" outlineLevel="0" collapsed="false">
      <c r="A945" s="69"/>
      <c r="B945" s="68"/>
      <c r="C945" s="76" t="str">
        <f aca="false">IF(B945="","",IFERROR(INDEX(EN_Des,MATCH(B945,EN_Code,0)),"Code inconnu"))</f>
        <v/>
      </c>
      <c r="D945" s="25"/>
      <c r="E945" s="25"/>
      <c r="F945" s="82"/>
      <c r="G945" s="82"/>
      <c r="H945" s="83" t="str">
        <f aca="false">IF(OR(F945="",G945=""),"",G945-F945)</f>
        <v/>
      </c>
      <c r="I945" s="82"/>
      <c r="J945" s="82"/>
      <c r="K945" s="28"/>
      <c r="L945" s="90" t="str">
        <f aca="false">IF(OR(K945="",N(H945)=0),"",K945/H945)</f>
        <v/>
      </c>
      <c r="M945" s="68"/>
      <c r="N945" s="28"/>
      <c r="O945" s="25"/>
      <c r="P945" s="83" t="str">
        <f aca="false">IF(OR(N945="",N(H945)=0),"",N945/H945)</f>
        <v/>
      </c>
      <c r="Q945" s="25"/>
    </row>
    <row r="946" customFormat="false" ht="15" hidden="false" customHeight="false" outlineLevel="0" collapsed="false">
      <c r="A946" s="69"/>
      <c r="B946" s="68"/>
      <c r="C946" s="76" t="str">
        <f aca="false">IF(B946="","",IFERROR(INDEX(EN_Des,MATCH(B946,EN_Code,0)),"Code inconnu"))</f>
        <v/>
      </c>
      <c r="D946" s="25"/>
      <c r="E946" s="25"/>
      <c r="F946" s="82"/>
      <c r="G946" s="82"/>
      <c r="H946" s="83" t="str">
        <f aca="false">IF(OR(F946="",G946=""),"",G946-F946)</f>
        <v/>
      </c>
      <c r="I946" s="82"/>
      <c r="J946" s="82"/>
      <c r="K946" s="28"/>
      <c r="L946" s="90" t="str">
        <f aca="false">IF(OR(K946="",N(H946)=0),"",K946/H946)</f>
        <v/>
      </c>
      <c r="M946" s="68"/>
      <c r="N946" s="28"/>
      <c r="O946" s="25"/>
      <c r="P946" s="83" t="str">
        <f aca="false">IF(OR(N946="",N(H946)=0),"",N946/H946)</f>
        <v/>
      </c>
      <c r="Q946" s="25"/>
    </row>
    <row r="947" customFormat="false" ht="15" hidden="false" customHeight="false" outlineLevel="0" collapsed="false">
      <c r="A947" s="69"/>
      <c r="B947" s="68"/>
      <c r="C947" s="76" t="str">
        <f aca="false">IF(B947="","",IFERROR(INDEX(EN_Des,MATCH(B947,EN_Code,0)),"Code inconnu"))</f>
        <v/>
      </c>
      <c r="D947" s="25"/>
      <c r="E947" s="25"/>
      <c r="F947" s="82"/>
      <c r="G947" s="82"/>
      <c r="H947" s="83" t="str">
        <f aca="false">IF(OR(F947="",G947=""),"",G947-F947)</f>
        <v/>
      </c>
      <c r="I947" s="82"/>
      <c r="J947" s="82"/>
      <c r="K947" s="28"/>
      <c r="L947" s="90" t="str">
        <f aca="false">IF(OR(K947="",N(H947)=0),"",K947/H947)</f>
        <v/>
      </c>
      <c r="M947" s="68"/>
      <c r="N947" s="28"/>
      <c r="O947" s="25"/>
      <c r="P947" s="83" t="str">
        <f aca="false">IF(OR(N947="",N(H947)=0),"",N947/H947)</f>
        <v/>
      </c>
      <c r="Q947" s="25"/>
    </row>
    <row r="948" customFormat="false" ht="15" hidden="false" customHeight="false" outlineLevel="0" collapsed="false">
      <c r="A948" s="69"/>
      <c r="B948" s="68"/>
      <c r="C948" s="76" t="str">
        <f aca="false">IF(B948="","",IFERROR(INDEX(EN_Des,MATCH(B948,EN_Code,0)),"Code inconnu"))</f>
        <v/>
      </c>
      <c r="D948" s="25"/>
      <c r="E948" s="25"/>
      <c r="F948" s="82"/>
      <c r="G948" s="82"/>
      <c r="H948" s="83" t="str">
        <f aca="false">IF(OR(F948="",G948=""),"",G948-F948)</f>
        <v/>
      </c>
      <c r="I948" s="82"/>
      <c r="J948" s="82"/>
      <c r="K948" s="28"/>
      <c r="L948" s="90" t="str">
        <f aca="false">IF(OR(K948="",N(H948)=0),"",K948/H948)</f>
        <v/>
      </c>
      <c r="M948" s="68"/>
      <c r="N948" s="28"/>
      <c r="O948" s="25"/>
      <c r="P948" s="83" t="str">
        <f aca="false">IF(OR(N948="",N(H948)=0),"",N948/H948)</f>
        <v/>
      </c>
      <c r="Q948" s="25"/>
    </row>
    <row r="949" customFormat="false" ht="15" hidden="false" customHeight="false" outlineLevel="0" collapsed="false">
      <c r="A949" s="69"/>
      <c r="B949" s="68"/>
      <c r="C949" s="76" t="str">
        <f aca="false">IF(B949="","",IFERROR(INDEX(EN_Des,MATCH(B949,EN_Code,0)),"Code inconnu"))</f>
        <v/>
      </c>
      <c r="D949" s="25"/>
      <c r="E949" s="25"/>
      <c r="F949" s="82"/>
      <c r="G949" s="82"/>
      <c r="H949" s="83" t="str">
        <f aca="false">IF(OR(F949="",G949=""),"",G949-F949)</f>
        <v/>
      </c>
      <c r="I949" s="82"/>
      <c r="J949" s="82"/>
      <c r="K949" s="28"/>
      <c r="L949" s="90" t="str">
        <f aca="false">IF(OR(K949="",N(H949)=0),"",K949/H949)</f>
        <v/>
      </c>
      <c r="M949" s="68"/>
      <c r="N949" s="28"/>
      <c r="O949" s="25"/>
      <c r="P949" s="83" t="str">
        <f aca="false">IF(OR(N949="",N(H949)=0),"",N949/H949)</f>
        <v/>
      </c>
      <c r="Q949" s="25"/>
    </row>
    <row r="950" customFormat="false" ht="15" hidden="false" customHeight="false" outlineLevel="0" collapsed="false">
      <c r="A950" s="69"/>
      <c r="B950" s="68"/>
      <c r="C950" s="76" t="str">
        <f aca="false">IF(B950="","",IFERROR(INDEX(EN_Des,MATCH(B950,EN_Code,0)),"Code inconnu"))</f>
        <v/>
      </c>
      <c r="D950" s="25"/>
      <c r="E950" s="25"/>
      <c r="F950" s="82"/>
      <c r="G950" s="82"/>
      <c r="H950" s="83" t="str">
        <f aca="false">IF(OR(F950="",G950=""),"",G950-F950)</f>
        <v/>
      </c>
      <c r="I950" s="82"/>
      <c r="J950" s="82"/>
      <c r="K950" s="28"/>
      <c r="L950" s="90" t="str">
        <f aca="false">IF(OR(K950="",N(H950)=0),"",K950/H950)</f>
        <v/>
      </c>
      <c r="M950" s="68"/>
      <c r="N950" s="28"/>
      <c r="O950" s="25"/>
      <c r="P950" s="83" t="str">
        <f aca="false">IF(OR(N950="",N(H950)=0),"",N950/H950)</f>
        <v/>
      </c>
      <c r="Q950" s="25"/>
    </row>
    <row r="951" customFormat="false" ht="15" hidden="false" customHeight="false" outlineLevel="0" collapsed="false">
      <c r="A951" s="69"/>
      <c r="B951" s="68"/>
      <c r="C951" s="76" t="str">
        <f aca="false">IF(B951="","",IFERROR(INDEX(EN_Des,MATCH(B951,EN_Code,0)),"Code inconnu"))</f>
        <v/>
      </c>
      <c r="D951" s="25"/>
      <c r="E951" s="25"/>
      <c r="F951" s="82"/>
      <c r="G951" s="82"/>
      <c r="H951" s="83" t="str">
        <f aca="false">IF(OR(F951="",G951=""),"",G951-F951)</f>
        <v/>
      </c>
      <c r="I951" s="82"/>
      <c r="J951" s="82"/>
      <c r="K951" s="28"/>
      <c r="L951" s="90" t="str">
        <f aca="false">IF(OR(K951="",N(H951)=0),"",K951/H951)</f>
        <v/>
      </c>
      <c r="M951" s="68"/>
      <c r="N951" s="28"/>
      <c r="O951" s="25"/>
      <c r="P951" s="83" t="str">
        <f aca="false">IF(OR(N951="",N(H951)=0),"",N951/H951)</f>
        <v/>
      </c>
      <c r="Q951" s="25"/>
    </row>
    <row r="952" customFormat="false" ht="15" hidden="false" customHeight="false" outlineLevel="0" collapsed="false">
      <c r="A952" s="69"/>
      <c r="B952" s="68"/>
      <c r="C952" s="76" t="str">
        <f aca="false">IF(B952="","",IFERROR(INDEX(EN_Des,MATCH(B952,EN_Code,0)),"Code inconnu"))</f>
        <v/>
      </c>
      <c r="D952" s="25"/>
      <c r="E952" s="25"/>
      <c r="F952" s="82"/>
      <c r="G952" s="82"/>
      <c r="H952" s="83" t="str">
        <f aca="false">IF(OR(F952="",G952=""),"",G952-F952)</f>
        <v/>
      </c>
      <c r="I952" s="82"/>
      <c r="J952" s="82"/>
      <c r="K952" s="28"/>
      <c r="L952" s="90" t="str">
        <f aca="false">IF(OR(K952="",N(H952)=0),"",K952/H952)</f>
        <v/>
      </c>
      <c r="M952" s="68"/>
      <c r="N952" s="28"/>
      <c r="O952" s="25"/>
      <c r="P952" s="83" t="str">
        <f aca="false">IF(OR(N952="",N(H952)=0),"",N952/H952)</f>
        <v/>
      </c>
      <c r="Q952" s="25"/>
    </row>
    <row r="953" customFormat="false" ht="15" hidden="false" customHeight="false" outlineLevel="0" collapsed="false">
      <c r="A953" s="69"/>
      <c r="B953" s="68"/>
      <c r="C953" s="76" t="str">
        <f aca="false">IF(B953="","",IFERROR(INDEX(EN_Des,MATCH(B953,EN_Code,0)),"Code inconnu"))</f>
        <v/>
      </c>
      <c r="D953" s="25"/>
      <c r="E953" s="25"/>
      <c r="F953" s="82"/>
      <c r="G953" s="82"/>
      <c r="H953" s="83" t="str">
        <f aca="false">IF(OR(F953="",G953=""),"",G953-F953)</f>
        <v/>
      </c>
      <c r="I953" s="82"/>
      <c r="J953" s="82"/>
      <c r="K953" s="28"/>
      <c r="L953" s="90" t="str">
        <f aca="false">IF(OR(K953="",N(H953)=0),"",K953/H953)</f>
        <v/>
      </c>
      <c r="M953" s="68"/>
      <c r="N953" s="28"/>
      <c r="O953" s="25"/>
      <c r="P953" s="83" t="str">
        <f aca="false">IF(OR(N953="",N(H953)=0),"",N953/H953)</f>
        <v/>
      </c>
      <c r="Q953" s="25"/>
    </row>
    <row r="954" customFormat="false" ht="15" hidden="false" customHeight="false" outlineLevel="0" collapsed="false">
      <c r="A954" s="69"/>
      <c r="B954" s="68"/>
      <c r="C954" s="76" t="str">
        <f aca="false">IF(B954="","",IFERROR(INDEX(EN_Des,MATCH(B954,EN_Code,0)),"Code inconnu"))</f>
        <v/>
      </c>
      <c r="D954" s="25"/>
      <c r="E954" s="25"/>
      <c r="F954" s="82"/>
      <c r="G954" s="82"/>
      <c r="H954" s="83" t="str">
        <f aca="false">IF(OR(F954="",G954=""),"",G954-F954)</f>
        <v/>
      </c>
      <c r="I954" s="82"/>
      <c r="J954" s="82"/>
      <c r="K954" s="28"/>
      <c r="L954" s="90" t="str">
        <f aca="false">IF(OR(K954="",N(H954)=0),"",K954/H954)</f>
        <v/>
      </c>
      <c r="M954" s="68"/>
      <c r="N954" s="28"/>
      <c r="O954" s="25"/>
      <c r="P954" s="83" t="str">
        <f aca="false">IF(OR(N954="",N(H954)=0),"",N954/H954)</f>
        <v/>
      </c>
      <c r="Q954" s="25"/>
    </row>
    <row r="955" customFormat="false" ht="15" hidden="false" customHeight="false" outlineLevel="0" collapsed="false">
      <c r="A955" s="69"/>
      <c r="B955" s="68"/>
      <c r="C955" s="76" t="str">
        <f aca="false">IF(B955="","",IFERROR(INDEX(EN_Des,MATCH(B955,EN_Code,0)),"Code inconnu"))</f>
        <v/>
      </c>
      <c r="D955" s="25"/>
      <c r="E955" s="25"/>
      <c r="F955" s="82"/>
      <c r="G955" s="82"/>
      <c r="H955" s="83" t="str">
        <f aca="false">IF(OR(F955="",G955=""),"",G955-F955)</f>
        <v/>
      </c>
      <c r="I955" s="82"/>
      <c r="J955" s="82"/>
      <c r="K955" s="28"/>
      <c r="L955" s="90" t="str">
        <f aca="false">IF(OR(K955="",N(H955)=0),"",K955/H955)</f>
        <v/>
      </c>
      <c r="M955" s="68"/>
      <c r="N955" s="28"/>
      <c r="O955" s="25"/>
      <c r="P955" s="83" t="str">
        <f aca="false">IF(OR(N955="",N(H955)=0),"",N955/H955)</f>
        <v/>
      </c>
      <c r="Q955" s="25"/>
    </row>
    <row r="956" customFormat="false" ht="15" hidden="false" customHeight="false" outlineLevel="0" collapsed="false">
      <c r="A956" s="69"/>
      <c r="B956" s="68"/>
      <c r="C956" s="76" t="str">
        <f aca="false">IF(B956="","",IFERROR(INDEX(EN_Des,MATCH(B956,EN_Code,0)),"Code inconnu"))</f>
        <v/>
      </c>
      <c r="D956" s="25"/>
      <c r="E956" s="25"/>
      <c r="F956" s="82"/>
      <c r="G956" s="82"/>
      <c r="H956" s="83" t="str">
        <f aca="false">IF(OR(F956="",G956=""),"",G956-F956)</f>
        <v/>
      </c>
      <c r="I956" s="82"/>
      <c r="J956" s="82"/>
      <c r="K956" s="28"/>
      <c r="L956" s="90" t="str">
        <f aca="false">IF(OR(K956="",N(H956)=0),"",K956/H956)</f>
        <v/>
      </c>
      <c r="M956" s="68"/>
      <c r="N956" s="28"/>
      <c r="O956" s="25"/>
      <c r="P956" s="83" t="str">
        <f aca="false">IF(OR(N956="",N(H956)=0),"",N956/H956)</f>
        <v/>
      </c>
      <c r="Q956" s="25"/>
    </row>
    <row r="957" customFormat="false" ht="15" hidden="false" customHeight="false" outlineLevel="0" collapsed="false">
      <c r="A957" s="69"/>
      <c r="B957" s="68"/>
      <c r="C957" s="76" t="str">
        <f aca="false">IF(B957="","",IFERROR(INDEX(EN_Des,MATCH(B957,EN_Code,0)),"Code inconnu"))</f>
        <v/>
      </c>
      <c r="D957" s="25"/>
      <c r="E957" s="25"/>
      <c r="F957" s="82"/>
      <c r="G957" s="82"/>
      <c r="H957" s="83" t="str">
        <f aca="false">IF(OR(F957="",G957=""),"",G957-F957)</f>
        <v/>
      </c>
      <c r="I957" s="82"/>
      <c r="J957" s="82"/>
      <c r="K957" s="28"/>
      <c r="L957" s="90" t="str">
        <f aca="false">IF(OR(K957="",N(H957)=0),"",K957/H957)</f>
        <v/>
      </c>
      <c r="M957" s="68"/>
      <c r="N957" s="28"/>
      <c r="O957" s="25"/>
      <c r="P957" s="83" t="str">
        <f aca="false">IF(OR(N957="",N(H957)=0),"",N957/H957)</f>
        <v/>
      </c>
      <c r="Q957" s="25"/>
    </row>
    <row r="958" customFormat="false" ht="15" hidden="false" customHeight="false" outlineLevel="0" collapsed="false">
      <c r="A958" s="69"/>
      <c r="B958" s="68"/>
      <c r="C958" s="76" t="str">
        <f aca="false">IF(B958="","",IFERROR(INDEX(EN_Des,MATCH(B958,EN_Code,0)),"Code inconnu"))</f>
        <v/>
      </c>
      <c r="D958" s="25"/>
      <c r="E958" s="25"/>
      <c r="F958" s="82"/>
      <c r="G958" s="82"/>
      <c r="H958" s="83" t="str">
        <f aca="false">IF(OR(F958="",G958=""),"",G958-F958)</f>
        <v/>
      </c>
      <c r="I958" s="82"/>
      <c r="J958" s="82"/>
      <c r="K958" s="28"/>
      <c r="L958" s="90" t="str">
        <f aca="false">IF(OR(K958="",N(H958)=0),"",K958/H958)</f>
        <v/>
      </c>
      <c r="M958" s="68"/>
      <c r="N958" s="28"/>
      <c r="O958" s="25"/>
      <c r="P958" s="83" t="str">
        <f aca="false">IF(OR(N958="",N(H958)=0),"",N958/H958)</f>
        <v/>
      </c>
      <c r="Q958" s="25"/>
    </row>
    <row r="959" customFormat="false" ht="15" hidden="false" customHeight="false" outlineLevel="0" collapsed="false">
      <c r="A959" s="69"/>
      <c r="B959" s="68"/>
      <c r="C959" s="76" t="str">
        <f aca="false">IF(B959="","",IFERROR(INDEX(EN_Des,MATCH(B959,EN_Code,0)),"Code inconnu"))</f>
        <v/>
      </c>
      <c r="D959" s="25"/>
      <c r="E959" s="25"/>
      <c r="F959" s="82"/>
      <c r="G959" s="82"/>
      <c r="H959" s="83" t="str">
        <f aca="false">IF(OR(F959="",G959=""),"",G959-F959)</f>
        <v/>
      </c>
      <c r="I959" s="82"/>
      <c r="J959" s="82"/>
      <c r="K959" s="28"/>
      <c r="L959" s="90" t="str">
        <f aca="false">IF(OR(K959="",N(H959)=0),"",K959/H959)</f>
        <v/>
      </c>
      <c r="M959" s="68"/>
      <c r="N959" s="28"/>
      <c r="O959" s="25"/>
      <c r="P959" s="83" t="str">
        <f aca="false">IF(OR(N959="",N(H959)=0),"",N959/H959)</f>
        <v/>
      </c>
      <c r="Q959" s="25"/>
    </row>
    <row r="960" customFormat="false" ht="15" hidden="false" customHeight="false" outlineLevel="0" collapsed="false">
      <c r="A960" s="69"/>
      <c r="B960" s="68"/>
      <c r="C960" s="76" t="str">
        <f aca="false">IF(B960="","",IFERROR(INDEX(EN_Des,MATCH(B960,EN_Code,0)),"Code inconnu"))</f>
        <v/>
      </c>
      <c r="D960" s="25"/>
      <c r="E960" s="25"/>
      <c r="F960" s="82"/>
      <c r="G960" s="82"/>
      <c r="H960" s="83" t="str">
        <f aca="false">IF(OR(F960="",G960=""),"",G960-F960)</f>
        <v/>
      </c>
      <c r="I960" s="82"/>
      <c r="J960" s="82"/>
      <c r="K960" s="28"/>
      <c r="L960" s="90" t="str">
        <f aca="false">IF(OR(K960="",N(H960)=0),"",K960/H960)</f>
        <v/>
      </c>
      <c r="M960" s="68"/>
      <c r="N960" s="28"/>
      <c r="O960" s="25"/>
      <c r="P960" s="83" t="str">
        <f aca="false">IF(OR(N960="",N(H960)=0),"",N960/H960)</f>
        <v/>
      </c>
      <c r="Q960" s="25"/>
    </row>
    <row r="961" customFormat="false" ht="15" hidden="false" customHeight="false" outlineLevel="0" collapsed="false">
      <c r="A961" s="69"/>
      <c r="B961" s="68"/>
      <c r="C961" s="76" t="str">
        <f aca="false">IF(B961="","",IFERROR(INDEX(EN_Des,MATCH(B961,EN_Code,0)),"Code inconnu"))</f>
        <v/>
      </c>
      <c r="D961" s="25"/>
      <c r="E961" s="25"/>
      <c r="F961" s="82"/>
      <c r="G961" s="82"/>
      <c r="H961" s="83" t="str">
        <f aca="false">IF(OR(F961="",G961=""),"",G961-F961)</f>
        <v/>
      </c>
      <c r="I961" s="82"/>
      <c r="J961" s="82"/>
      <c r="K961" s="28"/>
      <c r="L961" s="90" t="str">
        <f aca="false">IF(OR(K961="",N(H961)=0),"",K961/H961)</f>
        <v/>
      </c>
      <c r="M961" s="68"/>
      <c r="N961" s="28"/>
      <c r="O961" s="25"/>
      <c r="P961" s="83" t="str">
        <f aca="false">IF(OR(N961="",N(H961)=0),"",N961/H961)</f>
        <v/>
      </c>
      <c r="Q961" s="25"/>
    </row>
    <row r="962" customFormat="false" ht="15" hidden="false" customHeight="false" outlineLevel="0" collapsed="false">
      <c r="A962" s="69"/>
      <c r="B962" s="68"/>
      <c r="C962" s="76" t="str">
        <f aca="false">IF(B962="","",IFERROR(INDEX(EN_Des,MATCH(B962,EN_Code,0)),"Code inconnu"))</f>
        <v/>
      </c>
      <c r="D962" s="25"/>
      <c r="E962" s="25"/>
      <c r="F962" s="82"/>
      <c r="G962" s="82"/>
      <c r="H962" s="83" t="str">
        <f aca="false">IF(OR(F962="",G962=""),"",G962-F962)</f>
        <v/>
      </c>
      <c r="I962" s="82"/>
      <c r="J962" s="82"/>
      <c r="K962" s="28"/>
      <c r="L962" s="90" t="str">
        <f aca="false">IF(OR(K962="",N(H962)=0),"",K962/H962)</f>
        <v/>
      </c>
      <c r="M962" s="68"/>
      <c r="N962" s="28"/>
      <c r="O962" s="25"/>
      <c r="P962" s="83" t="str">
        <f aca="false">IF(OR(N962="",N(H962)=0),"",N962/H962)</f>
        <v/>
      </c>
      <c r="Q962" s="25"/>
    </row>
    <row r="963" customFormat="false" ht="15" hidden="false" customHeight="false" outlineLevel="0" collapsed="false">
      <c r="A963" s="69"/>
      <c r="B963" s="68"/>
      <c r="C963" s="76" t="str">
        <f aca="false">IF(B963="","",IFERROR(INDEX(EN_Des,MATCH(B963,EN_Code,0)),"Code inconnu"))</f>
        <v/>
      </c>
      <c r="D963" s="25"/>
      <c r="E963" s="25"/>
      <c r="F963" s="82"/>
      <c r="G963" s="82"/>
      <c r="H963" s="83" t="str">
        <f aca="false">IF(OR(F963="",G963=""),"",G963-F963)</f>
        <v/>
      </c>
      <c r="I963" s="82"/>
      <c r="J963" s="82"/>
      <c r="K963" s="28"/>
      <c r="L963" s="90" t="str">
        <f aca="false">IF(OR(K963="",N(H963)=0),"",K963/H963)</f>
        <v/>
      </c>
      <c r="M963" s="68"/>
      <c r="N963" s="28"/>
      <c r="O963" s="25"/>
      <c r="P963" s="83" t="str">
        <f aca="false">IF(OR(N963="",N(H963)=0),"",N963/H963)</f>
        <v/>
      </c>
      <c r="Q963" s="25"/>
    </row>
    <row r="964" customFormat="false" ht="15" hidden="false" customHeight="false" outlineLevel="0" collapsed="false">
      <c r="A964" s="69"/>
      <c r="B964" s="68"/>
      <c r="C964" s="76" t="str">
        <f aca="false">IF(B964="","",IFERROR(INDEX(EN_Des,MATCH(B964,EN_Code,0)),"Code inconnu"))</f>
        <v/>
      </c>
      <c r="D964" s="25"/>
      <c r="E964" s="25"/>
      <c r="F964" s="82"/>
      <c r="G964" s="82"/>
      <c r="H964" s="83" t="str">
        <f aca="false">IF(OR(F964="",G964=""),"",G964-F964)</f>
        <v/>
      </c>
      <c r="I964" s="82"/>
      <c r="J964" s="82"/>
      <c r="K964" s="28"/>
      <c r="L964" s="90" t="str">
        <f aca="false">IF(OR(K964="",N(H964)=0),"",K964/H964)</f>
        <v/>
      </c>
      <c r="M964" s="68"/>
      <c r="N964" s="28"/>
      <c r="O964" s="25"/>
      <c r="P964" s="83" t="str">
        <f aca="false">IF(OR(N964="",N(H964)=0),"",N964/H964)</f>
        <v/>
      </c>
      <c r="Q964" s="25"/>
    </row>
    <row r="965" customFormat="false" ht="15" hidden="false" customHeight="false" outlineLevel="0" collapsed="false">
      <c r="A965" s="69"/>
      <c r="B965" s="68"/>
      <c r="C965" s="76" t="str">
        <f aca="false">IF(B965="","",IFERROR(INDEX(EN_Des,MATCH(B965,EN_Code,0)),"Code inconnu"))</f>
        <v/>
      </c>
      <c r="D965" s="25"/>
      <c r="E965" s="25"/>
      <c r="F965" s="82"/>
      <c r="G965" s="82"/>
      <c r="H965" s="83" t="str">
        <f aca="false">IF(OR(F965="",G965=""),"",G965-F965)</f>
        <v/>
      </c>
      <c r="I965" s="82"/>
      <c r="J965" s="82"/>
      <c r="K965" s="28"/>
      <c r="L965" s="90" t="str">
        <f aca="false">IF(OR(K965="",N(H965)=0),"",K965/H965)</f>
        <v/>
      </c>
      <c r="M965" s="68"/>
      <c r="N965" s="28"/>
      <c r="O965" s="25"/>
      <c r="P965" s="83" t="str">
        <f aca="false">IF(OR(N965="",N(H965)=0),"",N965/H965)</f>
        <v/>
      </c>
      <c r="Q965" s="25"/>
    </row>
    <row r="966" customFormat="false" ht="15" hidden="false" customHeight="false" outlineLevel="0" collapsed="false">
      <c r="A966" s="69"/>
      <c r="B966" s="68"/>
      <c r="C966" s="76" t="str">
        <f aca="false">IF(B966="","",IFERROR(INDEX(EN_Des,MATCH(B966,EN_Code,0)),"Code inconnu"))</f>
        <v/>
      </c>
      <c r="D966" s="25"/>
      <c r="E966" s="25"/>
      <c r="F966" s="82"/>
      <c r="G966" s="82"/>
      <c r="H966" s="83" t="str">
        <f aca="false">IF(OR(F966="",G966=""),"",G966-F966)</f>
        <v/>
      </c>
      <c r="I966" s="82"/>
      <c r="J966" s="82"/>
      <c r="K966" s="28"/>
      <c r="L966" s="90" t="str">
        <f aca="false">IF(OR(K966="",N(H966)=0),"",K966/H966)</f>
        <v/>
      </c>
      <c r="M966" s="68"/>
      <c r="N966" s="28"/>
      <c r="O966" s="25"/>
      <c r="P966" s="83" t="str">
        <f aca="false">IF(OR(N966="",N(H966)=0),"",N966/H966)</f>
        <v/>
      </c>
      <c r="Q966" s="25"/>
    </row>
    <row r="967" customFormat="false" ht="15" hidden="false" customHeight="false" outlineLevel="0" collapsed="false">
      <c r="A967" s="69"/>
      <c r="B967" s="68"/>
      <c r="C967" s="76" t="str">
        <f aca="false">IF(B967="","",IFERROR(INDEX(EN_Des,MATCH(B967,EN_Code,0)),"Code inconnu"))</f>
        <v/>
      </c>
      <c r="D967" s="25"/>
      <c r="E967" s="25"/>
      <c r="F967" s="82"/>
      <c r="G967" s="82"/>
      <c r="H967" s="83" t="str">
        <f aca="false">IF(OR(F967="",G967=""),"",G967-F967)</f>
        <v/>
      </c>
      <c r="I967" s="82"/>
      <c r="J967" s="82"/>
      <c r="K967" s="28"/>
      <c r="L967" s="90" t="str">
        <f aca="false">IF(OR(K967="",N(H967)=0),"",K967/H967)</f>
        <v/>
      </c>
      <c r="M967" s="68"/>
      <c r="N967" s="28"/>
      <c r="O967" s="25"/>
      <c r="P967" s="83" t="str">
        <f aca="false">IF(OR(N967="",N(H967)=0),"",N967/H967)</f>
        <v/>
      </c>
      <c r="Q967" s="25"/>
    </row>
    <row r="968" customFormat="false" ht="15" hidden="false" customHeight="false" outlineLevel="0" collapsed="false">
      <c r="A968" s="69"/>
      <c r="B968" s="68"/>
      <c r="C968" s="76" t="str">
        <f aca="false">IF(B968="","",IFERROR(INDEX(EN_Des,MATCH(B968,EN_Code,0)),"Code inconnu"))</f>
        <v/>
      </c>
      <c r="D968" s="25"/>
      <c r="E968" s="25"/>
      <c r="F968" s="82"/>
      <c r="G968" s="82"/>
      <c r="H968" s="83" t="str">
        <f aca="false">IF(OR(F968="",G968=""),"",G968-F968)</f>
        <v/>
      </c>
      <c r="I968" s="82"/>
      <c r="J968" s="82"/>
      <c r="K968" s="28"/>
      <c r="L968" s="90" t="str">
        <f aca="false">IF(OR(K968="",N(H968)=0),"",K968/H968)</f>
        <v/>
      </c>
      <c r="M968" s="68"/>
      <c r="N968" s="28"/>
      <c r="O968" s="25"/>
      <c r="P968" s="83" t="str">
        <f aca="false">IF(OR(N968="",N(H968)=0),"",N968/H968)</f>
        <v/>
      </c>
      <c r="Q968" s="25"/>
    </row>
    <row r="969" customFormat="false" ht="15" hidden="false" customHeight="false" outlineLevel="0" collapsed="false">
      <c r="A969" s="69"/>
      <c r="B969" s="68"/>
      <c r="C969" s="76" t="str">
        <f aca="false">IF(B969="","",IFERROR(INDEX(EN_Des,MATCH(B969,EN_Code,0)),"Code inconnu"))</f>
        <v/>
      </c>
      <c r="D969" s="25"/>
      <c r="E969" s="25"/>
      <c r="F969" s="82"/>
      <c r="G969" s="82"/>
      <c r="H969" s="83" t="str">
        <f aca="false">IF(OR(F969="",G969=""),"",G969-F969)</f>
        <v/>
      </c>
      <c r="I969" s="82"/>
      <c r="J969" s="82"/>
      <c r="K969" s="28"/>
      <c r="L969" s="90" t="str">
        <f aca="false">IF(OR(K969="",N(H969)=0),"",K969/H969)</f>
        <v/>
      </c>
      <c r="M969" s="68"/>
      <c r="N969" s="28"/>
      <c r="O969" s="25"/>
      <c r="P969" s="83" t="str">
        <f aca="false">IF(OR(N969="",N(H969)=0),"",N969/H969)</f>
        <v/>
      </c>
      <c r="Q969" s="25"/>
    </row>
    <row r="970" customFormat="false" ht="15" hidden="false" customHeight="false" outlineLevel="0" collapsed="false">
      <c r="A970" s="69"/>
      <c r="B970" s="68"/>
      <c r="C970" s="76" t="str">
        <f aca="false">IF(B970="","",IFERROR(INDEX(EN_Des,MATCH(B970,EN_Code,0)),"Code inconnu"))</f>
        <v/>
      </c>
      <c r="D970" s="25"/>
      <c r="E970" s="25"/>
      <c r="F970" s="82"/>
      <c r="G970" s="82"/>
      <c r="H970" s="83" t="str">
        <f aca="false">IF(OR(F970="",G970=""),"",G970-F970)</f>
        <v/>
      </c>
      <c r="I970" s="82"/>
      <c r="J970" s="82"/>
      <c r="K970" s="28"/>
      <c r="L970" s="90" t="str">
        <f aca="false">IF(OR(K970="",N(H970)=0),"",K970/H970)</f>
        <v/>
      </c>
      <c r="M970" s="68"/>
      <c r="N970" s="28"/>
      <c r="O970" s="25"/>
      <c r="P970" s="83" t="str">
        <f aca="false">IF(OR(N970="",N(H970)=0),"",N970/H970)</f>
        <v/>
      </c>
      <c r="Q970" s="25"/>
    </row>
    <row r="971" customFormat="false" ht="15" hidden="false" customHeight="false" outlineLevel="0" collapsed="false">
      <c r="A971" s="69"/>
      <c r="B971" s="68"/>
      <c r="C971" s="76" t="str">
        <f aca="false">IF(B971="","",IFERROR(INDEX(EN_Des,MATCH(B971,EN_Code,0)),"Code inconnu"))</f>
        <v/>
      </c>
      <c r="D971" s="25"/>
      <c r="E971" s="25"/>
      <c r="F971" s="82"/>
      <c r="G971" s="82"/>
      <c r="H971" s="83" t="str">
        <f aca="false">IF(OR(F971="",G971=""),"",G971-F971)</f>
        <v/>
      </c>
      <c r="I971" s="82"/>
      <c r="J971" s="82"/>
      <c r="K971" s="28"/>
      <c r="L971" s="90" t="str">
        <f aca="false">IF(OR(K971="",N(H971)=0),"",K971/H971)</f>
        <v/>
      </c>
      <c r="M971" s="68"/>
      <c r="N971" s="28"/>
      <c r="O971" s="25"/>
      <c r="P971" s="83" t="str">
        <f aca="false">IF(OR(N971="",N(H971)=0),"",N971/H971)</f>
        <v/>
      </c>
      <c r="Q971" s="25"/>
    </row>
    <row r="972" customFormat="false" ht="15" hidden="false" customHeight="false" outlineLevel="0" collapsed="false">
      <c r="A972" s="69"/>
      <c r="B972" s="68"/>
      <c r="C972" s="76" t="str">
        <f aca="false">IF(B972="","",IFERROR(INDEX(EN_Des,MATCH(B972,EN_Code,0)),"Code inconnu"))</f>
        <v/>
      </c>
      <c r="D972" s="25"/>
      <c r="E972" s="25"/>
      <c r="F972" s="82"/>
      <c r="G972" s="82"/>
      <c r="H972" s="83" t="str">
        <f aca="false">IF(OR(F972="",G972=""),"",G972-F972)</f>
        <v/>
      </c>
      <c r="I972" s="82"/>
      <c r="J972" s="82"/>
      <c r="K972" s="28"/>
      <c r="L972" s="90" t="str">
        <f aca="false">IF(OR(K972="",N(H972)=0),"",K972/H972)</f>
        <v/>
      </c>
      <c r="M972" s="68"/>
      <c r="N972" s="28"/>
      <c r="O972" s="25"/>
      <c r="P972" s="83" t="str">
        <f aca="false">IF(OR(N972="",N(H972)=0),"",N972/H972)</f>
        <v/>
      </c>
      <c r="Q972" s="25"/>
    </row>
    <row r="973" customFormat="false" ht="15" hidden="false" customHeight="false" outlineLevel="0" collapsed="false">
      <c r="A973" s="69"/>
      <c r="B973" s="68"/>
      <c r="C973" s="76" t="str">
        <f aca="false">IF(B973="","",IFERROR(INDEX(EN_Des,MATCH(B973,EN_Code,0)),"Code inconnu"))</f>
        <v/>
      </c>
      <c r="D973" s="25"/>
      <c r="E973" s="25"/>
      <c r="F973" s="82"/>
      <c r="G973" s="82"/>
      <c r="H973" s="83" t="str">
        <f aca="false">IF(OR(F973="",G973=""),"",G973-F973)</f>
        <v/>
      </c>
      <c r="I973" s="82"/>
      <c r="J973" s="82"/>
      <c r="K973" s="28"/>
      <c r="L973" s="90" t="str">
        <f aca="false">IF(OR(K973="",N(H973)=0),"",K973/H973)</f>
        <v/>
      </c>
      <c r="M973" s="68"/>
      <c r="N973" s="28"/>
      <c r="O973" s="25"/>
      <c r="P973" s="83" t="str">
        <f aca="false">IF(OR(N973="",N(H973)=0),"",N973/H973)</f>
        <v/>
      </c>
      <c r="Q973" s="25"/>
    </row>
    <row r="974" customFormat="false" ht="15" hidden="false" customHeight="false" outlineLevel="0" collapsed="false">
      <c r="A974" s="69"/>
      <c r="B974" s="68"/>
      <c r="C974" s="76" t="str">
        <f aca="false">IF(B974="","",IFERROR(INDEX(EN_Des,MATCH(B974,EN_Code,0)),"Code inconnu"))</f>
        <v/>
      </c>
      <c r="D974" s="25"/>
      <c r="E974" s="25"/>
      <c r="F974" s="82"/>
      <c r="G974" s="82"/>
      <c r="H974" s="83" t="str">
        <f aca="false">IF(OR(F974="",G974=""),"",G974-F974)</f>
        <v/>
      </c>
      <c r="I974" s="82"/>
      <c r="J974" s="82"/>
      <c r="K974" s="28"/>
      <c r="L974" s="90" t="str">
        <f aca="false">IF(OR(K974="",N(H974)=0),"",K974/H974)</f>
        <v/>
      </c>
      <c r="M974" s="68"/>
      <c r="N974" s="28"/>
      <c r="O974" s="25"/>
      <c r="P974" s="83" t="str">
        <f aca="false">IF(OR(N974="",N(H974)=0),"",N974/H974)</f>
        <v/>
      </c>
      <c r="Q974" s="25"/>
    </row>
    <row r="975" customFormat="false" ht="15" hidden="false" customHeight="false" outlineLevel="0" collapsed="false">
      <c r="A975" s="69"/>
      <c r="B975" s="68"/>
      <c r="C975" s="76" t="str">
        <f aca="false">IF(B975="","",IFERROR(INDEX(EN_Des,MATCH(B975,EN_Code,0)),"Code inconnu"))</f>
        <v/>
      </c>
      <c r="D975" s="25"/>
      <c r="E975" s="25"/>
      <c r="F975" s="82"/>
      <c r="G975" s="82"/>
      <c r="H975" s="83" t="str">
        <f aca="false">IF(OR(F975="",G975=""),"",G975-F975)</f>
        <v/>
      </c>
      <c r="I975" s="82"/>
      <c r="J975" s="82"/>
      <c r="K975" s="28"/>
      <c r="L975" s="90" t="str">
        <f aca="false">IF(OR(K975="",N(H975)=0),"",K975/H975)</f>
        <v/>
      </c>
      <c r="M975" s="68"/>
      <c r="N975" s="28"/>
      <c r="O975" s="25"/>
      <c r="P975" s="83" t="str">
        <f aca="false">IF(OR(N975="",N(H975)=0),"",N975/H975)</f>
        <v/>
      </c>
      <c r="Q975" s="25"/>
    </row>
    <row r="976" customFormat="false" ht="15" hidden="false" customHeight="false" outlineLevel="0" collapsed="false">
      <c r="A976" s="69"/>
      <c r="B976" s="68"/>
      <c r="C976" s="76" t="str">
        <f aca="false">IF(B976="","",IFERROR(INDEX(EN_Des,MATCH(B976,EN_Code,0)),"Code inconnu"))</f>
        <v/>
      </c>
      <c r="D976" s="25"/>
      <c r="E976" s="25"/>
      <c r="F976" s="82"/>
      <c r="G976" s="82"/>
      <c r="H976" s="83" t="str">
        <f aca="false">IF(OR(F976="",G976=""),"",G976-F976)</f>
        <v/>
      </c>
      <c r="I976" s="82"/>
      <c r="J976" s="82"/>
      <c r="K976" s="28"/>
      <c r="L976" s="90" t="str">
        <f aca="false">IF(OR(K976="",N(H976)=0),"",K976/H976)</f>
        <v/>
      </c>
      <c r="M976" s="68"/>
      <c r="N976" s="28"/>
      <c r="O976" s="25"/>
      <c r="P976" s="83" t="str">
        <f aca="false">IF(OR(N976="",N(H976)=0),"",N976/H976)</f>
        <v/>
      </c>
      <c r="Q976" s="25"/>
    </row>
    <row r="977" customFormat="false" ht="15" hidden="false" customHeight="false" outlineLevel="0" collapsed="false">
      <c r="A977" s="69"/>
      <c r="B977" s="68"/>
      <c r="C977" s="76" t="str">
        <f aca="false">IF(B977="","",IFERROR(INDEX(EN_Des,MATCH(B977,EN_Code,0)),"Code inconnu"))</f>
        <v/>
      </c>
      <c r="D977" s="25"/>
      <c r="E977" s="25"/>
      <c r="F977" s="82"/>
      <c r="G977" s="82"/>
      <c r="H977" s="83" t="str">
        <f aca="false">IF(OR(F977="",G977=""),"",G977-F977)</f>
        <v/>
      </c>
      <c r="I977" s="82"/>
      <c r="J977" s="82"/>
      <c r="K977" s="28"/>
      <c r="L977" s="90" t="str">
        <f aca="false">IF(OR(K977="",N(H977)=0),"",K977/H977)</f>
        <v/>
      </c>
      <c r="M977" s="68"/>
      <c r="N977" s="28"/>
      <c r="O977" s="25"/>
      <c r="P977" s="83" t="str">
        <f aca="false">IF(OR(N977="",N(H977)=0),"",N977/H977)</f>
        <v/>
      </c>
      <c r="Q977" s="25"/>
    </row>
    <row r="978" customFormat="false" ht="15" hidden="false" customHeight="false" outlineLevel="0" collapsed="false">
      <c r="A978" s="69"/>
      <c r="B978" s="68"/>
      <c r="C978" s="76" t="str">
        <f aca="false">IF(B978="","",IFERROR(INDEX(EN_Des,MATCH(B978,EN_Code,0)),"Code inconnu"))</f>
        <v/>
      </c>
      <c r="D978" s="25"/>
      <c r="E978" s="25"/>
      <c r="F978" s="82"/>
      <c r="G978" s="82"/>
      <c r="H978" s="83" t="str">
        <f aca="false">IF(OR(F978="",G978=""),"",G978-F978)</f>
        <v/>
      </c>
      <c r="I978" s="82"/>
      <c r="J978" s="82"/>
      <c r="K978" s="28"/>
      <c r="L978" s="90" t="str">
        <f aca="false">IF(OR(K978="",N(H978)=0),"",K978/H978)</f>
        <v/>
      </c>
      <c r="M978" s="68"/>
      <c r="N978" s="28"/>
      <c r="O978" s="25"/>
      <c r="P978" s="83" t="str">
        <f aca="false">IF(OR(N978="",N(H978)=0),"",N978/H978)</f>
        <v/>
      </c>
      <c r="Q978" s="25"/>
    </row>
    <row r="979" customFormat="false" ht="15" hidden="false" customHeight="false" outlineLevel="0" collapsed="false">
      <c r="A979" s="69"/>
      <c r="B979" s="68"/>
      <c r="C979" s="76" t="str">
        <f aca="false">IF(B979="","",IFERROR(INDEX(EN_Des,MATCH(B979,EN_Code,0)),"Code inconnu"))</f>
        <v/>
      </c>
      <c r="D979" s="25"/>
      <c r="E979" s="25"/>
      <c r="F979" s="82"/>
      <c r="G979" s="82"/>
      <c r="H979" s="83" t="str">
        <f aca="false">IF(OR(F979="",G979=""),"",G979-F979)</f>
        <v/>
      </c>
      <c r="I979" s="82"/>
      <c r="J979" s="82"/>
      <c r="K979" s="28"/>
      <c r="L979" s="90" t="str">
        <f aca="false">IF(OR(K979="",N(H979)=0),"",K979/H979)</f>
        <v/>
      </c>
      <c r="M979" s="68"/>
      <c r="N979" s="28"/>
      <c r="O979" s="25"/>
      <c r="P979" s="83" t="str">
        <f aca="false">IF(OR(N979="",N(H979)=0),"",N979/H979)</f>
        <v/>
      </c>
      <c r="Q979" s="25"/>
    </row>
    <row r="980" customFormat="false" ht="15" hidden="false" customHeight="false" outlineLevel="0" collapsed="false">
      <c r="A980" s="69"/>
      <c r="B980" s="68"/>
      <c r="C980" s="76" t="str">
        <f aca="false">IF(B980="","",IFERROR(INDEX(EN_Des,MATCH(B980,EN_Code,0)),"Code inconnu"))</f>
        <v/>
      </c>
      <c r="D980" s="25"/>
      <c r="E980" s="25"/>
      <c r="F980" s="82"/>
      <c r="G980" s="82"/>
      <c r="H980" s="83" t="str">
        <f aca="false">IF(OR(F980="",G980=""),"",G980-F980)</f>
        <v/>
      </c>
      <c r="I980" s="82"/>
      <c r="J980" s="82"/>
      <c r="K980" s="28"/>
      <c r="L980" s="90" t="str">
        <f aca="false">IF(OR(K980="",N(H980)=0),"",K980/H980)</f>
        <v/>
      </c>
      <c r="M980" s="68"/>
      <c r="N980" s="28"/>
      <c r="O980" s="25"/>
      <c r="P980" s="83" t="str">
        <f aca="false">IF(OR(N980="",N(H980)=0),"",N980/H980)</f>
        <v/>
      </c>
      <c r="Q980" s="25"/>
    </row>
    <row r="981" customFormat="false" ht="15" hidden="false" customHeight="false" outlineLevel="0" collapsed="false">
      <c r="A981" s="69"/>
      <c r="B981" s="68"/>
      <c r="C981" s="76" t="str">
        <f aca="false">IF(B981="","",IFERROR(INDEX(EN_Des,MATCH(B981,EN_Code,0)),"Code inconnu"))</f>
        <v/>
      </c>
      <c r="D981" s="25"/>
      <c r="E981" s="25"/>
      <c r="F981" s="82"/>
      <c r="G981" s="82"/>
      <c r="H981" s="83" t="str">
        <f aca="false">IF(OR(F981="",G981=""),"",G981-F981)</f>
        <v/>
      </c>
      <c r="I981" s="82"/>
      <c r="J981" s="82"/>
      <c r="K981" s="28"/>
      <c r="L981" s="90" t="str">
        <f aca="false">IF(OR(K981="",N(H981)=0),"",K981/H981)</f>
        <v/>
      </c>
      <c r="M981" s="68"/>
      <c r="N981" s="28"/>
      <c r="O981" s="25"/>
      <c r="P981" s="83" t="str">
        <f aca="false">IF(OR(N981="",N(H981)=0),"",N981/H981)</f>
        <v/>
      </c>
      <c r="Q981" s="25"/>
    </row>
    <row r="982" customFormat="false" ht="15" hidden="false" customHeight="false" outlineLevel="0" collapsed="false">
      <c r="A982" s="69"/>
      <c r="B982" s="68"/>
      <c r="C982" s="76" t="str">
        <f aca="false">IF(B982="","",IFERROR(INDEX(EN_Des,MATCH(B982,EN_Code,0)),"Code inconnu"))</f>
        <v/>
      </c>
      <c r="D982" s="25"/>
      <c r="E982" s="25"/>
      <c r="F982" s="82"/>
      <c r="G982" s="82"/>
      <c r="H982" s="83" t="str">
        <f aca="false">IF(OR(F982="",G982=""),"",G982-F982)</f>
        <v/>
      </c>
      <c r="I982" s="82"/>
      <c r="J982" s="82"/>
      <c r="K982" s="28"/>
      <c r="L982" s="90" t="str">
        <f aca="false">IF(OR(K982="",N(H982)=0),"",K982/H982)</f>
        <v/>
      </c>
      <c r="M982" s="68"/>
      <c r="N982" s="28"/>
      <c r="O982" s="25"/>
      <c r="P982" s="83" t="str">
        <f aca="false">IF(OR(N982="",N(H982)=0),"",N982/H982)</f>
        <v/>
      </c>
      <c r="Q982" s="25"/>
    </row>
    <row r="983" customFormat="false" ht="15" hidden="false" customHeight="false" outlineLevel="0" collapsed="false">
      <c r="A983" s="69"/>
      <c r="B983" s="68"/>
      <c r="C983" s="76" t="str">
        <f aca="false">IF(B983="","",IFERROR(INDEX(EN_Des,MATCH(B983,EN_Code,0)),"Code inconnu"))</f>
        <v/>
      </c>
      <c r="D983" s="25"/>
      <c r="E983" s="25"/>
      <c r="F983" s="82"/>
      <c r="G983" s="82"/>
      <c r="H983" s="83" t="str">
        <f aca="false">IF(OR(F983="",G983=""),"",G983-F983)</f>
        <v/>
      </c>
      <c r="I983" s="82"/>
      <c r="J983" s="82"/>
      <c r="K983" s="28"/>
      <c r="L983" s="90" t="str">
        <f aca="false">IF(OR(K983="",N(H983)=0),"",K983/H983)</f>
        <v/>
      </c>
      <c r="M983" s="68"/>
      <c r="N983" s="28"/>
      <c r="O983" s="25"/>
      <c r="P983" s="83" t="str">
        <f aca="false">IF(OR(N983="",N(H983)=0),"",N983/H983)</f>
        <v/>
      </c>
      <c r="Q983" s="25"/>
    </row>
    <row r="984" customFormat="false" ht="15" hidden="false" customHeight="false" outlineLevel="0" collapsed="false">
      <c r="A984" s="69"/>
      <c r="B984" s="68"/>
      <c r="C984" s="76" t="str">
        <f aca="false">IF(B984="","",IFERROR(INDEX(EN_Des,MATCH(B984,EN_Code,0)),"Code inconnu"))</f>
        <v/>
      </c>
      <c r="D984" s="25"/>
      <c r="E984" s="25"/>
      <c r="F984" s="82"/>
      <c r="G984" s="82"/>
      <c r="H984" s="83" t="str">
        <f aca="false">IF(OR(F984="",G984=""),"",G984-F984)</f>
        <v/>
      </c>
      <c r="I984" s="82"/>
      <c r="J984" s="82"/>
      <c r="K984" s="28"/>
      <c r="L984" s="90" t="str">
        <f aca="false">IF(OR(K984="",N(H984)=0),"",K984/H984)</f>
        <v/>
      </c>
      <c r="M984" s="68"/>
      <c r="N984" s="28"/>
      <c r="O984" s="25"/>
      <c r="P984" s="83" t="str">
        <f aca="false">IF(OR(N984="",N(H984)=0),"",N984/H984)</f>
        <v/>
      </c>
      <c r="Q984" s="25"/>
    </row>
    <row r="985" customFormat="false" ht="15" hidden="false" customHeight="false" outlineLevel="0" collapsed="false">
      <c r="A985" s="69"/>
      <c r="B985" s="68"/>
      <c r="C985" s="76" t="str">
        <f aca="false">IF(B985="","",IFERROR(INDEX(EN_Des,MATCH(B985,EN_Code,0)),"Code inconnu"))</f>
        <v/>
      </c>
      <c r="D985" s="25"/>
      <c r="E985" s="25"/>
      <c r="F985" s="82"/>
      <c r="G985" s="82"/>
      <c r="H985" s="83" t="str">
        <f aca="false">IF(OR(F985="",G985=""),"",G985-F985)</f>
        <v/>
      </c>
      <c r="I985" s="82"/>
      <c r="J985" s="82"/>
      <c r="K985" s="28"/>
      <c r="L985" s="90" t="str">
        <f aca="false">IF(OR(K985="",N(H985)=0),"",K985/H985)</f>
        <v/>
      </c>
      <c r="M985" s="68"/>
      <c r="N985" s="28"/>
      <c r="O985" s="25"/>
      <c r="P985" s="83" t="str">
        <f aca="false">IF(OR(N985="",N(H985)=0),"",N985/H985)</f>
        <v/>
      </c>
      <c r="Q985" s="25"/>
    </row>
    <row r="986" customFormat="false" ht="15" hidden="false" customHeight="false" outlineLevel="0" collapsed="false">
      <c r="A986" s="69"/>
      <c r="B986" s="68"/>
      <c r="C986" s="76" t="str">
        <f aca="false">IF(B986="","",IFERROR(INDEX(EN_Des,MATCH(B986,EN_Code,0)),"Code inconnu"))</f>
        <v/>
      </c>
      <c r="D986" s="25"/>
      <c r="E986" s="25"/>
      <c r="F986" s="82"/>
      <c r="G986" s="82"/>
      <c r="H986" s="83" t="str">
        <f aca="false">IF(OR(F986="",G986=""),"",G986-F986)</f>
        <v/>
      </c>
      <c r="I986" s="82"/>
      <c r="J986" s="82"/>
      <c r="K986" s="28"/>
      <c r="L986" s="90" t="str">
        <f aca="false">IF(OR(K986="",N(H986)=0),"",K986/H986)</f>
        <v/>
      </c>
      <c r="M986" s="68"/>
      <c r="N986" s="28"/>
      <c r="O986" s="25"/>
      <c r="P986" s="83" t="str">
        <f aca="false">IF(OR(N986="",N(H986)=0),"",N986/H986)</f>
        <v/>
      </c>
      <c r="Q986" s="25"/>
    </row>
    <row r="987" customFormat="false" ht="15" hidden="false" customHeight="false" outlineLevel="0" collapsed="false">
      <c r="A987" s="69"/>
      <c r="B987" s="68"/>
      <c r="C987" s="76" t="str">
        <f aca="false">IF(B987="","",IFERROR(INDEX(EN_Des,MATCH(B987,EN_Code,0)),"Code inconnu"))</f>
        <v/>
      </c>
      <c r="D987" s="25"/>
      <c r="E987" s="25"/>
      <c r="F987" s="82"/>
      <c r="G987" s="82"/>
      <c r="H987" s="83" t="str">
        <f aca="false">IF(OR(F987="",G987=""),"",G987-F987)</f>
        <v/>
      </c>
      <c r="I987" s="82"/>
      <c r="J987" s="82"/>
      <c r="K987" s="28"/>
      <c r="L987" s="90" t="str">
        <f aca="false">IF(OR(K987="",N(H987)=0),"",K987/H987)</f>
        <v/>
      </c>
      <c r="M987" s="68"/>
      <c r="N987" s="28"/>
      <c r="O987" s="25"/>
      <c r="P987" s="83" t="str">
        <f aca="false">IF(OR(N987="",N(H987)=0),"",N987/H987)</f>
        <v/>
      </c>
      <c r="Q987" s="25"/>
    </row>
    <row r="988" customFormat="false" ht="15" hidden="false" customHeight="false" outlineLevel="0" collapsed="false">
      <c r="A988" s="69"/>
      <c r="B988" s="68"/>
      <c r="C988" s="76" t="str">
        <f aca="false">IF(B988="","",IFERROR(INDEX(EN_Des,MATCH(B988,EN_Code,0)),"Code inconnu"))</f>
        <v/>
      </c>
      <c r="D988" s="25"/>
      <c r="E988" s="25"/>
      <c r="F988" s="82"/>
      <c r="G988" s="82"/>
      <c r="H988" s="83" t="str">
        <f aca="false">IF(OR(F988="",G988=""),"",G988-F988)</f>
        <v/>
      </c>
      <c r="I988" s="82"/>
      <c r="J988" s="82"/>
      <c r="K988" s="28"/>
      <c r="L988" s="90" t="str">
        <f aca="false">IF(OR(K988="",N(H988)=0),"",K988/H988)</f>
        <v/>
      </c>
      <c r="M988" s="68"/>
      <c r="N988" s="28"/>
      <c r="O988" s="25"/>
      <c r="P988" s="83" t="str">
        <f aca="false">IF(OR(N988="",N(H988)=0),"",N988/H988)</f>
        <v/>
      </c>
      <c r="Q988" s="25"/>
    </row>
    <row r="989" customFormat="false" ht="15" hidden="false" customHeight="false" outlineLevel="0" collapsed="false">
      <c r="A989" s="69"/>
      <c r="B989" s="68"/>
      <c r="C989" s="76" t="str">
        <f aca="false">IF(B989="","",IFERROR(INDEX(EN_Des,MATCH(B989,EN_Code,0)),"Code inconnu"))</f>
        <v/>
      </c>
      <c r="D989" s="25"/>
      <c r="E989" s="25"/>
      <c r="F989" s="82"/>
      <c r="G989" s="82"/>
      <c r="H989" s="83" t="str">
        <f aca="false">IF(OR(F989="",G989=""),"",G989-F989)</f>
        <v/>
      </c>
      <c r="I989" s="82"/>
      <c r="J989" s="82"/>
      <c r="K989" s="28"/>
      <c r="L989" s="90" t="str">
        <f aca="false">IF(OR(K989="",N(H989)=0),"",K989/H989)</f>
        <v/>
      </c>
      <c r="M989" s="68"/>
      <c r="N989" s="28"/>
      <c r="O989" s="25"/>
      <c r="P989" s="83" t="str">
        <f aca="false">IF(OR(N989="",N(H989)=0),"",N989/H989)</f>
        <v/>
      </c>
      <c r="Q989" s="25"/>
    </row>
    <row r="990" customFormat="false" ht="15" hidden="false" customHeight="false" outlineLevel="0" collapsed="false">
      <c r="A990" s="69"/>
      <c r="B990" s="68"/>
      <c r="C990" s="76" t="str">
        <f aca="false">IF(B990="","",IFERROR(INDEX(EN_Des,MATCH(B990,EN_Code,0)),"Code inconnu"))</f>
        <v/>
      </c>
      <c r="D990" s="25"/>
      <c r="E990" s="25"/>
      <c r="F990" s="82"/>
      <c r="G990" s="82"/>
      <c r="H990" s="83" t="str">
        <f aca="false">IF(OR(F990="",G990=""),"",G990-F990)</f>
        <v/>
      </c>
      <c r="I990" s="82"/>
      <c r="J990" s="82"/>
      <c r="K990" s="28"/>
      <c r="L990" s="90" t="str">
        <f aca="false">IF(OR(K990="",N(H990)=0),"",K990/H990)</f>
        <v/>
      </c>
      <c r="M990" s="68"/>
      <c r="N990" s="28"/>
      <c r="O990" s="25"/>
      <c r="P990" s="83" t="str">
        <f aca="false">IF(OR(N990="",N(H990)=0),"",N990/H990)</f>
        <v/>
      </c>
      <c r="Q990" s="25"/>
    </row>
    <row r="991" customFormat="false" ht="15" hidden="false" customHeight="false" outlineLevel="0" collapsed="false">
      <c r="A991" s="69"/>
      <c r="B991" s="68"/>
      <c r="C991" s="76" t="str">
        <f aca="false">IF(B991="","",IFERROR(INDEX(EN_Des,MATCH(B991,EN_Code,0)),"Code inconnu"))</f>
        <v/>
      </c>
      <c r="D991" s="25"/>
      <c r="E991" s="25"/>
      <c r="F991" s="82"/>
      <c r="G991" s="82"/>
      <c r="H991" s="83" t="str">
        <f aca="false">IF(OR(F991="",G991=""),"",G991-F991)</f>
        <v/>
      </c>
      <c r="I991" s="82"/>
      <c r="J991" s="82"/>
      <c r="K991" s="28"/>
      <c r="L991" s="90" t="str">
        <f aca="false">IF(OR(K991="",N(H991)=0),"",K991/H991)</f>
        <v/>
      </c>
      <c r="M991" s="68"/>
      <c r="N991" s="28"/>
      <c r="O991" s="25"/>
      <c r="P991" s="83" t="str">
        <f aca="false">IF(OR(N991="",N(H991)=0),"",N991/H991)</f>
        <v/>
      </c>
      <c r="Q991" s="25"/>
    </row>
    <row r="992" customFormat="false" ht="15" hidden="false" customHeight="false" outlineLevel="0" collapsed="false">
      <c r="A992" s="69"/>
      <c r="B992" s="68"/>
      <c r="C992" s="76" t="str">
        <f aca="false">IF(B992="","",IFERROR(INDEX(EN_Des,MATCH(B992,EN_Code,0)),"Code inconnu"))</f>
        <v/>
      </c>
      <c r="D992" s="25"/>
      <c r="E992" s="25"/>
      <c r="F992" s="82"/>
      <c r="G992" s="82"/>
      <c r="H992" s="83" t="str">
        <f aca="false">IF(OR(F992="",G992=""),"",G992-F992)</f>
        <v/>
      </c>
      <c r="I992" s="82"/>
      <c r="J992" s="82"/>
      <c r="K992" s="28"/>
      <c r="L992" s="90" t="str">
        <f aca="false">IF(OR(K992="",N(H992)=0),"",K992/H992)</f>
        <v/>
      </c>
      <c r="M992" s="68"/>
      <c r="N992" s="28"/>
      <c r="O992" s="25"/>
      <c r="P992" s="83" t="str">
        <f aca="false">IF(OR(N992="",N(H992)=0),"",N992/H992)</f>
        <v/>
      </c>
      <c r="Q992" s="25"/>
    </row>
    <row r="993" customFormat="false" ht="15" hidden="false" customHeight="false" outlineLevel="0" collapsed="false">
      <c r="A993" s="69"/>
      <c r="B993" s="68"/>
      <c r="C993" s="76" t="str">
        <f aca="false">IF(B993="","",IFERROR(INDEX(EN_Des,MATCH(B993,EN_Code,0)),"Code inconnu"))</f>
        <v/>
      </c>
      <c r="D993" s="25"/>
      <c r="E993" s="25"/>
      <c r="F993" s="82"/>
      <c r="G993" s="82"/>
      <c r="H993" s="83" t="str">
        <f aca="false">IF(OR(F993="",G993=""),"",G993-F993)</f>
        <v/>
      </c>
      <c r="I993" s="82"/>
      <c r="J993" s="82"/>
      <c r="K993" s="28"/>
      <c r="L993" s="90" t="str">
        <f aca="false">IF(OR(K993="",N(H993)=0),"",K993/H993)</f>
        <v/>
      </c>
      <c r="M993" s="68"/>
      <c r="N993" s="28"/>
      <c r="O993" s="25"/>
      <c r="P993" s="83" t="str">
        <f aca="false">IF(OR(N993="",N(H993)=0),"",N993/H993)</f>
        <v/>
      </c>
      <c r="Q993" s="25"/>
    </row>
    <row r="994" customFormat="false" ht="15" hidden="false" customHeight="false" outlineLevel="0" collapsed="false">
      <c r="A994" s="69"/>
      <c r="B994" s="68"/>
      <c r="C994" s="76" t="str">
        <f aca="false">IF(B994="","",IFERROR(INDEX(EN_Des,MATCH(B994,EN_Code,0)),"Code inconnu"))</f>
        <v/>
      </c>
      <c r="D994" s="25"/>
      <c r="E994" s="25"/>
      <c r="F994" s="82"/>
      <c r="G994" s="82"/>
      <c r="H994" s="83" t="str">
        <f aca="false">IF(OR(F994="",G994=""),"",G994-F994)</f>
        <v/>
      </c>
      <c r="I994" s="82"/>
      <c r="J994" s="82"/>
      <c r="K994" s="28"/>
      <c r="L994" s="90" t="str">
        <f aca="false">IF(OR(K994="",N(H994)=0),"",K994/H994)</f>
        <v/>
      </c>
      <c r="M994" s="68"/>
      <c r="N994" s="28"/>
      <c r="O994" s="25"/>
      <c r="P994" s="83" t="str">
        <f aca="false">IF(OR(N994="",N(H994)=0),"",N994/H994)</f>
        <v/>
      </c>
      <c r="Q994" s="25"/>
    </row>
    <row r="995" customFormat="false" ht="15" hidden="false" customHeight="false" outlineLevel="0" collapsed="false">
      <c r="A995" s="69"/>
      <c r="B995" s="68"/>
      <c r="C995" s="76" t="str">
        <f aca="false">IF(B995="","",IFERROR(INDEX(EN_Des,MATCH(B995,EN_Code,0)),"Code inconnu"))</f>
        <v/>
      </c>
      <c r="D995" s="25"/>
      <c r="E995" s="25"/>
      <c r="F995" s="82"/>
      <c r="G995" s="82"/>
      <c r="H995" s="83" t="str">
        <f aca="false">IF(OR(F995="",G995=""),"",G995-F995)</f>
        <v/>
      </c>
      <c r="I995" s="82"/>
      <c r="J995" s="82"/>
      <c r="K995" s="28"/>
      <c r="L995" s="90" t="str">
        <f aca="false">IF(OR(K995="",N(H995)=0),"",K995/H995)</f>
        <v/>
      </c>
      <c r="M995" s="68"/>
      <c r="N995" s="28"/>
      <c r="O995" s="25"/>
      <c r="P995" s="83" t="str">
        <f aca="false">IF(OR(N995="",N(H995)=0),"",N995/H995)</f>
        <v/>
      </c>
      <c r="Q995" s="25"/>
    </row>
    <row r="996" customFormat="false" ht="15" hidden="false" customHeight="false" outlineLevel="0" collapsed="false">
      <c r="A996" s="69"/>
      <c r="B996" s="68"/>
      <c r="C996" s="76" t="str">
        <f aca="false">IF(B996="","",IFERROR(INDEX(EN_Des,MATCH(B996,EN_Code,0)),"Code inconnu"))</f>
        <v/>
      </c>
      <c r="D996" s="25"/>
      <c r="E996" s="25"/>
      <c r="F996" s="82"/>
      <c r="G996" s="82"/>
      <c r="H996" s="83" t="str">
        <f aca="false">IF(OR(F996="",G996=""),"",G996-F996)</f>
        <v/>
      </c>
      <c r="I996" s="82"/>
      <c r="J996" s="82"/>
      <c r="K996" s="28"/>
      <c r="L996" s="90" t="str">
        <f aca="false">IF(OR(K996="",N(H996)=0),"",K996/H996)</f>
        <v/>
      </c>
      <c r="M996" s="68"/>
      <c r="N996" s="28"/>
      <c r="O996" s="25"/>
      <c r="P996" s="83" t="str">
        <f aca="false">IF(OR(N996="",N(H996)=0),"",N996/H996)</f>
        <v/>
      </c>
      <c r="Q996" s="25"/>
    </row>
    <row r="997" customFormat="false" ht="15" hidden="false" customHeight="false" outlineLevel="0" collapsed="false">
      <c r="A997" s="69"/>
      <c r="B997" s="68"/>
      <c r="C997" s="76" t="str">
        <f aca="false">IF(B997="","",IFERROR(INDEX(EN_Des,MATCH(B997,EN_Code,0)),"Code inconnu"))</f>
        <v/>
      </c>
      <c r="D997" s="25"/>
      <c r="E997" s="25"/>
      <c r="F997" s="82"/>
      <c r="G997" s="82"/>
      <c r="H997" s="83" t="str">
        <f aca="false">IF(OR(F997="",G997=""),"",G997-F997)</f>
        <v/>
      </c>
      <c r="I997" s="82"/>
      <c r="J997" s="82"/>
      <c r="K997" s="28"/>
      <c r="L997" s="90" t="str">
        <f aca="false">IF(OR(K997="",N(H997)=0),"",K997/H997)</f>
        <v/>
      </c>
      <c r="M997" s="68"/>
      <c r="N997" s="28"/>
      <c r="O997" s="25"/>
      <c r="P997" s="83" t="str">
        <f aca="false">IF(OR(N997="",N(H997)=0),"",N997/H997)</f>
        <v/>
      </c>
      <c r="Q997" s="25"/>
    </row>
    <row r="998" customFormat="false" ht="15" hidden="false" customHeight="false" outlineLevel="0" collapsed="false">
      <c r="A998" s="69"/>
      <c r="B998" s="68"/>
      <c r="C998" s="76" t="str">
        <f aca="false">IF(B998="","",IFERROR(INDEX(EN_Des,MATCH(B998,EN_Code,0)),"Code inconnu"))</f>
        <v/>
      </c>
      <c r="D998" s="25"/>
      <c r="E998" s="25"/>
      <c r="F998" s="82"/>
      <c r="G998" s="82"/>
      <c r="H998" s="83" t="str">
        <f aca="false">IF(OR(F998="",G998=""),"",G998-F998)</f>
        <v/>
      </c>
      <c r="I998" s="82"/>
      <c r="J998" s="82"/>
      <c r="K998" s="28"/>
      <c r="L998" s="90" t="str">
        <f aca="false">IF(OR(K998="",N(H998)=0),"",K998/H998)</f>
        <v/>
      </c>
      <c r="M998" s="68"/>
      <c r="N998" s="28"/>
      <c r="O998" s="25"/>
      <c r="P998" s="83" t="str">
        <f aca="false">IF(OR(N998="",N(H998)=0),"",N998/H998)</f>
        <v/>
      </c>
      <c r="Q998" s="25"/>
    </row>
    <row r="999" customFormat="false" ht="15" hidden="false" customHeight="false" outlineLevel="0" collapsed="false">
      <c r="A999" s="69"/>
      <c r="B999" s="68"/>
      <c r="C999" s="76" t="str">
        <f aca="false">IF(B999="","",IFERROR(INDEX(EN_Des,MATCH(B999,EN_Code,0)),"Code inconnu"))</f>
        <v/>
      </c>
      <c r="D999" s="25"/>
      <c r="E999" s="25"/>
      <c r="F999" s="82"/>
      <c r="G999" s="82"/>
      <c r="H999" s="83" t="str">
        <f aca="false">IF(OR(F999="",G999=""),"",G999-F999)</f>
        <v/>
      </c>
      <c r="I999" s="82"/>
      <c r="J999" s="82"/>
      <c r="K999" s="28"/>
      <c r="L999" s="90" t="str">
        <f aca="false">IF(OR(K999="",N(H999)=0),"",K999/H999)</f>
        <v/>
      </c>
      <c r="M999" s="68"/>
      <c r="N999" s="28"/>
      <c r="O999" s="25"/>
      <c r="P999" s="83" t="str">
        <f aca="false">IF(OR(N999="",N(H999)=0),"",N999/H999)</f>
        <v/>
      </c>
      <c r="Q999" s="25"/>
    </row>
    <row r="1000" customFormat="false" ht="15" hidden="false" customHeight="false" outlineLevel="0" collapsed="false">
      <c r="A1000" s="69"/>
      <c r="B1000" s="68"/>
      <c r="C1000" s="76" t="str">
        <f aca="false">IF(B1000="","",IFERROR(INDEX(EN_Des,MATCH(B1000,EN_Code,0)),"Code inconnu"))</f>
        <v/>
      </c>
      <c r="D1000" s="25"/>
      <c r="E1000" s="25"/>
      <c r="F1000" s="82"/>
      <c r="G1000" s="82"/>
      <c r="H1000" s="83" t="str">
        <f aca="false">IF(OR(F1000="",G1000=""),"",G1000-F1000)</f>
        <v/>
      </c>
      <c r="I1000" s="82"/>
      <c r="J1000" s="82"/>
      <c r="K1000" s="28"/>
      <c r="L1000" s="90" t="str">
        <f aca="false">IF(OR(K1000="",N(H1000)=0),"",K1000/H1000)</f>
        <v/>
      </c>
      <c r="M1000" s="68"/>
      <c r="N1000" s="28"/>
      <c r="O1000" s="25"/>
      <c r="P1000" s="83" t="str">
        <f aca="false">IF(OR(N1000="",N(H1000)=0),"",N1000/H1000)</f>
        <v/>
      </c>
      <c r="Q1000" s="25"/>
    </row>
    <row r="1001" customFormat="false" ht="15" hidden="false" customHeight="false" outlineLevel="0" collapsed="false">
      <c r="A1001" s="69"/>
      <c r="B1001" s="68"/>
      <c r="C1001" s="76" t="str">
        <f aca="false">IF(B1001="","",IFERROR(INDEX(EN_Des,MATCH(B1001,EN_Code,0)),"Code inconnu"))</f>
        <v/>
      </c>
      <c r="D1001" s="25"/>
      <c r="E1001" s="25"/>
      <c r="F1001" s="82"/>
      <c r="G1001" s="82"/>
      <c r="H1001" s="83" t="str">
        <f aca="false">IF(OR(F1001="",G1001=""),"",G1001-F1001)</f>
        <v/>
      </c>
      <c r="I1001" s="82"/>
      <c r="J1001" s="82"/>
      <c r="K1001" s="28"/>
      <c r="L1001" s="90" t="str">
        <f aca="false">IF(OR(K1001="",N(H1001)=0),"",K1001/H1001)</f>
        <v/>
      </c>
      <c r="M1001" s="68"/>
      <c r="N1001" s="28"/>
      <c r="O1001" s="25"/>
      <c r="P1001" s="83" t="str">
        <f aca="false">IF(OR(N1001="",N(H1001)=0),"",N1001/H1001)</f>
        <v/>
      </c>
      <c r="Q1001" s="25"/>
    </row>
    <row r="1002" customFormat="false" ht="15" hidden="false" customHeight="false" outlineLevel="0" collapsed="false">
      <c r="A1002" s="69"/>
      <c r="B1002" s="68"/>
      <c r="C1002" s="76" t="str">
        <f aca="false">IF(B1002="","",IFERROR(INDEX(EN_Des,MATCH(B1002,EN_Code,0)),"Code inconnu"))</f>
        <v/>
      </c>
      <c r="D1002" s="25"/>
      <c r="E1002" s="25"/>
      <c r="F1002" s="82"/>
      <c r="G1002" s="82"/>
      <c r="H1002" s="83" t="str">
        <f aca="false">IF(OR(F1002="",G1002=""),"",G1002-F1002)</f>
        <v/>
      </c>
      <c r="I1002" s="82"/>
      <c r="J1002" s="82"/>
      <c r="K1002" s="28"/>
      <c r="L1002" s="90" t="str">
        <f aca="false">IF(OR(K1002="",N(H1002)=0),"",K1002/H1002)</f>
        <v/>
      </c>
      <c r="M1002" s="68"/>
      <c r="N1002" s="28"/>
      <c r="O1002" s="25"/>
      <c r="P1002" s="83" t="str">
        <f aca="false">IF(OR(N1002="",N(H1002)=0),"",N1002/H1002)</f>
        <v/>
      </c>
      <c r="Q1002" s="25"/>
    </row>
    <row r="1003" customFormat="false" ht="15" hidden="false" customHeight="false" outlineLevel="0" collapsed="false">
      <c r="A1003" s="69"/>
      <c r="B1003" s="68"/>
      <c r="C1003" s="76" t="str">
        <f aca="false">IF(B1003="","",IFERROR(INDEX(EN_Des,MATCH(B1003,EN_Code,0)),"Code inconnu"))</f>
        <v/>
      </c>
      <c r="D1003" s="25"/>
      <c r="E1003" s="25"/>
      <c r="F1003" s="82"/>
      <c r="G1003" s="82"/>
      <c r="H1003" s="83" t="str">
        <f aca="false">IF(OR(F1003="",G1003=""),"",G1003-F1003)</f>
        <v/>
      </c>
      <c r="I1003" s="82"/>
      <c r="J1003" s="82"/>
      <c r="K1003" s="28"/>
      <c r="L1003" s="90" t="str">
        <f aca="false">IF(OR(K1003="",N(H1003)=0),"",K1003/H1003)</f>
        <v/>
      </c>
      <c r="M1003" s="68"/>
      <c r="N1003" s="28"/>
      <c r="O1003" s="25"/>
      <c r="P1003" s="83" t="str">
        <f aca="false">IF(OR(N1003="",N(H1003)=0),"",N1003/H1003)</f>
        <v/>
      </c>
      <c r="Q1003" s="25"/>
    </row>
    <row r="1004" customFormat="false" ht="15" hidden="false" customHeight="false" outlineLevel="0" collapsed="false">
      <c r="A1004" s="69"/>
      <c r="B1004" s="68"/>
      <c r="C1004" s="76" t="str">
        <f aca="false">IF(B1004="","",IFERROR(INDEX(EN_Des,MATCH(B1004,EN_Code,0)),"Code inconnu"))</f>
        <v/>
      </c>
      <c r="D1004" s="25"/>
      <c r="E1004" s="25"/>
      <c r="F1004" s="82"/>
      <c r="G1004" s="82"/>
      <c r="H1004" s="83" t="str">
        <f aca="false">IF(OR(F1004="",G1004=""),"",G1004-F1004)</f>
        <v/>
      </c>
      <c r="I1004" s="82"/>
      <c r="J1004" s="82"/>
      <c r="K1004" s="28"/>
      <c r="L1004" s="90" t="str">
        <f aca="false">IF(OR(K1004="",N(H1004)=0),"",K1004/H1004)</f>
        <v/>
      </c>
      <c r="M1004" s="68"/>
      <c r="N1004" s="28"/>
      <c r="O1004" s="25"/>
      <c r="P1004" s="83" t="str">
        <f aca="false">IF(OR(N1004="",N(H1004)=0),"",N1004/H1004)</f>
        <v/>
      </c>
      <c r="Q1004" s="25"/>
    </row>
    <row r="1005" customFormat="false" ht="15" hidden="false" customHeight="false" outlineLevel="0" collapsed="false">
      <c r="A1005" s="69"/>
      <c r="B1005" s="68"/>
      <c r="C1005" s="76" t="str">
        <f aca="false">IF(B1005="","",IFERROR(INDEX(EN_Des,MATCH(B1005,EN_Code,0)),"Code inconnu"))</f>
        <v/>
      </c>
      <c r="D1005" s="25"/>
      <c r="E1005" s="25"/>
      <c r="F1005" s="82"/>
      <c r="G1005" s="82"/>
      <c r="H1005" s="83" t="str">
        <f aca="false">IF(OR(F1005="",G1005=""),"",G1005-F1005)</f>
        <v/>
      </c>
      <c r="I1005" s="82"/>
      <c r="J1005" s="82"/>
      <c r="K1005" s="28"/>
      <c r="L1005" s="90" t="str">
        <f aca="false">IF(OR(K1005="",N(H1005)=0),"",K1005/H1005)</f>
        <v/>
      </c>
      <c r="M1005" s="68"/>
      <c r="N1005" s="28"/>
      <c r="O1005" s="25"/>
      <c r="P1005" s="83" t="str">
        <f aca="false">IF(OR(N1005="",N(H1005)=0),"",N1005/H1005)</f>
        <v/>
      </c>
      <c r="Q1005" s="25"/>
    </row>
    <row r="1006" customFormat="false" ht="15" hidden="false" customHeight="false" outlineLevel="0" collapsed="false">
      <c r="A1006" s="69"/>
      <c r="B1006" s="68"/>
      <c r="C1006" s="76" t="str">
        <f aca="false">IF(B1006="","",IFERROR(INDEX(EN_Des,MATCH(B1006,EN_Code,0)),"Code inconnu"))</f>
        <v/>
      </c>
      <c r="D1006" s="25"/>
      <c r="E1006" s="25"/>
      <c r="F1006" s="82"/>
      <c r="G1006" s="82"/>
      <c r="H1006" s="83" t="str">
        <f aca="false">IF(OR(F1006="",G1006=""),"",G1006-F1006)</f>
        <v/>
      </c>
      <c r="I1006" s="82"/>
      <c r="J1006" s="82"/>
      <c r="K1006" s="28"/>
      <c r="L1006" s="90" t="str">
        <f aca="false">IF(OR(K1006="",N(H1006)=0),"",K1006/H1006)</f>
        <v/>
      </c>
      <c r="M1006" s="68"/>
      <c r="N1006" s="28"/>
      <c r="O1006" s="25"/>
      <c r="P1006" s="83" t="str">
        <f aca="false">IF(OR(N1006="",N(H1006)=0),"",N1006/H1006)</f>
        <v/>
      </c>
      <c r="Q1006" s="25"/>
    </row>
    <row r="1007" customFormat="false" ht="15" hidden="false" customHeight="false" outlineLevel="0" collapsed="false">
      <c r="A1007" s="69"/>
      <c r="B1007" s="68"/>
      <c r="C1007" s="76" t="str">
        <f aca="false">IF(B1007="","",IFERROR(INDEX(EN_Des,MATCH(B1007,EN_Code,0)),"Code inconnu"))</f>
        <v/>
      </c>
      <c r="D1007" s="25"/>
      <c r="E1007" s="25"/>
      <c r="F1007" s="82"/>
      <c r="G1007" s="82"/>
      <c r="H1007" s="83" t="str">
        <f aca="false">IF(OR(F1007="",G1007=""),"",G1007-F1007)</f>
        <v/>
      </c>
      <c r="I1007" s="82"/>
      <c r="J1007" s="82"/>
      <c r="K1007" s="28"/>
      <c r="L1007" s="90" t="str">
        <f aca="false">IF(OR(K1007="",N(H1007)=0),"",K1007/H1007)</f>
        <v/>
      </c>
      <c r="M1007" s="68"/>
      <c r="N1007" s="28"/>
      <c r="O1007" s="25"/>
      <c r="P1007" s="83" t="str">
        <f aca="false">IF(OR(N1007="",N(H1007)=0),"",N1007/H1007)</f>
        <v/>
      </c>
      <c r="Q1007" s="25"/>
    </row>
    <row r="1008" customFormat="false" ht="15" hidden="false" customHeight="false" outlineLevel="0" collapsed="false">
      <c r="A1008" s="69"/>
      <c r="B1008" s="68"/>
      <c r="C1008" s="76" t="str">
        <f aca="false">IF(B1008="","",IFERROR(INDEX(EN_Des,MATCH(B1008,EN_Code,0)),"Code inconnu"))</f>
        <v/>
      </c>
      <c r="D1008" s="25"/>
      <c r="E1008" s="25"/>
      <c r="F1008" s="82"/>
      <c r="G1008" s="82"/>
      <c r="H1008" s="83" t="str">
        <f aca="false">IF(OR(F1008="",G1008=""),"",G1008-F1008)</f>
        <v/>
      </c>
      <c r="I1008" s="82"/>
      <c r="J1008" s="82"/>
      <c r="K1008" s="28"/>
      <c r="L1008" s="90" t="str">
        <f aca="false">IF(OR(K1008="",N(H1008)=0),"",K1008/H1008)</f>
        <v/>
      </c>
      <c r="M1008" s="68"/>
      <c r="N1008" s="28"/>
      <c r="O1008" s="25"/>
      <c r="P1008" s="83" t="str">
        <f aca="false">IF(OR(N1008="",N(H1008)=0),"",N1008/H1008)</f>
        <v/>
      </c>
      <c r="Q1008" s="25"/>
    </row>
    <row r="1009" customFormat="false" ht="15" hidden="false" customHeight="false" outlineLevel="0" collapsed="false">
      <c r="A1009" s="69"/>
      <c r="B1009" s="68"/>
      <c r="C1009" s="76" t="str">
        <f aca="false">IF(B1009="","",IFERROR(INDEX(EN_Des,MATCH(B1009,EN_Code,0)),"Code inconnu"))</f>
        <v/>
      </c>
      <c r="D1009" s="25"/>
      <c r="E1009" s="25"/>
      <c r="F1009" s="82"/>
      <c r="G1009" s="82"/>
      <c r="H1009" s="83" t="str">
        <f aca="false">IF(OR(F1009="",G1009=""),"",G1009-F1009)</f>
        <v/>
      </c>
      <c r="I1009" s="82"/>
      <c r="J1009" s="82"/>
      <c r="K1009" s="28"/>
      <c r="L1009" s="90" t="str">
        <f aca="false">IF(OR(K1009="",N(H1009)=0),"",K1009/H1009)</f>
        <v/>
      </c>
      <c r="M1009" s="68"/>
      <c r="N1009" s="28"/>
      <c r="O1009" s="25"/>
      <c r="P1009" s="83" t="str">
        <f aca="false">IF(OR(N1009="",N(H1009)=0),"",N1009/H1009)</f>
        <v/>
      </c>
      <c r="Q1009" s="25"/>
    </row>
    <row r="1010" customFormat="false" ht="15" hidden="false" customHeight="false" outlineLevel="0" collapsed="false">
      <c r="A1010" s="69"/>
      <c r="B1010" s="68"/>
      <c r="C1010" s="76" t="str">
        <f aca="false">IF(B1010="","",IFERROR(INDEX(EN_Des,MATCH(B1010,EN_Code,0)),"Code inconnu"))</f>
        <v/>
      </c>
      <c r="D1010" s="25"/>
      <c r="E1010" s="25"/>
      <c r="F1010" s="82"/>
      <c r="G1010" s="82"/>
      <c r="H1010" s="83" t="str">
        <f aca="false">IF(OR(F1010="",G1010=""),"",G1010-F1010)</f>
        <v/>
      </c>
      <c r="I1010" s="82"/>
      <c r="J1010" s="82"/>
      <c r="K1010" s="28"/>
      <c r="L1010" s="90" t="str">
        <f aca="false">IF(OR(K1010="",N(H1010)=0),"",K1010/H1010)</f>
        <v/>
      </c>
      <c r="M1010" s="68"/>
      <c r="N1010" s="28"/>
      <c r="O1010" s="25"/>
      <c r="P1010" s="83" t="str">
        <f aca="false">IF(OR(N1010="",N(H1010)=0),"",N1010/H1010)</f>
        <v/>
      </c>
      <c r="Q1010" s="25"/>
    </row>
    <row r="1011" customFormat="false" ht="15" hidden="false" customHeight="false" outlineLevel="0" collapsed="false">
      <c r="A1011" s="69"/>
      <c r="B1011" s="68"/>
      <c r="C1011" s="76" t="str">
        <f aca="false">IF(B1011="","",IFERROR(INDEX(EN_Des,MATCH(B1011,EN_Code,0)),"Code inconnu"))</f>
        <v/>
      </c>
      <c r="D1011" s="25"/>
      <c r="E1011" s="25"/>
      <c r="F1011" s="82"/>
      <c r="G1011" s="82"/>
      <c r="H1011" s="83" t="str">
        <f aca="false">IF(OR(F1011="",G1011=""),"",G1011-F1011)</f>
        <v/>
      </c>
      <c r="I1011" s="82"/>
      <c r="J1011" s="82"/>
      <c r="K1011" s="28"/>
      <c r="L1011" s="90" t="str">
        <f aca="false">IF(OR(K1011="",N(H1011)=0),"",K1011/H1011)</f>
        <v/>
      </c>
      <c r="M1011" s="68"/>
      <c r="N1011" s="28"/>
      <c r="O1011" s="25"/>
      <c r="P1011" s="83" t="str">
        <f aca="false">IF(OR(N1011="",N(H1011)=0),"",N1011/H1011)</f>
        <v/>
      </c>
      <c r="Q1011" s="25"/>
    </row>
    <row r="1012" customFormat="false" ht="15" hidden="false" customHeight="false" outlineLevel="0" collapsed="false">
      <c r="A1012" s="69"/>
      <c r="B1012" s="68"/>
      <c r="C1012" s="76" t="str">
        <f aca="false">IF(B1012="","",IFERROR(INDEX(EN_Des,MATCH(B1012,EN_Code,0)),"Code inconnu"))</f>
        <v/>
      </c>
      <c r="D1012" s="25"/>
      <c r="E1012" s="25"/>
      <c r="F1012" s="82"/>
      <c r="G1012" s="82"/>
      <c r="H1012" s="83" t="str">
        <f aca="false">IF(OR(F1012="",G1012=""),"",G1012-F1012)</f>
        <v/>
      </c>
      <c r="I1012" s="82"/>
      <c r="J1012" s="82"/>
      <c r="K1012" s="28"/>
      <c r="L1012" s="90" t="str">
        <f aca="false">IF(OR(K1012="",N(H1012)=0),"",K1012/H1012)</f>
        <v/>
      </c>
      <c r="M1012" s="68"/>
      <c r="N1012" s="28"/>
      <c r="O1012" s="25"/>
      <c r="P1012" s="83" t="str">
        <f aca="false">IF(OR(N1012="",N(H1012)=0),"",N1012/H1012)</f>
        <v/>
      </c>
      <c r="Q1012" s="25"/>
    </row>
    <row r="1013" customFormat="false" ht="15" hidden="false" customHeight="false" outlineLevel="0" collapsed="false">
      <c r="A1013" s="69"/>
      <c r="B1013" s="68"/>
      <c r="C1013" s="76" t="str">
        <f aca="false">IF(B1013="","",IFERROR(INDEX(EN_Des,MATCH(B1013,EN_Code,0)),"Code inconnu"))</f>
        <v/>
      </c>
      <c r="D1013" s="25"/>
      <c r="E1013" s="25"/>
      <c r="F1013" s="82"/>
      <c r="G1013" s="82"/>
      <c r="H1013" s="83" t="str">
        <f aca="false">IF(OR(F1013="",G1013=""),"",G1013-F1013)</f>
        <v/>
      </c>
      <c r="I1013" s="82"/>
      <c r="J1013" s="82"/>
      <c r="K1013" s="28"/>
      <c r="L1013" s="90" t="str">
        <f aca="false">IF(OR(K1013="",N(H1013)=0),"",K1013/H1013)</f>
        <v/>
      </c>
      <c r="M1013" s="68"/>
      <c r="N1013" s="28"/>
      <c r="O1013" s="25"/>
      <c r="P1013" s="83" t="str">
        <f aca="false">IF(OR(N1013="",N(H1013)=0),"",N1013/H1013)</f>
        <v/>
      </c>
      <c r="Q1013" s="25"/>
    </row>
    <row r="1014" customFormat="false" ht="15" hidden="false" customHeight="false" outlineLevel="0" collapsed="false">
      <c r="A1014" s="69"/>
      <c r="B1014" s="68"/>
      <c r="C1014" s="76" t="str">
        <f aca="false">IF(B1014="","",IFERROR(INDEX(EN_Des,MATCH(B1014,EN_Code,0)),"Code inconnu"))</f>
        <v/>
      </c>
      <c r="D1014" s="25"/>
      <c r="E1014" s="25"/>
      <c r="F1014" s="82"/>
      <c r="G1014" s="82"/>
      <c r="H1014" s="83" t="str">
        <f aca="false">IF(OR(F1014="",G1014=""),"",G1014-F1014)</f>
        <v/>
      </c>
      <c r="I1014" s="82"/>
      <c r="J1014" s="82"/>
      <c r="K1014" s="28"/>
      <c r="L1014" s="90" t="str">
        <f aca="false">IF(OR(K1014="",N(H1014)=0),"",K1014/H1014)</f>
        <v/>
      </c>
      <c r="M1014" s="68"/>
      <c r="N1014" s="28"/>
      <c r="O1014" s="25"/>
      <c r="P1014" s="83" t="str">
        <f aca="false">IF(OR(N1014="",N(H1014)=0),"",N1014/H1014)</f>
        <v/>
      </c>
      <c r="Q1014" s="25"/>
    </row>
    <row r="1015" customFormat="false" ht="15" hidden="false" customHeight="false" outlineLevel="0" collapsed="false">
      <c r="A1015" s="69"/>
      <c r="B1015" s="68"/>
      <c r="C1015" s="76" t="str">
        <f aca="false">IF(B1015="","",IFERROR(INDEX(EN_Des,MATCH(B1015,EN_Code,0)),"Code inconnu"))</f>
        <v/>
      </c>
      <c r="D1015" s="25"/>
      <c r="E1015" s="25"/>
      <c r="F1015" s="82"/>
      <c r="G1015" s="82"/>
      <c r="H1015" s="83" t="str">
        <f aca="false">IF(OR(F1015="",G1015=""),"",G1015-F1015)</f>
        <v/>
      </c>
      <c r="I1015" s="82"/>
      <c r="J1015" s="82"/>
      <c r="K1015" s="28"/>
      <c r="L1015" s="90" t="str">
        <f aca="false">IF(OR(K1015="",N(H1015)=0),"",K1015/H1015)</f>
        <v/>
      </c>
      <c r="M1015" s="68"/>
      <c r="N1015" s="28"/>
      <c r="O1015" s="25"/>
      <c r="P1015" s="83" t="str">
        <f aca="false">IF(OR(N1015="",N(H1015)=0),"",N1015/H1015)</f>
        <v/>
      </c>
      <c r="Q1015" s="25"/>
    </row>
    <row r="1016" customFormat="false" ht="15" hidden="false" customHeight="false" outlineLevel="0" collapsed="false">
      <c r="A1016" s="69"/>
      <c r="B1016" s="68"/>
      <c r="C1016" s="76" t="str">
        <f aca="false">IF(B1016="","",IFERROR(INDEX(EN_Des,MATCH(B1016,EN_Code,0)),"Code inconnu"))</f>
        <v/>
      </c>
      <c r="D1016" s="25"/>
      <c r="E1016" s="25"/>
      <c r="F1016" s="82"/>
      <c r="G1016" s="82"/>
      <c r="H1016" s="83" t="str">
        <f aca="false">IF(OR(F1016="",G1016=""),"",G1016-F1016)</f>
        <v/>
      </c>
      <c r="I1016" s="82"/>
      <c r="J1016" s="82"/>
      <c r="K1016" s="28"/>
      <c r="L1016" s="90" t="str">
        <f aca="false">IF(OR(K1016="",N(H1016)=0),"",K1016/H1016)</f>
        <v/>
      </c>
      <c r="M1016" s="68"/>
      <c r="N1016" s="28"/>
      <c r="O1016" s="25"/>
      <c r="P1016" s="83" t="str">
        <f aca="false">IF(OR(N1016="",N(H1016)=0),"",N1016/H1016)</f>
        <v/>
      </c>
      <c r="Q1016" s="25"/>
    </row>
    <row r="1017" customFormat="false" ht="15" hidden="false" customHeight="false" outlineLevel="0" collapsed="false">
      <c r="A1017" s="69"/>
      <c r="B1017" s="68"/>
      <c r="C1017" s="76" t="str">
        <f aca="false">IF(B1017="","",IFERROR(INDEX(EN_Des,MATCH(B1017,EN_Code,0)),"Code inconnu"))</f>
        <v/>
      </c>
      <c r="D1017" s="25"/>
      <c r="E1017" s="25"/>
      <c r="F1017" s="82"/>
      <c r="G1017" s="82"/>
      <c r="H1017" s="83" t="str">
        <f aca="false">IF(OR(F1017="",G1017=""),"",G1017-F1017)</f>
        <v/>
      </c>
      <c r="I1017" s="82"/>
      <c r="J1017" s="82"/>
      <c r="K1017" s="28"/>
      <c r="L1017" s="90" t="str">
        <f aca="false">IF(OR(K1017="",N(H1017)=0),"",K1017/H1017)</f>
        <v/>
      </c>
      <c r="M1017" s="68"/>
      <c r="N1017" s="28"/>
      <c r="O1017" s="25"/>
      <c r="P1017" s="83" t="str">
        <f aca="false">IF(OR(N1017="",N(H1017)=0),"",N1017/H1017)</f>
        <v/>
      </c>
      <c r="Q1017" s="25"/>
    </row>
    <row r="1018" customFormat="false" ht="15" hidden="false" customHeight="false" outlineLevel="0" collapsed="false">
      <c r="A1018" s="69"/>
      <c r="B1018" s="68"/>
      <c r="C1018" s="76" t="str">
        <f aca="false">IF(B1018="","",IFERROR(INDEX(EN_Des,MATCH(B1018,EN_Code,0)),"Code inconnu"))</f>
        <v/>
      </c>
      <c r="D1018" s="25"/>
      <c r="E1018" s="25"/>
      <c r="F1018" s="82"/>
      <c r="G1018" s="82"/>
      <c r="H1018" s="83" t="str">
        <f aca="false">IF(OR(F1018="",G1018=""),"",G1018-F1018)</f>
        <v/>
      </c>
      <c r="I1018" s="82"/>
      <c r="J1018" s="82"/>
      <c r="K1018" s="28"/>
      <c r="L1018" s="90" t="str">
        <f aca="false">IF(OR(K1018="",N(H1018)=0),"",K1018/H1018)</f>
        <v/>
      </c>
      <c r="M1018" s="68"/>
      <c r="N1018" s="28"/>
      <c r="O1018" s="25"/>
      <c r="P1018" s="83" t="str">
        <f aca="false">IF(OR(N1018="",N(H1018)=0),"",N1018/H1018)</f>
        <v/>
      </c>
      <c r="Q1018" s="25"/>
    </row>
    <row r="1019" customFormat="false" ht="15" hidden="false" customHeight="false" outlineLevel="0" collapsed="false">
      <c r="A1019" s="69"/>
      <c r="B1019" s="68"/>
      <c r="C1019" s="76" t="str">
        <f aca="false">IF(B1019="","",IFERROR(INDEX(EN_Des,MATCH(B1019,EN_Code,0)),"Code inconnu"))</f>
        <v/>
      </c>
      <c r="D1019" s="25"/>
      <c r="E1019" s="25"/>
      <c r="F1019" s="82"/>
      <c r="G1019" s="82"/>
      <c r="H1019" s="83" t="str">
        <f aca="false">IF(OR(F1019="",G1019=""),"",G1019-F1019)</f>
        <v/>
      </c>
      <c r="I1019" s="82"/>
      <c r="J1019" s="82"/>
      <c r="K1019" s="28"/>
      <c r="L1019" s="90" t="str">
        <f aca="false">IF(OR(K1019="",N(H1019)=0),"",K1019/H1019)</f>
        <v/>
      </c>
      <c r="M1019" s="68"/>
      <c r="N1019" s="28"/>
      <c r="O1019" s="25"/>
      <c r="P1019" s="83" t="str">
        <f aca="false">IF(OR(N1019="",N(H1019)=0),"",N1019/H1019)</f>
        <v/>
      </c>
      <c r="Q1019" s="25"/>
    </row>
    <row r="1020" customFormat="false" ht="15" hidden="false" customHeight="false" outlineLevel="0" collapsed="false">
      <c r="A1020" s="69"/>
      <c r="B1020" s="68"/>
      <c r="C1020" s="76" t="str">
        <f aca="false">IF(B1020="","",IFERROR(INDEX(EN_Des,MATCH(B1020,EN_Code,0)),"Code inconnu"))</f>
        <v/>
      </c>
      <c r="D1020" s="25"/>
      <c r="E1020" s="25"/>
      <c r="F1020" s="82"/>
      <c r="G1020" s="82"/>
      <c r="H1020" s="83" t="str">
        <f aca="false">IF(OR(F1020="",G1020=""),"",G1020-F1020)</f>
        <v/>
      </c>
      <c r="I1020" s="82"/>
      <c r="J1020" s="82"/>
      <c r="K1020" s="28"/>
      <c r="L1020" s="90" t="str">
        <f aca="false">IF(OR(K1020="",N(H1020)=0),"",K1020/H1020)</f>
        <v/>
      </c>
      <c r="M1020" s="68"/>
      <c r="N1020" s="28"/>
      <c r="O1020" s="25"/>
      <c r="P1020" s="83" t="str">
        <f aca="false">IF(OR(N1020="",N(H1020)=0),"",N1020/H1020)</f>
        <v/>
      </c>
      <c r="Q1020" s="25"/>
    </row>
    <row r="1021" customFormat="false" ht="15" hidden="false" customHeight="false" outlineLevel="0" collapsed="false">
      <c r="A1021" s="69"/>
      <c r="B1021" s="68"/>
      <c r="C1021" s="76" t="str">
        <f aca="false">IF(B1021="","",IFERROR(INDEX(EN_Des,MATCH(B1021,EN_Code,0)),"Code inconnu"))</f>
        <v/>
      </c>
      <c r="D1021" s="25"/>
      <c r="E1021" s="25"/>
      <c r="F1021" s="82"/>
      <c r="G1021" s="82"/>
      <c r="H1021" s="83" t="str">
        <f aca="false">IF(OR(F1021="",G1021=""),"",G1021-F1021)</f>
        <v/>
      </c>
      <c r="I1021" s="82"/>
      <c r="J1021" s="82"/>
      <c r="K1021" s="28"/>
      <c r="L1021" s="90" t="str">
        <f aca="false">IF(OR(K1021="",N(H1021)=0),"",K1021/H1021)</f>
        <v/>
      </c>
      <c r="M1021" s="68"/>
      <c r="N1021" s="28"/>
      <c r="O1021" s="25"/>
      <c r="P1021" s="83" t="str">
        <f aca="false">IF(OR(N1021="",N(H1021)=0),"",N1021/H1021)</f>
        <v/>
      </c>
      <c r="Q1021" s="25"/>
    </row>
    <row r="1022" customFormat="false" ht="15" hidden="false" customHeight="false" outlineLevel="0" collapsed="false">
      <c r="A1022" s="69"/>
      <c r="B1022" s="68"/>
      <c r="C1022" s="76" t="str">
        <f aca="false">IF(B1022="","",IFERROR(INDEX(EN_Des,MATCH(B1022,EN_Code,0)),"Code inconnu"))</f>
        <v/>
      </c>
      <c r="D1022" s="25"/>
      <c r="E1022" s="25"/>
      <c r="F1022" s="82"/>
      <c r="G1022" s="82"/>
      <c r="H1022" s="83" t="str">
        <f aca="false">IF(OR(F1022="",G1022=""),"",G1022-F1022)</f>
        <v/>
      </c>
      <c r="I1022" s="82"/>
      <c r="J1022" s="82"/>
      <c r="K1022" s="28"/>
      <c r="L1022" s="90" t="str">
        <f aca="false">IF(OR(K1022="",N(H1022)=0),"",K1022/H1022)</f>
        <v/>
      </c>
      <c r="M1022" s="68"/>
      <c r="N1022" s="28"/>
      <c r="O1022" s="25"/>
      <c r="P1022" s="83" t="str">
        <f aca="false">IF(OR(N1022="",N(H1022)=0),"",N1022/H1022)</f>
        <v/>
      </c>
      <c r="Q1022" s="25"/>
    </row>
    <row r="1023" customFormat="false" ht="15" hidden="false" customHeight="false" outlineLevel="0" collapsed="false">
      <c r="A1023" s="69"/>
      <c r="B1023" s="68"/>
      <c r="C1023" s="76" t="str">
        <f aca="false">IF(B1023="","",IFERROR(INDEX(EN_Des,MATCH(B1023,EN_Code,0)),"Code inconnu"))</f>
        <v/>
      </c>
      <c r="D1023" s="25"/>
      <c r="E1023" s="25"/>
      <c r="F1023" s="82"/>
      <c r="G1023" s="82"/>
      <c r="H1023" s="83" t="str">
        <f aca="false">IF(OR(F1023="",G1023=""),"",G1023-F1023)</f>
        <v/>
      </c>
      <c r="I1023" s="82"/>
      <c r="J1023" s="82"/>
      <c r="K1023" s="28"/>
      <c r="L1023" s="90" t="str">
        <f aca="false">IF(OR(K1023="",N(H1023)=0),"",K1023/H1023)</f>
        <v/>
      </c>
      <c r="M1023" s="68"/>
      <c r="N1023" s="28"/>
      <c r="O1023" s="25"/>
      <c r="P1023" s="83" t="str">
        <f aca="false">IF(OR(N1023="",N(H1023)=0),"",N1023/H1023)</f>
        <v/>
      </c>
      <c r="Q1023" s="25"/>
    </row>
    <row r="1024" customFormat="false" ht="15" hidden="false" customHeight="false" outlineLevel="0" collapsed="false">
      <c r="A1024" s="69"/>
      <c r="B1024" s="68"/>
      <c r="C1024" s="76" t="str">
        <f aca="false">IF(B1024="","",IFERROR(INDEX(EN_Des,MATCH(B1024,EN_Code,0)),"Code inconnu"))</f>
        <v/>
      </c>
      <c r="D1024" s="25"/>
      <c r="E1024" s="25"/>
      <c r="F1024" s="82"/>
      <c r="G1024" s="82"/>
      <c r="H1024" s="83" t="str">
        <f aca="false">IF(OR(F1024="",G1024=""),"",G1024-F1024)</f>
        <v/>
      </c>
      <c r="I1024" s="82"/>
      <c r="J1024" s="82"/>
      <c r="K1024" s="28"/>
      <c r="L1024" s="90" t="str">
        <f aca="false">IF(OR(K1024="",N(H1024)=0),"",K1024/H1024)</f>
        <v/>
      </c>
      <c r="M1024" s="68"/>
      <c r="N1024" s="28"/>
      <c r="O1024" s="25"/>
      <c r="P1024" s="83" t="str">
        <f aca="false">IF(OR(N1024="",N(H1024)=0),"",N1024/H1024)</f>
        <v/>
      </c>
      <c r="Q1024" s="25"/>
    </row>
    <row r="1025" customFormat="false" ht="15" hidden="false" customHeight="false" outlineLevel="0" collapsed="false">
      <c r="A1025" s="69"/>
      <c r="B1025" s="68"/>
      <c r="C1025" s="76" t="str">
        <f aca="false">IF(B1025="","",IFERROR(INDEX(EN_Des,MATCH(B1025,EN_Code,0)),"Code inconnu"))</f>
        <v/>
      </c>
      <c r="D1025" s="25"/>
      <c r="E1025" s="25"/>
      <c r="F1025" s="82"/>
      <c r="G1025" s="82"/>
      <c r="H1025" s="83" t="str">
        <f aca="false">IF(OR(F1025="",G1025=""),"",G1025-F1025)</f>
        <v/>
      </c>
      <c r="I1025" s="82"/>
      <c r="J1025" s="82"/>
      <c r="K1025" s="28"/>
      <c r="L1025" s="90" t="str">
        <f aca="false">IF(OR(K1025="",N(H1025)=0),"",K1025/H1025)</f>
        <v/>
      </c>
      <c r="M1025" s="68"/>
      <c r="N1025" s="28"/>
      <c r="O1025" s="25"/>
      <c r="P1025" s="83" t="str">
        <f aca="false">IF(OR(N1025="",N(H1025)=0),"",N1025/H1025)</f>
        <v/>
      </c>
      <c r="Q1025" s="25"/>
    </row>
    <row r="1026" customFormat="false" ht="15" hidden="false" customHeight="false" outlineLevel="0" collapsed="false">
      <c r="A1026" s="69"/>
      <c r="B1026" s="68"/>
      <c r="C1026" s="76" t="str">
        <f aca="false">IF(B1026="","",IFERROR(INDEX(EN_Des,MATCH(B1026,EN_Code,0)),"Code inconnu"))</f>
        <v/>
      </c>
      <c r="D1026" s="25"/>
      <c r="E1026" s="25"/>
      <c r="F1026" s="82"/>
      <c r="G1026" s="82"/>
      <c r="H1026" s="83" t="str">
        <f aca="false">IF(OR(F1026="",G1026=""),"",G1026-F1026)</f>
        <v/>
      </c>
      <c r="I1026" s="82"/>
      <c r="J1026" s="82"/>
      <c r="K1026" s="28"/>
      <c r="L1026" s="90" t="str">
        <f aca="false">IF(OR(K1026="",N(H1026)=0),"",K1026/H1026)</f>
        <v/>
      </c>
      <c r="M1026" s="68"/>
      <c r="N1026" s="28"/>
      <c r="O1026" s="25"/>
      <c r="P1026" s="83" t="str">
        <f aca="false">IF(OR(N1026="",N(H1026)=0),"",N1026/H1026)</f>
        <v/>
      </c>
      <c r="Q1026" s="25"/>
    </row>
    <row r="1027" customFormat="false" ht="15" hidden="false" customHeight="false" outlineLevel="0" collapsed="false">
      <c r="A1027" s="69"/>
      <c r="B1027" s="68"/>
      <c r="C1027" s="76" t="str">
        <f aca="false">IF(B1027="","",IFERROR(INDEX(EN_Des,MATCH(B1027,EN_Code,0)),"Code inconnu"))</f>
        <v/>
      </c>
      <c r="D1027" s="25"/>
      <c r="E1027" s="25"/>
      <c r="F1027" s="82"/>
      <c r="G1027" s="82"/>
      <c r="H1027" s="83" t="str">
        <f aca="false">IF(OR(F1027="",G1027=""),"",G1027-F1027)</f>
        <v/>
      </c>
      <c r="I1027" s="82"/>
      <c r="J1027" s="82"/>
      <c r="K1027" s="28"/>
      <c r="L1027" s="90" t="str">
        <f aca="false">IF(OR(K1027="",N(H1027)=0),"",K1027/H1027)</f>
        <v/>
      </c>
      <c r="M1027" s="68"/>
      <c r="N1027" s="28"/>
      <c r="O1027" s="25"/>
      <c r="P1027" s="83" t="str">
        <f aca="false">IF(OR(N1027="",N(H1027)=0),"",N1027/H1027)</f>
        <v/>
      </c>
      <c r="Q1027" s="25"/>
    </row>
    <row r="1028" customFormat="false" ht="15" hidden="false" customHeight="false" outlineLevel="0" collapsed="false">
      <c r="A1028" s="69"/>
      <c r="B1028" s="68"/>
      <c r="C1028" s="76" t="str">
        <f aca="false">IF(B1028="","",IFERROR(INDEX(EN_Des,MATCH(B1028,EN_Code,0)),"Code inconnu"))</f>
        <v/>
      </c>
      <c r="D1028" s="25"/>
      <c r="E1028" s="25"/>
      <c r="F1028" s="82"/>
      <c r="G1028" s="82"/>
      <c r="H1028" s="83" t="str">
        <f aca="false">IF(OR(F1028="",G1028=""),"",G1028-F1028)</f>
        <v/>
      </c>
      <c r="I1028" s="82"/>
      <c r="J1028" s="82"/>
      <c r="K1028" s="28"/>
      <c r="L1028" s="90" t="str">
        <f aca="false">IF(OR(K1028="",N(H1028)=0),"",K1028/H1028)</f>
        <v/>
      </c>
      <c r="M1028" s="68"/>
      <c r="N1028" s="28"/>
      <c r="O1028" s="25"/>
      <c r="P1028" s="83" t="str">
        <f aca="false">IF(OR(N1028="",N(H1028)=0),"",N1028/H1028)</f>
        <v/>
      </c>
      <c r="Q1028" s="25"/>
    </row>
    <row r="1029" customFormat="false" ht="15" hidden="false" customHeight="false" outlineLevel="0" collapsed="false">
      <c r="A1029" s="69"/>
      <c r="B1029" s="68"/>
      <c r="C1029" s="76" t="str">
        <f aca="false">IF(B1029="","",IFERROR(INDEX(EN_Des,MATCH(B1029,EN_Code,0)),"Code inconnu"))</f>
        <v/>
      </c>
      <c r="D1029" s="25"/>
      <c r="E1029" s="25"/>
      <c r="F1029" s="82"/>
      <c r="G1029" s="82"/>
      <c r="H1029" s="83" t="str">
        <f aca="false">IF(OR(F1029="",G1029=""),"",G1029-F1029)</f>
        <v/>
      </c>
      <c r="I1029" s="82"/>
      <c r="J1029" s="82"/>
      <c r="K1029" s="28"/>
      <c r="L1029" s="90" t="str">
        <f aca="false">IF(OR(K1029="",N(H1029)=0),"",K1029/H1029)</f>
        <v/>
      </c>
      <c r="M1029" s="68"/>
      <c r="N1029" s="28"/>
      <c r="O1029" s="25"/>
      <c r="P1029" s="83" t="str">
        <f aca="false">IF(OR(N1029="",N(H1029)=0),"",N1029/H1029)</f>
        <v/>
      </c>
      <c r="Q1029" s="25"/>
    </row>
    <row r="1030" customFormat="false" ht="15" hidden="false" customHeight="false" outlineLevel="0" collapsed="false">
      <c r="A1030" s="69"/>
      <c r="B1030" s="68"/>
      <c r="C1030" s="76" t="str">
        <f aca="false">IF(B1030="","",IFERROR(INDEX(EN_Des,MATCH(B1030,EN_Code,0)),"Code inconnu"))</f>
        <v/>
      </c>
      <c r="D1030" s="25"/>
      <c r="E1030" s="25"/>
      <c r="F1030" s="82"/>
      <c r="G1030" s="82"/>
      <c r="H1030" s="83" t="str">
        <f aca="false">IF(OR(F1030="",G1030=""),"",G1030-F1030)</f>
        <v/>
      </c>
      <c r="I1030" s="82"/>
      <c r="J1030" s="82"/>
      <c r="K1030" s="28"/>
      <c r="L1030" s="90" t="str">
        <f aca="false">IF(OR(K1030="",N(H1030)=0),"",K1030/H1030)</f>
        <v/>
      </c>
      <c r="M1030" s="68"/>
      <c r="N1030" s="28"/>
      <c r="O1030" s="25"/>
      <c r="P1030" s="83" t="str">
        <f aca="false">IF(OR(N1030="",N(H1030)=0),"",N1030/H1030)</f>
        <v/>
      </c>
      <c r="Q1030" s="25"/>
    </row>
    <row r="1031" customFormat="false" ht="15" hidden="false" customHeight="false" outlineLevel="0" collapsed="false">
      <c r="A1031" s="69"/>
      <c r="B1031" s="68"/>
      <c r="C1031" s="76" t="str">
        <f aca="false">IF(B1031="","",IFERROR(INDEX(EN_Des,MATCH(B1031,EN_Code,0)),"Code inconnu"))</f>
        <v/>
      </c>
      <c r="D1031" s="25"/>
      <c r="E1031" s="25"/>
      <c r="F1031" s="82"/>
      <c r="G1031" s="82"/>
      <c r="H1031" s="83" t="str">
        <f aca="false">IF(OR(F1031="",G1031=""),"",G1031-F1031)</f>
        <v/>
      </c>
      <c r="I1031" s="82"/>
      <c r="J1031" s="82"/>
      <c r="K1031" s="28"/>
      <c r="L1031" s="90" t="str">
        <f aca="false">IF(OR(K1031="",N(H1031)=0),"",K1031/H1031)</f>
        <v/>
      </c>
      <c r="M1031" s="68"/>
      <c r="N1031" s="28"/>
      <c r="O1031" s="25"/>
      <c r="P1031" s="83" t="str">
        <f aca="false">IF(OR(N1031="",N(H1031)=0),"",N1031/H1031)</f>
        <v/>
      </c>
      <c r="Q1031" s="25"/>
    </row>
    <row r="1032" customFormat="false" ht="15" hidden="false" customHeight="false" outlineLevel="0" collapsed="false">
      <c r="A1032" s="69"/>
      <c r="B1032" s="68"/>
      <c r="C1032" s="76" t="str">
        <f aca="false">IF(B1032="","",IFERROR(INDEX(EN_Des,MATCH(B1032,EN_Code,0)),"Code inconnu"))</f>
        <v/>
      </c>
      <c r="D1032" s="25"/>
      <c r="E1032" s="25"/>
      <c r="F1032" s="82"/>
      <c r="G1032" s="82"/>
      <c r="H1032" s="83" t="str">
        <f aca="false">IF(OR(F1032="",G1032=""),"",G1032-F1032)</f>
        <v/>
      </c>
      <c r="I1032" s="82"/>
      <c r="J1032" s="82"/>
      <c r="K1032" s="28"/>
      <c r="L1032" s="90" t="str">
        <f aca="false">IF(OR(K1032="",N(H1032)=0),"",K1032/H1032)</f>
        <v/>
      </c>
      <c r="M1032" s="68"/>
      <c r="N1032" s="28"/>
      <c r="O1032" s="25"/>
      <c r="P1032" s="83" t="str">
        <f aca="false">IF(OR(N1032="",N(H1032)=0),"",N1032/H1032)</f>
        <v/>
      </c>
      <c r="Q1032" s="25"/>
    </row>
    <row r="1033" customFormat="false" ht="15" hidden="false" customHeight="false" outlineLevel="0" collapsed="false">
      <c r="A1033" s="69"/>
      <c r="B1033" s="68"/>
      <c r="C1033" s="76" t="str">
        <f aca="false">IF(B1033="","",IFERROR(INDEX(EN_Des,MATCH(B1033,EN_Code,0)),"Code inconnu"))</f>
        <v/>
      </c>
      <c r="D1033" s="25"/>
      <c r="E1033" s="25"/>
      <c r="F1033" s="82"/>
      <c r="G1033" s="82"/>
      <c r="H1033" s="83" t="str">
        <f aca="false">IF(OR(F1033="",G1033=""),"",G1033-F1033)</f>
        <v/>
      </c>
      <c r="I1033" s="82"/>
      <c r="J1033" s="82"/>
      <c r="K1033" s="28"/>
      <c r="L1033" s="90" t="str">
        <f aca="false">IF(OR(K1033="",N(H1033)=0),"",K1033/H1033)</f>
        <v/>
      </c>
      <c r="M1033" s="68"/>
      <c r="N1033" s="28"/>
      <c r="O1033" s="25"/>
      <c r="P1033" s="83" t="str">
        <f aca="false">IF(OR(N1033="",N(H1033)=0),"",N1033/H1033)</f>
        <v/>
      </c>
      <c r="Q1033" s="25"/>
    </row>
    <row r="1034" customFormat="false" ht="15" hidden="false" customHeight="false" outlineLevel="0" collapsed="false">
      <c r="A1034" s="69"/>
      <c r="B1034" s="68"/>
      <c r="C1034" s="76" t="str">
        <f aca="false">IF(B1034="","",IFERROR(INDEX(EN_Des,MATCH(B1034,EN_Code,0)),"Code inconnu"))</f>
        <v/>
      </c>
      <c r="D1034" s="25"/>
      <c r="E1034" s="25"/>
      <c r="F1034" s="82"/>
      <c r="G1034" s="82"/>
      <c r="H1034" s="83" t="str">
        <f aca="false">IF(OR(F1034="",G1034=""),"",G1034-F1034)</f>
        <v/>
      </c>
      <c r="I1034" s="82"/>
      <c r="J1034" s="82"/>
      <c r="K1034" s="28"/>
      <c r="L1034" s="90" t="str">
        <f aca="false">IF(OR(K1034="",N(H1034)=0),"",K1034/H1034)</f>
        <v/>
      </c>
      <c r="M1034" s="68"/>
      <c r="N1034" s="28"/>
      <c r="O1034" s="25"/>
      <c r="P1034" s="83" t="str">
        <f aca="false">IF(OR(N1034="",N(H1034)=0),"",N1034/H1034)</f>
        <v/>
      </c>
      <c r="Q1034" s="25"/>
    </row>
    <row r="1035" customFormat="false" ht="15" hidden="false" customHeight="false" outlineLevel="0" collapsed="false">
      <c r="A1035" s="69"/>
      <c r="B1035" s="68"/>
      <c r="C1035" s="76" t="str">
        <f aca="false">IF(B1035="","",IFERROR(INDEX(EN_Des,MATCH(B1035,EN_Code,0)),"Code inconnu"))</f>
        <v/>
      </c>
      <c r="D1035" s="25"/>
      <c r="E1035" s="25"/>
      <c r="F1035" s="82"/>
      <c r="G1035" s="82"/>
      <c r="H1035" s="83" t="str">
        <f aca="false">IF(OR(F1035="",G1035=""),"",G1035-F1035)</f>
        <v/>
      </c>
      <c r="I1035" s="82"/>
      <c r="J1035" s="82"/>
      <c r="K1035" s="28"/>
      <c r="L1035" s="90" t="str">
        <f aca="false">IF(OR(K1035="",N(H1035)=0),"",K1035/H1035)</f>
        <v/>
      </c>
      <c r="M1035" s="68"/>
      <c r="N1035" s="28"/>
      <c r="O1035" s="25"/>
      <c r="P1035" s="83" t="str">
        <f aca="false">IF(OR(N1035="",N(H1035)=0),"",N1035/H1035)</f>
        <v/>
      </c>
      <c r="Q1035" s="25"/>
    </row>
    <row r="1036" customFormat="false" ht="15" hidden="false" customHeight="false" outlineLevel="0" collapsed="false">
      <c r="A1036" s="69"/>
      <c r="B1036" s="68"/>
      <c r="C1036" s="76" t="str">
        <f aca="false">IF(B1036="","",IFERROR(INDEX(EN_Des,MATCH(B1036,EN_Code,0)),"Code inconnu"))</f>
        <v/>
      </c>
      <c r="D1036" s="25"/>
      <c r="E1036" s="25"/>
      <c r="F1036" s="82"/>
      <c r="G1036" s="82"/>
      <c r="H1036" s="83" t="str">
        <f aca="false">IF(OR(F1036="",G1036=""),"",G1036-F1036)</f>
        <v/>
      </c>
      <c r="I1036" s="82"/>
      <c r="J1036" s="82"/>
      <c r="K1036" s="28"/>
      <c r="L1036" s="90" t="str">
        <f aca="false">IF(OR(K1036="",N(H1036)=0),"",K1036/H1036)</f>
        <v/>
      </c>
      <c r="M1036" s="68"/>
      <c r="N1036" s="28"/>
      <c r="O1036" s="25"/>
      <c r="P1036" s="83" t="str">
        <f aca="false">IF(OR(N1036="",N(H1036)=0),"",N1036/H1036)</f>
        <v/>
      </c>
      <c r="Q1036" s="25"/>
    </row>
    <row r="1037" customFormat="false" ht="15" hidden="false" customHeight="false" outlineLevel="0" collapsed="false">
      <c r="A1037" s="69"/>
      <c r="B1037" s="68"/>
      <c r="C1037" s="76" t="str">
        <f aca="false">IF(B1037="","",IFERROR(INDEX(EN_Des,MATCH(B1037,EN_Code,0)),"Code inconnu"))</f>
        <v/>
      </c>
      <c r="D1037" s="25"/>
      <c r="E1037" s="25"/>
      <c r="F1037" s="82"/>
      <c r="G1037" s="82"/>
      <c r="H1037" s="83" t="str">
        <f aca="false">IF(OR(F1037="",G1037=""),"",G1037-F1037)</f>
        <v/>
      </c>
      <c r="I1037" s="82"/>
      <c r="J1037" s="82"/>
      <c r="K1037" s="28"/>
      <c r="L1037" s="90" t="str">
        <f aca="false">IF(OR(K1037="",N(H1037)=0),"",K1037/H1037)</f>
        <v/>
      </c>
      <c r="M1037" s="68"/>
      <c r="N1037" s="28"/>
      <c r="O1037" s="25"/>
      <c r="P1037" s="83" t="str">
        <f aca="false">IF(OR(N1037="",N(H1037)=0),"",N1037/H1037)</f>
        <v/>
      </c>
      <c r="Q1037" s="25"/>
    </row>
    <row r="1038" customFormat="false" ht="15" hidden="false" customHeight="false" outlineLevel="0" collapsed="false">
      <c r="A1038" s="69"/>
      <c r="B1038" s="68"/>
      <c r="C1038" s="76" t="str">
        <f aca="false">IF(B1038="","",IFERROR(INDEX(EN_Des,MATCH(B1038,EN_Code,0)),"Code inconnu"))</f>
        <v/>
      </c>
      <c r="D1038" s="25"/>
      <c r="E1038" s="25"/>
      <c r="F1038" s="82"/>
      <c r="G1038" s="82"/>
      <c r="H1038" s="83" t="str">
        <f aca="false">IF(OR(F1038="",G1038=""),"",G1038-F1038)</f>
        <v/>
      </c>
      <c r="I1038" s="82"/>
      <c r="J1038" s="82"/>
      <c r="K1038" s="28"/>
      <c r="L1038" s="90" t="str">
        <f aca="false">IF(OR(K1038="",N(H1038)=0),"",K1038/H1038)</f>
        <v/>
      </c>
      <c r="M1038" s="68"/>
      <c r="N1038" s="28"/>
      <c r="O1038" s="25"/>
      <c r="P1038" s="83" t="str">
        <f aca="false">IF(OR(N1038="",N(H1038)=0),"",N1038/H1038)</f>
        <v/>
      </c>
      <c r="Q1038" s="25"/>
    </row>
    <row r="1039" customFormat="false" ht="15" hidden="false" customHeight="false" outlineLevel="0" collapsed="false">
      <c r="A1039" s="69"/>
      <c r="B1039" s="68"/>
      <c r="C1039" s="76" t="str">
        <f aca="false">IF(B1039="","",IFERROR(INDEX(EN_Des,MATCH(B1039,EN_Code,0)),"Code inconnu"))</f>
        <v/>
      </c>
      <c r="D1039" s="25"/>
      <c r="E1039" s="25"/>
      <c r="F1039" s="82"/>
      <c r="G1039" s="82"/>
      <c r="H1039" s="83" t="str">
        <f aca="false">IF(OR(F1039="",G1039=""),"",G1039-F1039)</f>
        <v/>
      </c>
      <c r="I1039" s="82"/>
      <c r="J1039" s="82"/>
      <c r="K1039" s="28"/>
      <c r="L1039" s="90" t="str">
        <f aca="false">IF(OR(K1039="",N(H1039)=0),"",K1039/H1039)</f>
        <v/>
      </c>
      <c r="M1039" s="68"/>
      <c r="N1039" s="28"/>
      <c r="O1039" s="25"/>
      <c r="P1039" s="83" t="str">
        <f aca="false">IF(OR(N1039="",N(H1039)=0),"",N1039/H1039)</f>
        <v/>
      </c>
      <c r="Q1039" s="25"/>
    </row>
    <row r="1040" customFormat="false" ht="15" hidden="false" customHeight="false" outlineLevel="0" collapsed="false">
      <c r="A1040" s="69"/>
      <c r="B1040" s="68"/>
      <c r="C1040" s="76" t="str">
        <f aca="false">IF(B1040="","",IFERROR(INDEX(EN_Des,MATCH(B1040,EN_Code,0)),"Code inconnu"))</f>
        <v/>
      </c>
      <c r="D1040" s="25"/>
      <c r="E1040" s="25"/>
      <c r="F1040" s="82"/>
      <c r="G1040" s="82"/>
      <c r="H1040" s="83" t="str">
        <f aca="false">IF(OR(F1040="",G1040=""),"",G1040-F1040)</f>
        <v/>
      </c>
      <c r="I1040" s="82"/>
      <c r="J1040" s="82"/>
      <c r="K1040" s="28"/>
      <c r="L1040" s="90" t="str">
        <f aca="false">IF(OR(K1040="",N(H1040)=0),"",K1040/H1040)</f>
        <v/>
      </c>
      <c r="M1040" s="68"/>
      <c r="N1040" s="28"/>
      <c r="O1040" s="25"/>
      <c r="P1040" s="83" t="str">
        <f aca="false">IF(OR(N1040="",N(H1040)=0),"",N1040/H1040)</f>
        <v/>
      </c>
      <c r="Q1040" s="25"/>
    </row>
    <row r="1041" customFormat="false" ht="15" hidden="false" customHeight="false" outlineLevel="0" collapsed="false">
      <c r="A1041" s="69"/>
      <c r="B1041" s="68"/>
      <c r="C1041" s="76" t="str">
        <f aca="false">IF(B1041="","",IFERROR(INDEX(EN_Des,MATCH(B1041,EN_Code,0)),"Code inconnu"))</f>
        <v/>
      </c>
      <c r="D1041" s="25"/>
      <c r="E1041" s="25"/>
      <c r="F1041" s="82"/>
      <c r="G1041" s="82"/>
      <c r="H1041" s="83" t="str">
        <f aca="false">IF(OR(F1041="",G1041=""),"",G1041-F1041)</f>
        <v/>
      </c>
      <c r="I1041" s="82"/>
      <c r="J1041" s="82"/>
      <c r="K1041" s="28"/>
      <c r="L1041" s="90" t="str">
        <f aca="false">IF(OR(K1041="",N(H1041)=0),"",K1041/H1041)</f>
        <v/>
      </c>
      <c r="M1041" s="68"/>
      <c r="N1041" s="28"/>
      <c r="O1041" s="25"/>
      <c r="P1041" s="83" t="str">
        <f aca="false">IF(OR(N1041="",N(H1041)=0),"",N1041/H1041)</f>
        <v/>
      </c>
      <c r="Q1041" s="25"/>
    </row>
    <row r="1042" customFormat="false" ht="15" hidden="false" customHeight="false" outlineLevel="0" collapsed="false">
      <c r="A1042" s="69"/>
      <c r="B1042" s="68"/>
      <c r="C1042" s="76" t="str">
        <f aca="false">IF(B1042="","",IFERROR(INDEX(EN_Des,MATCH(B1042,EN_Code,0)),"Code inconnu"))</f>
        <v/>
      </c>
      <c r="D1042" s="25"/>
      <c r="E1042" s="25"/>
      <c r="F1042" s="82"/>
      <c r="G1042" s="82"/>
      <c r="H1042" s="83" t="str">
        <f aca="false">IF(OR(F1042="",G1042=""),"",G1042-F1042)</f>
        <v/>
      </c>
      <c r="I1042" s="82"/>
      <c r="J1042" s="82"/>
      <c r="K1042" s="28"/>
      <c r="L1042" s="90" t="str">
        <f aca="false">IF(OR(K1042="",N(H1042)=0),"",K1042/H1042)</f>
        <v/>
      </c>
      <c r="M1042" s="68"/>
      <c r="N1042" s="28"/>
      <c r="O1042" s="25"/>
      <c r="P1042" s="83" t="str">
        <f aca="false">IF(OR(N1042="",N(H1042)=0),"",N1042/H1042)</f>
        <v/>
      </c>
      <c r="Q1042" s="25"/>
    </row>
    <row r="1043" customFormat="false" ht="15" hidden="false" customHeight="false" outlineLevel="0" collapsed="false">
      <c r="A1043" s="69"/>
      <c r="B1043" s="68"/>
      <c r="C1043" s="76" t="str">
        <f aca="false">IF(B1043="","",IFERROR(INDEX(EN_Des,MATCH(B1043,EN_Code,0)),"Code inconnu"))</f>
        <v/>
      </c>
      <c r="D1043" s="25"/>
      <c r="E1043" s="25"/>
      <c r="F1043" s="82"/>
      <c r="G1043" s="82"/>
      <c r="H1043" s="83" t="str">
        <f aca="false">IF(OR(F1043="",G1043=""),"",G1043-F1043)</f>
        <v/>
      </c>
      <c r="I1043" s="82"/>
      <c r="J1043" s="82"/>
      <c r="K1043" s="28"/>
      <c r="L1043" s="90" t="str">
        <f aca="false">IF(OR(K1043="",N(H1043)=0),"",K1043/H1043)</f>
        <v/>
      </c>
      <c r="M1043" s="68"/>
      <c r="N1043" s="28"/>
      <c r="O1043" s="25"/>
      <c r="P1043" s="83" t="str">
        <f aca="false">IF(OR(N1043="",N(H1043)=0),"",N1043/H1043)</f>
        <v/>
      </c>
      <c r="Q1043" s="25"/>
    </row>
    <row r="1044" customFormat="false" ht="15" hidden="false" customHeight="false" outlineLevel="0" collapsed="false">
      <c r="A1044" s="69"/>
      <c r="B1044" s="68"/>
      <c r="C1044" s="76" t="str">
        <f aca="false">IF(B1044="","",IFERROR(INDEX(EN_Des,MATCH(B1044,EN_Code,0)),"Code inconnu"))</f>
        <v/>
      </c>
      <c r="D1044" s="25"/>
      <c r="E1044" s="25"/>
      <c r="F1044" s="82"/>
      <c r="G1044" s="82"/>
      <c r="H1044" s="83" t="str">
        <f aca="false">IF(OR(F1044="",G1044=""),"",G1044-F1044)</f>
        <v/>
      </c>
      <c r="I1044" s="82"/>
      <c r="J1044" s="82"/>
      <c r="K1044" s="28"/>
      <c r="L1044" s="90" t="str">
        <f aca="false">IF(OR(K1044="",N(H1044)=0),"",K1044/H1044)</f>
        <v/>
      </c>
      <c r="M1044" s="68"/>
      <c r="N1044" s="28"/>
      <c r="O1044" s="25"/>
      <c r="P1044" s="83" t="str">
        <f aca="false">IF(OR(N1044="",N(H1044)=0),"",N1044/H1044)</f>
        <v/>
      </c>
      <c r="Q1044" s="25"/>
    </row>
    <row r="1045" customFormat="false" ht="15" hidden="false" customHeight="false" outlineLevel="0" collapsed="false">
      <c r="A1045" s="69"/>
      <c r="B1045" s="68"/>
      <c r="C1045" s="76" t="str">
        <f aca="false">IF(B1045="","",IFERROR(INDEX(EN_Des,MATCH(B1045,EN_Code,0)),"Code inconnu"))</f>
        <v/>
      </c>
      <c r="D1045" s="25"/>
      <c r="E1045" s="25"/>
      <c r="F1045" s="82"/>
      <c r="G1045" s="82"/>
      <c r="H1045" s="83" t="str">
        <f aca="false">IF(OR(F1045="",G1045=""),"",G1045-F1045)</f>
        <v/>
      </c>
      <c r="I1045" s="82"/>
      <c r="J1045" s="82"/>
      <c r="K1045" s="28"/>
      <c r="L1045" s="90" t="str">
        <f aca="false">IF(OR(K1045="",N(H1045)=0),"",K1045/H1045)</f>
        <v/>
      </c>
      <c r="M1045" s="68"/>
      <c r="N1045" s="28"/>
      <c r="O1045" s="25"/>
      <c r="P1045" s="83" t="str">
        <f aca="false">IF(OR(N1045="",N(H1045)=0),"",N1045/H1045)</f>
        <v/>
      </c>
      <c r="Q1045" s="25"/>
    </row>
    <row r="1046" customFormat="false" ht="15" hidden="false" customHeight="false" outlineLevel="0" collapsed="false">
      <c r="A1046" s="69"/>
      <c r="B1046" s="68"/>
      <c r="C1046" s="76" t="str">
        <f aca="false">IF(B1046="","",IFERROR(INDEX(EN_Des,MATCH(B1046,EN_Code,0)),"Code inconnu"))</f>
        <v/>
      </c>
      <c r="D1046" s="25"/>
      <c r="E1046" s="25"/>
      <c r="F1046" s="82"/>
      <c r="G1046" s="82"/>
      <c r="H1046" s="83" t="str">
        <f aca="false">IF(OR(F1046="",G1046=""),"",G1046-F1046)</f>
        <v/>
      </c>
      <c r="I1046" s="82"/>
      <c r="J1046" s="82"/>
      <c r="K1046" s="28"/>
      <c r="L1046" s="90" t="str">
        <f aca="false">IF(OR(K1046="",N(H1046)=0),"",K1046/H1046)</f>
        <v/>
      </c>
      <c r="M1046" s="68"/>
      <c r="N1046" s="28"/>
      <c r="O1046" s="25"/>
      <c r="P1046" s="83" t="str">
        <f aca="false">IF(OR(N1046="",N(H1046)=0),"",N1046/H1046)</f>
        <v/>
      </c>
      <c r="Q1046" s="25"/>
    </row>
    <row r="1047" customFormat="false" ht="15" hidden="false" customHeight="false" outlineLevel="0" collapsed="false">
      <c r="A1047" s="69"/>
      <c r="B1047" s="68"/>
      <c r="C1047" s="76" t="str">
        <f aca="false">IF(B1047="","",IFERROR(INDEX(EN_Des,MATCH(B1047,EN_Code,0)),"Code inconnu"))</f>
        <v/>
      </c>
      <c r="D1047" s="25"/>
      <c r="E1047" s="25"/>
      <c r="F1047" s="82"/>
      <c r="G1047" s="82"/>
      <c r="H1047" s="83" t="str">
        <f aca="false">IF(OR(F1047="",G1047=""),"",G1047-F1047)</f>
        <v/>
      </c>
      <c r="I1047" s="82"/>
      <c r="J1047" s="82"/>
      <c r="K1047" s="28"/>
      <c r="L1047" s="90" t="str">
        <f aca="false">IF(OR(K1047="",N(H1047)=0),"",K1047/H1047)</f>
        <v/>
      </c>
      <c r="M1047" s="68"/>
      <c r="N1047" s="28"/>
      <c r="O1047" s="25"/>
      <c r="P1047" s="83" t="str">
        <f aca="false">IF(OR(N1047="",N(H1047)=0),"",N1047/H1047)</f>
        <v/>
      </c>
      <c r="Q1047" s="25"/>
    </row>
    <row r="1048" customFormat="false" ht="15" hidden="false" customHeight="false" outlineLevel="0" collapsed="false">
      <c r="A1048" s="69"/>
      <c r="B1048" s="68"/>
      <c r="C1048" s="76" t="str">
        <f aca="false">IF(B1048="","",IFERROR(INDEX(EN_Des,MATCH(B1048,EN_Code,0)),"Code inconnu"))</f>
        <v/>
      </c>
      <c r="D1048" s="25"/>
      <c r="E1048" s="25"/>
      <c r="F1048" s="82"/>
      <c r="G1048" s="82"/>
      <c r="H1048" s="83" t="str">
        <f aca="false">IF(OR(F1048="",G1048=""),"",G1048-F1048)</f>
        <v/>
      </c>
      <c r="I1048" s="82"/>
      <c r="J1048" s="82"/>
      <c r="K1048" s="28"/>
      <c r="L1048" s="90" t="str">
        <f aca="false">IF(OR(K1048="",N(H1048)=0),"",K1048/H1048)</f>
        <v/>
      </c>
      <c r="M1048" s="68"/>
      <c r="N1048" s="28"/>
      <c r="O1048" s="25"/>
      <c r="P1048" s="83" t="str">
        <f aca="false">IF(OR(N1048="",N(H1048)=0),"",N1048/H1048)</f>
        <v/>
      </c>
      <c r="Q1048" s="25"/>
    </row>
    <row r="1049" customFormat="false" ht="15" hidden="false" customHeight="false" outlineLevel="0" collapsed="false">
      <c r="A1049" s="69"/>
      <c r="B1049" s="68"/>
      <c r="C1049" s="76" t="str">
        <f aca="false">IF(B1049="","",IFERROR(INDEX(EN_Des,MATCH(B1049,EN_Code,0)),"Code inconnu"))</f>
        <v/>
      </c>
      <c r="D1049" s="25"/>
      <c r="E1049" s="25"/>
      <c r="F1049" s="82"/>
      <c r="G1049" s="82"/>
      <c r="H1049" s="83" t="str">
        <f aca="false">IF(OR(F1049="",G1049=""),"",G1049-F1049)</f>
        <v/>
      </c>
      <c r="I1049" s="82"/>
      <c r="J1049" s="82"/>
      <c r="K1049" s="28"/>
      <c r="L1049" s="90" t="str">
        <f aca="false">IF(OR(K1049="",N(H1049)=0),"",K1049/H1049)</f>
        <v/>
      </c>
      <c r="M1049" s="68"/>
      <c r="N1049" s="28"/>
      <c r="O1049" s="25"/>
      <c r="P1049" s="83" t="str">
        <f aca="false">IF(OR(N1049="",N(H1049)=0),"",N1049/H1049)</f>
        <v/>
      </c>
      <c r="Q1049" s="25"/>
    </row>
    <row r="1050" customFormat="false" ht="15" hidden="false" customHeight="false" outlineLevel="0" collapsed="false">
      <c r="A1050" s="69"/>
      <c r="B1050" s="68"/>
      <c r="C1050" s="76" t="str">
        <f aca="false">IF(B1050="","",IFERROR(INDEX(EN_Des,MATCH(B1050,EN_Code,0)),"Code inconnu"))</f>
        <v/>
      </c>
      <c r="D1050" s="25"/>
      <c r="E1050" s="25"/>
      <c r="F1050" s="82"/>
      <c r="G1050" s="82"/>
      <c r="H1050" s="83" t="str">
        <f aca="false">IF(OR(F1050="",G1050=""),"",G1050-F1050)</f>
        <v/>
      </c>
      <c r="I1050" s="82"/>
      <c r="J1050" s="82"/>
      <c r="K1050" s="28"/>
      <c r="L1050" s="90" t="str">
        <f aca="false">IF(OR(K1050="",N(H1050)=0),"",K1050/H1050)</f>
        <v/>
      </c>
      <c r="M1050" s="68"/>
      <c r="N1050" s="28"/>
      <c r="O1050" s="25"/>
      <c r="P1050" s="83" t="str">
        <f aca="false">IF(OR(N1050="",N(H1050)=0),"",N1050/H1050)</f>
        <v/>
      </c>
      <c r="Q1050" s="25"/>
    </row>
    <row r="1051" customFormat="false" ht="15" hidden="false" customHeight="false" outlineLevel="0" collapsed="false">
      <c r="A1051" s="69"/>
      <c r="B1051" s="68"/>
      <c r="C1051" s="76" t="str">
        <f aca="false">IF(B1051="","",IFERROR(INDEX(EN_Des,MATCH(B1051,EN_Code,0)),"Code inconnu"))</f>
        <v/>
      </c>
      <c r="D1051" s="25"/>
      <c r="E1051" s="25"/>
      <c r="F1051" s="82"/>
      <c r="G1051" s="82"/>
      <c r="H1051" s="83" t="str">
        <f aca="false">IF(OR(F1051="",G1051=""),"",G1051-F1051)</f>
        <v/>
      </c>
      <c r="I1051" s="82"/>
      <c r="J1051" s="82"/>
      <c r="K1051" s="28"/>
      <c r="L1051" s="90" t="str">
        <f aca="false">IF(OR(K1051="",N(H1051)=0),"",K1051/H1051)</f>
        <v/>
      </c>
      <c r="M1051" s="68"/>
      <c r="N1051" s="28"/>
      <c r="O1051" s="25"/>
      <c r="P1051" s="83" t="str">
        <f aca="false">IF(OR(N1051="",N(H1051)=0),"",N1051/H1051)</f>
        <v/>
      </c>
      <c r="Q1051" s="25"/>
    </row>
    <row r="1052" customFormat="false" ht="15" hidden="false" customHeight="false" outlineLevel="0" collapsed="false">
      <c r="A1052" s="69"/>
      <c r="B1052" s="68"/>
      <c r="C1052" s="76" t="str">
        <f aca="false">IF(B1052="","",IFERROR(INDEX(EN_Des,MATCH(B1052,EN_Code,0)),"Code inconnu"))</f>
        <v/>
      </c>
      <c r="D1052" s="25"/>
      <c r="E1052" s="25"/>
      <c r="F1052" s="82"/>
      <c r="G1052" s="82"/>
      <c r="H1052" s="83" t="str">
        <f aca="false">IF(OR(F1052="",G1052=""),"",G1052-F1052)</f>
        <v/>
      </c>
      <c r="I1052" s="82"/>
      <c r="J1052" s="82"/>
      <c r="K1052" s="28"/>
      <c r="L1052" s="90" t="str">
        <f aca="false">IF(OR(K1052="",N(H1052)=0),"",K1052/H1052)</f>
        <v/>
      </c>
      <c r="M1052" s="68"/>
      <c r="N1052" s="28"/>
      <c r="O1052" s="25"/>
      <c r="P1052" s="83" t="str">
        <f aca="false">IF(OR(N1052="",N(H1052)=0),"",N1052/H1052)</f>
        <v/>
      </c>
      <c r="Q1052" s="25"/>
    </row>
    <row r="1053" customFormat="false" ht="15" hidden="false" customHeight="false" outlineLevel="0" collapsed="false">
      <c r="A1053" s="69"/>
      <c r="B1053" s="68"/>
      <c r="C1053" s="76" t="str">
        <f aca="false">IF(B1053="","",IFERROR(INDEX(EN_Des,MATCH(B1053,EN_Code,0)),"Code inconnu"))</f>
        <v/>
      </c>
      <c r="D1053" s="25"/>
      <c r="E1053" s="25"/>
      <c r="F1053" s="82"/>
      <c r="G1053" s="82"/>
      <c r="H1053" s="83" t="str">
        <f aca="false">IF(OR(F1053="",G1053=""),"",G1053-F1053)</f>
        <v/>
      </c>
      <c r="I1053" s="82"/>
      <c r="J1053" s="82"/>
      <c r="K1053" s="28"/>
      <c r="L1053" s="90" t="str">
        <f aca="false">IF(OR(K1053="",N(H1053)=0),"",K1053/H1053)</f>
        <v/>
      </c>
      <c r="M1053" s="68"/>
      <c r="N1053" s="28"/>
      <c r="O1053" s="25"/>
      <c r="P1053" s="83" t="str">
        <f aca="false">IF(OR(N1053="",N(H1053)=0),"",N1053/H1053)</f>
        <v/>
      </c>
      <c r="Q1053" s="25"/>
    </row>
    <row r="1054" customFormat="false" ht="15" hidden="false" customHeight="false" outlineLevel="0" collapsed="false">
      <c r="A1054" s="69"/>
      <c r="B1054" s="68"/>
      <c r="C1054" s="76" t="str">
        <f aca="false">IF(B1054="","",IFERROR(INDEX(EN_Des,MATCH(B1054,EN_Code,0)),"Code inconnu"))</f>
        <v/>
      </c>
      <c r="D1054" s="25"/>
      <c r="E1054" s="25"/>
      <c r="F1054" s="82"/>
      <c r="G1054" s="82"/>
      <c r="H1054" s="83" t="str">
        <f aca="false">IF(OR(F1054="",G1054=""),"",G1054-F1054)</f>
        <v/>
      </c>
      <c r="I1054" s="82"/>
      <c r="J1054" s="82"/>
      <c r="K1054" s="28"/>
      <c r="L1054" s="90" t="str">
        <f aca="false">IF(OR(K1054="",N(H1054)=0),"",K1054/H1054)</f>
        <v/>
      </c>
      <c r="M1054" s="68"/>
      <c r="N1054" s="28"/>
      <c r="O1054" s="25"/>
      <c r="P1054" s="83" t="str">
        <f aca="false">IF(OR(N1054="",N(H1054)=0),"",N1054/H1054)</f>
        <v/>
      </c>
      <c r="Q1054" s="25"/>
    </row>
    <row r="1055" customFormat="false" ht="15" hidden="false" customHeight="false" outlineLevel="0" collapsed="false">
      <c r="A1055" s="69"/>
      <c r="B1055" s="68"/>
      <c r="C1055" s="76" t="str">
        <f aca="false">IF(B1055="","",IFERROR(INDEX(EN_Des,MATCH(B1055,EN_Code,0)),"Code inconnu"))</f>
        <v/>
      </c>
      <c r="D1055" s="25"/>
      <c r="E1055" s="25"/>
      <c r="F1055" s="82"/>
      <c r="G1055" s="82"/>
      <c r="H1055" s="83" t="str">
        <f aca="false">IF(OR(F1055="",G1055=""),"",G1055-F1055)</f>
        <v/>
      </c>
      <c r="I1055" s="82"/>
      <c r="J1055" s="82"/>
      <c r="K1055" s="28"/>
      <c r="L1055" s="90" t="str">
        <f aca="false">IF(OR(K1055="",N(H1055)=0),"",K1055/H1055)</f>
        <v/>
      </c>
      <c r="M1055" s="68"/>
      <c r="N1055" s="28"/>
      <c r="O1055" s="25"/>
      <c r="P1055" s="83" t="str">
        <f aca="false">IF(OR(N1055="",N(H1055)=0),"",N1055/H1055)</f>
        <v/>
      </c>
      <c r="Q1055" s="25"/>
    </row>
    <row r="1056" customFormat="false" ht="15" hidden="false" customHeight="false" outlineLevel="0" collapsed="false">
      <c r="A1056" s="69"/>
      <c r="B1056" s="68"/>
      <c r="C1056" s="76" t="str">
        <f aca="false">IF(B1056="","",IFERROR(INDEX(EN_Des,MATCH(B1056,EN_Code,0)),"Code inconnu"))</f>
        <v/>
      </c>
      <c r="D1056" s="25"/>
      <c r="E1056" s="25"/>
      <c r="F1056" s="82"/>
      <c r="G1056" s="82"/>
      <c r="H1056" s="83" t="str">
        <f aca="false">IF(OR(F1056="",G1056=""),"",G1056-F1056)</f>
        <v/>
      </c>
      <c r="I1056" s="82"/>
      <c r="J1056" s="82"/>
      <c r="K1056" s="28"/>
      <c r="L1056" s="90" t="str">
        <f aca="false">IF(OR(K1056="",N(H1056)=0),"",K1056/H1056)</f>
        <v/>
      </c>
      <c r="M1056" s="68"/>
      <c r="N1056" s="28"/>
      <c r="O1056" s="25"/>
      <c r="P1056" s="83" t="str">
        <f aca="false">IF(OR(N1056="",N(H1056)=0),"",N1056/H1056)</f>
        <v/>
      </c>
      <c r="Q1056" s="25"/>
    </row>
    <row r="1057" customFormat="false" ht="15" hidden="false" customHeight="false" outlineLevel="0" collapsed="false">
      <c r="A1057" s="69"/>
      <c r="B1057" s="68"/>
      <c r="C1057" s="76" t="str">
        <f aca="false">IF(B1057="","",IFERROR(INDEX(EN_Des,MATCH(B1057,EN_Code,0)),"Code inconnu"))</f>
        <v/>
      </c>
      <c r="D1057" s="25"/>
      <c r="E1057" s="25"/>
      <c r="F1057" s="82"/>
      <c r="G1057" s="82"/>
      <c r="H1057" s="83" t="str">
        <f aca="false">IF(OR(F1057="",G1057=""),"",G1057-F1057)</f>
        <v/>
      </c>
      <c r="I1057" s="82"/>
      <c r="J1057" s="82"/>
      <c r="K1057" s="28"/>
      <c r="L1057" s="90" t="str">
        <f aca="false">IF(OR(K1057="",N(H1057)=0),"",K1057/H1057)</f>
        <v/>
      </c>
      <c r="M1057" s="68"/>
      <c r="N1057" s="28"/>
      <c r="O1057" s="25"/>
      <c r="P1057" s="83" t="str">
        <f aca="false">IF(OR(N1057="",N(H1057)=0),"",N1057/H1057)</f>
        <v/>
      </c>
      <c r="Q1057" s="25"/>
    </row>
    <row r="1058" customFormat="false" ht="15" hidden="false" customHeight="false" outlineLevel="0" collapsed="false">
      <c r="A1058" s="69"/>
      <c r="B1058" s="68"/>
      <c r="C1058" s="76" t="str">
        <f aca="false">IF(B1058="","",IFERROR(INDEX(EN_Des,MATCH(B1058,EN_Code,0)),"Code inconnu"))</f>
        <v/>
      </c>
      <c r="D1058" s="25"/>
      <c r="E1058" s="25"/>
      <c r="F1058" s="82"/>
      <c r="G1058" s="82"/>
      <c r="H1058" s="83" t="str">
        <f aca="false">IF(OR(F1058="",G1058=""),"",G1058-F1058)</f>
        <v/>
      </c>
      <c r="I1058" s="82"/>
      <c r="J1058" s="82"/>
      <c r="K1058" s="28"/>
      <c r="L1058" s="90" t="str">
        <f aca="false">IF(OR(K1058="",N(H1058)=0),"",K1058/H1058)</f>
        <v/>
      </c>
      <c r="M1058" s="68"/>
      <c r="N1058" s="28"/>
      <c r="O1058" s="25"/>
      <c r="P1058" s="83" t="str">
        <f aca="false">IF(OR(N1058="",N(H1058)=0),"",N1058/H1058)</f>
        <v/>
      </c>
      <c r="Q1058" s="25"/>
    </row>
    <row r="1059" customFormat="false" ht="15" hidden="false" customHeight="false" outlineLevel="0" collapsed="false">
      <c r="A1059" s="69"/>
      <c r="B1059" s="68"/>
      <c r="C1059" s="76" t="str">
        <f aca="false">IF(B1059="","",IFERROR(INDEX(EN_Des,MATCH(B1059,EN_Code,0)),"Code inconnu"))</f>
        <v/>
      </c>
      <c r="D1059" s="25"/>
      <c r="E1059" s="25"/>
      <c r="F1059" s="82"/>
      <c r="G1059" s="82"/>
      <c r="H1059" s="83" t="str">
        <f aca="false">IF(OR(F1059="",G1059=""),"",G1059-F1059)</f>
        <v/>
      </c>
      <c r="I1059" s="82"/>
      <c r="J1059" s="82"/>
      <c r="K1059" s="28"/>
      <c r="L1059" s="90" t="str">
        <f aca="false">IF(OR(K1059="",N(H1059)=0),"",K1059/H1059)</f>
        <v/>
      </c>
      <c r="M1059" s="68"/>
      <c r="N1059" s="28"/>
      <c r="O1059" s="25"/>
      <c r="P1059" s="83" t="str">
        <f aca="false">IF(OR(N1059="",N(H1059)=0),"",N1059/H1059)</f>
        <v/>
      </c>
      <c r="Q1059" s="25"/>
    </row>
    <row r="1060" customFormat="false" ht="15" hidden="false" customHeight="false" outlineLevel="0" collapsed="false">
      <c r="A1060" s="69"/>
      <c r="B1060" s="68"/>
      <c r="C1060" s="76" t="str">
        <f aca="false">IF(B1060="","",IFERROR(INDEX(EN_Des,MATCH(B1060,EN_Code,0)),"Code inconnu"))</f>
        <v/>
      </c>
      <c r="D1060" s="25"/>
      <c r="E1060" s="25"/>
      <c r="F1060" s="82"/>
      <c r="G1060" s="82"/>
      <c r="H1060" s="83" t="str">
        <f aca="false">IF(OR(F1060="",G1060=""),"",G1060-F1060)</f>
        <v/>
      </c>
      <c r="I1060" s="82"/>
      <c r="J1060" s="82"/>
      <c r="K1060" s="28"/>
      <c r="L1060" s="90" t="str">
        <f aca="false">IF(OR(K1060="",N(H1060)=0),"",K1060/H1060)</f>
        <v/>
      </c>
      <c r="M1060" s="68"/>
      <c r="N1060" s="28"/>
      <c r="O1060" s="25"/>
      <c r="P1060" s="83" t="str">
        <f aca="false">IF(OR(N1060="",N(H1060)=0),"",N1060/H1060)</f>
        <v/>
      </c>
      <c r="Q1060" s="25"/>
    </row>
    <row r="1061" customFormat="false" ht="15" hidden="false" customHeight="false" outlineLevel="0" collapsed="false">
      <c r="A1061" s="69"/>
      <c r="B1061" s="68"/>
      <c r="C1061" s="76" t="str">
        <f aca="false">IF(B1061="","",IFERROR(INDEX(EN_Des,MATCH(B1061,EN_Code,0)),"Code inconnu"))</f>
        <v/>
      </c>
      <c r="D1061" s="25"/>
      <c r="E1061" s="25"/>
      <c r="F1061" s="82"/>
      <c r="G1061" s="82"/>
      <c r="H1061" s="83" t="str">
        <f aca="false">IF(OR(F1061="",G1061=""),"",G1061-F1061)</f>
        <v/>
      </c>
      <c r="I1061" s="82"/>
      <c r="J1061" s="82"/>
      <c r="K1061" s="28"/>
      <c r="L1061" s="90" t="str">
        <f aca="false">IF(OR(K1061="",N(H1061)=0),"",K1061/H1061)</f>
        <v/>
      </c>
      <c r="M1061" s="68"/>
      <c r="N1061" s="28"/>
      <c r="O1061" s="25"/>
      <c r="P1061" s="83" t="str">
        <f aca="false">IF(OR(N1061="",N(H1061)=0),"",N1061/H1061)</f>
        <v/>
      </c>
      <c r="Q1061" s="25"/>
    </row>
    <row r="1062" customFormat="false" ht="15" hidden="false" customHeight="false" outlineLevel="0" collapsed="false">
      <c r="A1062" s="69"/>
      <c r="B1062" s="68"/>
      <c r="C1062" s="76" t="str">
        <f aca="false">IF(B1062="","",IFERROR(INDEX(EN_Des,MATCH(B1062,EN_Code,0)),"Code inconnu"))</f>
        <v/>
      </c>
      <c r="D1062" s="25"/>
      <c r="E1062" s="25"/>
      <c r="F1062" s="82"/>
      <c r="G1062" s="82"/>
      <c r="H1062" s="83" t="str">
        <f aca="false">IF(OR(F1062="",G1062=""),"",G1062-F1062)</f>
        <v/>
      </c>
      <c r="I1062" s="82"/>
      <c r="J1062" s="82"/>
      <c r="K1062" s="28"/>
      <c r="L1062" s="90" t="str">
        <f aca="false">IF(OR(K1062="",N(H1062)=0),"",K1062/H1062)</f>
        <v/>
      </c>
      <c r="M1062" s="68"/>
      <c r="N1062" s="28"/>
      <c r="O1062" s="25"/>
      <c r="P1062" s="83" t="str">
        <f aca="false">IF(OR(N1062="",N(H1062)=0),"",N1062/H1062)</f>
        <v/>
      </c>
      <c r="Q1062" s="25"/>
    </row>
    <row r="1063" customFormat="false" ht="15" hidden="false" customHeight="false" outlineLevel="0" collapsed="false">
      <c r="A1063" s="69"/>
      <c r="B1063" s="68"/>
      <c r="C1063" s="76" t="str">
        <f aca="false">IF(B1063="","",IFERROR(INDEX(EN_Des,MATCH(B1063,EN_Code,0)),"Code inconnu"))</f>
        <v/>
      </c>
      <c r="D1063" s="25"/>
      <c r="E1063" s="25"/>
      <c r="F1063" s="82"/>
      <c r="G1063" s="82"/>
      <c r="H1063" s="83" t="str">
        <f aca="false">IF(OR(F1063="",G1063=""),"",G1063-F1063)</f>
        <v/>
      </c>
      <c r="I1063" s="82"/>
      <c r="J1063" s="82"/>
      <c r="K1063" s="28"/>
      <c r="L1063" s="90" t="str">
        <f aca="false">IF(OR(K1063="",N(H1063)=0),"",K1063/H1063)</f>
        <v/>
      </c>
      <c r="M1063" s="68"/>
      <c r="N1063" s="28"/>
      <c r="O1063" s="25"/>
      <c r="P1063" s="83" t="str">
        <f aca="false">IF(OR(N1063="",N(H1063)=0),"",N1063/H1063)</f>
        <v/>
      </c>
      <c r="Q1063" s="25"/>
    </row>
    <row r="1064" customFormat="false" ht="15" hidden="false" customHeight="false" outlineLevel="0" collapsed="false">
      <c r="A1064" s="69"/>
      <c r="B1064" s="68"/>
      <c r="C1064" s="76" t="str">
        <f aca="false">IF(B1064="","",IFERROR(INDEX(EN_Des,MATCH(B1064,EN_Code,0)),"Code inconnu"))</f>
        <v/>
      </c>
      <c r="D1064" s="25"/>
      <c r="E1064" s="25"/>
      <c r="F1064" s="82"/>
      <c r="G1064" s="82"/>
      <c r="H1064" s="83" t="str">
        <f aca="false">IF(OR(F1064="",G1064=""),"",G1064-F1064)</f>
        <v/>
      </c>
      <c r="I1064" s="82"/>
      <c r="J1064" s="82"/>
      <c r="K1064" s="28"/>
      <c r="L1064" s="90" t="str">
        <f aca="false">IF(OR(K1064="",N(H1064)=0),"",K1064/H1064)</f>
        <v/>
      </c>
      <c r="M1064" s="68"/>
      <c r="N1064" s="28"/>
      <c r="O1064" s="25"/>
      <c r="P1064" s="83" t="str">
        <f aca="false">IF(OR(N1064="",N(H1064)=0),"",N1064/H1064)</f>
        <v/>
      </c>
      <c r="Q1064" s="25"/>
    </row>
    <row r="1065" customFormat="false" ht="15" hidden="false" customHeight="false" outlineLevel="0" collapsed="false">
      <c r="A1065" s="69"/>
      <c r="B1065" s="68"/>
      <c r="C1065" s="76" t="str">
        <f aca="false">IF(B1065="","",IFERROR(INDEX(EN_Des,MATCH(B1065,EN_Code,0)),"Code inconnu"))</f>
        <v/>
      </c>
      <c r="D1065" s="25"/>
      <c r="E1065" s="25"/>
      <c r="F1065" s="82"/>
      <c r="G1065" s="82"/>
      <c r="H1065" s="83" t="str">
        <f aca="false">IF(OR(F1065="",G1065=""),"",G1065-F1065)</f>
        <v/>
      </c>
      <c r="I1065" s="82"/>
      <c r="J1065" s="82"/>
      <c r="K1065" s="28"/>
      <c r="L1065" s="90" t="str">
        <f aca="false">IF(OR(K1065="",N(H1065)=0),"",K1065/H1065)</f>
        <v/>
      </c>
      <c r="M1065" s="68"/>
      <c r="N1065" s="28"/>
      <c r="O1065" s="25"/>
      <c r="P1065" s="83" t="str">
        <f aca="false">IF(OR(N1065="",N(H1065)=0),"",N1065/H1065)</f>
        <v/>
      </c>
      <c r="Q1065" s="25"/>
    </row>
    <row r="1066" customFormat="false" ht="15" hidden="false" customHeight="false" outlineLevel="0" collapsed="false">
      <c r="A1066" s="69"/>
      <c r="B1066" s="68"/>
      <c r="C1066" s="76" t="str">
        <f aca="false">IF(B1066="","",IFERROR(INDEX(EN_Des,MATCH(B1066,EN_Code,0)),"Code inconnu"))</f>
        <v/>
      </c>
      <c r="D1066" s="25"/>
      <c r="E1066" s="25"/>
      <c r="F1066" s="82"/>
      <c r="G1066" s="82"/>
      <c r="H1066" s="83" t="str">
        <f aca="false">IF(OR(F1066="",G1066=""),"",G1066-F1066)</f>
        <v/>
      </c>
      <c r="I1066" s="82"/>
      <c r="J1066" s="82"/>
      <c r="K1066" s="28"/>
      <c r="L1066" s="90" t="str">
        <f aca="false">IF(OR(K1066="",N(H1066)=0),"",K1066/H1066)</f>
        <v/>
      </c>
      <c r="M1066" s="68"/>
      <c r="N1066" s="28"/>
      <c r="O1066" s="25"/>
      <c r="P1066" s="83" t="str">
        <f aca="false">IF(OR(N1066="",N(H1066)=0),"",N1066/H1066)</f>
        <v/>
      </c>
      <c r="Q1066" s="25"/>
    </row>
    <row r="1067" customFormat="false" ht="15" hidden="false" customHeight="false" outlineLevel="0" collapsed="false">
      <c r="A1067" s="69"/>
      <c r="B1067" s="68"/>
      <c r="C1067" s="76" t="str">
        <f aca="false">IF(B1067="","",IFERROR(INDEX(EN_Des,MATCH(B1067,EN_Code,0)),"Code inconnu"))</f>
        <v/>
      </c>
      <c r="D1067" s="25"/>
      <c r="E1067" s="25"/>
      <c r="F1067" s="82"/>
      <c r="G1067" s="82"/>
      <c r="H1067" s="83" t="str">
        <f aca="false">IF(OR(F1067="",G1067=""),"",G1067-F1067)</f>
        <v/>
      </c>
      <c r="I1067" s="82"/>
      <c r="J1067" s="82"/>
      <c r="K1067" s="28"/>
      <c r="L1067" s="90" t="str">
        <f aca="false">IF(OR(K1067="",N(H1067)=0),"",K1067/H1067)</f>
        <v/>
      </c>
      <c r="M1067" s="68"/>
      <c r="N1067" s="28"/>
      <c r="O1067" s="25"/>
      <c r="P1067" s="83" t="str">
        <f aca="false">IF(OR(N1067="",N(H1067)=0),"",N1067/H1067)</f>
        <v/>
      </c>
      <c r="Q1067" s="25"/>
    </row>
    <row r="1068" customFormat="false" ht="15" hidden="false" customHeight="false" outlineLevel="0" collapsed="false">
      <c r="A1068" s="69"/>
      <c r="B1068" s="68"/>
      <c r="C1068" s="76" t="str">
        <f aca="false">IF(B1068="","",IFERROR(INDEX(EN_Des,MATCH(B1068,EN_Code,0)),"Code inconnu"))</f>
        <v/>
      </c>
      <c r="D1068" s="25"/>
      <c r="E1068" s="25"/>
      <c r="F1068" s="82"/>
      <c r="G1068" s="82"/>
      <c r="H1068" s="83" t="str">
        <f aca="false">IF(OR(F1068="",G1068=""),"",G1068-F1068)</f>
        <v/>
      </c>
      <c r="I1068" s="82"/>
      <c r="J1068" s="82"/>
      <c r="K1068" s="28"/>
      <c r="L1068" s="90" t="str">
        <f aca="false">IF(OR(K1068="",N(H1068)=0),"",K1068/H1068)</f>
        <v/>
      </c>
      <c r="M1068" s="68"/>
      <c r="N1068" s="28"/>
      <c r="O1068" s="25"/>
      <c r="P1068" s="83" t="str">
        <f aca="false">IF(OR(N1068="",N(H1068)=0),"",N1068/H1068)</f>
        <v/>
      </c>
      <c r="Q1068" s="25"/>
    </row>
    <row r="1069" customFormat="false" ht="15" hidden="false" customHeight="false" outlineLevel="0" collapsed="false">
      <c r="A1069" s="69"/>
      <c r="B1069" s="68"/>
      <c r="C1069" s="76" t="str">
        <f aca="false">IF(B1069="","",IFERROR(INDEX(EN_Des,MATCH(B1069,EN_Code,0)),"Code inconnu"))</f>
        <v/>
      </c>
      <c r="D1069" s="25"/>
      <c r="E1069" s="25"/>
      <c r="F1069" s="82"/>
      <c r="G1069" s="82"/>
      <c r="H1069" s="83" t="str">
        <f aca="false">IF(OR(F1069="",G1069=""),"",G1069-F1069)</f>
        <v/>
      </c>
      <c r="I1069" s="82"/>
      <c r="J1069" s="82"/>
      <c r="K1069" s="28"/>
      <c r="L1069" s="90" t="str">
        <f aca="false">IF(OR(K1069="",N(H1069)=0),"",K1069/H1069)</f>
        <v/>
      </c>
      <c r="M1069" s="68"/>
      <c r="N1069" s="28"/>
      <c r="O1069" s="25"/>
      <c r="P1069" s="83" t="str">
        <f aca="false">IF(OR(N1069="",N(H1069)=0),"",N1069/H1069)</f>
        <v/>
      </c>
      <c r="Q1069" s="25"/>
    </row>
    <row r="1070" customFormat="false" ht="15" hidden="false" customHeight="false" outlineLevel="0" collapsed="false">
      <c r="A1070" s="69"/>
      <c r="B1070" s="68"/>
      <c r="C1070" s="76" t="str">
        <f aca="false">IF(B1070="","",IFERROR(INDEX(EN_Des,MATCH(B1070,EN_Code,0)),"Code inconnu"))</f>
        <v/>
      </c>
      <c r="D1070" s="25"/>
      <c r="E1070" s="25"/>
      <c r="F1070" s="82"/>
      <c r="G1070" s="82"/>
      <c r="H1070" s="83" t="str">
        <f aca="false">IF(OR(F1070="",G1070=""),"",G1070-F1070)</f>
        <v/>
      </c>
      <c r="I1070" s="82"/>
      <c r="J1070" s="82"/>
      <c r="K1070" s="28"/>
      <c r="L1070" s="90" t="str">
        <f aca="false">IF(OR(K1070="",N(H1070)=0),"",K1070/H1070)</f>
        <v/>
      </c>
      <c r="M1070" s="68"/>
      <c r="N1070" s="28"/>
      <c r="O1070" s="25"/>
      <c r="P1070" s="83" t="str">
        <f aca="false">IF(OR(N1070="",N(H1070)=0),"",N1070/H1070)</f>
        <v/>
      </c>
      <c r="Q1070" s="25"/>
    </row>
    <row r="1071" customFormat="false" ht="15" hidden="false" customHeight="false" outlineLevel="0" collapsed="false">
      <c r="A1071" s="69"/>
      <c r="B1071" s="68"/>
      <c r="C1071" s="76" t="str">
        <f aca="false">IF(B1071="","",IFERROR(INDEX(EN_Des,MATCH(B1071,EN_Code,0)),"Code inconnu"))</f>
        <v/>
      </c>
      <c r="D1071" s="25"/>
      <c r="E1071" s="25"/>
      <c r="F1071" s="82"/>
      <c r="G1071" s="82"/>
      <c r="H1071" s="83" t="str">
        <f aca="false">IF(OR(F1071="",G1071=""),"",G1071-F1071)</f>
        <v/>
      </c>
      <c r="I1071" s="82"/>
      <c r="J1071" s="82"/>
      <c r="K1071" s="28"/>
      <c r="L1071" s="90" t="str">
        <f aca="false">IF(OR(K1071="",N(H1071)=0),"",K1071/H1071)</f>
        <v/>
      </c>
      <c r="M1071" s="68"/>
      <c r="N1071" s="28"/>
      <c r="O1071" s="25"/>
      <c r="P1071" s="83" t="str">
        <f aca="false">IF(OR(N1071="",N(H1071)=0),"",N1071/H1071)</f>
        <v/>
      </c>
      <c r="Q1071" s="25"/>
    </row>
    <row r="1072" customFormat="false" ht="15" hidden="false" customHeight="false" outlineLevel="0" collapsed="false">
      <c r="A1072" s="69"/>
      <c r="B1072" s="68"/>
      <c r="C1072" s="76" t="str">
        <f aca="false">IF(B1072="","",IFERROR(INDEX(EN_Des,MATCH(B1072,EN_Code,0)),"Code inconnu"))</f>
        <v/>
      </c>
      <c r="D1072" s="25"/>
      <c r="E1072" s="25"/>
      <c r="F1072" s="82"/>
      <c r="G1072" s="82"/>
      <c r="H1072" s="83" t="str">
        <f aca="false">IF(OR(F1072="",G1072=""),"",G1072-F1072)</f>
        <v/>
      </c>
      <c r="I1072" s="82"/>
      <c r="J1072" s="82"/>
      <c r="K1072" s="28"/>
      <c r="L1072" s="90" t="str">
        <f aca="false">IF(OR(K1072="",N(H1072)=0),"",K1072/H1072)</f>
        <v/>
      </c>
      <c r="M1072" s="68"/>
      <c r="N1072" s="28"/>
      <c r="O1072" s="25"/>
      <c r="P1072" s="83" t="str">
        <f aca="false">IF(OR(N1072="",N(H1072)=0),"",N1072/H1072)</f>
        <v/>
      </c>
      <c r="Q1072" s="25"/>
    </row>
    <row r="1073" customFormat="false" ht="15" hidden="false" customHeight="false" outlineLevel="0" collapsed="false">
      <c r="A1073" s="69"/>
      <c r="B1073" s="68"/>
      <c r="C1073" s="76" t="str">
        <f aca="false">IF(B1073="","",IFERROR(INDEX(EN_Des,MATCH(B1073,EN_Code,0)),"Code inconnu"))</f>
        <v/>
      </c>
      <c r="D1073" s="25"/>
      <c r="E1073" s="25"/>
      <c r="F1073" s="82"/>
      <c r="G1073" s="82"/>
      <c r="H1073" s="83" t="str">
        <f aca="false">IF(OR(F1073="",G1073=""),"",G1073-F1073)</f>
        <v/>
      </c>
      <c r="I1073" s="82"/>
      <c r="J1073" s="82"/>
      <c r="K1073" s="28"/>
      <c r="L1073" s="90" t="str">
        <f aca="false">IF(OR(K1073="",N(H1073)=0),"",K1073/H1073)</f>
        <v/>
      </c>
      <c r="M1073" s="68"/>
      <c r="N1073" s="28"/>
      <c r="O1073" s="25"/>
      <c r="P1073" s="83" t="str">
        <f aca="false">IF(OR(N1073="",N(H1073)=0),"",N1073/H1073)</f>
        <v/>
      </c>
      <c r="Q1073" s="25"/>
    </row>
    <row r="1074" customFormat="false" ht="15" hidden="false" customHeight="false" outlineLevel="0" collapsed="false">
      <c r="A1074" s="69"/>
      <c r="B1074" s="68"/>
      <c r="C1074" s="76" t="str">
        <f aca="false">IF(B1074="","",IFERROR(INDEX(EN_Des,MATCH(B1074,EN_Code,0)),"Code inconnu"))</f>
        <v/>
      </c>
      <c r="D1074" s="25"/>
      <c r="E1074" s="25"/>
      <c r="F1074" s="82"/>
      <c r="G1074" s="82"/>
      <c r="H1074" s="83" t="str">
        <f aca="false">IF(OR(F1074="",G1074=""),"",G1074-F1074)</f>
        <v/>
      </c>
      <c r="I1074" s="82"/>
      <c r="J1074" s="82"/>
      <c r="K1074" s="28"/>
      <c r="L1074" s="90" t="str">
        <f aca="false">IF(OR(K1074="",N(H1074)=0),"",K1074/H1074)</f>
        <v/>
      </c>
      <c r="M1074" s="68"/>
      <c r="N1074" s="28"/>
      <c r="O1074" s="25"/>
      <c r="P1074" s="83" t="str">
        <f aca="false">IF(OR(N1074="",N(H1074)=0),"",N1074/H1074)</f>
        <v/>
      </c>
      <c r="Q1074" s="25"/>
    </row>
    <row r="1075" customFormat="false" ht="15" hidden="false" customHeight="false" outlineLevel="0" collapsed="false">
      <c r="A1075" s="69"/>
      <c r="B1075" s="68"/>
      <c r="C1075" s="76" t="str">
        <f aca="false">IF(B1075="","",IFERROR(INDEX(EN_Des,MATCH(B1075,EN_Code,0)),"Code inconnu"))</f>
        <v/>
      </c>
      <c r="D1075" s="25"/>
      <c r="E1075" s="25"/>
      <c r="F1075" s="82"/>
      <c r="G1075" s="82"/>
      <c r="H1075" s="83" t="str">
        <f aca="false">IF(OR(F1075="",G1075=""),"",G1075-F1075)</f>
        <v/>
      </c>
      <c r="I1075" s="82"/>
      <c r="J1075" s="82"/>
      <c r="K1075" s="28"/>
      <c r="L1075" s="90" t="str">
        <f aca="false">IF(OR(K1075="",N(H1075)=0),"",K1075/H1075)</f>
        <v/>
      </c>
      <c r="M1075" s="68"/>
      <c r="N1075" s="28"/>
      <c r="O1075" s="25"/>
      <c r="P1075" s="83" t="str">
        <f aca="false">IF(OR(N1075="",N(H1075)=0),"",N1075/H1075)</f>
        <v/>
      </c>
      <c r="Q1075" s="25"/>
    </row>
    <row r="1076" customFormat="false" ht="15" hidden="false" customHeight="false" outlineLevel="0" collapsed="false">
      <c r="A1076" s="69"/>
      <c r="B1076" s="68"/>
      <c r="C1076" s="76" t="str">
        <f aca="false">IF(B1076="","",IFERROR(INDEX(EN_Des,MATCH(B1076,EN_Code,0)),"Code inconnu"))</f>
        <v/>
      </c>
      <c r="D1076" s="25"/>
      <c r="E1076" s="25"/>
      <c r="F1076" s="82"/>
      <c r="G1076" s="82"/>
      <c r="H1076" s="83" t="str">
        <f aca="false">IF(OR(F1076="",G1076=""),"",G1076-F1076)</f>
        <v/>
      </c>
      <c r="I1076" s="82"/>
      <c r="J1076" s="82"/>
      <c r="K1076" s="28"/>
      <c r="L1076" s="90" t="str">
        <f aca="false">IF(OR(K1076="",N(H1076)=0),"",K1076/H1076)</f>
        <v/>
      </c>
      <c r="M1076" s="68"/>
      <c r="N1076" s="28"/>
      <c r="O1076" s="25"/>
      <c r="P1076" s="83" t="str">
        <f aca="false">IF(OR(N1076="",N(H1076)=0),"",N1076/H1076)</f>
        <v/>
      </c>
      <c r="Q1076" s="25"/>
    </row>
    <row r="1077" customFormat="false" ht="15" hidden="false" customHeight="false" outlineLevel="0" collapsed="false">
      <c r="A1077" s="69"/>
      <c r="B1077" s="68"/>
      <c r="C1077" s="76" t="str">
        <f aca="false">IF(B1077="","",IFERROR(INDEX(EN_Des,MATCH(B1077,EN_Code,0)),"Code inconnu"))</f>
        <v/>
      </c>
      <c r="D1077" s="25"/>
      <c r="E1077" s="25"/>
      <c r="F1077" s="82"/>
      <c r="G1077" s="82"/>
      <c r="H1077" s="83" t="str">
        <f aca="false">IF(OR(F1077="",G1077=""),"",G1077-F1077)</f>
        <v/>
      </c>
      <c r="I1077" s="82"/>
      <c r="J1077" s="82"/>
      <c r="K1077" s="28"/>
      <c r="L1077" s="90" t="str">
        <f aca="false">IF(OR(K1077="",N(H1077)=0),"",K1077/H1077)</f>
        <v/>
      </c>
      <c r="M1077" s="68"/>
      <c r="N1077" s="28"/>
      <c r="O1077" s="25"/>
      <c r="P1077" s="83" t="str">
        <f aca="false">IF(OR(N1077="",N(H1077)=0),"",N1077/H1077)</f>
        <v/>
      </c>
      <c r="Q1077" s="25"/>
    </row>
    <row r="1078" customFormat="false" ht="15" hidden="false" customHeight="false" outlineLevel="0" collapsed="false">
      <c r="A1078" s="69"/>
      <c r="B1078" s="68"/>
      <c r="C1078" s="76" t="str">
        <f aca="false">IF(B1078="","",IFERROR(INDEX(EN_Des,MATCH(B1078,EN_Code,0)),"Code inconnu"))</f>
        <v/>
      </c>
      <c r="D1078" s="25"/>
      <c r="E1078" s="25"/>
      <c r="F1078" s="82"/>
      <c r="G1078" s="82"/>
      <c r="H1078" s="83" t="str">
        <f aca="false">IF(OR(F1078="",G1078=""),"",G1078-F1078)</f>
        <v/>
      </c>
      <c r="I1078" s="82"/>
      <c r="J1078" s="82"/>
      <c r="K1078" s="28"/>
      <c r="L1078" s="90" t="str">
        <f aca="false">IF(OR(K1078="",N(H1078)=0),"",K1078/H1078)</f>
        <v/>
      </c>
      <c r="M1078" s="68"/>
      <c r="N1078" s="28"/>
      <c r="O1078" s="25"/>
      <c r="P1078" s="83" t="str">
        <f aca="false">IF(OR(N1078="",N(H1078)=0),"",N1078/H1078)</f>
        <v/>
      </c>
      <c r="Q1078" s="25"/>
    </row>
    <row r="1079" customFormat="false" ht="15" hidden="false" customHeight="false" outlineLevel="0" collapsed="false">
      <c r="A1079" s="69"/>
      <c r="B1079" s="68"/>
      <c r="C1079" s="76" t="str">
        <f aca="false">IF(B1079="","",IFERROR(INDEX(EN_Des,MATCH(B1079,EN_Code,0)),"Code inconnu"))</f>
        <v/>
      </c>
      <c r="D1079" s="25"/>
      <c r="E1079" s="25"/>
      <c r="F1079" s="82"/>
      <c r="G1079" s="82"/>
      <c r="H1079" s="83" t="str">
        <f aca="false">IF(OR(F1079="",G1079=""),"",G1079-F1079)</f>
        <v/>
      </c>
      <c r="I1079" s="82"/>
      <c r="J1079" s="82"/>
      <c r="K1079" s="28"/>
      <c r="L1079" s="90" t="str">
        <f aca="false">IF(OR(K1079="",N(H1079)=0),"",K1079/H1079)</f>
        <v/>
      </c>
      <c r="M1079" s="68"/>
      <c r="N1079" s="28"/>
      <c r="O1079" s="25"/>
      <c r="P1079" s="83" t="str">
        <f aca="false">IF(OR(N1079="",N(H1079)=0),"",N1079/H1079)</f>
        <v/>
      </c>
      <c r="Q1079" s="25"/>
    </row>
    <row r="1080" customFormat="false" ht="15" hidden="false" customHeight="false" outlineLevel="0" collapsed="false">
      <c r="A1080" s="69"/>
      <c r="B1080" s="68"/>
      <c r="C1080" s="76" t="str">
        <f aca="false">IF(B1080="","",IFERROR(INDEX(EN_Des,MATCH(B1080,EN_Code,0)),"Code inconnu"))</f>
        <v/>
      </c>
      <c r="D1080" s="25"/>
      <c r="E1080" s="25"/>
      <c r="F1080" s="82"/>
      <c r="G1080" s="82"/>
      <c r="H1080" s="83" t="str">
        <f aca="false">IF(OR(F1080="",G1080=""),"",G1080-F1080)</f>
        <v/>
      </c>
      <c r="I1080" s="82"/>
      <c r="J1080" s="82"/>
      <c r="K1080" s="28"/>
      <c r="L1080" s="90" t="str">
        <f aca="false">IF(OR(K1080="",N(H1080)=0),"",K1080/H1080)</f>
        <v/>
      </c>
      <c r="M1080" s="68"/>
      <c r="N1080" s="28"/>
      <c r="O1080" s="25"/>
      <c r="P1080" s="83" t="str">
        <f aca="false">IF(OR(N1080="",N(H1080)=0),"",N1080/H1080)</f>
        <v/>
      </c>
      <c r="Q1080" s="25"/>
    </row>
    <row r="1081" customFormat="false" ht="15" hidden="false" customHeight="false" outlineLevel="0" collapsed="false">
      <c r="A1081" s="69"/>
      <c r="B1081" s="68"/>
      <c r="C1081" s="76" t="str">
        <f aca="false">IF(B1081="","",IFERROR(INDEX(EN_Des,MATCH(B1081,EN_Code,0)),"Code inconnu"))</f>
        <v/>
      </c>
      <c r="D1081" s="25"/>
      <c r="E1081" s="25"/>
      <c r="F1081" s="82"/>
      <c r="G1081" s="82"/>
      <c r="H1081" s="83" t="str">
        <f aca="false">IF(OR(F1081="",G1081=""),"",G1081-F1081)</f>
        <v/>
      </c>
      <c r="I1081" s="82"/>
      <c r="J1081" s="82"/>
      <c r="K1081" s="28"/>
      <c r="L1081" s="90" t="str">
        <f aca="false">IF(OR(K1081="",N(H1081)=0),"",K1081/H1081)</f>
        <v/>
      </c>
      <c r="M1081" s="68"/>
      <c r="N1081" s="28"/>
      <c r="O1081" s="25"/>
      <c r="P1081" s="83" t="str">
        <f aca="false">IF(OR(N1081="",N(H1081)=0),"",N1081/H1081)</f>
        <v/>
      </c>
      <c r="Q1081" s="25"/>
    </row>
    <row r="1082" customFormat="false" ht="15" hidden="false" customHeight="false" outlineLevel="0" collapsed="false">
      <c r="A1082" s="69"/>
      <c r="B1082" s="68"/>
      <c r="C1082" s="76" t="str">
        <f aca="false">IF(B1082="","",IFERROR(INDEX(EN_Des,MATCH(B1082,EN_Code,0)),"Code inconnu"))</f>
        <v/>
      </c>
      <c r="D1082" s="25"/>
      <c r="E1082" s="25"/>
      <c r="F1082" s="82"/>
      <c r="G1082" s="82"/>
      <c r="H1082" s="83" t="str">
        <f aca="false">IF(OR(F1082="",G1082=""),"",G1082-F1082)</f>
        <v/>
      </c>
      <c r="I1082" s="82"/>
      <c r="J1082" s="82"/>
      <c r="K1082" s="28"/>
      <c r="L1082" s="90" t="str">
        <f aca="false">IF(OR(K1082="",N(H1082)=0),"",K1082/H1082)</f>
        <v/>
      </c>
      <c r="M1082" s="68"/>
      <c r="N1082" s="28"/>
      <c r="O1082" s="25"/>
      <c r="P1082" s="83" t="str">
        <f aca="false">IF(OR(N1082="",N(H1082)=0),"",N1082/H1082)</f>
        <v/>
      </c>
      <c r="Q1082" s="25"/>
    </row>
    <row r="1083" customFormat="false" ht="15" hidden="false" customHeight="false" outlineLevel="0" collapsed="false">
      <c r="A1083" s="69"/>
      <c r="B1083" s="68"/>
      <c r="C1083" s="76" t="str">
        <f aca="false">IF(B1083="","",IFERROR(INDEX(EN_Des,MATCH(B1083,EN_Code,0)),"Code inconnu"))</f>
        <v/>
      </c>
      <c r="D1083" s="25"/>
      <c r="E1083" s="25"/>
      <c r="F1083" s="82"/>
      <c r="G1083" s="82"/>
      <c r="H1083" s="83" t="str">
        <f aca="false">IF(OR(F1083="",G1083=""),"",G1083-F1083)</f>
        <v/>
      </c>
      <c r="I1083" s="82"/>
      <c r="J1083" s="82"/>
      <c r="K1083" s="28"/>
      <c r="L1083" s="90" t="str">
        <f aca="false">IF(OR(K1083="",N(H1083)=0),"",K1083/H1083)</f>
        <v/>
      </c>
      <c r="M1083" s="68"/>
      <c r="N1083" s="28"/>
      <c r="O1083" s="25"/>
      <c r="P1083" s="83" t="str">
        <f aca="false">IF(OR(N1083="",N(H1083)=0),"",N1083/H1083)</f>
        <v/>
      </c>
      <c r="Q1083" s="25"/>
    </row>
    <row r="1084" customFormat="false" ht="15" hidden="false" customHeight="false" outlineLevel="0" collapsed="false">
      <c r="A1084" s="69"/>
      <c r="B1084" s="68"/>
      <c r="C1084" s="76" t="str">
        <f aca="false">IF(B1084="","",IFERROR(INDEX(EN_Des,MATCH(B1084,EN_Code,0)),"Code inconnu"))</f>
        <v/>
      </c>
      <c r="D1084" s="25"/>
      <c r="E1084" s="25"/>
      <c r="F1084" s="82"/>
      <c r="G1084" s="82"/>
      <c r="H1084" s="83" t="str">
        <f aca="false">IF(OR(F1084="",G1084=""),"",G1084-F1084)</f>
        <v/>
      </c>
      <c r="I1084" s="82"/>
      <c r="J1084" s="82"/>
      <c r="K1084" s="28"/>
      <c r="L1084" s="90" t="str">
        <f aca="false">IF(OR(K1084="",N(H1084)=0),"",K1084/H1084)</f>
        <v/>
      </c>
      <c r="M1084" s="68"/>
      <c r="N1084" s="28"/>
      <c r="O1084" s="25"/>
      <c r="P1084" s="83" t="str">
        <f aca="false">IF(OR(N1084="",N(H1084)=0),"",N1084/H1084)</f>
        <v/>
      </c>
      <c r="Q1084" s="25"/>
    </row>
    <row r="1085" customFormat="false" ht="15" hidden="false" customHeight="false" outlineLevel="0" collapsed="false">
      <c r="A1085" s="69"/>
      <c r="B1085" s="68"/>
      <c r="C1085" s="76" t="str">
        <f aca="false">IF(B1085="","",IFERROR(INDEX(EN_Des,MATCH(B1085,EN_Code,0)),"Code inconnu"))</f>
        <v/>
      </c>
      <c r="D1085" s="25"/>
      <c r="E1085" s="25"/>
      <c r="F1085" s="82"/>
      <c r="G1085" s="82"/>
      <c r="H1085" s="83" t="str">
        <f aca="false">IF(OR(F1085="",G1085=""),"",G1085-F1085)</f>
        <v/>
      </c>
      <c r="I1085" s="82"/>
      <c r="J1085" s="82"/>
      <c r="K1085" s="28"/>
      <c r="L1085" s="90" t="str">
        <f aca="false">IF(OR(K1085="",N(H1085)=0),"",K1085/H1085)</f>
        <v/>
      </c>
      <c r="M1085" s="68"/>
      <c r="N1085" s="28"/>
      <c r="O1085" s="25"/>
      <c r="P1085" s="83" t="str">
        <f aca="false">IF(OR(N1085="",N(H1085)=0),"",N1085/H1085)</f>
        <v/>
      </c>
      <c r="Q1085" s="25"/>
    </row>
    <row r="1086" customFormat="false" ht="15" hidden="false" customHeight="false" outlineLevel="0" collapsed="false">
      <c r="A1086" s="69"/>
      <c r="B1086" s="68"/>
      <c r="C1086" s="76" t="str">
        <f aca="false">IF(B1086="","",IFERROR(INDEX(EN_Des,MATCH(B1086,EN_Code,0)),"Code inconnu"))</f>
        <v/>
      </c>
      <c r="D1086" s="25"/>
      <c r="E1086" s="25"/>
      <c r="F1086" s="82"/>
      <c r="G1086" s="82"/>
      <c r="H1086" s="83" t="str">
        <f aca="false">IF(OR(F1086="",G1086=""),"",G1086-F1086)</f>
        <v/>
      </c>
      <c r="I1086" s="82"/>
      <c r="J1086" s="82"/>
      <c r="K1086" s="28"/>
      <c r="L1086" s="90" t="str">
        <f aca="false">IF(OR(K1086="",N(H1086)=0),"",K1086/H1086)</f>
        <v/>
      </c>
      <c r="M1086" s="68"/>
      <c r="N1086" s="28"/>
      <c r="O1086" s="25"/>
      <c r="P1086" s="83" t="str">
        <f aca="false">IF(OR(N1086="",N(H1086)=0),"",N1086/H1086)</f>
        <v/>
      </c>
      <c r="Q1086" s="25"/>
    </row>
    <row r="1087" customFormat="false" ht="15" hidden="false" customHeight="false" outlineLevel="0" collapsed="false">
      <c r="A1087" s="69"/>
      <c r="B1087" s="68"/>
      <c r="C1087" s="76" t="str">
        <f aca="false">IF(B1087="","",IFERROR(INDEX(EN_Des,MATCH(B1087,EN_Code,0)),"Code inconnu"))</f>
        <v/>
      </c>
      <c r="D1087" s="25"/>
      <c r="E1087" s="25"/>
      <c r="F1087" s="82"/>
      <c r="G1087" s="82"/>
      <c r="H1087" s="83" t="str">
        <f aca="false">IF(OR(F1087="",G1087=""),"",G1087-F1087)</f>
        <v/>
      </c>
      <c r="I1087" s="82"/>
      <c r="J1087" s="82"/>
      <c r="K1087" s="28"/>
      <c r="L1087" s="90" t="str">
        <f aca="false">IF(OR(K1087="",N(H1087)=0),"",K1087/H1087)</f>
        <v/>
      </c>
      <c r="M1087" s="68"/>
      <c r="N1087" s="28"/>
      <c r="O1087" s="25"/>
      <c r="P1087" s="83" t="str">
        <f aca="false">IF(OR(N1087="",N(H1087)=0),"",N1087/H1087)</f>
        <v/>
      </c>
      <c r="Q1087" s="25"/>
    </row>
    <row r="1088" customFormat="false" ht="15" hidden="false" customHeight="false" outlineLevel="0" collapsed="false">
      <c r="A1088" s="69"/>
      <c r="B1088" s="68"/>
      <c r="C1088" s="76" t="str">
        <f aca="false">IF(B1088="","",IFERROR(INDEX(EN_Des,MATCH(B1088,EN_Code,0)),"Code inconnu"))</f>
        <v/>
      </c>
      <c r="D1088" s="25"/>
      <c r="E1088" s="25"/>
      <c r="F1088" s="82"/>
      <c r="G1088" s="82"/>
      <c r="H1088" s="83" t="str">
        <f aca="false">IF(OR(F1088="",G1088=""),"",G1088-F1088)</f>
        <v/>
      </c>
      <c r="I1088" s="82"/>
      <c r="J1088" s="82"/>
      <c r="K1088" s="28"/>
      <c r="L1088" s="90" t="str">
        <f aca="false">IF(OR(K1088="",N(H1088)=0),"",K1088/H1088)</f>
        <v/>
      </c>
      <c r="M1088" s="68"/>
      <c r="N1088" s="28"/>
      <c r="O1088" s="25"/>
      <c r="P1088" s="83" t="str">
        <f aca="false">IF(OR(N1088="",N(H1088)=0),"",N1088/H1088)</f>
        <v/>
      </c>
      <c r="Q1088" s="25"/>
    </row>
    <row r="1089" customFormat="false" ht="15" hidden="false" customHeight="false" outlineLevel="0" collapsed="false">
      <c r="A1089" s="69"/>
      <c r="B1089" s="68"/>
      <c r="C1089" s="76" t="str">
        <f aca="false">IF(B1089="","",IFERROR(INDEX(EN_Des,MATCH(B1089,EN_Code,0)),"Code inconnu"))</f>
        <v/>
      </c>
      <c r="D1089" s="25"/>
      <c r="E1089" s="25"/>
      <c r="F1089" s="82"/>
      <c r="G1089" s="82"/>
      <c r="H1089" s="83" t="str">
        <f aca="false">IF(OR(F1089="",G1089=""),"",G1089-F1089)</f>
        <v/>
      </c>
      <c r="I1089" s="82"/>
      <c r="J1089" s="82"/>
      <c r="K1089" s="28"/>
      <c r="L1089" s="90" t="str">
        <f aca="false">IF(OR(K1089="",N(H1089)=0),"",K1089/H1089)</f>
        <v/>
      </c>
      <c r="M1089" s="68"/>
      <c r="N1089" s="28"/>
      <c r="O1089" s="25"/>
      <c r="P1089" s="83" t="str">
        <f aca="false">IF(OR(N1089="",N(H1089)=0),"",N1089/H1089)</f>
        <v/>
      </c>
      <c r="Q1089" s="25"/>
    </row>
    <row r="1090" customFormat="false" ht="15" hidden="false" customHeight="false" outlineLevel="0" collapsed="false">
      <c r="A1090" s="69"/>
      <c r="B1090" s="68"/>
      <c r="C1090" s="76" t="str">
        <f aca="false">IF(B1090="","",IFERROR(INDEX(EN_Des,MATCH(B1090,EN_Code,0)),"Code inconnu"))</f>
        <v/>
      </c>
      <c r="D1090" s="25"/>
      <c r="E1090" s="25"/>
      <c r="F1090" s="82"/>
      <c r="G1090" s="82"/>
      <c r="H1090" s="83" t="str">
        <f aca="false">IF(OR(F1090="",G1090=""),"",G1090-F1090)</f>
        <v/>
      </c>
      <c r="I1090" s="82"/>
      <c r="J1090" s="82"/>
      <c r="K1090" s="28"/>
      <c r="L1090" s="90" t="str">
        <f aca="false">IF(OR(K1090="",N(H1090)=0),"",K1090/H1090)</f>
        <v/>
      </c>
      <c r="M1090" s="68"/>
      <c r="N1090" s="28"/>
      <c r="O1090" s="25"/>
      <c r="P1090" s="83" t="str">
        <f aca="false">IF(OR(N1090="",N(H1090)=0),"",N1090/H1090)</f>
        <v/>
      </c>
      <c r="Q1090" s="25"/>
    </row>
    <row r="1091" customFormat="false" ht="15" hidden="false" customHeight="false" outlineLevel="0" collapsed="false">
      <c r="A1091" s="69"/>
      <c r="B1091" s="68"/>
      <c r="C1091" s="76" t="str">
        <f aca="false">IF(B1091="","",IFERROR(INDEX(EN_Des,MATCH(B1091,EN_Code,0)),"Code inconnu"))</f>
        <v/>
      </c>
      <c r="D1091" s="25"/>
      <c r="E1091" s="25"/>
      <c r="F1091" s="82"/>
      <c r="G1091" s="82"/>
      <c r="H1091" s="83" t="str">
        <f aca="false">IF(OR(F1091="",G1091=""),"",G1091-F1091)</f>
        <v/>
      </c>
      <c r="I1091" s="82"/>
      <c r="J1091" s="82"/>
      <c r="K1091" s="28"/>
      <c r="L1091" s="90" t="str">
        <f aca="false">IF(OR(K1091="",N(H1091)=0),"",K1091/H1091)</f>
        <v/>
      </c>
      <c r="M1091" s="68"/>
      <c r="N1091" s="28"/>
      <c r="O1091" s="25"/>
      <c r="P1091" s="83" t="str">
        <f aca="false">IF(OR(N1091="",N(H1091)=0),"",N1091/H1091)</f>
        <v/>
      </c>
      <c r="Q1091" s="25"/>
    </row>
    <row r="1092" customFormat="false" ht="15" hidden="false" customHeight="false" outlineLevel="0" collapsed="false">
      <c r="A1092" s="69"/>
      <c r="B1092" s="68"/>
      <c r="C1092" s="76" t="str">
        <f aca="false">IF(B1092="","",IFERROR(INDEX(EN_Des,MATCH(B1092,EN_Code,0)),"Code inconnu"))</f>
        <v/>
      </c>
      <c r="D1092" s="25"/>
      <c r="E1092" s="25"/>
      <c r="F1092" s="82"/>
      <c r="G1092" s="82"/>
      <c r="H1092" s="83" t="str">
        <f aca="false">IF(OR(F1092="",G1092=""),"",G1092-F1092)</f>
        <v/>
      </c>
      <c r="I1092" s="82"/>
      <c r="J1092" s="82"/>
      <c r="K1092" s="28"/>
      <c r="L1092" s="90" t="str">
        <f aca="false">IF(OR(K1092="",N(H1092)=0),"",K1092/H1092)</f>
        <v/>
      </c>
      <c r="M1092" s="68"/>
      <c r="N1092" s="28"/>
      <c r="O1092" s="25"/>
      <c r="P1092" s="83" t="str">
        <f aca="false">IF(OR(N1092="",N(H1092)=0),"",N1092/H1092)</f>
        <v/>
      </c>
      <c r="Q1092" s="25"/>
    </row>
    <row r="1093" customFormat="false" ht="15" hidden="false" customHeight="false" outlineLevel="0" collapsed="false">
      <c r="A1093" s="69"/>
      <c r="B1093" s="68"/>
      <c r="C1093" s="76" t="str">
        <f aca="false">IF(B1093="","",IFERROR(INDEX(EN_Des,MATCH(B1093,EN_Code,0)),"Code inconnu"))</f>
        <v/>
      </c>
      <c r="D1093" s="25"/>
      <c r="E1093" s="25"/>
      <c r="F1093" s="82"/>
      <c r="G1093" s="82"/>
      <c r="H1093" s="83" t="str">
        <f aca="false">IF(OR(F1093="",G1093=""),"",G1093-F1093)</f>
        <v/>
      </c>
      <c r="I1093" s="82"/>
      <c r="J1093" s="82"/>
      <c r="K1093" s="28"/>
      <c r="L1093" s="90" t="str">
        <f aca="false">IF(OR(K1093="",N(H1093)=0),"",K1093/H1093)</f>
        <v/>
      </c>
      <c r="M1093" s="68"/>
      <c r="N1093" s="28"/>
      <c r="O1093" s="25"/>
      <c r="P1093" s="83" t="str">
        <f aca="false">IF(OR(N1093="",N(H1093)=0),"",N1093/H1093)</f>
        <v/>
      </c>
      <c r="Q1093" s="25"/>
    </row>
    <row r="1094" customFormat="false" ht="15" hidden="false" customHeight="false" outlineLevel="0" collapsed="false">
      <c r="A1094" s="69"/>
      <c r="B1094" s="68"/>
      <c r="C1094" s="76" t="str">
        <f aca="false">IF(B1094="","",IFERROR(INDEX(EN_Des,MATCH(B1094,EN_Code,0)),"Code inconnu"))</f>
        <v/>
      </c>
      <c r="D1094" s="25"/>
      <c r="E1094" s="25"/>
      <c r="F1094" s="82"/>
      <c r="G1094" s="82"/>
      <c r="H1094" s="83" t="str">
        <f aca="false">IF(OR(F1094="",G1094=""),"",G1094-F1094)</f>
        <v/>
      </c>
      <c r="I1094" s="82"/>
      <c r="J1094" s="82"/>
      <c r="K1094" s="28"/>
      <c r="L1094" s="90" t="str">
        <f aca="false">IF(OR(K1094="",N(H1094)=0),"",K1094/H1094)</f>
        <v/>
      </c>
      <c r="M1094" s="68"/>
      <c r="N1094" s="28"/>
      <c r="O1094" s="25"/>
      <c r="P1094" s="83" t="str">
        <f aca="false">IF(OR(N1094="",N(H1094)=0),"",N1094/H1094)</f>
        <v/>
      </c>
      <c r="Q1094" s="25"/>
    </row>
    <row r="1095" customFormat="false" ht="15" hidden="false" customHeight="false" outlineLevel="0" collapsed="false">
      <c r="A1095" s="69"/>
      <c r="B1095" s="68"/>
      <c r="C1095" s="76" t="str">
        <f aca="false">IF(B1095="","",IFERROR(INDEX(EN_Des,MATCH(B1095,EN_Code,0)),"Code inconnu"))</f>
        <v/>
      </c>
      <c r="D1095" s="25"/>
      <c r="E1095" s="25"/>
      <c r="F1095" s="82"/>
      <c r="G1095" s="82"/>
      <c r="H1095" s="83" t="str">
        <f aca="false">IF(OR(F1095="",G1095=""),"",G1095-F1095)</f>
        <v/>
      </c>
      <c r="I1095" s="82"/>
      <c r="J1095" s="82"/>
      <c r="K1095" s="28"/>
      <c r="L1095" s="90" t="str">
        <f aca="false">IF(OR(K1095="",N(H1095)=0),"",K1095/H1095)</f>
        <v/>
      </c>
      <c r="M1095" s="68"/>
      <c r="N1095" s="28"/>
      <c r="O1095" s="25"/>
      <c r="P1095" s="83" t="str">
        <f aca="false">IF(OR(N1095="",N(H1095)=0),"",N1095/H1095)</f>
        <v/>
      </c>
      <c r="Q1095" s="25"/>
    </row>
    <row r="1096" customFormat="false" ht="15" hidden="false" customHeight="false" outlineLevel="0" collapsed="false">
      <c r="A1096" s="69"/>
      <c r="B1096" s="68"/>
      <c r="C1096" s="76" t="str">
        <f aca="false">IF(B1096="","",IFERROR(INDEX(EN_Des,MATCH(B1096,EN_Code,0)),"Code inconnu"))</f>
        <v/>
      </c>
      <c r="D1096" s="25"/>
      <c r="E1096" s="25"/>
      <c r="F1096" s="82"/>
      <c r="G1096" s="82"/>
      <c r="H1096" s="83" t="str">
        <f aca="false">IF(OR(F1096="",G1096=""),"",G1096-F1096)</f>
        <v/>
      </c>
      <c r="I1096" s="82"/>
      <c r="J1096" s="82"/>
      <c r="K1096" s="28"/>
      <c r="L1096" s="90" t="str">
        <f aca="false">IF(OR(K1096="",N(H1096)=0),"",K1096/H1096)</f>
        <v/>
      </c>
      <c r="M1096" s="68"/>
      <c r="N1096" s="28"/>
      <c r="O1096" s="25"/>
      <c r="P1096" s="83" t="str">
        <f aca="false">IF(OR(N1096="",N(H1096)=0),"",N1096/H1096)</f>
        <v/>
      </c>
      <c r="Q1096" s="25"/>
    </row>
    <row r="1097" customFormat="false" ht="15" hidden="false" customHeight="false" outlineLevel="0" collapsed="false">
      <c r="A1097" s="69"/>
      <c r="B1097" s="68"/>
      <c r="C1097" s="76" t="str">
        <f aca="false">IF(B1097="","",IFERROR(INDEX(EN_Des,MATCH(B1097,EN_Code,0)),"Code inconnu"))</f>
        <v/>
      </c>
      <c r="D1097" s="25"/>
      <c r="E1097" s="25"/>
      <c r="F1097" s="82"/>
      <c r="G1097" s="82"/>
      <c r="H1097" s="83" t="str">
        <f aca="false">IF(OR(F1097="",G1097=""),"",G1097-F1097)</f>
        <v/>
      </c>
      <c r="I1097" s="82"/>
      <c r="J1097" s="82"/>
      <c r="K1097" s="28"/>
      <c r="L1097" s="90" t="str">
        <f aca="false">IF(OR(K1097="",N(H1097)=0),"",K1097/H1097)</f>
        <v/>
      </c>
      <c r="M1097" s="68"/>
      <c r="N1097" s="28"/>
      <c r="O1097" s="25"/>
      <c r="P1097" s="83" t="str">
        <f aca="false">IF(OR(N1097="",N(H1097)=0),"",N1097/H1097)</f>
        <v/>
      </c>
      <c r="Q1097" s="25"/>
    </row>
    <row r="1098" customFormat="false" ht="15" hidden="false" customHeight="false" outlineLevel="0" collapsed="false">
      <c r="A1098" s="69"/>
      <c r="B1098" s="68"/>
      <c r="C1098" s="76" t="str">
        <f aca="false">IF(B1098="","",IFERROR(INDEX(EN_Des,MATCH(B1098,EN_Code,0)),"Code inconnu"))</f>
        <v/>
      </c>
      <c r="D1098" s="25"/>
      <c r="E1098" s="25"/>
      <c r="F1098" s="82"/>
      <c r="G1098" s="82"/>
      <c r="H1098" s="83" t="str">
        <f aca="false">IF(OR(F1098="",G1098=""),"",G1098-F1098)</f>
        <v/>
      </c>
      <c r="I1098" s="82"/>
      <c r="J1098" s="82"/>
      <c r="K1098" s="28"/>
      <c r="L1098" s="90" t="str">
        <f aca="false">IF(OR(K1098="",N(H1098)=0),"",K1098/H1098)</f>
        <v/>
      </c>
      <c r="M1098" s="68"/>
      <c r="N1098" s="28"/>
      <c r="O1098" s="25"/>
      <c r="P1098" s="83" t="str">
        <f aca="false">IF(OR(N1098="",N(H1098)=0),"",N1098/H1098)</f>
        <v/>
      </c>
      <c r="Q1098" s="25"/>
    </row>
    <row r="1099" customFormat="false" ht="15" hidden="false" customHeight="false" outlineLevel="0" collapsed="false">
      <c r="A1099" s="69"/>
      <c r="B1099" s="68"/>
      <c r="C1099" s="76" t="str">
        <f aca="false">IF(B1099="","",IFERROR(INDEX(EN_Des,MATCH(B1099,EN_Code,0)),"Code inconnu"))</f>
        <v/>
      </c>
      <c r="D1099" s="25"/>
      <c r="E1099" s="25"/>
      <c r="F1099" s="82"/>
      <c r="G1099" s="82"/>
      <c r="H1099" s="83" t="str">
        <f aca="false">IF(OR(F1099="",G1099=""),"",G1099-F1099)</f>
        <v/>
      </c>
      <c r="I1099" s="82"/>
      <c r="J1099" s="82"/>
      <c r="K1099" s="28"/>
      <c r="L1099" s="90" t="str">
        <f aca="false">IF(OR(K1099="",N(H1099)=0),"",K1099/H1099)</f>
        <v/>
      </c>
      <c r="M1099" s="68"/>
      <c r="N1099" s="28"/>
      <c r="O1099" s="25"/>
      <c r="P1099" s="83" t="str">
        <f aca="false">IF(OR(N1099="",N(H1099)=0),"",N1099/H1099)</f>
        <v/>
      </c>
      <c r="Q1099" s="25"/>
    </row>
    <row r="1100" customFormat="false" ht="15" hidden="false" customHeight="false" outlineLevel="0" collapsed="false">
      <c r="A1100" s="69"/>
      <c r="B1100" s="68"/>
      <c r="C1100" s="76" t="str">
        <f aca="false">IF(B1100="","",IFERROR(INDEX(EN_Des,MATCH(B1100,EN_Code,0)),"Code inconnu"))</f>
        <v/>
      </c>
      <c r="D1100" s="25"/>
      <c r="E1100" s="25"/>
      <c r="F1100" s="82"/>
      <c r="G1100" s="82"/>
      <c r="H1100" s="83" t="str">
        <f aca="false">IF(OR(F1100="",G1100=""),"",G1100-F1100)</f>
        <v/>
      </c>
      <c r="I1100" s="82"/>
      <c r="J1100" s="82"/>
      <c r="K1100" s="28"/>
      <c r="L1100" s="90" t="str">
        <f aca="false">IF(OR(K1100="",N(H1100)=0),"",K1100/H1100)</f>
        <v/>
      </c>
      <c r="M1100" s="68"/>
      <c r="N1100" s="28"/>
      <c r="O1100" s="25"/>
      <c r="P1100" s="83" t="str">
        <f aca="false">IF(OR(N1100="",N(H1100)=0),"",N1100/H1100)</f>
        <v/>
      </c>
      <c r="Q1100" s="25"/>
    </row>
    <row r="1101" customFormat="false" ht="15" hidden="false" customHeight="false" outlineLevel="0" collapsed="false">
      <c r="A1101" s="69"/>
      <c r="B1101" s="68"/>
      <c r="C1101" s="76" t="str">
        <f aca="false">IF(B1101="","",IFERROR(INDEX(EN_Des,MATCH(B1101,EN_Code,0)),"Code inconnu"))</f>
        <v/>
      </c>
      <c r="D1101" s="25"/>
      <c r="E1101" s="25"/>
      <c r="F1101" s="82"/>
      <c r="G1101" s="82"/>
      <c r="H1101" s="83" t="str">
        <f aca="false">IF(OR(F1101="",G1101=""),"",G1101-F1101)</f>
        <v/>
      </c>
      <c r="I1101" s="82"/>
      <c r="J1101" s="82"/>
      <c r="K1101" s="28"/>
      <c r="L1101" s="90" t="str">
        <f aca="false">IF(OR(K1101="",N(H1101)=0),"",K1101/H1101)</f>
        <v/>
      </c>
      <c r="M1101" s="68"/>
      <c r="N1101" s="28"/>
      <c r="O1101" s="25"/>
      <c r="P1101" s="83" t="str">
        <f aca="false">IF(OR(N1101="",N(H1101)=0),"",N1101/H1101)</f>
        <v/>
      </c>
      <c r="Q1101" s="25"/>
    </row>
    <row r="1102" customFormat="false" ht="15" hidden="false" customHeight="false" outlineLevel="0" collapsed="false">
      <c r="A1102" s="69"/>
      <c r="B1102" s="68"/>
      <c r="C1102" s="76" t="str">
        <f aca="false">IF(B1102="","",IFERROR(INDEX(EN_Des,MATCH(B1102,EN_Code,0)),"Code inconnu"))</f>
        <v/>
      </c>
      <c r="D1102" s="25"/>
      <c r="E1102" s="25"/>
      <c r="F1102" s="82"/>
      <c r="G1102" s="82"/>
      <c r="H1102" s="83" t="str">
        <f aca="false">IF(OR(F1102="",G1102=""),"",G1102-F1102)</f>
        <v/>
      </c>
      <c r="I1102" s="82"/>
      <c r="J1102" s="82"/>
      <c r="K1102" s="28"/>
      <c r="L1102" s="90" t="str">
        <f aca="false">IF(OR(K1102="",N(H1102)=0),"",K1102/H1102)</f>
        <v/>
      </c>
      <c r="M1102" s="68"/>
      <c r="N1102" s="28"/>
      <c r="O1102" s="25"/>
      <c r="P1102" s="83" t="str">
        <f aca="false">IF(OR(N1102="",N(H1102)=0),"",N1102/H1102)</f>
        <v/>
      </c>
      <c r="Q1102" s="25"/>
    </row>
    <row r="1103" customFormat="false" ht="15" hidden="false" customHeight="false" outlineLevel="0" collapsed="false">
      <c r="A1103" s="69"/>
      <c r="B1103" s="68"/>
      <c r="C1103" s="76" t="str">
        <f aca="false">IF(B1103="","",IFERROR(INDEX(EN_Des,MATCH(B1103,EN_Code,0)),"Code inconnu"))</f>
        <v/>
      </c>
      <c r="D1103" s="25"/>
      <c r="E1103" s="25"/>
      <c r="F1103" s="82"/>
      <c r="G1103" s="82"/>
      <c r="H1103" s="83" t="str">
        <f aca="false">IF(OR(F1103="",G1103=""),"",G1103-F1103)</f>
        <v/>
      </c>
      <c r="I1103" s="82"/>
      <c r="J1103" s="82"/>
      <c r="K1103" s="28"/>
      <c r="L1103" s="90" t="str">
        <f aca="false">IF(OR(K1103="",N(H1103)=0),"",K1103/H1103)</f>
        <v/>
      </c>
      <c r="M1103" s="68"/>
      <c r="N1103" s="28"/>
      <c r="O1103" s="25"/>
      <c r="P1103" s="83" t="str">
        <f aca="false">IF(OR(N1103="",N(H1103)=0),"",N1103/H1103)</f>
        <v/>
      </c>
      <c r="Q1103" s="25"/>
    </row>
    <row r="1104" customFormat="false" ht="15" hidden="false" customHeight="false" outlineLevel="0" collapsed="false">
      <c r="A1104" s="69"/>
      <c r="B1104" s="68"/>
      <c r="C1104" s="76" t="str">
        <f aca="false">IF(B1104="","",IFERROR(INDEX(EN_Des,MATCH(B1104,EN_Code,0)),"Code inconnu"))</f>
        <v/>
      </c>
      <c r="D1104" s="25"/>
      <c r="E1104" s="25"/>
      <c r="F1104" s="82"/>
      <c r="G1104" s="82"/>
      <c r="H1104" s="83" t="str">
        <f aca="false">IF(OR(F1104="",G1104=""),"",G1104-F1104)</f>
        <v/>
      </c>
      <c r="I1104" s="82"/>
      <c r="J1104" s="82"/>
      <c r="K1104" s="28"/>
      <c r="L1104" s="90" t="str">
        <f aca="false">IF(OR(K1104="",N(H1104)=0),"",K1104/H1104)</f>
        <v/>
      </c>
      <c r="M1104" s="68"/>
      <c r="N1104" s="28"/>
      <c r="O1104" s="25"/>
      <c r="P1104" s="83" t="str">
        <f aca="false">IF(OR(N1104="",N(H1104)=0),"",N1104/H1104)</f>
        <v/>
      </c>
      <c r="Q1104" s="25"/>
    </row>
    <row r="1105" customFormat="false" ht="15" hidden="false" customHeight="false" outlineLevel="0" collapsed="false">
      <c r="A1105" s="69"/>
      <c r="B1105" s="68"/>
      <c r="C1105" s="76" t="str">
        <f aca="false">IF(B1105="","",IFERROR(INDEX(EN_Des,MATCH(B1105,EN_Code,0)),"Code inconnu"))</f>
        <v/>
      </c>
      <c r="D1105" s="25"/>
      <c r="E1105" s="25"/>
      <c r="F1105" s="82"/>
      <c r="G1105" s="82"/>
      <c r="H1105" s="83" t="str">
        <f aca="false">IF(OR(F1105="",G1105=""),"",G1105-F1105)</f>
        <v/>
      </c>
      <c r="I1105" s="82"/>
      <c r="J1105" s="82"/>
      <c r="K1105" s="28"/>
      <c r="L1105" s="90" t="str">
        <f aca="false">IF(OR(K1105="",N(H1105)=0),"",K1105/H1105)</f>
        <v/>
      </c>
      <c r="M1105" s="68"/>
      <c r="N1105" s="28"/>
      <c r="O1105" s="25"/>
      <c r="P1105" s="83" t="str">
        <f aca="false">IF(OR(N1105="",N(H1105)=0),"",N1105/H1105)</f>
        <v/>
      </c>
      <c r="Q1105" s="25"/>
    </row>
    <row r="1106" customFormat="false" ht="15" hidden="false" customHeight="false" outlineLevel="0" collapsed="false">
      <c r="A1106" s="69"/>
      <c r="B1106" s="68"/>
      <c r="C1106" s="76" t="str">
        <f aca="false">IF(B1106="","",IFERROR(INDEX(EN_Des,MATCH(B1106,EN_Code,0)),"Code inconnu"))</f>
        <v/>
      </c>
      <c r="D1106" s="25"/>
      <c r="E1106" s="25"/>
      <c r="F1106" s="82"/>
      <c r="G1106" s="82"/>
      <c r="H1106" s="83" t="str">
        <f aca="false">IF(OR(F1106="",G1106=""),"",G1106-F1106)</f>
        <v/>
      </c>
      <c r="I1106" s="82"/>
      <c r="J1106" s="82"/>
      <c r="K1106" s="28"/>
      <c r="L1106" s="90" t="str">
        <f aca="false">IF(OR(K1106="",N(H1106)=0),"",K1106/H1106)</f>
        <v/>
      </c>
      <c r="M1106" s="68"/>
      <c r="N1106" s="28"/>
      <c r="O1106" s="25"/>
      <c r="P1106" s="83" t="str">
        <f aca="false">IF(OR(N1106="",N(H1106)=0),"",N1106/H1106)</f>
        <v/>
      </c>
      <c r="Q1106" s="25"/>
    </row>
    <row r="1107" customFormat="false" ht="15" hidden="false" customHeight="false" outlineLevel="0" collapsed="false">
      <c r="A1107" s="69"/>
      <c r="B1107" s="68"/>
      <c r="C1107" s="76" t="str">
        <f aca="false">IF(B1107="","",IFERROR(INDEX(EN_Des,MATCH(B1107,EN_Code,0)),"Code inconnu"))</f>
        <v/>
      </c>
      <c r="D1107" s="25"/>
      <c r="E1107" s="25"/>
      <c r="F1107" s="82"/>
      <c r="G1107" s="82"/>
      <c r="H1107" s="83" t="str">
        <f aca="false">IF(OR(F1107="",G1107=""),"",G1107-F1107)</f>
        <v/>
      </c>
      <c r="I1107" s="82"/>
      <c r="J1107" s="82"/>
      <c r="K1107" s="28"/>
      <c r="L1107" s="90" t="str">
        <f aca="false">IF(OR(K1107="",N(H1107)=0),"",K1107/H1107)</f>
        <v/>
      </c>
      <c r="M1107" s="68"/>
      <c r="N1107" s="28"/>
      <c r="O1107" s="25"/>
      <c r="P1107" s="83" t="str">
        <f aca="false">IF(OR(N1107="",N(H1107)=0),"",N1107/H1107)</f>
        <v/>
      </c>
      <c r="Q1107" s="25"/>
    </row>
    <row r="1108" customFormat="false" ht="15" hidden="false" customHeight="false" outlineLevel="0" collapsed="false">
      <c r="A1108" s="69"/>
      <c r="B1108" s="68"/>
      <c r="C1108" s="76" t="str">
        <f aca="false">IF(B1108="","",IFERROR(INDEX(EN_Des,MATCH(B1108,EN_Code,0)),"Code inconnu"))</f>
        <v/>
      </c>
      <c r="D1108" s="25"/>
      <c r="E1108" s="25"/>
      <c r="F1108" s="82"/>
      <c r="G1108" s="82"/>
      <c r="H1108" s="83" t="str">
        <f aca="false">IF(OR(F1108="",G1108=""),"",G1108-F1108)</f>
        <v/>
      </c>
      <c r="I1108" s="82"/>
      <c r="J1108" s="82"/>
      <c r="K1108" s="28"/>
      <c r="L1108" s="90" t="str">
        <f aca="false">IF(OR(K1108="",N(H1108)=0),"",K1108/H1108)</f>
        <v/>
      </c>
      <c r="M1108" s="68"/>
      <c r="N1108" s="28"/>
      <c r="O1108" s="25"/>
      <c r="P1108" s="83" t="str">
        <f aca="false">IF(OR(N1108="",N(H1108)=0),"",N1108/H1108)</f>
        <v/>
      </c>
      <c r="Q1108" s="25"/>
    </row>
    <row r="1109" customFormat="false" ht="15" hidden="false" customHeight="false" outlineLevel="0" collapsed="false">
      <c r="A1109" s="69"/>
      <c r="B1109" s="68"/>
      <c r="C1109" s="76" t="str">
        <f aca="false">IF(B1109="","",IFERROR(INDEX(EN_Des,MATCH(B1109,EN_Code,0)),"Code inconnu"))</f>
        <v/>
      </c>
      <c r="D1109" s="25"/>
      <c r="E1109" s="25"/>
      <c r="F1109" s="82"/>
      <c r="G1109" s="82"/>
      <c r="H1109" s="83" t="str">
        <f aca="false">IF(OR(F1109="",G1109=""),"",G1109-F1109)</f>
        <v/>
      </c>
      <c r="I1109" s="82"/>
      <c r="J1109" s="82"/>
      <c r="K1109" s="28"/>
      <c r="L1109" s="90" t="str">
        <f aca="false">IF(OR(K1109="",N(H1109)=0),"",K1109/H1109)</f>
        <v/>
      </c>
      <c r="M1109" s="68"/>
      <c r="N1109" s="28"/>
      <c r="O1109" s="25"/>
      <c r="P1109" s="83" t="str">
        <f aca="false">IF(OR(N1109="",N(H1109)=0),"",N1109/H1109)</f>
        <v/>
      </c>
      <c r="Q1109" s="25"/>
    </row>
    <row r="1110" customFormat="false" ht="15" hidden="false" customHeight="false" outlineLevel="0" collapsed="false">
      <c r="A1110" s="69"/>
      <c r="B1110" s="68"/>
      <c r="C1110" s="76" t="str">
        <f aca="false">IF(B1110="","",IFERROR(INDEX(EN_Des,MATCH(B1110,EN_Code,0)),"Code inconnu"))</f>
        <v/>
      </c>
      <c r="D1110" s="25"/>
      <c r="E1110" s="25"/>
      <c r="F1110" s="82"/>
      <c r="G1110" s="82"/>
      <c r="H1110" s="83" t="str">
        <f aca="false">IF(OR(F1110="",G1110=""),"",G1110-F1110)</f>
        <v/>
      </c>
      <c r="I1110" s="82"/>
      <c r="J1110" s="82"/>
      <c r="K1110" s="28"/>
      <c r="L1110" s="90" t="str">
        <f aca="false">IF(OR(K1110="",N(H1110)=0),"",K1110/H1110)</f>
        <v/>
      </c>
      <c r="M1110" s="68"/>
      <c r="N1110" s="28"/>
      <c r="O1110" s="25"/>
      <c r="P1110" s="83" t="str">
        <f aca="false">IF(OR(N1110="",N(H1110)=0),"",N1110/H1110)</f>
        <v/>
      </c>
      <c r="Q1110" s="25"/>
    </row>
    <row r="1111" customFormat="false" ht="15" hidden="false" customHeight="false" outlineLevel="0" collapsed="false">
      <c r="A1111" s="69"/>
      <c r="B1111" s="68"/>
      <c r="C1111" s="76" t="str">
        <f aca="false">IF(B1111="","",IFERROR(INDEX(EN_Des,MATCH(B1111,EN_Code,0)),"Code inconnu"))</f>
        <v/>
      </c>
      <c r="D1111" s="25"/>
      <c r="E1111" s="25"/>
      <c r="F1111" s="82"/>
      <c r="G1111" s="82"/>
      <c r="H1111" s="83" t="str">
        <f aca="false">IF(OR(F1111="",G1111=""),"",G1111-F1111)</f>
        <v/>
      </c>
      <c r="I1111" s="82"/>
      <c r="J1111" s="82"/>
      <c r="K1111" s="28"/>
      <c r="L1111" s="90" t="str">
        <f aca="false">IF(OR(K1111="",N(H1111)=0),"",K1111/H1111)</f>
        <v/>
      </c>
      <c r="M1111" s="68"/>
      <c r="N1111" s="28"/>
      <c r="O1111" s="25"/>
      <c r="P1111" s="83" t="str">
        <f aca="false">IF(OR(N1111="",N(H1111)=0),"",N1111/H1111)</f>
        <v/>
      </c>
      <c r="Q1111" s="25"/>
    </row>
    <row r="1112" customFormat="false" ht="15" hidden="false" customHeight="false" outlineLevel="0" collapsed="false">
      <c r="A1112" s="69"/>
      <c r="B1112" s="68"/>
      <c r="C1112" s="76" t="str">
        <f aca="false">IF(B1112="","",IFERROR(INDEX(EN_Des,MATCH(B1112,EN_Code,0)),"Code inconnu"))</f>
        <v/>
      </c>
      <c r="D1112" s="25"/>
      <c r="E1112" s="25"/>
      <c r="F1112" s="82"/>
      <c r="G1112" s="82"/>
      <c r="H1112" s="83" t="str">
        <f aca="false">IF(OR(F1112="",G1112=""),"",G1112-F1112)</f>
        <v/>
      </c>
      <c r="I1112" s="82"/>
      <c r="J1112" s="82"/>
      <c r="K1112" s="28"/>
      <c r="L1112" s="90" t="str">
        <f aca="false">IF(OR(K1112="",N(H1112)=0),"",K1112/H1112)</f>
        <v/>
      </c>
      <c r="M1112" s="68"/>
      <c r="N1112" s="28"/>
      <c r="O1112" s="25"/>
      <c r="P1112" s="83" t="str">
        <f aca="false">IF(OR(N1112="",N(H1112)=0),"",N1112/H1112)</f>
        <v/>
      </c>
      <c r="Q1112" s="25"/>
    </row>
    <row r="1113" customFormat="false" ht="15" hidden="false" customHeight="false" outlineLevel="0" collapsed="false">
      <c r="A1113" s="69"/>
      <c r="B1113" s="68"/>
      <c r="C1113" s="76" t="str">
        <f aca="false">IF(B1113="","",IFERROR(INDEX(EN_Des,MATCH(B1113,EN_Code,0)),"Code inconnu"))</f>
        <v/>
      </c>
      <c r="D1113" s="25"/>
      <c r="E1113" s="25"/>
      <c r="F1113" s="82"/>
      <c r="G1113" s="82"/>
      <c r="H1113" s="83" t="str">
        <f aca="false">IF(OR(F1113="",G1113=""),"",G1113-F1113)</f>
        <v/>
      </c>
      <c r="I1113" s="82"/>
      <c r="J1113" s="82"/>
      <c r="K1113" s="28"/>
      <c r="L1113" s="90" t="str">
        <f aca="false">IF(OR(K1113="",N(H1113)=0),"",K1113/H1113)</f>
        <v/>
      </c>
      <c r="M1113" s="68"/>
      <c r="N1113" s="28"/>
      <c r="O1113" s="25"/>
      <c r="P1113" s="83" t="str">
        <f aca="false">IF(OR(N1113="",N(H1113)=0),"",N1113/H1113)</f>
        <v/>
      </c>
      <c r="Q1113" s="25"/>
    </row>
    <row r="1114" customFormat="false" ht="15" hidden="false" customHeight="false" outlineLevel="0" collapsed="false">
      <c r="A1114" s="69"/>
      <c r="B1114" s="68"/>
      <c r="C1114" s="76" t="str">
        <f aca="false">IF(B1114="","",IFERROR(INDEX(EN_Des,MATCH(B1114,EN_Code,0)),"Code inconnu"))</f>
        <v/>
      </c>
      <c r="D1114" s="25"/>
      <c r="E1114" s="25"/>
      <c r="F1114" s="82"/>
      <c r="G1114" s="82"/>
      <c r="H1114" s="83" t="str">
        <f aca="false">IF(OR(F1114="",G1114=""),"",G1114-F1114)</f>
        <v/>
      </c>
      <c r="I1114" s="82"/>
      <c r="J1114" s="82"/>
      <c r="K1114" s="28"/>
      <c r="L1114" s="90" t="str">
        <f aca="false">IF(OR(K1114="",N(H1114)=0),"",K1114/H1114)</f>
        <v/>
      </c>
      <c r="M1114" s="68"/>
      <c r="N1114" s="28"/>
      <c r="O1114" s="25"/>
      <c r="P1114" s="83" t="str">
        <f aca="false">IF(OR(N1114="",N(H1114)=0),"",N1114/H1114)</f>
        <v/>
      </c>
      <c r="Q1114" s="25"/>
    </row>
    <row r="1115" customFormat="false" ht="15" hidden="false" customHeight="false" outlineLevel="0" collapsed="false">
      <c r="A1115" s="69"/>
      <c r="B1115" s="68"/>
      <c r="C1115" s="76" t="str">
        <f aca="false">IF(B1115="","",IFERROR(INDEX(EN_Des,MATCH(B1115,EN_Code,0)),"Code inconnu"))</f>
        <v/>
      </c>
      <c r="D1115" s="25"/>
      <c r="E1115" s="25"/>
      <c r="F1115" s="82"/>
      <c r="G1115" s="82"/>
      <c r="H1115" s="83" t="str">
        <f aca="false">IF(OR(F1115="",G1115=""),"",G1115-F1115)</f>
        <v/>
      </c>
      <c r="I1115" s="82"/>
      <c r="J1115" s="82"/>
      <c r="K1115" s="28"/>
      <c r="L1115" s="90" t="str">
        <f aca="false">IF(OR(K1115="",N(H1115)=0),"",K1115/H1115)</f>
        <v/>
      </c>
      <c r="M1115" s="68"/>
      <c r="N1115" s="28"/>
      <c r="O1115" s="25"/>
      <c r="P1115" s="83" t="str">
        <f aca="false">IF(OR(N1115="",N(H1115)=0),"",N1115/H1115)</f>
        <v/>
      </c>
      <c r="Q1115" s="25"/>
    </row>
    <row r="1116" customFormat="false" ht="15" hidden="false" customHeight="false" outlineLevel="0" collapsed="false">
      <c r="A1116" s="69"/>
      <c r="B1116" s="68"/>
      <c r="C1116" s="76" t="str">
        <f aca="false">IF(B1116="","",IFERROR(INDEX(EN_Des,MATCH(B1116,EN_Code,0)),"Code inconnu"))</f>
        <v/>
      </c>
      <c r="D1116" s="25"/>
      <c r="E1116" s="25"/>
      <c r="F1116" s="82"/>
      <c r="G1116" s="82"/>
      <c r="H1116" s="83" t="str">
        <f aca="false">IF(OR(F1116="",G1116=""),"",G1116-F1116)</f>
        <v/>
      </c>
      <c r="I1116" s="82"/>
      <c r="J1116" s="82"/>
      <c r="K1116" s="28"/>
      <c r="L1116" s="90" t="str">
        <f aca="false">IF(OR(K1116="",N(H1116)=0),"",K1116/H1116)</f>
        <v/>
      </c>
      <c r="M1116" s="68"/>
      <c r="N1116" s="28"/>
      <c r="O1116" s="25"/>
      <c r="P1116" s="83" t="str">
        <f aca="false">IF(OR(N1116="",N(H1116)=0),"",N1116/H1116)</f>
        <v/>
      </c>
      <c r="Q1116" s="25"/>
    </row>
    <row r="1117" customFormat="false" ht="15" hidden="false" customHeight="false" outlineLevel="0" collapsed="false">
      <c r="A1117" s="69"/>
      <c r="B1117" s="68"/>
      <c r="C1117" s="76" t="str">
        <f aca="false">IF(B1117="","",IFERROR(INDEX(EN_Des,MATCH(B1117,EN_Code,0)),"Code inconnu"))</f>
        <v/>
      </c>
      <c r="D1117" s="25"/>
      <c r="E1117" s="25"/>
      <c r="F1117" s="82"/>
      <c r="G1117" s="82"/>
      <c r="H1117" s="83" t="str">
        <f aca="false">IF(OR(F1117="",G1117=""),"",G1117-F1117)</f>
        <v/>
      </c>
      <c r="I1117" s="82"/>
      <c r="J1117" s="82"/>
      <c r="K1117" s="28"/>
      <c r="L1117" s="90" t="str">
        <f aca="false">IF(OR(K1117="",N(H1117)=0),"",K1117/H1117)</f>
        <v/>
      </c>
      <c r="M1117" s="68"/>
      <c r="N1117" s="28"/>
      <c r="O1117" s="25"/>
      <c r="P1117" s="83" t="str">
        <f aca="false">IF(OR(N1117="",N(H1117)=0),"",N1117/H1117)</f>
        <v/>
      </c>
      <c r="Q1117" s="25"/>
    </row>
    <row r="1118" customFormat="false" ht="15" hidden="false" customHeight="false" outlineLevel="0" collapsed="false">
      <c r="A1118" s="69"/>
      <c r="B1118" s="68"/>
      <c r="C1118" s="76" t="str">
        <f aca="false">IF(B1118="","",IFERROR(INDEX(EN_Des,MATCH(B1118,EN_Code,0)),"Code inconnu"))</f>
        <v/>
      </c>
      <c r="D1118" s="25"/>
      <c r="E1118" s="25"/>
      <c r="F1118" s="82"/>
      <c r="G1118" s="82"/>
      <c r="H1118" s="83" t="str">
        <f aca="false">IF(OR(F1118="",G1118=""),"",G1118-F1118)</f>
        <v/>
      </c>
      <c r="I1118" s="82"/>
      <c r="J1118" s="82"/>
      <c r="K1118" s="28"/>
      <c r="L1118" s="90" t="str">
        <f aca="false">IF(OR(K1118="",N(H1118)=0),"",K1118/H1118)</f>
        <v/>
      </c>
      <c r="M1118" s="68"/>
      <c r="N1118" s="28"/>
      <c r="O1118" s="25"/>
      <c r="P1118" s="83" t="str">
        <f aca="false">IF(OR(N1118="",N(H1118)=0),"",N1118/H1118)</f>
        <v/>
      </c>
      <c r="Q1118" s="25"/>
    </row>
    <row r="1119" customFormat="false" ht="15" hidden="false" customHeight="false" outlineLevel="0" collapsed="false">
      <c r="A1119" s="69"/>
      <c r="B1119" s="68"/>
      <c r="C1119" s="76" t="str">
        <f aca="false">IF(B1119="","",IFERROR(INDEX(EN_Des,MATCH(B1119,EN_Code,0)),"Code inconnu"))</f>
        <v/>
      </c>
      <c r="D1119" s="25"/>
      <c r="E1119" s="25"/>
      <c r="F1119" s="82"/>
      <c r="G1119" s="82"/>
      <c r="H1119" s="83" t="str">
        <f aca="false">IF(OR(F1119="",G1119=""),"",G1119-F1119)</f>
        <v/>
      </c>
      <c r="I1119" s="82"/>
      <c r="J1119" s="82"/>
      <c r="K1119" s="28"/>
      <c r="L1119" s="90" t="str">
        <f aca="false">IF(OR(K1119="",N(H1119)=0),"",K1119/H1119)</f>
        <v/>
      </c>
      <c r="M1119" s="68"/>
      <c r="N1119" s="28"/>
      <c r="O1119" s="25"/>
      <c r="P1119" s="83" t="str">
        <f aca="false">IF(OR(N1119="",N(H1119)=0),"",N1119/H1119)</f>
        <v/>
      </c>
      <c r="Q1119" s="25"/>
    </row>
    <row r="1120" customFormat="false" ht="15" hidden="false" customHeight="false" outlineLevel="0" collapsed="false">
      <c r="A1120" s="69"/>
      <c r="B1120" s="68"/>
      <c r="C1120" s="76" t="str">
        <f aca="false">IF(B1120="","",IFERROR(INDEX(EN_Des,MATCH(B1120,EN_Code,0)),"Code inconnu"))</f>
        <v/>
      </c>
      <c r="D1120" s="25"/>
      <c r="E1120" s="25"/>
      <c r="F1120" s="82"/>
      <c r="G1120" s="82"/>
      <c r="H1120" s="83" t="str">
        <f aca="false">IF(OR(F1120="",G1120=""),"",G1120-F1120)</f>
        <v/>
      </c>
      <c r="I1120" s="82"/>
      <c r="J1120" s="82"/>
      <c r="K1120" s="28"/>
      <c r="L1120" s="90" t="str">
        <f aca="false">IF(OR(K1120="",N(H1120)=0),"",K1120/H1120)</f>
        <v/>
      </c>
      <c r="M1120" s="68"/>
      <c r="N1120" s="28"/>
      <c r="O1120" s="25"/>
      <c r="P1120" s="83" t="str">
        <f aca="false">IF(OR(N1120="",N(H1120)=0),"",N1120/H1120)</f>
        <v/>
      </c>
      <c r="Q1120" s="25"/>
    </row>
    <row r="1121" customFormat="false" ht="15" hidden="false" customHeight="false" outlineLevel="0" collapsed="false">
      <c r="A1121" s="69"/>
      <c r="B1121" s="68"/>
      <c r="C1121" s="76" t="str">
        <f aca="false">IF(B1121="","",IFERROR(INDEX(EN_Des,MATCH(B1121,EN_Code,0)),"Code inconnu"))</f>
        <v/>
      </c>
      <c r="D1121" s="25"/>
      <c r="E1121" s="25"/>
      <c r="F1121" s="82"/>
      <c r="G1121" s="82"/>
      <c r="H1121" s="83" t="str">
        <f aca="false">IF(OR(F1121="",G1121=""),"",G1121-F1121)</f>
        <v/>
      </c>
      <c r="I1121" s="82"/>
      <c r="J1121" s="82"/>
      <c r="K1121" s="28"/>
      <c r="L1121" s="90" t="str">
        <f aca="false">IF(OR(K1121="",N(H1121)=0),"",K1121/H1121)</f>
        <v/>
      </c>
      <c r="M1121" s="68"/>
      <c r="N1121" s="28"/>
      <c r="O1121" s="25"/>
      <c r="P1121" s="83" t="str">
        <f aca="false">IF(OR(N1121="",N(H1121)=0),"",N1121/H1121)</f>
        <v/>
      </c>
      <c r="Q1121" s="25"/>
    </row>
    <row r="1122" customFormat="false" ht="15" hidden="false" customHeight="false" outlineLevel="0" collapsed="false">
      <c r="A1122" s="69"/>
      <c r="B1122" s="68"/>
      <c r="C1122" s="76" t="str">
        <f aca="false">IF(B1122="","",IFERROR(INDEX(EN_Des,MATCH(B1122,EN_Code,0)),"Code inconnu"))</f>
        <v/>
      </c>
      <c r="D1122" s="25"/>
      <c r="E1122" s="25"/>
      <c r="F1122" s="82"/>
      <c r="G1122" s="82"/>
      <c r="H1122" s="83" t="str">
        <f aca="false">IF(OR(F1122="",G1122=""),"",G1122-F1122)</f>
        <v/>
      </c>
      <c r="I1122" s="82"/>
      <c r="J1122" s="82"/>
      <c r="K1122" s="28"/>
      <c r="L1122" s="90" t="str">
        <f aca="false">IF(OR(K1122="",N(H1122)=0),"",K1122/H1122)</f>
        <v/>
      </c>
      <c r="M1122" s="68"/>
      <c r="N1122" s="28"/>
      <c r="O1122" s="25"/>
      <c r="P1122" s="83" t="str">
        <f aca="false">IF(OR(N1122="",N(H1122)=0),"",N1122/H1122)</f>
        <v/>
      </c>
      <c r="Q1122" s="25"/>
    </row>
    <row r="1123" customFormat="false" ht="15" hidden="false" customHeight="false" outlineLevel="0" collapsed="false">
      <c r="A1123" s="69"/>
      <c r="B1123" s="68"/>
      <c r="C1123" s="76" t="str">
        <f aca="false">IF(B1123="","",IFERROR(INDEX(EN_Des,MATCH(B1123,EN_Code,0)),"Code inconnu"))</f>
        <v/>
      </c>
      <c r="D1123" s="25"/>
      <c r="E1123" s="25"/>
      <c r="F1123" s="82"/>
      <c r="G1123" s="82"/>
      <c r="H1123" s="83" t="str">
        <f aca="false">IF(OR(F1123="",G1123=""),"",G1123-F1123)</f>
        <v/>
      </c>
      <c r="I1123" s="82"/>
      <c r="J1123" s="82"/>
      <c r="K1123" s="28"/>
      <c r="L1123" s="90" t="str">
        <f aca="false">IF(OR(K1123="",N(H1123)=0),"",K1123/H1123)</f>
        <v/>
      </c>
      <c r="M1123" s="68"/>
      <c r="N1123" s="28"/>
      <c r="O1123" s="25"/>
      <c r="P1123" s="83" t="str">
        <f aca="false">IF(OR(N1123="",N(H1123)=0),"",N1123/H1123)</f>
        <v/>
      </c>
      <c r="Q1123" s="25"/>
    </row>
    <row r="1124" customFormat="false" ht="15" hidden="false" customHeight="false" outlineLevel="0" collapsed="false">
      <c r="A1124" s="69"/>
      <c r="B1124" s="68"/>
      <c r="C1124" s="76" t="str">
        <f aca="false">IF(B1124="","",IFERROR(INDEX(EN_Des,MATCH(B1124,EN_Code,0)),"Code inconnu"))</f>
        <v/>
      </c>
      <c r="D1124" s="25"/>
      <c r="E1124" s="25"/>
      <c r="F1124" s="82"/>
      <c r="G1124" s="82"/>
      <c r="H1124" s="83" t="str">
        <f aca="false">IF(OR(F1124="",G1124=""),"",G1124-F1124)</f>
        <v/>
      </c>
      <c r="I1124" s="82"/>
      <c r="J1124" s="82"/>
      <c r="K1124" s="28"/>
      <c r="L1124" s="90" t="str">
        <f aca="false">IF(OR(K1124="",N(H1124)=0),"",K1124/H1124)</f>
        <v/>
      </c>
      <c r="M1124" s="68"/>
      <c r="N1124" s="28"/>
      <c r="O1124" s="25"/>
      <c r="P1124" s="83" t="str">
        <f aca="false">IF(OR(N1124="",N(H1124)=0),"",N1124/H1124)</f>
        <v/>
      </c>
      <c r="Q1124" s="25"/>
    </row>
    <row r="1125" customFormat="false" ht="15" hidden="false" customHeight="false" outlineLevel="0" collapsed="false">
      <c r="A1125" s="69"/>
      <c r="B1125" s="68"/>
      <c r="C1125" s="76" t="str">
        <f aca="false">IF(B1125="","",IFERROR(INDEX(EN_Des,MATCH(B1125,EN_Code,0)),"Code inconnu"))</f>
        <v/>
      </c>
      <c r="D1125" s="25"/>
      <c r="E1125" s="25"/>
      <c r="F1125" s="82"/>
      <c r="G1125" s="82"/>
      <c r="H1125" s="83" t="str">
        <f aca="false">IF(OR(F1125="",G1125=""),"",G1125-F1125)</f>
        <v/>
      </c>
      <c r="I1125" s="82"/>
      <c r="J1125" s="82"/>
      <c r="K1125" s="28"/>
      <c r="L1125" s="90" t="str">
        <f aca="false">IF(OR(K1125="",N(H1125)=0),"",K1125/H1125)</f>
        <v/>
      </c>
      <c r="M1125" s="68"/>
      <c r="N1125" s="28"/>
      <c r="O1125" s="25"/>
      <c r="P1125" s="83" t="str">
        <f aca="false">IF(OR(N1125="",N(H1125)=0),"",N1125/H1125)</f>
        <v/>
      </c>
      <c r="Q1125" s="25"/>
    </row>
    <row r="1126" customFormat="false" ht="15" hidden="false" customHeight="false" outlineLevel="0" collapsed="false">
      <c r="A1126" s="69"/>
      <c r="B1126" s="68"/>
      <c r="C1126" s="76" t="str">
        <f aca="false">IF(B1126="","",IFERROR(INDEX(EN_Des,MATCH(B1126,EN_Code,0)),"Code inconnu"))</f>
        <v/>
      </c>
      <c r="D1126" s="25"/>
      <c r="E1126" s="25"/>
      <c r="F1126" s="82"/>
      <c r="G1126" s="82"/>
      <c r="H1126" s="83" t="str">
        <f aca="false">IF(OR(F1126="",G1126=""),"",G1126-F1126)</f>
        <v/>
      </c>
      <c r="I1126" s="82"/>
      <c r="J1126" s="82"/>
      <c r="K1126" s="28"/>
      <c r="L1126" s="90" t="str">
        <f aca="false">IF(OR(K1126="",N(H1126)=0),"",K1126/H1126)</f>
        <v/>
      </c>
      <c r="M1126" s="68"/>
      <c r="N1126" s="28"/>
      <c r="O1126" s="25"/>
      <c r="P1126" s="83" t="str">
        <f aca="false">IF(OR(N1126="",N(H1126)=0),"",N1126/H1126)</f>
        <v/>
      </c>
      <c r="Q1126" s="25"/>
    </row>
    <row r="1127" customFormat="false" ht="15" hidden="false" customHeight="false" outlineLevel="0" collapsed="false">
      <c r="A1127" s="69"/>
      <c r="B1127" s="68"/>
      <c r="C1127" s="76" t="str">
        <f aca="false">IF(B1127="","",IFERROR(INDEX(EN_Des,MATCH(B1127,EN_Code,0)),"Code inconnu"))</f>
        <v/>
      </c>
      <c r="D1127" s="25"/>
      <c r="E1127" s="25"/>
      <c r="F1127" s="82"/>
      <c r="G1127" s="82"/>
      <c r="H1127" s="83" t="str">
        <f aca="false">IF(OR(F1127="",G1127=""),"",G1127-F1127)</f>
        <v/>
      </c>
      <c r="I1127" s="82"/>
      <c r="J1127" s="82"/>
      <c r="K1127" s="28"/>
      <c r="L1127" s="90" t="str">
        <f aca="false">IF(OR(K1127="",N(H1127)=0),"",K1127/H1127)</f>
        <v/>
      </c>
      <c r="M1127" s="68"/>
      <c r="N1127" s="28"/>
      <c r="O1127" s="25"/>
      <c r="P1127" s="83" t="str">
        <f aca="false">IF(OR(N1127="",N(H1127)=0),"",N1127/H1127)</f>
        <v/>
      </c>
      <c r="Q1127" s="25"/>
    </row>
    <row r="1128" customFormat="false" ht="15" hidden="false" customHeight="false" outlineLevel="0" collapsed="false">
      <c r="A1128" s="69"/>
      <c r="B1128" s="68"/>
      <c r="C1128" s="76" t="str">
        <f aca="false">IF(B1128="","",IFERROR(INDEX(EN_Des,MATCH(B1128,EN_Code,0)),"Code inconnu"))</f>
        <v/>
      </c>
      <c r="D1128" s="25"/>
      <c r="E1128" s="25"/>
      <c r="F1128" s="82"/>
      <c r="G1128" s="82"/>
      <c r="H1128" s="83" t="str">
        <f aca="false">IF(OR(F1128="",G1128=""),"",G1128-F1128)</f>
        <v/>
      </c>
      <c r="I1128" s="82"/>
      <c r="J1128" s="82"/>
      <c r="K1128" s="28"/>
      <c r="L1128" s="90" t="str">
        <f aca="false">IF(OR(K1128="",N(H1128)=0),"",K1128/H1128)</f>
        <v/>
      </c>
      <c r="M1128" s="68"/>
      <c r="N1128" s="28"/>
      <c r="O1128" s="25"/>
      <c r="P1128" s="83" t="str">
        <f aca="false">IF(OR(N1128="",N(H1128)=0),"",N1128/H1128)</f>
        <v/>
      </c>
      <c r="Q1128" s="25"/>
    </row>
    <row r="1129" customFormat="false" ht="15" hidden="false" customHeight="false" outlineLevel="0" collapsed="false">
      <c r="A1129" s="69"/>
      <c r="B1129" s="68"/>
      <c r="C1129" s="76" t="str">
        <f aca="false">IF(B1129="","",IFERROR(INDEX(EN_Des,MATCH(B1129,EN_Code,0)),"Code inconnu"))</f>
        <v/>
      </c>
      <c r="D1129" s="25"/>
      <c r="E1129" s="25"/>
      <c r="F1129" s="82"/>
      <c r="G1129" s="82"/>
      <c r="H1129" s="83" t="str">
        <f aca="false">IF(OR(F1129="",G1129=""),"",G1129-F1129)</f>
        <v/>
      </c>
      <c r="I1129" s="82"/>
      <c r="J1129" s="82"/>
      <c r="K1129" s="28"/>
      <c r="L1129" s="90" t="str">
        <f aca="false">IF(OR(K1129="",N(H1129)=0),"",K1129/H1129)</f>
        <v/>
      </c>
      <c r="M1129" s="68"/>
      <c r="N1129" s="28"/>
      <c r="O1129" s="25"/>
      <c r="P1129" s="83" t="str">
        <f aca="false">IF(OR(N1129="",N(H1129)=0),"",N1129/H1129)</f>
        <v/>
      </c>
      <c r="Q1129" s="25"/>
    </row>
    <row r="1130" customFormat="false" ht="15" hidden="false" customHeight="false" outlineLevel="0" collapsed="false">
      <c r="A1130" s="69"/>
      <c r="B1130" s="68"/>
      <c r="C1130" s="76" t="str">
        <f aca="false">IF(B1130="","",IFERROR(INDEX(EN_Des,MATCH(B1130,EN_Code,0)),"Code inconnu"))</f>
        <v/>
      </c>
      <c r="D1130" s="25"/>
      <c r="E1130" s="25"/>
      <c r="F1130" s="82"/>
      <c r="G1130" s="82"/>
      <c r="H1130" s="83" t="str">
        <f aca="false">IF(OR(F1130="",G1130=""),"",G1130-F1130)</f>
        <v/>
      </c>
      <c r="I1130" s="82"/>
      <c r="J1130" s="82"/>
      <c r="K1130" s="28"/>
      <c r="L1130" s="90" t="str">
        <f aca="false">IF(OR(K1130="",N(H1130)=0),"",K1130/H1130)</f>
        <v/>
      </c>
      <c r="M1130" s="68"/>
      <c r="N1130" s="28"/>
      <c r="O1130" s="25"/>
      <c r="P1130" s="83" t="str">
        <f aca="false">IF(OR(N1130="",N(H1130)=0),"",N1130/H1130)</f>
        <v/>
      </c>
      <c r="Q1130" s="25"/>
    </row>
    <row r="1131" customFormat="false" ht="15" hidden="false" customHeight="false" outlineLevel="0" collapsed="false">
      <c r="A1131" s="69"/>
      <c r="B1131" s="68"/>
      <c r="C1131" s="76" t="str">
        <f aca="false">IF(B1131="","",IFERROR(INDEX(EN_Des,MATCH(B1131,EN_Code,0)),"Code inconnu"))</f>
        <v/>
      </c>
      <c r="D1131" s="25"/>
      <c r="E1131" s="25"/>
      <c r="F1131" s="82"/>
      <c r="G1131" s="82"/>
      <c r="H1131" s="83" t="str">
        <f aca="false">IF(OR(F1131="",G1131=""),"",G1131-F1131)</f>
        <v/>
      </c>
      <c r="I1131" s="82"/>
      <c r="J1131" s="82"/>
      <c r="K1131" s="28"/>
      <c r="L1131" s="90" t="str">
        <f aca="false">IF(OR(K1131="",N(H1131)=0),"",K1131/H1131)</f>
        <v/>
      </c>
      <c r="M1131" s="68"/>
      <c r="N1131" s="28"/>
      <c r="O1131" s="25"/>
      <c r="P1131" s="83" t="str">
        <f aca="false">IF(OR(N1131="",N(H1131)=0),"",N1131/H1131)</f>
        <v/>
      </c>
      <c r="Q1131" s="25"/>
    </row>
    <row r="1132" customFormat="false" ht="15" hidden="false" customHeight="false" outlineLevel="0" collapsed="false">
      <c r="A1132" s="69"/>
      <c r="B1132" s="68"/>
      <c r="C1132" s="76" t="str">
        <f aca="false">IF(B1132="","",IFERROR(INDEX(EN_Des,MATCH(B1132,EN_Code,0)),"Code inconnu"))</f>
        <v/>
      </c>
      <c r="D1132" s="25"/>
      <c r="E1132" s="25"/>
      <c r="F1132" s="82"/>
      <c r="G1132" s="82"/>
      <c r="H1132" s="83" t="str">
        <f aca="false">IF(OR(F1132="",G1132=""),"",G1132-F1132)</f>
        <v/>
      </c>
      <c r="I1132" s="82"/>
      <c r="J1132" s="82"/>
      <c r="K1132" s="28"/>
      <c r="L1132" s="90" t="str">
        <f aca="false">IF(OR(K1132="",N(H1132)=0),"",K1132/H1132)</f>
        <v/>
      </c>
      <c r="M1132" s="68"/>
      <c r="N1132" s="28"/>
      <c r="O1132" s="25"/>
      <c r="P1132" s="83" t="str">
        <f aca="false">IF(OR(N1132="",N(H1132)=0),"",N1132/H1132)</f>
        <v/>
      </c>
      <c r="Q1132" s="25"/>
    </row>
    <row r="1133" customFormat="false" ht="15" hidden="false" customHeight="false" outlineLevel="0" collapsed="false">
      <c r="A1133" s="69"/>
      <c r="B1133" s="68"/>
      <c r="C1133" s="76" t="str">
        <f aca="false">IF(B1133="","",IFERROR(INDEX(EN_Des,MATCH(B1133,EN_Code,0)),"Code inconnu"))</f>
        <v/>
      </c>
      <c r="D1133" s="25"/>
      <c r="E1133" s="25"/>
      <c r="F1133" s="82"/>
      <c r="G1133" s="82"/>
      <c r="H1133" s="83" t="str">
        <f aca="false">IF(OR(F1133="",G1133=""),"",G1133-F1133)</f>
        <v/>
      </c>
      <c r="I1133" s="82"/>
      <c r="J1133" s="82"/>
      <c r="K1133" s="28"/>
      <c r="L1133" s="90" t="str">
        <f aca="false">IF(OR(K1133="",N(H1133)=0),"",K1133/H1133)</f>
        <v/>
      </c>
      <c r="M1133" s="68"/>
      <c r="N1133" s="28"/>
      <c r="O1133" s="25"/>
      <c r="P1133" s="83" t="str">
        <f aca="false">IF(OR(N1133="",N(H1133)=0),"",N1133/H1133)</f>
        <v/>
      </c>
      <c r="Q1133" s="25"/>
    </row>
    <row r="1134" customFormat="false" ht="15" hidden="false" customHeight="false" outlineLevel="0" collapsed="false">
      <c r="A1134" s="69"/>
      <c r="B1134" s="68"/>
      <c r="C1134" s="76" t="str">
        <f aca="false">IF(B1134="","",IFERROR(INDEX(EN_Des,MATCH(B1134,EN_Code,0)),"Code inconnu"))</f>
        <v/>
      </c>
      <c r="D1134" s="25"/>
      <c r="E1134" s="25"/>
      <c r="F1134" s="82"/>
      <c r="G1134" s="82"/>
      <c r="H1134" s="83" t="str">
        <f aca="false">IF(OR(F1134="",G1134=""),"",G1134-F1134)</f>
        <v/>
      </c>
      <c r="I1134" s="82"/>
      <c r="J1134" s="82"/>
      <c r="K1134" s="28"/>
      <c r="L1134" s="90" t="str">
        <f aca="false">IF(OR(K1134="",N(H1134)=0),"",K1134/H1134)</f>
        <v/>
      </c>
      <c r="M1134" s="68"/>
      <c r="N1134" s="28"/>
      <c r="O1134" s="25"/>
      <c r="P1134" s="83" t="str">
        <f aca="false">IF(OR(N1134="",N(H1134)=0),"",N1134/H1134)</f>
        <v/>
      </c>
      <c r="Q1134" s="25"/>
    </row>
    <row r="1135" customFormat="false" ht="15" hidden="false" customHeight="false" outlineLevel="0" collapsed="false">
      <c r="A1135" s="69"/>
      <c r="B1135" s="68"/>
      <c r="C1135" s="76" t="str">
        <f aca="false">IF(B1135="","",IFERROR(INDEX(EN_Des,MATCH(B1135,EN_Code,0)),"Code inconnu"))</f>
        <v/>
      </c>
      <c r="D1135" s="25"/>
      <c r="E1135" s="25"/>
      <c r="F1135" s="82"/>
      <c r="G1135" s="82"/>
      <c r="H1135" s="83" t="str">
        <f aca="false">IF(OR(F1135="",G1135=""),"",G1135-F1135)</f>
        <v/>
      </c>
      <c r="I1135" s="82"/>
      <c r="J1135" s="82"/>
      <c r="K1135" s="28"/>
      <c r="L1135" s="90" t="str">
        <f aca="false">IF(OR(K1135="",N(H1135)=0),"",K1135/H1135)</f>
        <v/>
      </c>
      <c r="M1135" s="68"/>
      <c r="N1135" s="28"/>
      <c r="O1135" s="25"/>
      <c r="P1135" s="83" t="str">
        <f aca="false">IF(OR(N1135="",N(H1135)=0),"",N1135/H1135)</f>
        <v/>
      </c>
      <c r="Q1135" s="25"/>
    </row>
    <row r="1136" customFormat="false" ht="15" hidden="false" customHeight="false" outlineLevel="0" collapsed="false">
      <c r="A1136" s="69"/>
      <c r="B1136" s="68"/>
      <c r="C1136" s="76" t="str">
        <f aca="false">IF(B1136="","",IFERROR(INDEX(EN_Des,MATCH(B1136,EN_Code,0)),"Code inconnu"))</f>
        <v/>
      </c>
      <c r="D1136" s="25"/>
      <c r="E1136" s="25"/>
      <c r="F1136" s="82"/>
      <c r="G1136" s="82"/>
      <c r="H1136" s="83" t="str">
        <f aca="false">IF(OR(F1136="",G1136=""),"",G1136-F1136)</f>
        <v/>
      </c>
      <c r="I1136" s="82"/>
      <c r="J1136" s="82"/>
      <c r="K1136" s="28"/>
      <c r="L1136" s="90" t="str">
        <f aca="false">IF(OR(K1136="",N(H1136)=0),"",K1136/H1136)</f>
        <v/>
      </c>
      <c r="M1136" s="68"/>
      <c r="N1136" s="28"/>
      <c r="O1136" s="25"/>
      <c r="P1136" s="83" t="str">
        <f aca="false">IF(OR(N1136="",N(H1136)=0),"",N1136/H1136)</f>
        <v/>
      </c>
      <c r="Q1136" s="25"/>
    </row>
    <row r="1137" customFormat="false" ht="15" hidden="false" customHeight="false" outlineLevel="0" collapsed="false">
      <c r="A1137" s="69"/>
      <c r="B1137" s="68"/>
      <c r="C1137" s="76" t="str">
        <f aca="false">IF(B1137="","",IFERROR(INDEX(EN_Des,MATCH(B1137,EN_Code,0)),"Code inconnu"))</f>
        <v/>
      </c>
      <c r="D1137" s="25"/>
      <c r="E1137" s="25"/>
      <c r="F1137" s="82"/>
      <c r="G1137" s="82"/>
      <c r="H1137" s="83" t="str">
        <f aca="false">IF(OR(F1137="",G1137=""),"",G1137-F1137)</f>
        <v/>
      </c>
      <c r="I1137" s="82"/>
      <c r="J1137" s="82"/>
      <c r="K1137" s="28"/>
      <c r="L1137" s="90" t="str">
        <f aca="false">IF(OR(K1137="",N(H1137)=0),"",K1137/H1137)</f>
        <v/>
      </c>
      <c r="M1137" s="68"/>
      <c r="N1137" s="28"/>
      <c r="O1137" s="25"/>
      <c r="P1137" s="83" t="str">
        <f aca="false">IF(OR(N1137="",N(H1137)=0),"",N1137/H1137)</f>
        <v/>
      </c>
      <c r="Q1137" s="25"/>
    </row>
    <row r="1138" customFormat="false" ht="15" hidden="false" customHeight="false" outlineLevel="0" collapsed="false">
      <c r="A1138" s="69"/>
      <c r="B1138" s="68"/>
      <c r="C1138" s="76" t="str">
        <f aca="false">IF(B1138="","",IFERROR(INDEX(EN_Des,MATCH(B1138,EN_Code,0)),"Code inconnu"))</f>
        <v/>
      </c>
      <c r="D1138" s="25"/>
      <c r="E1138" s="25"/>
      <c r="F1138" s="82"/>
      <c r="G1138" s="82"/>
      <c r="H1138" s="83" t="str">
        <f aca="false">IF(OR(F1138="",G1138=""),"",G1138-F1138)</f>
        <v/>
      </c>
      <c r="I1138" s="82"/>
      <c r="J1138" s="82"/>
      <c r="K1138" s="28"/>
      <c r="L1138" s="90" t="str">
        <f aca="false">IF(OR(K1138="",N(H1138)=0),"",K1138/H1138)</f>
        <v/>
      </c>
      <c r="M1138" s="68"/>
      <c r="N1138" s="28"/>
      <c r="O1138" s="25"/>
      <c r="P1138" s="83" t="str">
        <f aca="false">IF(OR(N1138="",N(H1138)=0),"",N1138/H1138)</f>
        <v/>
      </c>
      <c r="Q1138" s="25"/>
    </row>
    <row r="1139" customFormat="false" ht="15" hidden="false" customHeight="false" outlineLevel="0" collapsed="false">
      <c r="A1139" s="69"/>
      <c r="B1139" s="68"/>
      <c r="C1139" s="76" t="str">
        <f aca="false">IF(B1139="","",IFERROR(INDEX(EN_Des,MATCH(B1139,EN_Code,0)),"Code inconnu"))</f>
        <v/>
      </c>
      <c r="D1139" s="25"/>
      <c r="E1139" s="25"/>
      <c r="F1139" s="82"/>
      <c r="G1139" s="82"/>
      <c r="H1139" s="83" t="str">
        <f aca="false">IF(OR(F1139="",G1139=""),"",G1139-F1139)</f>
        <v/>
      </c>
      <c r="I1139" s="82"/>
      <c r="J1139" s="82"/>
      <c r="K1139" s="28"/>
      <c r="L1139" s="90" t="str">
        <f aca="false">IF(OR(K1139="",N(H1139)=0),"",K1139/H1139)</f>
        <v/>
      </c>
      <c r="M1139" s="68"/>
      <c r="N1139" s="28"/>
      <c r="O1139" s="25"/>
      <c r="P1139" s="83" t="str">
        <f aca="false">IF(OR(N1139="",N(H1139)=0),"",N1139/H1139)</f>
        <v/>
      </c>
      <c r="Q1139" s="25"/>
    </row>
    <row r="1140" customFormat="false" ht="15" hidden="false" customHeight="false" outlineLevel="0" collapsed="false">
      <c r="A1140" s="69"/>
      <c r="B1140" s="68"/>
      <c r="C1140" s="76" t="str">
        <f aca="false">IF(B1140="","",IFERROR(INDEX(EN_Des,MATCH(B1140,EN_Code,0)),"Code inconnu"))</f>
        <v/>
      </c>
      <c r="D1140" s="25"/>
      <c r="E1140" s="25"/>
      <c r="F1140" s="82"/>
      <c r="G1140" s="82"/>
      <c r="H1140" s="83" t="str">
        <f aca="false">IF(OR(F1140="",G1140=""),"",G1140-F1140)</f>
        <v/>
      </c>
      <c r="I1140" s="82"/>
      <c r="J1140" s="82"/>
      <c r="K1140" s="28"/>
      <c r="L1140" s="90" t="str">
        <f aca="false">IF(OR(K1140="",N(H1140)=0),"",K1140/H1140)</f>
        <v/>
      </c>
      <c r="M1140" s="68"/>
      <c r="N1140" s="28"/>
      <c r="O1140" s="25"/>
      <c r="P1140" s="83" t="str">
        <f aca="false">IF(OR(N1140="",N(H1140)=0),"",N1140/H1140)</f>
        <v/>
      </c>
      <c r="Q1140" s="25"/>
    </row>
    <row r="1141" customFormat="false" ht="15" hidden="false" customHeight="false" outlineLevel="0" collapsed="false">
      <c r="A1141" s="69"/>
      <c r="B1141" s="68"/>
      <c r="C1141" s="76" t="str">
        <f aca="false">IF(B1141="","",IFERROR(INDEX(EN_Des,MATCH(B1141,EN_Code,0)),"Code inconnu"))</f>
        <v/>
      </c>
      <c r="D1141" s="25"/>
      <c r="E1141" s="25"/>
      <c r="F1141" s="82"/>
      <c r="G1141" s="82"/>
      <c r="H1141" s="83" t="str">
        <f aca="false">IF(OR(F1141="",G1141=""),"",G1141-F1141)</f>
        <v/>
      </c>
      <c r="I1141" s="82"/>
      <c r="J1141" s="82"/>
      <c r="K1141" s="28"/>
      <c r="L1141" s="90" t="str">
        <f aca="false">IF(OR(K1141="",N(H1141)=0),"",K1141/H1141)</f>
        <v/>
      </c>
      <c r="M1141" s="68"/>
      <c r="N1141" s="28"/>
      <c r="O1141" s="25"/>
      <c r="P1141" s="83" t="str">
        <f aca="false">IF(OR(N1141="",N(H1141)=0),"",N1141/H1141)</f>
        <v/>
      </c>
      <c r="Q1141" s="25"/>
    </row>
    <row r="1142" customFormat="false" ht="15" hidden="false" customHeight="false" outlineLevel="0" collapsed="false">
      <c r="A1142" s="69"/>
      <c r="B1142" s="68"/>
      <c r="C1142" s="76" t="str">
        <f aca="false">IF(B1142="","",IFERROR(INDEX(EN_Des,MATCH(B1142,EN_Code,0)),"Code inconnu"))</f>
        <v/>
      </c>
      <c r="D1142" s="25"/>
      <c r="E1142" s="25"/>
      <c r="F1142" s="82"/>
      <c r="G1142" s="82"/>
      <c r="H1142" s="83" t="str">
        <f aca="false">IF(OR(F1142="",G1142=""),"",G1142-F1142)</f>
        <v/>
      </c>
      <c r="I1142" s="82"/>
      <c r="J1142" s="82"/>
      <c r="K1142" s="28"/>
      <c r="L1142" s="90" t="str">
        <f aca="false">IF(OR(K1142="",N(H1142)=0),"",K1142/H1142)</f>
        <v/>
      </c>
      <c r="M1142" s="68"/>
      <c r="N1142" s="28"/>
      <c r="O1142" s="25"/>
      <c r="P1142" s="83" t="str">
        <f aca="false">IF(OR(N1142="",N(H1142)=0),"",N1142/H1142)</f>
        <v/>
      </c>
      <c r="Q1142" s="25"/>
    </row>
    <row r="1143" customFormat="false" ht="15" hidden="false" customHeight="false" outlineLevel="0" collapsed="false">
      <c r="A1143" s="69"/>
      <c r="B1143" s="68"/>
      <c r="C1143" s="76" t="str">
        <f aca="false">IF(B1143="","",IFERROR(INDEX(EN_Des,MATCH(B1143,EN_Code,0)),"Code inconnu"))</f>
        <v/>
      </c>
      <c r="D1143" s="25"/>
      <c r="E1143" s="25"/>
      <c r="F1143" s="82"/>
      <c r="G1143" s="82"/>
      <c r="H1143" s="83" t="str">
        <f aca="false">IF(OR(F1143="",G1143=""),"",G1143-F1143)</f>
        <v/>
      </c>
      <c r="I1143" s="82"/>
      <c r="J1143" s="82"/>
      <c r="K1143" s="28"/>
      <c r="L1143" s="90" t="str">
        <f aca="false">IF(OR(K1143="",N(H1143)=0),"",K1143/H1143)</f>
        <v/>
      </c>
      <c r="M1143" s="68"/>
      <c r="N1143" s="28"/>
      <c r="O1143" s="25"/>
      <c r="P1143" s="83" t="str">
        <f aca="false">IF(OR(N1143="",N(H1143)=0),"",N1143/H1143)</f>
        <v/>
      </c>
      <c r="Q1143" s="25"/>
    </row>
    <row r="1144" customFormat="false" ht="15" hidden="false" customHeight="false" outlineLevel="0" collapsed="false">
      <c r="A1144" s="69"/>
      <c r="B1144" s="68"/>
      <c r="C1144" s="76" t="str">
        <f aca="false">IF(B1144="","",IFERROR(INDEX(EN_Des,MATCH(B1144,EN_Code,0)),"Code inconnu"))</f>
        <v/>
      </c>
      <c r="D1144" s="25"/>
      <c r="E1144" s="25"/>
      <c r="F1144" s="82"/>
      <c r="G1144" s="82"/>
      <c r="H1144" s="83" t="str">
        <f aca="false">IF(OR(F1144="",G1144=""),"",G1144-F1144)</f>
        <v/>
      </c>
      <c r="I1144" s="82"/>
      <c r="J1144" s="82"/>
      <c r="K1144" s="28"/>
      <c r="L1144" s="90" t="str">
        <f aca="false">IF(OR(K1144="",N(H1144)=0),"",K1144/H1144)</f>
        <v/>
      </c>
      <c r="M1144" s="68"/>
      <c r="N1144" s="28"/>
      <c r="O1144" s="25"/>
      <c r="P1144" s="83" t="str">
        <f aca="false">IF(OR(N1144="",N(H1144)=0),"",N1144/H1144)</f>
        <v/>
      </c>
      <c r="Q1144" s="25"/>
    </row>
    <row r="1145" customFormat="false" ht="15" hidden="false" customHeight="false" outlineLevel="0" collapsed="false">
      <c r="A1145" s="69"/>
      <c r="B1145" s="68"/>
      <c r="C1145" s="76" t="str">
        <f aca="false">IF(B1145="","",IFERROR(INDEX(EN_Des,MATCH(B1145,EN_Code,0)),"Code inconnu"))</f>
        <v/>
      </c>
      <c r="D1145" s="25"/>
      <c r="E1145" s="25"/>
      <c r="F1145" s="82"/>
      <c r="G1145" s="82"/>
      <c r="H1145" s="83" t="str">
        <f aca="false">IF(OR(F1145="",G1145=""),"",G1145-F1145)</f>
        <v/>
      </c>
      <c r="I1145" s="82"/>
      <c r="J1145" s="82"/>
      <c r="K1145" s="28"/>
      <c r="L1145" s="90" t="str">
        <f aca="false">IF(OR(K1145="",N(H1145)=0),"",K1145/H1145)</f>
        <v/>
      </c>
      <c r="M1145" s="68"/>
      <c r="N1145" s="28"/>
      <c r="O1145" s="25"/>
      <c r="P1145" s="83" t="str">
        <f aca="false">IF(OR(N1145="",N(H1145)=0),"",N1145/H1145)</f>
        <v/>
      </c>
      <c r="Q1145" s="25"/>
    </row>
    <row r="1146" customFormat="false" ht="15" hidden="false" customHeight="false" outlineLevel="0" collapsed="false">
      <c r="A1146" s="69"/>
      <c r="B1146" s="68"/>
      <c r="C1146" s="76" t="str">
        <f aca="false">IF(B1146="","",IFERROR(INDEX(EN_Des,MATCH(B1146,EN_Code,0)),"Code inconnu"))</f>
        <v/>
      </c>
      <c r="D1146" s="25"/>
      <c r="E1146" s="25"/>
      <c r="F1146" s="82"/>
      <c r="G1146" s="82"/>
      <c r="H1146" s="83" t="str">
        <f aca="false">IF(OR(F1146="",G1146=""),"",G1146-F1146)</f>
        <v/>
      </c>
      <c r="I1146" s="82"/>
      <c r="J1146" s="82"/>
      <c r="K1146" s="28"/>
      <c r="L1146" s="90" t="str">
        <f aca="false">IF(OR(K1146="",N(H1146)=0),"",K1146/H1146)</f>
        <v/>
      </c>
      <c r="M1146" s="68"/>
      <c r="N1146" s="28"/>
      <c r="O1146" s="25"/>
      <c r="P1146" s="83" t="str">
        <f aca="false">IF(OR(N1146="",N(H1146)=0),"",N1146/H1146)</f>
        <v/>
      </c>
      <c r="Q1146" s="25"/>
    </row>
    <row r="1147" customFormat="false" ht="15" hidden="false" customHeight="false" outlineLevel="0" collapsed="false">
      <c r="A1147" s="69"/>
      <c r="B1147" s="68"/>
      <c r="C1147" s="76" t="str">
        <f aca="false">IF(B1147="","",IFERROR(INDEX(EN_Des,MATCH(B1147,EN_Code,0)),"Code inconnu"))</f>
        <v/>
      </c>
      <c r="D1147" s="25"/>
      <c r="E1147" s="25"/>
      <c r="F1147" s="82"/>
      <c r="G1147" s="82"/>
      <c r="H1147" s="83" t="str">
        <f aca="false">IF(OR(F1147="",G1147=""),"",G1147-F1147)</f>
        <v/>
      </c>
      <c r="I1147" s="82"/>
      <c r="J1147" s="82"/>
      <c r="K1147" s="28"/>
      <c r="L1147" s="90" t="str">
        <f aca="false">IF(OR(K1147="",N(H1147)=0),"",K1147/H1147)</f>
        <v/>
      </c>
      <c r="M1147" s="68"/>
      <c r="N1147" s="28"/>
      <c r="O1147" s="25"/>
      <c r="P1147" s="83" t="str">
        <f aca="false">IF(OR(N1147="",N(H1147)=0),"",N1147/H1147)</f>
        <v/>
      </c>
      <c r="Q1147" s="25"/>
    </row>
    <row r="1148" customFormat="false" ht="15" hidden="false" customHeight="false" outlineLevel="0" collapsed="false">
      <c r="A1148" s="69"/>
      <c r="B1148" s="68"/>
      <c r="C1148" s="76" t="str">
        <f aca="false">IF(B1148="","",IFERROR(INDEX(EN_Des,MATCH(B1148,EN_Code,0)),"Code inconnu"))</f>
        <v/>
      </c>
      <c r="D1148" s="25"/>
      <c r="E1148" s="25"/>
      <c r="F1148" s="82"/>
      <c r="G1148" s="82"/>
      <c r="H1148" s="83" t="str">
        <f aca="false">IF(OR(F1148="",G1148=""),"",G1148-F1148)</f>
        <v/>
      </c>
      <c r="I1148" s="82"/>
      <c r="J1148" s="82"/>
      <c r="K1148" s="28"/>
      <c r="L1148" s="90" t="str">
        <f aca="false">IF(OR(K1148="",N(H1148)=0),"",K1148/H1148)</f>
        <v/>
      </c>
      <c r="M1148" s="68"/>
      <c r="N1148" s="28"/>
      <c r="O1148" s="25"/>
      <c r="P1148" s="83" t="str">
        <f aca="false">IF(OR(N1148="",N(H1148)=0),"",N1148/H1148)</f>
        <v/>
      </c>
      <c r="Q1148" s="25"/>
    </row>
    <row r="1149" customFormat="false" ht="15" hidden="false" customHeight="false" outlineLevel="0" collapsed="false">
      <c r="A1149" s="69"/>
      <c r="B1149" s="68"/>
      <c r="C1149" s="76" t="str">
        <f aca="false">IF(B1149="","",IFERROR(INDEX(EN_Des,MATCH(B1149,EN_Code,0)),"Code inconnu"))</f>
        <v/>
      </c>
      <c r="D1149" s="25"/>
      <c r="E1149" s="25"/>
      <c r="F1149" s="82"/>
      <c r="G1149" s="82"/>
      <c r="H1149" s="83" t="str">
        <f aca="false">IF(OR(F1149="",G1149=""),"",G1149-F1149)</f>
        <v/>
      </c>
      <c r="I1149" s="82"/>
      <c r="J1149" s="82"/>
      <c r="K1149" s="28"/>
      <c r="L1149" s="90" t="str">
        <f aca="false">IF(OR(K1149="",N(H1149)=0),"",K1149/H1149)</f>
        <v/>
      </c>
      <c r="M1149" s="68"/>
      <c r="N1149" s="28"/>
      <c r="O1149" s="25"/>
      <c r="P1149" s="83" t="str">
        <f aca="false">IF(OR(N1149="",N(H1149)=0),"",N1149/H1149)</f>
        <v/>
      </c>
      <c r="Q1149" s="25"/>
    </row>
    <row r="1150" customFormat="false" ht="15" hidden="false" customHeight="false" outlineLevel="0" collapsed="false">
      <c r="A1150" s="69"/>
      <c r="B1150" s="68"/>
      <c r="C1150" s="76" t="str">
        <f aca="false">IF(B1150="","",IFERROR(INDEX(EN_Des,MATCH(B1150,EN_Code,0)),"Code inconnu"))</f>
        <v/>
      </c>
      <c r="D1150" s="25"/>
      <c r="E1150" s="25"/>
      <c r="F1150" s="82"/>
      <c r="G1150" s="82"/>
      <c r="H1150" s="83" t="str">
        <f aca="false">IF(OR(F1150="",G1150=""),"",G1150-F1150)</f>
        <v/>
      </c>
      <c r="I1150" s="82"/>
      <c r="J1150" s="82"/>
      <c r="K1150" s="28"/>
      <c r="L1150" s="90" t="str">
        <f aca="false">IF(OR(K1150="",N(H1150)=0),"",K1150/H1150)</f>
        <v/>
      </c>
      <c r="M1150" s="68"/>
      <c r="N1150" s="28"/>
      <c r="O1150" s="25"/>
      <c r="P1150" s="83" t="str">
        <f aca="false">IF(OR(N1150="",N(H1150)=0),"",N1150/H1150)</f>
        <v/>
      </c>
      <c r="Q1150" s="25"/>
    </row>
    <row r="1151" customFormat="false" ht="15" hidden="false" customHeight="false" outlineLevel="0" collapsed="false">
      <c r="A1151" s="69"/>
      <c r="B1151" s="68"/>
      <c r="C1151" s="76" t="str">
        <f aca="false">IF(B1151="","",IFERROR(INDEX(EN_Des,MATCH(B1151,EN_Code,0)),"Code inconnu"))</f>
        <v/>
      </c>
      <c r="D1151" s="25"/>
      <c r="E1151" s="25"/>
      <c r="F1151" s="82"/>
      <c r="G1151" s="82"/>
      <c r="H1151" s="83" t="str">
        <f aca="false">IF(OR(F1151="",G1151=""),"",G1151-F1151)</f>
        <v/>
      </c>
      <c r="I1151" s="82"/>
      <c r="J1151" s="82"/>
      <c r="K1151" s="28"/>
      <c r="L1151" s="90" t="str">
        <f aca="false">IF(OR(K1151="",N(H1151)=0),"",K1151/H1151)</f>
        <v/>
      </c>
      <c r="M1151" s="68"/>
      <c r="N1151" s="28"/>
      <c r="O1151" s="25"/>
      <c r="P1151" s="83" t="str">
        <f aca="false">IF(OR(N1151="",N(H1151)=0),"",N1151/H1151)</f>
        <v/>
      </c>
      <c r="Q1151" s="25"/>
    </row>
    <row r="1152" customFormat="false" ht="15" hidden="false" customHeight="false" outlineLevel="0" collapsed="false">
      <c r="A1152" s="69"/>
      <c r="B1152" s="68"/>
      <c r="C1152" s="76" t="str">
        <f aca="false">IF(B1152="","",IFERROR(INDEX(EN_Des,MATCH(B1152,EN_Code,0)),"Code inconnu"))</f>
        <v/>
      </c>
      <c r="D1152" s="25"/>
      <c r="E1152" s="25"/>
      <c r="F1152" s="82"/>
      <c r="G1152" s="82"/>
      <c r="H1152" s="83" t="str">
        <f aca="false">IF(OR(F1152="",G1152=""),"",G1152-F1152)</f>
        <v/>
      </c>
      <c r="I1152" s="82"/>
      <c r="J1152" s="82"/>
      <c r="K1152" s="28"/>
      <c r="L1152" s="90" t="str">
        <f aca="false">IF(OR(K1152="",N(H1152)=0),"",K1152/H1152)</f>
        <v/>
      </c>
      <c r="M1152" s="68"/>
      <c r="N1152" s="28"/>
      <c r="O1152" s="25"/>
      <c r="P1152" s="83" t="str">
        <f aca="false">IF(OR(N1152="",N(H1152)=0),"",N1152/H1152)</f>
        <v/>
      </c>
      <c r="Q1152" s="25"/>
    </row>
    <row r="1153" customFormat="false" ht="15" hidden="false" customHeight="false" outlineLevel="0" collapsed="false">
      <c r="A1153" s="69"/>
      <c r="B1153" s="68"/>
      <c r="C1153" s="76" t="str">
        <f aca="false">IF(B1153="","",IFERROR(INDEX(EN_Des,MATCH(B1153,EN_Code,0)),"Code inconnu"))</f>
        <v/>
      </c>
      <c r="D1153" s="25"/>
      <c r="E1153" s="25"/>
      <c r="F1153" s="82"/>
      <c r="G1153" s="82"/>
      <c r="H1153" s="83" t="str">
        <f aca="false">IF(OR(F1153="",G1153=""),"",G1153-F1153)</f>
        <v/>
      </c>
      <c r="I1153" s="82"/>
      <c r="J1153" s="82"/>
      <c r="K1153" s="28"/>
      <c r="L1153" s="90" t="str">
        <f aca="false">IF(OR(K1153="",N(H1153)=0),"",K1153/H1153)</f>
        <v/>
      </c>
      <c r="M1153" s="68"/>
      <c r="N1153" s="28"/>
      <c r="O1153" s="25"/>
      <c r="P1153" s="83" t="str">
        <f aca="false">IF(OR(N1153="",N(H1153)=0),"",N1153/H1153)</f>
        <v/>
      </c>
      <c r="Q1153" s="25"/>
    </row>
    <row r="1154" customFormat="false" ht="15" hidden="false" customHeight="false" outlineLevel="0" collapsed="false">
      <c r="A1154" s="69"/>
      <c r="B1154" s="68"/>
      <c r="C1154" s="76" t="str">
        <f aca="false">IF(B1154="","",IFERROR(INDEX(EN_Des,MATCH(B1154,EN_Code,0)),"Code inconnu"))</f>
        <v/>
      </c>
      <c r="D1154" s="25"/>
      <c r="E1154" s="25"/>
      <c r="F1154" s="82"/>
      <c r="G1154" s="82"/>
      <c r="H1154" s="83" t="str">
        <f aca="false">IF(OR(F1154="",G1154=""),"",G1154-F1154)</f>
        <v/>
      </c>
      <c r="I1154" s="82"/>
      <c r="J1154" s="82"/>
      <c r="K1154" s="28"/>
      <c r="L1154" s="90" t="str">
        <f aca="false">IF(OR(K1154="",N(H1154)=0),"",K1154/H1154)</f>
        <v/>
      </c>
      <c r="M1154" s="68"/>
      <c r="N1154" s="28"/>
      <c r="O1154" s="25"/>
      <c r="P1154" s="83" t="str">
        <f aca="false">IF(OR(N1154="",N(H1154)=0),"",N1154/H1154)</f>
        <v/>
      </c>
      <c r="Q1154" s="25"/>
    </row>
    <row r="1155" customFormat="false" ht="15" hidden="false" customHeight="false" outlineLevel="0" collapsed="false">
      <c r="A1155" s="69"/>
      <c r="B1155" s="68"/>
      <c r="C1155" s="76" t="str">
        <f aca="false">IF(B1155="","",IFERROR(INDEX(EN_Des,MATCH(B1155,EN_Code,0)),"Code inconnu"))</f>
        <v/>
      </c>
      <c r="D1155" s="25"/>
      <c r="E1155" s="25"/>
      <c r="F1155" s="82"/>
      <c r="G1155" s="82"/>
      <c r="H1155" s="83" t="str">
        <f aca="false">IF(OR(F1155="",G1155=""),"",G1155-F1155)</f>
        <v/>
      </c>
      <c r="I1155" s="82"/>
      <c r="J1155" s="82"/>
      <c r="K1155" s="28"/>
      <c r="L1155" s="90" t="str">
        <f aca="false">IF(OR(K1155="",N(H1155)=0),"",K1155/H1155)</f>
        <v/>
      </c>
      <c r="M1155" s="68"/>
      <c r="N1155" s="28"/>
      <c r="O1155" s="25"/>
      <c r="P1155" s="83" t="str">
        <f aca="false">IF(OR(N1155="",N(H1155)=0),"",N1155/H1155)</f>
        <v/>
      </c>
      <c r="Q1155" s="25"/>
    </row>
    <row r="1156" customFormat="false" ht="15" hidden="false" customHeight="false" outlineLevel="0" collapsed="false">
      <c r="A1156" s="69"/>
      <c r="B1156" s="68"/>
      <c r="C1156" s="76" t="str">
        <f aca="false">IF(B1156="","",IFERROR(INDEX(EN_Des,MATCH(B1156,EN_Code,0)),"Code inconnu"))</f>
        <v/>
      </c>
      <c r="D1156" s="25"/>
      <c r="E1156" s="25"/>
      <c r="F1156" s="82"/>
      <c r="G1156" s="82"/>
      <c r="H1156" s="83" t="str">
        <f aca="false">IF(OR(F1156="",G1156=""),"",G1156-F1156)</f>
        <v/>
      </c>
      <c r="I1156" s="82"/>
      <c r="J1156" s="82"/>
      <c r="K1156" s="28"/>
      <c r="L1156" s="90" t="str">
        <f aca="false">IF(OR(K1156="",N(H1156)=0),"",K1156/H1156)</f>
        <v/>
      </c>
      <c r="M1156" s="68"/>
      <c r="N1156" s="28"/>
      <c r="O1156" s="25"/>
      <c r="P1156" s="83" t="str">
        <f aca="false">IF(OR(N1156="",N(H1156)=0),"",N1156/H1156)</f>
        <v/>
      </c>
      <c r="Q1156" s="25"/>
    </row>
    <row r="1157" customFormat="false" ht="15" hidden="false" customHeight="false" outlineLevel="0" collapsed="false">
      <c r="A1157" s="69"/>
      <c r="B1157" s="68"/>
      <c r="C1157" s="76" t="str">
        <f aca="false">IF(B1157="","",IFERROR(INDEX(EN_Des,MATCH(B1157,EN_Code,0)),"Code inconnu"))</f>
        <v/>
      </c>
      <c r="D1157" s="25"/>
      <c r="E1157" s="25"/>
      <c r="F1157" s="82"/>
      <c r="G1157" s="82"/>
      <c r="H1157" s="83" t="str">
        <f aca="false">IF(OR(F1157="",G1157=""),"",G1157-F1157)</f>
        <v/>
      </c>
      <c r="I1157" s="82"/>
      <c r="J1157" s="82"/>
      <c r="K1157" s="28"/>
      <c r="L1157" s="90" t="str">
        <f aca="false">IF(OR(K1157="",N(H1157)=0),"",K1157/H1157)</f>
        <v/>
      </c>
      <c r="M1157" s="68"/>
      <c r="N1157" s="28"/>
      <c r="O1157" s="25"/>
      <c r="P1157" s="83" t="str">
        <f aca="false">IF(OR(N1157="",N(H1157)=0),"",N1157/H1157)</f>
        <v/>
      </c>
      <c r="Q1157" s="25"/>
    </row>
    <row r="1158" customFormat="false" ht="15" hidden="false" customHeight="false" outlineLevel="0" collapsed="false">
      <c r="A1158" s="69"/>
      <c r="B1158" s="68"/>
      <c r="C1158" s="76" t="str">
        <f aca="false">IF(B1158="","",IFERROR(INDEX(EN_Des,MATCH(B1158,EN_Code,0)),"Code inconnu"))</f>
        <v/>
      </c>
      <c r="D1158" s="25"/>
      <c r="E1158" s="25"/>
      <c r="F1158" s="82"/>
      <c r="G1158" s="82"/>
      <c r="H1158" s="83" t="str">
        <f aca="false">IF(OR(F1158="",G1158=""),"",G1158-F1158)</f>
        <v/>
      </c>
      <c r="I1158" s="82"/>
      <c r="J1158" s="82"/>
      <c r="K1158" s="28"/>
      <c r="L1158" s="90" t="str">
        <f aca="false">IF(OR(K1158="",N(H1158)=0),"",K1158/H1158)</f>
        <v/>
      </c>
      <c r="M1158" s="68"/>
      <c r="N1158" s="28"/>
      <c r="O1158" s="25"/>
      <c r="P1158" s="83" t="str">
        <f aca="false">IF(OR(N1158="",N(H1158)=0),"",N1158/H1158)</f>
        <v/>
      </c>
      <c r="Q1158" s="25"/>
    </row>
    <row r="1159" customFormat="false" ht="15" hidden="false" customHeight="false" outlineLevel="0" collapsed="false">
      <c r="A1159" s="69"/>
      <c r="B1159" s="68"/>
      <c r="C1159" s="76" t="str">
        <f aca="false">IF(B1159="","",IFERROR(INDEX(EN_Des,MATCH(B1159,EN_Code,0)),"Code inconnu"))</f>
        <v/>
      </c>
      <c r="D1159" s="25"/>
      <c r="E1159" s="25"/>
      <c r="F1159" s="82"/>
      <c r="G1159" s="82"/>
      <c r="H1159" s="83" t="str">
        <f aca="false">IF(OR(F1159="",G1159=""),"",G1159-F1159)</f>
        <v/>
      </c>
      <c r="I1159" s="82"/>
      <c r="J1159" s="82"/>
      <c r="K1159" s="28"/>
      <c r="L1159" s="90" t="str">
        <f aca="false">IF(OR(K1159="",N(H1159)=0),"",K1159/H1159)</f>
        <v/>
      </c>
      <c r="M1159" s="68"/>
      <c r="N1159" s="28"/>
      <c r="O1159" s="25"/>
      <c r="P1159" s="83" t="str">
        <f aca="false">IF(OR(N1159="",N(H1159)=0),"",N1159/H1159)</f>
        <v/>
      </c>
      <c r="Q1159" s="25"/>
    </row>
    <row r="1160" customFormat="false" ht="15" hidden="false" customHeight="false" outlineLevel="0" collapsed="false">
      <c r="A1160" s="69"/>
      <c r="B1160" s="68"/>
      <c r="C1160" s="76" t="str">
        <f aca="false">IF(B1160="","",IFERROR(INDEX(EN_Des,MATCH(B1160,EN_Code,0)),"Code inconnu"))</f>
        <v/>
      </c>
      <c r="D1160" s="25"/>
      <c r="E1160" s="25"/>
      <c r="F1160" s="82"/>
      <c r="G1160" s="82"/>
      <c r="H1160" s="83" t="str">
        <f aca="false">IF(OR(F1160="",G1160=""),"",G1160-F1160)</f>
        <v/>
      </c>
      <c r="I1160" s="82"/>
      <c r="J1160" s="82"/>
      <c r="K1160" s="28"/>
      <c r="L1160" s="90" t="str">
        <f aca="false">IF(OR(K1160="",N(H1160)=0),"",K1160/H1160)</f>
        <v/>
      </c>
      <c r="M1160" s="68"/>
      <c r="N1160" s="28"/>
      <c r="O1160" s="25"/>
      <c r="P1160" s="83" t="str">
        <f aca="false">IF(OR(N1160="",N(H1160)=0),"",N1160/H1160)</f>
        <v/>
      </c>
      <c r="Q1160" s="25"/>
    </row>
    <row r="1161" customFormat="false" ht="15" hidden="false" customHeight="false" outlineLevel="0" collapsed="false">
      <c r="A1161" s="69"/>
      <c r="B1161" s="68"/>
      <c r="C1161" s="76" t="str">
        <f aca="false">IF(B1161="","",IFERROR(INDEX(EN_Des,MATCH(B1161,EN_Code,0)),"Code inconnu"))</f>
        <v/>
      </c>
      <c r="D1161" s="25"/>
      <c r="E1161" s="25"/>
      <c r="F1161" s="82"/>
      <c r="G1161" s="82"/>
      <c r="H1161" s="83" t="str">
        <f aca="false">IF(OR(F1161="",G1161=""),"",G1161-F1161)</f>
        <v/>
      </c>
      <c r="I1161" s="82"/>
      <c r="J1161" s="82"/>
      <c r="K1161" s="28"/>
      <c r="L1161" s="90" t="str">
        <f aca="false">IF(OR(K1161="",N(H1161)=0),"",K1161/H1161)</f>
        <v/>
      </c>
      <c r="M1161" s="68"/>
      <c r="N1161" s="28"/>
      <c r="O1161" s="25"/>
      <c r="P1161" s="83" t="str">
        <f aca="false">IF(OR(N1161="",N(H1161)=0),"",N1161/H1161)</f>
        <v/>
      </c>
      <c r="Q1161" s="25"/>
    </row>
    <row r="1162" customFormat="false" ht="15" hidden="false" customHeight="false" outlineLevel="0" collapsed="false">
      <c r="A1162" s="69"/>
      <c r="B1162" s="68"/>
      <c r="C1162" s="76" t="str">
        <f aca="false">IF(B1162="","",IFERROR(INDEX(EN_Des,MATCH(B1162,EN_Code,0)),"Code inconnu"))</f>
        <v/>
      </c>
      <c r="D1162" s="25"/>
      <c r="E1162" s="25"/>
      <c r="F1162" s="82"/>
      <c r="G1162" s="82"/>
      <c r="H1162" s="83" t="str">
        <f aca="false">IF(OR(F1162="",G1162=""),"",G1162-F1162)</f>
        <v/>
      </c>
      <c r="I1162" s="82"/>
      <c r="J1162" s="82"/>
      <c r="K1162" s="28"/>
      <c r="L1162" s="90" t="str">
        <f aca="false">IF(OR(K1162="",N(H1162)=0),"",K1162/H1162)</f>
        <v/>
      </c>
      <c r="M1162" s="68"/>
      <c r="N1162" s="28"/>
      <c r="O1162" s="25"/>
      <c r="P1162" s="83" t="str">
        <f aca="false">IF(OR(N1162="",N(H1162)=0),"",N1162/H1162)</f>
        <v/>
      </c>
      <c r="Q1162" s="25"/>
    </row>
    <row r="1163" customFormat="false" ht="15" hidden="false" customHeight="false" outlineLevel="0" collapsed="false">
      <c r="A1163" s="69"/>
      <c r="B1163" s="68"/>
      <c r="C1163" s="76" t="str">
        <f aca="false">IF(B1163="","",IFERROR(INDEX(EN_Des,MATCH(B1163,EN_Code,0)),"Code inconnu"))</f>
        <v/>
      </c>
      <c r="D1163" s="25"/>
      <c r="E1163" s="25"/>
      <c r="F1163" s="82"/>
      <c r="G1163" s="82"/>
      <c r="H1163" s="83" t="str">
        <f aca="false">IF(OR(F1163="",G1163=""),"",G1163-F1163)</f>
        <v/>
      </c>
      <c r="I1163" s="82"/>
      <c r="J1163" s="82"/>
      <c r="K1163" s="28"/>
      <c r="L1163" s="90" t="str">
        <f aca="false">IF(OR(K1163="",N(H1163)=0),"",K1163/H1163)</f>
        <v/>
      </c>
      <c r="M1163" s="68"/>
      <c r="N1163" s="28"/>
      <c r="O1163" s="25"/>
      <c r="P1163" s="83" t="str">
        <f aca="false">IF(OR(N1163="",N(H1163)=0),"",N1163/H1163)</f>
        <v/>
      </c>
      <c r="Q1163" s="25"/>
    </row>
    <row r="1164" customFormat="false" ht="15" hidden="false" customHeight="false" outlineLevel="0" collapsed="false">
      <c r="A1164" s="69"/>
      <c r="B1164" s="68"/>
      <c r="C1164" s="76" t="str">
        <f aca="false">IF(B1164="","",IFERROR(INDEX(EN_Des,MATCH(B1164,EN_Code,0)),"Code inconnu"))</f>
        <v/>
      </c>
      <c r="D1164" s="25"/>
      <c r="E1164" s="25"/>
      <c r="F1164" s="82"/>
      <c r="G1164" s="82"/>
      <c r="H1164" s="83" t="str">
        <f aca="false">IF(OR(F1164="",G1164=""),"",G1164-F1164)</f>
        <v/>
      </c>
      <c r="I1164" s="82"/>
      <c r="J1164" s="82"/>
      <c r="K1164" s="28"/>
      <c r="L1164" s="90" t="str">
        <f aca="false">IF(OR(K1164="",N(H1164)=0),"",K1164/H1164)</f>
        <v/>
      </c>
      <c r="M1164" s="68"/>
      <c r="N1164" s="28"/>
      <c r="O1164" s="25"/>
      <c r="P1164" s="83" t="str">
        <f aca="false">IF(OR(N1164="",N(H1164)=0),"",N1164/H1164)</f>
        <v/>
      </c>
      <c r="Q1164" s="25"/>
    </row>
    <row r="1165" customFormat="false" ht="15" hidden="false" customHeight="false" outlineLevel="0" collapsed="false">
      <c r="A1165" s="69"/>
      <c r="B1165" s="68"/>
      <c r="C1165" s="76" t="str">
        <f aca="false">IF(B1165="","",IFERROR(INDEX(EN_Des,MATCH(B1165,EN_Code,0)),"Code inconnu"))</f>
        <v/>
      </c>
      <c r="D1165" s="25"/>
      <c r="E1165" s="25"/>
      <c r="F1165" s="82"/>
      <c r="G1165" s="82"/>
      <c r="H1165" s="83" t="str">
        <f aca="false">IF(OR(F1165="",G1165=""),"",G1165-F1165)</f>
        <v/>
      </c>
      <c r="I1165" s="82"/>
      <c r="J1165" s="82"/>
      <c r="K1165" s="28"/>
      <c r="L1165" s="90" t="str">
        <f aca="false">IF(OR(K1165="",N(H1165)=0),"",K1165/H1165)</f>
        <v/>
      </c>
      <c r="M1165" s="68"/>
      <c r="N1165" s="28"/>
      <c r="O1165" s="25"/>
      <c r="P1165" s="83" t="str">
        <f aca="false">IF(OR(N1165="",N(H1165)=0),"",N1165/H1165)</f>
        <v/>
      </c>
      <c r="Q1165" s="25"/>
    </row>
    <row r="1166" customFormat="false" ht="15" hidden="false" customHeight="false" outlineLevel="0" collapsed="false">
      <c r="A1166" s="69"/>
      <c r="B1166" s="68"/>
      <c r="C1166" s="76" t="str">
        <f aca="false">IF(B1166="","",IFERROR(INDEX(EN_Des,MATCH(B1166,EN_Code,0)),"Code inconnu"))</f>
        <v/>
      </c>
      <c r="D1166" s="25"/>
      <c r="E1166" s="25"/>
      <c r="F1166" s="82"/>
      <c r="G1166" s="82"/>
      <c r="H1166" s="83" t="str">
        <f aca="false">IF(OR(F1166="",G1166=""),"",G1166-F1166)</f>
        <v/>
      </c>
      <c r="I1166" s="82"/>
      <c r="J1166" s="82"/>
      <c r="K1166" s="28"/>
      <c r="L1166" s="90" t="str">
        <f aca="false">IF(OR(K1166="",N(H1166)=0),"",K1166/H1166)</f>
        <v/>
      </c>
      <c r="M1166" s="68"/>
      <c r="N1166" s="28"/>
      <c r="O1166" s="25"/>
      <c r="P1166" s="83" t="str">
        <f aca="false">IF(OR(N1166="",N(H1166)=0),"",N1166/H1166)</f>
        <v/>
      </c>
      <c r="Q1166" s="25"/>
    </row>
    <row r="1167" customFormat="false" ht="15" hidden="false" customHeight="false" outlineLevel="0" collapsed="false">
      <c r="A1167" s="69"/>
      <c r="B1167" s="68"/>
      <c r="C1167" s="76" t="str">
        <f aca="false">IF(B1167="","",IFERROR(INDEX(EN_Des,MATCH(B1167,EN_Code,0)),"Code inconnu"))</f>
        <v/>
      </c>
      <c r="D1167" s="25"/>
      <c r="E1167" s="25"/>
      <c r="F1167" s="82"/>
      <c r="G1167" s="82"/>
      <c r="H1167" s="83" t="str">
        <f aca="false">IF(OR(F1167="",G1167=""),"",G1167-F1167)</f>
        <v/>
      </c>
      <c r="I1167" s="82"/>
      <c r="J1167" s="82"/>
      <c r="K1167" s="28"/>
      <c r="L1167" s="90" t="str">
        <f aca="false">IF(OR(K1167="",N(H1167)=0),"",K1167/H1167)</f>
        <v/>
      </c>
      <c r="M1167" s="68"/>
      <c r="N1167" s="28"/>
      <c r="O1167" s="25"/>
      <c r="P1167" s="83" t="str">
        <f aca="false">IF(OR(N1167="",N(H1167)=0),"",N1167/H1167)</f>
        <v/>
      </c>
      <c r="Q1167" s="25"/>
    </row>
    <row r="1168" customFormat="false" ht="15" hidden="false" customHeight="false" outlineLevel="0" collapsed="false">
      <c r="A1168" s="69"/>
      <c r="B1168" s="68"/>
      <c r="C1168" s="76" t="str">
        <f aca="false">IF(B1168="","",IFERROR(INDEX(EN_Des,MATCH(B1168,EN_Code,0)),"Code inconnu"))</f>
        <v/>
      </c>
      <c r="D1168" s="25"/>
      <c r="E1168" s="25"/>
      <c r="F1168" s="82"/>
      <c r="G1168" s="82"/>
      <c r="H1168" s="83" t="str">
        <f aca="false">IF(OR(F1168="",G1168=""),"",G1168-F1168)</f>
        <v/>
      </c>
      <c r="I1168" s="82"/>
      <c r="J1168" s="82"/>
      <c r="K1168" s="28"/>
      <c r="L1168" s="90" t="str">
        <f aca="false">IF(OR(K1168="",N(H1168)=0),"",K1168/H1168)</f>
        <v/>
      </c>
      <c r="M1168" s="68"/>
      <c r="N1168" s="28"/>
      <c r="O1168" s="25"/>
      <c r="P1168" s="83" t="str">
        <f aca="false">IF(OR(N1168="",N(H1168)=0),"",N1168/H1168)</f>
        <v/>
      </c>
      <c r="Q1168" s="25"/>
    </row>
    <row r="1169" customFormat="false" ht="15" hidden="false" customHeight="false" outlineLevel="0" collapsed="false">
      <c r="A1169" s="69"/>
      <c r="B1169" s="68"/>
      <c r="C1169" s="76" t="str">
        <f aca="false">IF(B1169="","",IFERROR(INDEX(EN_Des,MATCH(B1169,EN_Code,0)),"Code inconnu"))</f>
        <v/>
      </c>
      <c r="D1169" s="25"/>
      <c r="E1169" s="25"/>
      <c r="F1169" s="82"/>
      <c r="G1169" s="82"/>
      <c r="H1169" s="83" t="str">
        <f aca="false">IF(OR(F1169="",G1169=""),"",G1169-F1169)</f>
        <v/>
      </c>
      <c r="I1169" s="82"/>
      <c r="J1169" s="82"/>
      <c r="K1169" s="28"/>
      <c r="L1169" s="90" t="str">
        <f aca="false">IF(OR(K1169="",N(H1169)=0),"",K1169/H1169)</f>
        <v/>
      </c>
      <c r="M1169" s="68"/>
      <c r="N1169" s="28"/>
      <c r="O1169" s="25"/>
      <c r="P1169" s="83" t="str">
        <f aca="false">IF(OR(N1169="",N(H1169)=0),"",N1169/H1169)</f>
        <v/>
      </c>
      <c r="Q1169" s="25"/>
    </row>
    <row r="1170" customFormat="false" ht="15" hidden="false" customHeight="false" outlineLevel="0" collapsed="false">
      <c r="A1170" s="69"/>
      <c r="B1170" s="68"/>
      <c r="C1170" s="76" t="str">
        <f aca="false">IF(B1170="","",IFERROR(INDEX(EN_Des,MATCH(B1170,EN_Code,0)),"Code inconnu"))</f>
        <v/>
      </c>
      <c r="D1170" s="25"/>
      <c r="E1170" s="25"/>
      <c r="F1170" s="82"/>
      <c r="G1170" s="82"/>
      <c r="H1170" s="83" t="str">
        <f aca="false">IF(OR(F1170="",G1170=""),"",G1170-F1170)</f>
        <v/>
      </c>
      <c r="I1170" s="82"/>
      <c r="J1170" s="82"/>
      <c r="K1170" s="28"/>
      <c r="L1170" s="90" t="str">
        <f aca="false">IF(OR(K1170="",N(H1170)=0),"",K1170/H1170)</f>
        <v/>
      </c>
      <c r="M1170" s="68"/>
      <c r="N1170" s="28"/>
      <c r="O1170" s="25"/>
      <c r="P1170" s="83" t="str">
        <f aca="false">IF(OR(N1170="",N(H1170)=0),"",N1170/H1170)</f>
        <v/>
      </c>
      <c r="Q1170" s="25"/>
    </row>
    <row r="1171" customFormat="false" ht="15" hidden="false" customHeight="false" outlineLevel="0" collapsed="false">
      <c r="A1171" s="69"/>
      <c r="B1171" s="68"/>
      <c r="C1171" s="76" t="str">
        <f aca="false">IF(B1171="","",IFERROR(INDEX(EN_Des,MATCH(B1171,EN_Code,0)),"Code inconnu"))</f>
        <v/>
      </c>
      <c r="D1171" s="25"/>
      <c r="E1171" s="25"/>
      <c r="F1171" s="82"/>
      <c r="G1171" s="82"/>
      <c r="H1171" s="83" t="str">
        <f aca="false">IF(OR(F1171="",G1171=""),"",G1171-F1171)</f>
        <v/>
      </c>
      <c r="I1171" s="82"/>
      <c r="J1171" s="82"/>
      <c r="K1171" s="28"/>
      <c r="L1171" s="90" t="str">
        <f aca="false">IF(OR(K1171="",N(H1171)=0),"",K1171/H1171)</f>
        <v/>
      </c>
      <c r="M1171" s="68"/>
      <c r="N1171" s="28"/>
      <c r="O1171" s="25"/>
      <c r="P1171" s="83" t="str">
        <f aca="false">IF(OR(N1171="",N(H1171)=0),"",N1171/H1171)</f>
        <v/>
      </c>
      <c r="Q1171" s="25"/>
    </row>
    <row r="1172" customFormat="false" ht="15" hidden="false" customHeight="false" outlineLevel="0" collapsed="false">
      <c r="A1172" s="69"/>
      <c r="B1172" s="68"/>
      <c r="C1172" s="76" t="str">
        <f aca="false">IF(B1172="","",IFERROR(INDEX(EN_Des,MATCH(B1172,EN_Code,0)),"Code inconnu"))</f>
        <v/>
      </c>
      <c r="D1172" s="25"/>
      <c r="E1172" s="25"/>
      <c r="F1172" s="82"/>
      <c r="G1172" s="82"/>
      <c r="H1172" s="83" t="str">
        <f aca="false">IF(OR(F1172="",G1172=""),"",G1172-F1172)</f>
        <v/>
      </c>
      <c r="I1172" s="82"/>
      <c r="J1172" s="82"/>
      <c r="K1172" s="28"/>
      <c r="L1172" s="90" t="str">
        <f aca="false">IF(OR(K1172="",N(H1172)=0),"",K1172/H1172)</f>
        <v/>
      </c>
      <c r="M1172" s="68"/>
      <c r="N1172" s="28"/>
      <c r="O1172" s="25"/>
      <c r="P1172" s="83" t="str">
        <f aca="false">IF(OR(N1172="",N(H1172)=0),"",N1172/H1172)</f>
        <v/>
      </c>
      <c r="Q1172" s="25"/>
    </row>
    <row r="1173" customFormat="false" ht="15" hidden="false" customHeight="false" outlineLevel="0" collapsed="false">
      <c r="A1173" s="69"/>
      <c r="B1173" s="68"/>
      <c r="C1173" s="76" t="str">
        <f aca="false">IF(B1173="","",IFERROR(INDEX(EN_Des,MATCH(B1173,EN_Code,0)),"Code inconnu"))</f>
        <v/>
      </c>
      <c r="D1173" s="25"/>
      <c r="E1173" s="25"/>
      <c r="F1173" s="82"/>
      <c r="G1173" s="82"/>
      <c r="H1173" s="83" t="str">
        <f aca="false">IF(OR(F1173="",G1173=""),"",G1173-F1173)</f>
        <v/>
      </c>
      <c r="I1173" s="82"/>
      <c r="J1173" s="82"/>
      <c r="K1173" s="28"/>
      <c r="L1173" s="90" t="str">
        <f aca="false">IF(OR(K1173="",N(H1173)=0),"",K1173/H1173)</f>
        <v/>
      </c>
      <c r="M1173" s="68"/>
      <c r="N1173" s="28"/>
      <c r="O1173" s="25"/>
      <c r="P1173" s="83" t="str">
        <f aca="false">IF(OR(N1173="",N(H1173)=0),"",N1173/H1173)</f>
        <v/>
      </c>
      <c r="Q1173" s="25"/>
    </row>
    <row r="1174" customFormat="false" ht="15" hidden="false" customHeight="false" outlineLevel="0" collapsed="false">
      <c r="A1174" s="69"/>
      <c r="B1174" s="68"/>
      <c r="C1174" s="76" t="str">
        <f aca="false">IF(B1174="","",IFERROR(INDEX(EN_Des,MATCH(B1174,EN_Code,0)),"Code inconnu"))</f>
        <v/>
      </c>
      <c r="D1174" s="25"/>
      <c r="E1174" s="25"/>
      <c r="F1174" s="82"/>
      <c r="G1174" s="82"/>
      <c r="H1174" s="83" t="str">
        <f aca="false">IF(OR(F1174="",G1174=""),"",G1174-F1174)</f>
        <v/>
      </c>
      <c r="I1174" s="82"/>
      <c r="J1174" s="82"/>
      <c r="K1174" s="28"/>
      <c r="L1174" s="90" t="str">
        <f aca="false">IF(OR(K1174="",N(H1174)=0),"",K1174/H1174)</f>
        <v/>
      </c>
      <c r="M1174" s="68"/>
      <c r="N1174" s="28"/>
      <c r="O1174" s="25"/>
      <c r="P1174" s="83" t="str">
        <f aca="false">IF(OR(N1174="",N(H1174)=0),"",N1174/H1174)</f>
        <v/>
      </c>
      <c r="Q1174" s="25"/>
    </row>
    <row r="1175" customFormat="false" ht="15" hidden="false" customHeight="false" outlineLevel="0" collapsed="false">
      <c r="A1175" s="69"/>
      <c r="B1175" s="68"/>
      <c r="C1175" s="76" t="str">
        <f aca="false">IF(B1175="","",IFERROR(INDEX(EN_Des,MATCH(B1175,EN_Code,0)),"Code inconnu"))</f>
        <v/>
      </c>
      <c r="D1175" s="25"/>
      <c r="E1175" s="25"/>
      <c r="F1175" s="82"/>
      <c r="G1175" s="82"/>
      <c r="H1175" s="83" t="str">
        <f aca="false">IF(OR(F1175="",G1175=""),"",G1175-F1175)</f>
        <v/>
      </c>
      <c r="I1175" s="82"/>
      <c r="J1175" s="82"/>
      <c r="K1175" s="28"/>
      <c r="L1175" s="90" t="str">
        <f aca="false">IF(OR(K1175="",N(H1175)=0),"",K1175/H1175)</f>
        <v/>
      </c>
      <c r="M1175" s="68"/>
      <c r="N1175" s="28"/>
      <c r="O1175" s="25"/>
      <c r="P1175" s="83" t="str">
        <f aca="false">IF(OR(N1175="",N(H1175)=0),"",N1175/H1175)</f>
        <v/>
      </c>
      <c r="Q1175" s="25"/>
    </row>
    <row r="1176" customFormat="false" ht="15" hidden="false" customHeight="false" outlineLevel="0" collapsed="false">
      <c r="A1176" s="69"/>
      <c r="B1176" s="68"/>
      <c r="C1176" s="76" t="str">
        <f aca="false">IF(B1176="","",IFERROR(INDEX(EN_Des,MATCH(B1176,EN_Code,0)),"Code inconnu"))</f>
        <v/>
      </c>
      <c r="D1176" s="25"/>
      <c r="E1176" s="25"/>
      <c r="F1176" s="82"/>
      <c r="G1176" s="82"/>
      <c r="H1176" s="83" t="str">
        <f aca="false">IF(OR(F1176="",G1176=""),"",G1176-F1176)</f>
        <v/>
      </c>
      <c r="I1176" s="82"/>
      <c r="J1176" s="82"/>
      <c r="K1176" s="28"/>
      <c r="L1176" s="90" t="str">
        <f aca="false">IF(OR(K1176="",N(H1176)=0),"",K1176/H1176)</f>
        <v/>
      </c>
      <c r="M1176" s="68"/>
      <c r="N1176" s="28"/>
      <c r="O1176" s="25"/>
      <c r="P1176" s="83" t="str">
        <f aca="false">IF(OR(N1176="",N(H1176)=0),"",N1176/H1176)</f>
        <v/>
      </c>
      <c r="Q1176" s="25"/>
    </row>
    <row r="1177" customFormat="false" ht="15" hidden="false" customHeight="false" outlineLevel="0" collapsed="false">
      <c r="A1177" s="69"/>
      <c r="B1177" s="68"/>
      <c r="C1177" s="76" t="str">
        <f aca="false">IF(B1177="","",IFERROR(INDEX(EN_Des,MATCH(B1177,EN_Code,0)),"Code inconnu"))</f>
        <v/>
      </c>
      <c r="D1177" s="25"/>
      <c r="E1177" s="25"/>
      <c r="F1177" s="82"/>
      <c r="G1177" s="82"/>
      <c r="H1177" s="83" t="str">
        <f aca="false">IF(OR(F1177="",G1177=""),"",G1177-F1177)</f>
        <v/>
      </c>
      <c r="I1177" s="82"/>
      <c r="J1177" s="82"/>
      <c r="K1177" s="28"/>
      <c r="L1177" s="90" t="str">
        <f aca="false">IF(OR(K1177="",N(H1177)=0),"",K1177/H1177)</f>
        <v/>
      </c>
      <c r="M1177" s="68"/>
      <c r="N1177" s="28"/>
      <c r="O1177" s="25"/>
      <c r="P1177" s="83" t="str">
        <f aca="false">IF(OR(N1177="",N(H1177)=0),"",N1177/H1177)</f>
        <v/>
      </c>
      <c r="Q1177" s="25"/>
    </row>
    <row r="1178" customFormat="false" ht="15" hidden="false" customHeight="false" outlineLevel="0" collapsed="false">
      <c r="A1178" s="69"/>
      <c r="B1178" s="68"/>
      <c r="C1178" s="76" t="str">
        <f aca="false">IF(B1178="","",IFERROR(INDEX(EN_Des,MATCH(B1178,EN_Code,0)),"Code inconnu"))</f>
        <v/>
      </c>
      <c r="D1178" s="25"/>
      <c r="E1178" s="25"/>
      <c r="F1178" s="82"/>
      <c r="G1178" s="82"/>
      <c r="H1178" s="83" t="str">
        <f aca="false">IF(OR(F1178="",G1178=""),"",G1178-F1178)</f>
        <v/>
      </c>
      <c r="I1178" s="82"/>
      <c r="J1178" s="82"/>
      <c r="K1178" s="28"/>
      <c r="L1178" s="90" t="str">
        <f aca="false">IF(OR(K1178="",N(H1178)=0),"",K1178/H1178)</f>
        <v/>
      </c>
      <c r="M1178" s="68"/>
      <c r="N1178" s="28"/>
      <c r="O1178" s="25"/>
      <c r="P1178" s="83" t="str">
        <f aca="false">IF(OR(N1178="",N(H1178)=0),"",N1178/H1178)</f>
        <v/>
      </c>
      <c r="Q1178" s="25"/>
    </row>
    <row r="1179" customFormat="false" ht="15" hidden="false" customHeight="false" outlineLevel="0" collapsed="false">
      <c r="A1179" s="69"/>
      <c r="B1179" s="68"/>
      <c r="C1179" s="76" t="str">
        <f aca="false">IF(B1179="","",IFERROR(INDEX(EN_Des,MATCH(B1179,EN_Code,0)),"Code inconnu"))</f>
        <v/>
      </c>
      <c r="D1179" s="25"/>
      <c r="E1179" s="25"/>
      <c r="F1179" s="82"/>
      <c r="G1179" s="82"/>
      <c r="H1179" s="83" t="str">
        <f aca="false">IF(OR(F1179="",G1179=""),"",G1179-F1179)</f>
        <v/>
      </c>
      <c r="I1179" s="82"/>
      <c r="J1179" s="82"/>
      <c r="K1179" s="28"/>
      <c r="L1179" s="90" t="str">
        <f aca="false">IF(OR(K1179="",N(H1179)=0),"",K1179/H1179)</f>
        <v/>
      </c>
      <c r="M1179" s="68"/>
      <c r="N1179" s="28"/>
      <c r="O1179" s="25"/>
      <c r="P1179" s="83" t="str">
        <f aca="false">IF(OR(N1179="",N(H1179)=0),"",N1179/H1179)</f>
        <v/>
      </c>
      <c r="Q1179" s="25"/>
    </row>
    <row r="1180" customFormat="false" ht="15" hidden="false" customHeight="false" outlineLevel="0" collapsed="false">
      <c r="A1180" s="69"/>
      <c r="B1180" s="68"/>
      <c r="C1180" s="76" t="str">
        <f aca="false">IF(B1180="","",IFERROR(INDEX(EN_Des,MATCH(B1180,EN_Code,0)),"Code inconnu"))</f>
        <v/>
      </c>
      <c r="D1180" s="25"/>
      <c r="E1180" s="25"/>
      <c r="F1180" s="82"/>
      <c r="G1180" s="82"/>
      <c r="H1180" s="83" t="str">
        <f aca="false">IF(OR(F1180="",G1180=""),"",G1180-F1180)</f>
        <v/>
      </c>
      <c r="I1180" s="82"/>
      <c r="J1180" s="82"/>
      <c r="K1180" s="28"/>
      <c r="L1180" s="90" t="str">
        <f aca="false">IF(OR(K1180="",N(H1180)=0),"",K1180/H1180)</f>
        <v/>
      </c>
      <c r="M1180" s="68"/>
      <c r="N1180" s="28"/>
      <c r="O1180" s="25"/>
      <c r="P1180" s="83" t="str">
        <f aca="false">IF(OR(N1180="",N(H1180)=0),"",N1180/H1180)</f>
        <v/>
      </c>
      <c r="Q1180" s="25"/>
    </row>
    <row r="1181" customFormat="false" ht="15" hidden="false" customHeight="false" outlineLevel="0" collapsed="false">
      <c r="A1181" s="69"/>
      <c r="B1181" s="68"/>
      <c r="C1181" s="76" t="str">
        <f aca="false">IF(B1181="","",IFERROR(INDEX(EN_Des,MATCH(B1181,EN_Code,0)),"Code inconnu"))</f>
        <v/>
      </c>
      <c r="D1181" s="25"/>
      <c r="E1181" s="25"/>
      <c r="F1181" s="82"/>
      <c r="G1181" s="82"/>
      <c r="H1181" s="83" t="str">
        <f aca="false">IF(OR(F1181="",G1181=""),"",G1181-F1181)</f>
        <v/>
      </c>
      <c r="I1181" s="82"/>
      <c r="J1181" s="82"/>
      <c r="K1181" s="28"/>
      <c r="L1181" s="90" t="str">
        <f aca="false">IF(OR(K1181="",N(H1181)=0),"",K1181/H1181)</f>
        <v/>
      </c>
      <c r="M1181" s="68"/>
      <c r="N1181" s="28"/>
      <c r="O1181" s="25"/>
      <c r="P1181" s="83" t="str">
        <f aca="false">IF(OR(N1181="",N(H1181)=0),"",N1181/H1181)</f>
        <v/>
      </c>
      <c r="Q1181" s="25"/>
    </row>
    <row r="1182" customFormat="false" ht="15" hidden="false" customHeight="false" outlineLevel="0" collapsed="false">
      <c r="A1182" s="69"/>
      <c r="B1182" s="68"/>
      <c r="C1182" s="76" t="str">
        <f aca="false">IF(B1182="","",IFERROR(INDEX(EN_Des,MATCH(B1182,EN_Code,0)),"Code inconnu"))</f>
        <v/>
      </c>
      <c r="D1182" s="25"/>
      <c r="E1182" s="25"/>
      <c r="F1182" s="82"/>
      <c r="G1182" s="82"/>
      <c r="H1182" s="83" t="str">
        <f aca="false">IF(OR(F1182="",G1182=""),"",G1182-F1182)</f>
        <v/>
      </c>
      <c r="I1182" s="82"/>
      <c r="J1182" s="82"/>
      <c r="K1182" s="28"/>
      <c r="L1182" s="90" t="str">
        <f aca="false">IF(OR(K1182="",N(H1182)=0),"",K1182/H1182)</f>
        <v/>
      </c>
      <c r="M1182" s="68"/>
      <c r="N1182" s="28"/>
      <c r="O1182" s="25"/>
      <c r="P1182" s="83" t="str">
        <f aca="false">IF(OR(N1182="",N(H1182)=0),"",N1182/H1182)</f>
        <v/>
      </c>
      <c r="Q1182" s="25"/>
    </row>
    <row r="1183" customFormat="false" ht="15" hidden="false" customHeight="false" outlineLevel="0" collapsed="false">
      <c r="A1183" s="69"/>
      <c r="B1183" s="68"/>
      <c r="C1183" s="76" t="str">
        <f aca="false">IF(B1183="","",IFERROR(INDEX(EN_Des,MATCH(B1183,EN_Code,0)),"Code inconnu"))</f>
        <v/>
      </c>
      <c r="D1183" s="25"/>
      <c r="E1183" s="25"/>
      <c r="F1183" s="82"/>
      <c r="G1183" s="82"/>
      <c r="H1183" s="83" t="str">
        <f aca="false">IF(OR(F1183="",G1183=""),"",G1183-F1183)</f>
        <v/>
      </c>
      <c r="I1183" s="82"/>
      <c r="J1183" s="82"/>
      <c r="K1183" s="28"/>
      <c r="L1183" s="90" t="str">
        <f aca="false">IF(OR(K1183="",N(H1183)=0),"",K1183/H1183)</f>
        <v/>
      </c>
      <c r="M1183" s="68"/>
      <c r="N1183" s="28"/>
      <c r="O1183" s="25"/>
      <c r="P1183" s="83" t="str">
        <f aca="false">IF(OR(N1183="",N(H1183)=0),"",N1183/H1183)</f>
        <v/>
      </c>
      <c r="Q1183" s="25"/>
    </row>
    <row r="1184" customFormat="false" ht="15" hidden="false" customHeight="false" outlineLevel="0" collapsed="false">
      <c r="A1184" s="69"/>
      <c r="B1184" s="68"/>
      <c r="C1184" s="76" t="str">
        <f aca="false">IF(B1184="","",IFERROR(INDEX(EN_Des,MATCH(B1184,EN_Code,0)),"Code inconnu"))</f>
        <v/>
      </c>
      <c r="D1184" s="25"/>
      <c r="E1184" s="25"/>
      <c r="F1184" s="82"/>
      <c r="G1184" s="82"/>
      <c r="H1184" s="83" t="str">
        <f aca="false">IF(OR(F1184="",G1184=""),"",G1184-F1184)</f>
        <v/>
      </c>
      <c r="I1184" s="82"/>
      <c r="J1184" s="82"/>
      <c r="K1184" s="28"/>
      <c r="L1184" s="90" t="str">
        <f aca="false">IF(OR(K1184="",N(H1184)=0),"",K1184/H1184)</f>
        <v/>
      </c>
      <c r="M1184" s="68"/>
      <c r="N1184" s="28"/>
      <c r="O1184" s="25"/>
      <c r="P1184" s="83" t="str">
        <f aca="false">IF(OR(N1184="",N(H1184)=0),"",N1184/H1184)</f>
        <v/>
      </c>
      <c r="Q1184" s="25"/>
    </row>
    <row r="1185" customFormat="false" ht="15" hidden="false" customHeight="false" outlineLevel="0" collapsed="false">
      <c r="A1185" s="69"/>
      <c r="B1185" s="68"/>
      <c r="C1185" s="76" t="str">
        <f aca="false">IF(B1185="","",IFERROR(INDEX(EN_Des,MATCH(B1185,EN_Code,0)),"Code inconnu"))</f>
        <v/>
      </c>
      <c r="D1185" s="25"/>
      <c r="E1185" s="25"/>
      <c r="F1185" s="82"/>
      <c r="G1185" s="82"/>
      <c r="H1185" s="83" t="str">
        <f aca="false">IF(OR(F1185="",G1185=""),"",G1185-F1185)</f>
        <v/>
      </c>
      <c r="I1185" s="82"/>
      <c r="J1185" s="82"/>
      <c r="K1185" s="28"/>
      <c r="L1185" s="90" t="str">
        <f aca="false">IF(OR(K1185="",N(H1185)=0),"",K1185/H1185)</f>
        <v/>
      </c>
      <c r="M1185" s="68"/>
      <c r="N1185" s="28"/>
      <c r="O1185" s="25"/>
      <c r="P1185" s="83" t="str">
        <f aca="false">IF(OR(N1185="",N(H1185)=0),"",N1185/H1185)</f>
        <v/>
      </c>
      <c r="Q1185" s="25"/>
    </row>
    <row r="1186" customFormat="false" ht="15" hidden="false" customHeight="false" outlineLevel="0" collapsed="false">
      <c r="A1186" s="69"/>
      <c r="B1186" s="68"/>
      <c r="C1186" s="76" t="str">
        <f aca="false">IF(B1186="","",IFERROR(INDEX(EN_Des,MATCH(B1186,EN_Code,0)),"Code inconnu"))</f>
        <v/>
      </c>
      <c r="D1186" s="25"/>
      <c r="E1186" s="25"/>
      <c r="F1186" s="82"/>
      <c r="G1186" s="82"/>
      <c r="H1186" s="83" t="str">
        <f aca="false">IF(OR(F1186="",G1186=""),"",G1186-F1186)</f>
        <v/>
      </c>
      <c r="I1186" s="82"/>
      <c r="J1186" s="82"/>
      <c r="K1186" s="28"/>
      <c r="L1186" s="90" t="str">
        <f aca="false">IF(OR(K1186="",N(H1186)=0),"",K1186/H1186)</f>
        <v/>
      </c>
      <c r="M1186" s="68"/>
      <c r="N1186" s="28"/>
      <c r="O1186" s="25"/>
      <c r="P1186" s="83" t="str">
        <f aca="false">IF(OR(N1186="",N(H1186)=0),"",N1186/H1186)</f>
        <v/>
      </c>
      <c r="Q1186" s="25"/>
    </row>
    <row r="1187" customFormat="false" ht="15" hidden="false" customHeight="false" outlineLevel="0" collapsed="false">
      <c r="A1187" s="69"/>
      <c r="B1187" s="68"/>
      <c r="C1187" s="76" t="str">
        <f aca="false">IF(B1187="","",IFERROR(INDEX(EN_Des,MATCH(B1187,EN_Code,0)),"Code inconnu"))</f>
        <v/>
      </c>
      <c r="D1187" s="25"/>
      <c r="E1187" s="25"/>
      <c r="F1187" s="82"/>
      <c r="G1187" s="82"/>
      <c r="H1187" s="83" t="str">
        <f aca="false">IF(OR(F1187="",G1187=""),"",G1187-F1187)</f>
        <v/>
      </c>
      <c r="I1187" s="82"/>
      <c r="J1187" s="82"/>
      <c r="K1187" s="28"/>
      <c r="L1187" s="90" t="str">
        <f aca="false">IF(OR(K1187="",N(H1187)=0),"",K1187/H1187)</f>
        <v/>
      </c>
      <c r="M1187" s="68"/>
      <c r="N1187" s="28"/>
      <c r="O1187" s="25"/>
      <c r="P1187" s="83" t="str">
        <f aca="false">IF(OR(N1187="",N(H1187)=0),"",N1187/H1187)</f>
        <v/>
      </c>
      <c r="Q1187" s="25"/>
    </row>
    <row r="1188" customFormat="false" ht="15" hidden="false" customHeight="false" outlineLevel="0" collapsed="false">
      <c r="A1188" s="69"/>
      <c r="B1188" s="68"/>
      <c r="C1188" s="76" t="str">
        <f aca="false">IF(B1188="","",IFERROR(INDEX(EN_Des,MATCH(B1188,EN_Code,0)),"Code inconnu"))</f>
        <v/>
      </c>
      <c r="D1188" s="25"/>
      <c r="E1188" s="25"/>
      <c r="F1188" s="82"/>
      <c r="G1188" s="82"/>
      <c r="H1188" s="83" t="str">
        <f aca="false">IF(OR(F1188="",G1188=""),"",G1188-F1188)</f>
        <v/>
      </c>
      <c r="I1188" s="82"/>
      <c r="J1188" s="82"/>
      <c r="K1188" s="28"/>
      <c r="L1188" s="90" t="str">
        <f aca="false">IF(OR(K1188="",N(H1188)=0),"",K1188/H1188)</f>
        <v/>
      </c>
      <c r="M1188" s="68"/>
      <c r="N1188" s="28"/>
      <c r="O1188" s="25"/>
      <c r="P1188" s="83" t="str">
        <f aca="false">IF(OR(N1188="",N(H1188)=0),"",N1188/H1188)</f>
        <v/>
      </c>
      <c r="Q1188" s="25"/>
    </row>
    <row r="1189" customFormat="false" ht="15" hidden="false" customHeight="false" outlineLevel="0" collapsed="false">
      <c r="A1189" s="69"/>
      <c r="B1189" s="68"/>
      <c r="C1189" s="76" t="str">
        <f aca="false">IF(B1189="","",IFERROR(INDEX(EN_Des,MATCH(B1189,EN_Code,0)),"Code inconnu"))</f>
        <v/>
      </c>
      <c r="D1189" s="25"/>
      <c r="E1189" s="25"/>
      <c r="F1189" s="82"/>
      <c r="G1189" s="82"/>
      <c r="H1189" s="83" t="str">
        <f aca="false">IF(OR(F1189="",G1189=""),"",G1189-F1189)</f>
        <v/>
      </c>
      <c r="I1189" s="82"/>
      <c r="J1189" s="82"/>
      <c r="K1189" s="28"/>
      <c r="L1189" s="90" t="str">
        <f aca="false">IF(OR(K1189="",N(H1189)=0),"",K1189/H1189)</f>
        <v/>
      </c>
      <c r="M1189" s="68"/>
      <c r="N1189" s="28"/>
      <c r="O1189" s="25"/>
      <c r="P1189" s="83" t="str">
        <f aca="false">IF(OR(N1189="",N(H1189)=0),"",N1189/H1189)</f>
        <v/>
      </c>
      <c r="Q1189" s="25"/>
    </row>
    <row r="1190" customFormat="false" ht="15" hidden="false" customHeight="false" outlineLevel="0" collapsed="false">
      <c r="A1190" s="69"/>
      <c r="B1190" s="68"/>
      <c r="C1190" s="76" t="str">
        <f aca="false">IF(B1190="","",IFERROR(INDEX(EN_Des,MATCH(B1190,EN_Code,0)),"Code inconnu"))</f>
        <v/>
      </c>
      <c r="D1190" s="25"/>
      <c r="E1190" s="25"/>
      <c r="F1190" s="82"/>
      <c r="G1190" s="82"/>
      <c r="H1190" s="83" t="str">
        <f aca="false">IF(OR(F1190="",G1190=""),"",G1190-F1190)</f>
        <v/>
      </c>
      <c r="I1190" s="82"/>
      <c r="J1190" s="82"/>
      <c r="K1190" s="28"/>
      <c r="L1190" s="90" t="str">
        <f aca="false">IF(OR(K1190="",N(H1190)=0),"",K1190/H1190)</f>
        <v/>
      </c>
      <c r="M1190" s="68"/>
      <c r="N1190" s="28"/>
      <c r="O1190" s="25"/>
      <c r="P1190" s="83" t="str">
        <f aca="false">IF(OR(N1190="",N(H1190)=0),"",N1190/H1190)</f>
        <v/>
      </c>
      <c r="Q1190" s="25"/>
    </row>
    <row r="1191" customFormat="false" ht="15" hidden="false" customHeight="false" outlineLevel="0" collapsed="false">
      <c r="A1191" s="69"/>
      <c r="B1191" s="68"/>
      <c r="C1191" s="76" t="str">
        <f aca="false">IF(B1191="","",IFERROR(INDEX(EN_Des,MATCH(B1191,EN_Code,0)),"Code inconnu"))</f>
        <v/>
      </c>
      <c r="D1191" s="25"/>
      <c r="E1191" s="25"/>
      <c r="F1191" s="82"/>
      <c r="G1191" s="82"/>
      <c r="H1191" s="83" t="str">
        <f aca="false">IF(OR(F1191="",G1191=""),"",G1191-F1191)</f>
        <v/>
      </c>
      <c r="I1191" s="82"/>
      <c r="J1191" s="82"/>
      <c r="K1191" s="28"/>
      <c r="L1191" s="90" t="str">
        <f aca="false">IF(OR(K1191="",N(H1191)=0),"",K1191/H1191)</f>
        <v/>
      </c>
      <c r="M1191" s="68"/>
      <c r="N1191" s="28"/>
      <c r="O1191" s="25"/>
      <c r="P1191" s="83" t="str">
        <f aca="false">IF(OR(N1191="",N(H1191)=0),"",N1191/H1191)</f>
        <v/>
      </c>
      <c r="Q1191" s="25"/>
    </row>
    <row r="1192" customFormat="false" ht="15" hidden="false" customHeight="false" outlineLevel="0" collapsed="false">
      <c r="A1192" s="69"/>
      <c r="B1192" s="68"/>
      <c r="C1192" s="76" t="str">
        <f aca="false">IF(B1192="","",IFERROR(INDEX(EN_Des,MATCH(B1192,EN_Code,0)),"Code inconnu"))</f>
        <v/>
      </c>
      <c r="D1192" s="25"/>
      <c r="E1192" s="25"/>
      <c r="F1192" s="82"/>
      <c r="G1192" s="82"/>
      <c r="H1192" s="83" t="str">
        <f aca="false">IF(OR(F1192="",G1192=""),"",G1192-F1192)</f>
        <v/>
      </c>
      <c r="I1192" s="82"/>
      <c r="J1192" s="82"/>
      <c r="K1192" s="28"/>
      <c r="L1192" s="90" t="str">
        <f aca="false">IF(OR(K1192="",N(H1192)=0),"",K1192/H1192)</f>
        <v/>
      </c>
      <c r="M1192" s="68"/>
      <c r="N1192" s="28"/>
      <c r="O1192" s="25"/>
      <c r="P1192" s="83" t="str">
        <f aca="false">IF(OR(N1192="",N(H1192)=0),"",N1192/H1192)</f>
        <v/>
      </c>
      <c r="Q1192" s="25"/>
    </row>
    <row r="1193" customFormat="false" ht="15" hidden="false" customHeight="false" outlineLevel="0" collapsed="false">
      <c r="A1193" s="69"/>
      <c r="B1193" s="68"/>
      <c r="C1193" s="76" t="str">
        <f aca="false">IF(B1193="","",IFERROR(INDEX(EN_Des,MATCH(B1193,EN_Code,0)),"Code inconnu"))</f>
        <v/>
      </c>
      <c r="D1193" s="25"/>
      <c r="E1193" s="25"/>
      <c r="F1193" s="82"/>
      <c r="G1193" s="82"/>
      <c r="H1193" s="83" t="str">
        <f aca="false">IF(OR(F1193="",G1193=""),"",G1193-F1193)</f>
        <v/>
      </c>
      <c r="I1193" s="82"/>
      <c r="J1193" s="82"/>
      <c r="K1193" s="28"/>
      <c r="L1193" s="90" t="str">
        <f aca="false">IF(OR(K1193="",N(H1193)=0),"",K1193/H1193)</f>
        <v/>
      </c>
      <c r="M1193" s="68"/>
      <c r="N1193" s="28"/>
      <c r="O1193" s="25"/>
      <c r="P1193" s="83" t="str">
        <f aca="false">IF(OR(N1193="",N(H1193)=0),"",N1193/H1193)</f>
        <v/>
      </c>
      <c r="Q1193" s="25"/>
    </row>
    <row r="1194" customFormat="false" ht="15" hidden="false" customHeight="false" outlineLevel="0" collapsed="false">
      <c r="A1194" s="69"/>
      <c r="B1194" s="68"/>
      <c r="C1194" s="76" t="str">
        <f aca="false">IF(B1194="","",IFERROR(INDEX(EN_Des,MATCH(B1194,EN_Code,0)),"Code inconnu"))</f>
        <v/>
      </c>
      <c r="D1194" s="25"/>
      <c r="E1194" s="25"/>
      <c r="F1194" s="82"/>
      <c r="G1194" s="82"/>
      <c r="H1194" s="83" t="str">
        <f aca="false">IF(OR(F1194="",G1194=""),"",G1194-F1194)</f>
        <v/>
      </c>
      <c r="I1194" s="82"/>
      <c r="J1194" s="82"/>
      <c r="K1194" s="28"/>
      <c r="L1194" s="90" t="str">
        <f aca="false">IF(OR(K1194="",N(H1194)=0),"",K1194/H1194)</f>
        <v/>
      </c>
      <c r="M1194" s="68"/>
      <c r="N1194" s="28"/>
      <c r="O1194" s="25"/>
      <c r="P1194" s="83" t="str">
        <f aca="false">IF(OR(N1194="",N(H1194)=0),"",N1194/H1194)</f>
        <v/>
      </c>
      <c r="Q1194" s="25"/>
    </row>
    <row r="1195" customFormat="false" ht="15" hidden="false" customHeight="false" outlineLevel="0" collapsed="false">
      <c r="A1195" s="69"/>
      <c r="B1195" s="68"/>
      <c r="C1195" s="76" t="str">
        <f aca="false">IF(B1195="","",IFERROR(INDEX(EN_Des,MATCH(B1195,EN_Code,0)),"Code inconnu"))</f>
        <v/>
      </c>
      <c r="D1195" s="25"/>
      <c r="E1195" s="25"/>
      <c r="F1195" s="82"/>
      <c r="G1195" s="82"/>
      <c r="H1195" s="83" t="str">
        <f aca="false">IF(OR(F1195="",G1195=""),"",G1195-F1195)</f>
        <v/>
      </c>
      <c r="I1195" s="82"/>
      <c r="J1195" s="82"/>
      <c r="K1195" s="28"/>
      <c r="L1195" s="90" t="str">
        <f aca="false">IF(OR(K1195="",N(H1195)=0),"",K1195/H1195)</f>
        <v/>
      </c>
      <c r="M1195" s="68"/>
      <c r="N1195" s="28"/>
      <c r="O1195" s="25"/>
      <c r="P1195" s="83" t="str">
        <f aca="false">IF(OR(N1195="",N(H1195)=0),"",N1195/H1195)</f>
        <v/>
      </c>
      <c r="Q1195" s="25"/>
    </row>
    <row r="1196" customFormat="false" ht="15" hidden="false" customHeight="false" outlineLevel="0" collapsed="false">
      <c r="A1196" s="69"/>
      <c r="B1196" s="68"/>
      <c r="C1196" s="76" t="str">
        <f aca="false">IF(B1196="","",IFERROR(INDEX(EN_Des,MATCH(B1196,EN_Code,0)),"Code inconnu"))</f>
        <v/>
      </c>
      <c r="D1196" s="25"/>
      <c r="E1196" s="25"/>
      <c r="F1196" s="82"/>
      <c r="G1196" s="82"/>
      <c r="H1196" s="83" t="str">
        <f aca="false">IF(OR(F1196="",G1196=""),"",G1196-F1196)</f>
        <v/>
      </c>
      <c r="I1196" s="82"/>
      <c r="J1196" s="82"/>
      <c r="K1196" s="28"/>
      <c r="L1196" s="90" t="str">
        <f aca="false">IF(OR(K1196="",N(H1196)=0),"",K1196/H1196)</f>
        <v/>
      </c>
      <c r="M1196" s="68"/>
      <c r="N1196" s="28"/>
      <c r="O1196" s="25"/>
      <c r="P1196" s="83" t="str">
        <f aca="false">IF(OR(N1196="",N(H1196)=0),"",N1196/H1196)</f>
        <v/>
      </c>
      <c r="Q1196" s="25"/>
    </row>
    <row r="1197" customFormat="false" ht="15" hidden="false" customHeight="false" outlineLevel="0" collapsed="false">
      <c r="A1197" s="69"/>
      <c r="B1197" s="68"/>
      <c r="C1197" s="76" t="str">
        <f aca="false">IF(B1197="","",IFERROR(INDEX(EN_Des,MATCH(B1197,EN_Code,0)),"Code inconnu"))</f>
        <v/>
      </c>
      <c r="D1197" s="25"/>
      <c r="E1197" s="25"/>
      <c r="F1197" s="82"/>
      <c r="G1197" s="82"/>
      <c r="H1197" s="83" t="str">
        <f aca="false">IF(OR(F1197="",G1197=""),"",G1197-F1197)</f>
        <v/>
      </c>
      <c r="I1197" s="82"/>
      <c r="J1197" s="82"/>
      <c r="K1197" s="28"/>
      <c r="L1197" s="90" t="str">
        <f aca="false">IF(OR(K1197="",N(H1197)=0),"",K1197/H1197)</f>
        <v/>
      </c>
      <c r="M1197" s="68"/>
      <c r="N1197" s="28"/>
      <c r="O1197" s="25"/>
      <c r="P1197" s="83" t="str">
        <f aca="false">IF(OR(N1197="",N(H1197)=0),"",N1197/H1197)</f>
        <v/>
      </c>
      <c r="Q1197" s="25"/>
    </row>
    <row r="1198" customFormat="false" ht="15" hidden="false" customHeight="false" outlineLevel="0" collapsed="false">
      <c r="A1198" s="69"/>
      <c r="B1198" s="68"/>
      <c r="C1198" s="76" t="str">
        <f aca="false">IF(B1198="","",IFERROR(INDEX(EN_Des,MATCH(B1198,EN_Code,0)),"Code inconnu"))</f>
        <v/>
      </c>
      <c r="D1198" s="25"/>
      <c r="E1198" s="25"/>
      <c r="F1198" s="82"/>
      <c r="G1198" s="82"/>
      <c r="H1198" s="83" t="str">
        <f aca="false">IF(OR(F1198="",G1198=""),"",G1198-F1198)</f>
        <v/>
      </c>
      <c r="I1198" s="82"/>
      <c r="J1198" s="82"/>
      <c r="K1198" s="28"/>
      <c r="L1198" s="90" t="str">
        <f aca="false">IF(OR(K1198="",N(H1198)=0),"",K1198/H1198)</f>
        <v/>
      </c>
      <c r="M1198" s="68"/>
      <c r="N1198" s="28"/>
      <c r="O1198" s="25"/>
      <c r="P1198" s="83" t="str">
        <f aca="false">IF(OR(N1198="",N(H1198)=0),"",N1198/H1198)</f>
        <v/>
      </c>
      <c r="Q1198" s="25"/>
    </row>
    <row r="1199" customFormat="false" ht="15" hidden="false" customHeight="false" outlineLevel="0" collapsed="false">
      <c r="A1199" s="69"/>
      <c r="B1199" s="68"/>
      <c r="C1199" s="76" t="str">
        <f aca="false">IF(B1199="","",IFERROR(INDEX(EN_Des,MATCH(B1199,EN_Code,0)),"Code inconnu"))</f>
        <v/>
      </c>
      <c r="D1199" s="25"/>
      <c r="E1199" s="25"/>
      <c r="F1199" s="82"/>
      <c r="G1199" s="82"/>
      <c r="H1199" s="83" t="str">
        <f aca="false">IF(OR(F1199="",G1199=""),"",G1199-F1199)</f>
        <v/>
      </c>
      <c r="I1199" s="82"/>
      <c r="J1199" s="82"/>
      <c r="K1199" s="28"/>
      <c r="L1199" s="90" t="str">
        <f aca="false">IF(OR(K1199="",N(H1199)=0),"",K1199/H1199)</f>
        <v/>
      </c>
      <c r="M1199" s="68"/>
      <c r="N1199" s="28"/>
      <c r="O1199" s="25"/>
      <c r="P1199" s="83" t="str">
        <f aca="false">IF(OR(N1199="",N(H1199)=0),"",N1199/H1199)</f>
        <v/>
      </c>
      <c r="Q1199" s="25"/>
    </row>
    <row r="1200" customFormat="false" ht="15" hidden="false" customHeight="false" outlineLevel="0" collapsed="false">
      <c r="A1200" s="69"/>
      <c r="B1200" s="68"/>
      <c r="C1200" s="76" t="str">
        <f aca="false">IF(B1200="","",IFERROR(INDEX(EN_Des,MATCH(B1200,EN_Code,0)),"Code inconnu"))</f>
        <v/>
      </c>
      <c r="D1200" s="25"/>
      <c r="E1200" s="25"/>
      <c r="F1200" s="82"/>
      <c r="G1200" s="82"/>
      <c r="H1200" s="83" t="str">
        <f aca="false">IF(OR(F1200="",G1200=""),"",G1200-F1200)</f>
        <v/>
      </c>
      <c r="I1200" s="82"/>
      <c r="J1200" s="82"/>
      <c r="K1200" s="28"/>
      <c r="L1200" s="90" t="str">
        <f aca="false">IF(OR(K1200="",N(H1200)=0),"",K1200/H1200)</f>
        <v/>
      </c>
      <c r="M1200" s="68"/>
      <c r="N1200" s="28"/>
      <c r="O1200" s="25"/>
      <c r="P1200" s="83" t="str">
        <f aca="false">IF(OR(N1200="",N(H1200)=0),"",N1200/H1200)</f>
        <v/>
      </c>
      <c r="Q1200" s="25"/>
    </row>
    <row r="1201" customFormat="false" ht="15" hidden="false" customHeight="false" outlineLevel="0" collapsed="false">
      <c r="A1201" s="69"/>
      <c r="B1201" s="68"/>
      <c r="C1201" s="76" t="str">
        <f aca="false">IF(B1201="","",IFERROR(INDEX(EN_Des,MATCH(B1201,EN_Code,0)),"Code inconnu"))</f>
        <v/>
      </c>
      <c r="D1201" s="25"/>
      <c r="E1201" s="25"/>
      <c r="F1201" s="82"/>
      <c r="G1201" s="82"/>
      <c r="H1201" s="83" t="str">
        <f aca="false">IF(OR(F1201="",G1201=""),"",G1201-F1201)</f>
        <v/>
      </c>
      <c r="I1201" s="82"/>
      <c r="J1201" s="82"/>
      <c r="K1201" s="28"/>
      <c r="L1201" s="90" t="str">
        <f aca="false">IF(OR(K1201="",N(H1201)=0),"",K1201/H1201)</f>
        <v/>
      </c>
      <c r="M1201" s="68"/>
      <c r="N1201" s="28"/>
      <c r="O1201" s="25"/>
      <c r="P1201" s="83" t="str">
        <f aca="false">IF(OR(N1201="",N(H1201)=0),"",N1201/H1201)</f>
        <v/>
      </c>
      <c r="Q1201" s="25"/>
    </row>
    <row r="1202" customFormat="false" ht="15" hidden="false" customHeight="false" outlineLevel="0" collapsed="false">
      <c r="A1202" s="69"/>
      <c r="B1202" s="68"/>
      <c r="C1202" s="76" t="str">
        <f aca="false">IF(B1202="","",IFERROR(INDEX(EN_Des,MATCH(B1202,EN_Code,0)),"Code inconnu"))</f>
        <v/>
      </c>
      <c r="D1202" s="25"/>
      <c r="E1202" s="25"/>
      <c r="F1202" s="82"/>
      <c r="G1202" s="82"/>
      <c r="H1202" s="83" t="str">
        <f aca="false">IF(OR(F1202="",G1202=""),"",G1202-F1202)</f>
        <v/>
      </c>
      <c r="I1202" s="82"/>
      <c r="J1202" s="82"/>
      <c r="K1202" s="28"/>
      <c r="L1202" s="90" t="str">
        <f aca="false">IF(OR(K1202="",N(H1202)=0),"",K1202/H1202)</f>
        <v/>
      </c>
      <c r="M1202" s="68"/>
      <c r="N1202" s="28"/>
      <c r="O1202" s="25"/>
      <c r="P1202" s="83" t="str">
        <f aca="false">IF(OR(N1202="",N(H1202)=0),"",N1202/H1202)</f>
        <v/>
      </c>
      <c r="Q1202" s="25"/>
    </row>
    <row r="1203" customFormat="false" ht="15" hidden="false" customHeight="false" outlineLevel="0" collapsed="false">
      <c r="A1203" s="69"/>
      <c r="B1203" s="68"/>
      <c r="C1203" s="76" t="str">
        <f aca="false">IF(B1203="","",IFERROR(INDEX(EN_Des,MATCH(B1203,EN_Code,0)),"Code inconnu"))</f>
        <v/>
      </c>
      <c r="D1203" s="25"/>
      <c r="E1203" s="25"/>
      <c r="F1203" s="82"/>
      <c r="G1203" s="82"/>
      <c r="H1203" s="83" t="str">
        <f aca="false">IF(OR(F1203="",G1203=""),"",G1203-F1203)</f>
        <v/>
      </c>
      <c r="I1203" s="82"/>
      <c r="J1203" s="82"/>
      <c r="K1203" s="28"/>
      <c r="L1203" s="90" t="str">
        <f aca="false">IF(OR(K1203="",N(H1203)=0),"",K1203/H1203)</f>
        <v/>
      </c>
      <c r="M1203" s="68"/>
      <c r="N1203" s="28"/>
      <c r="O1203" s="25"/>
      <c r="P1203" s="83" t="str">
        <f aca="false">IF(OR(N1203="",N(H1203)=0),"",N1203/H1203)</f>
        <v/>
      </c>
      <c r="Q1203" s="25"/>
    </row>
    <row r="1204" customFormat="false" ht="15" hidden="false" customHeight="false" outlineLevel="0" collapsed="false">
      <c r="A1204" s="69"/>
      <c r="B1204" s="68"/>
      <c r="C1204" s="76" t="str">
        <f aca="false">IF(B1204="","",IFERROR(INDEX(EN_Des,MATCH(B1204,EN_Code,0)),"Code inconnu"))</f>
        <v/>
      </c>
      <c r="D1204" s="25"/>
      <c r="E1204" s="25"/>
      <c r="F1204" s="82"/>
      <c r="G1204" s="82"/>
      <c r="H1204" s="83" t="str">
        <f aca="false">IF(OR(F1204="",G1204=""),"",G1204-F1204)</f>
        <v/>
      </c>
      <c r="I1204" s="82"/>
      <c r="J1204" s="82"/>
      <c r="K1204" s="28"/>
      <c r="L1204" s="90" t="str">
        <f aca="false">IF(OR(K1204="",N(H1204)=0),"",K1204/H1204)</f>
        <v/>
      </c>
      <c r="M1204" s="68"/>
      <c r="N1204" s="28"/>
      <c r="O1204" s="25"/>
      <c r="P1204" s="83" t="str">
        <f aca="false">IF(OR(N1204="",N(H1204)=0),"",N1204/H1204)</f>
        <v/>
      </c>
      <c r="Q1204" s="25"/>
    </row>
    <row r="1205" customFormat="false" ht="15" hidden="false" customHeight="false" outlineLevel="0" collapsed="false">
      <c r="A1205" s="69"/>
      <c r="B1205" s="68"/>
      <c r="C1205" s="76" t="str">
        <f aca="false">IF(B1205="","",IFERROR(INDEX(EN_Des,MATCH(B1205,EN_Code,0)),"Code inconnu"))</f>
        <v/>
      </c>
      <c r="D1205" s="25"/>
      <c r="E1205" s="25"/>
      <c r="F1205" s="82"/>
      <c r="G1205" s="82"/>
      <c r="H1205" s="83" t="str">
        <f aca="false">IF(OR(F1205="",G1205=""),"",G1205-F1205)</f>
        <v/>
      </c>
      <c r="I1205" s="82"/>
      <c r="J1205" s="82"/>
      <c r="K1205" s="28"/>
      <c r="L1205" s="90" t="str">
        <f aca="false">IF(OR(K1205="",N(H1205)=0),"",K1205/H1205)</f>
        <v/>
      </c>
      <c r="M1205" s="68"/>
      <c r="N1205" s="28"/>
      <c r="O1205" s="25"/>
      <c r="P1205" s="83" t="str">
        <f aca="false">IF(OR(N1205="",N(H1205)=0),"",N1205/H1205)</f>
        <v/>
      </c>
      <c r="Q1205" s="25"/>
    </row>
    <row r="1206" customFormat="false" ht="15" hidden="false" customHeight="false" outlineLevel="0" collapsed="false">
      <c r="A1206" s="69"/>
      <c r="B1206" s="68"/>
      <c r="C1206" s="76" t="str">
        <f aca="false">IF(B1206="","",IFERROR(INDEX(EN_Des,MATCH(B1206,EN_Code,0)),"Code inconnu"))</f>
        <v/>
      </c>
      <c r="D1206" s="25"/>
      <c r="E1206" s="25"/>
      <c r="F1206" s="82"/>
      <c r="G1206" s="82"/>
      <c r="H1206" s="83" t="str">
        <f aca="false">IF(OR(F1206="",G1206=""),"",G1206-F1206)</f>
        <v/>
      </c>
      <c r="I1206" s="82"/>
      <c r="J1206" s="82"/>
      <c r="K1206" s="28"/>
      <c r="L1206" s="90" t="str">
        <f aca="false">IF(OR(K1206="",N(H1206)=0),"",K1206/H1206)</f>
        <v/>
      </c>
      <c r="M1206" s="68"/>
      <c r="N1206" s="28"/>
      <c r="O1206" s="25"/>
      <c r="P1206" s="83" t="str">
        <f aca="false">IF(OR(N1206="",N(H1206)=0),"",N1206/H1206)</f>
        <v/>
      </c>
      <c r="Q1206" s="25"/>
    </row>
    <row r="1207" customFormat="false" ht="15" hidden="false" customHeight="false" outlineLevel="0" collapsed="false">
      <c r="A1207" s="69"/>
      <c r="B1207" s="68"/>
      <c r="C1207" s="76" t="str">
        <f aca="false">IF(B1207="","",IFERROR(INDEX(EN_Des,MATCH(B1207,EN_Code,0)),"Code inconnu"))</f>
        <v/>
      </c>
      <c r="D1207" s="25"/>
      <c r="E1207" s="25"/>
      <c r="F1207" s="82"/>
      <c r="G1207" s="82"/>
      <c r="H1207" s="83" t="str">
        <f aca="false">IF(OR(F1207="",G1207=""),"",G1207-F1207)</f>
        <v/>
      </c>
      <c r="I1207" s="82"/>
      <c r="J1207" s="82"/>
      <c r="K1207" s="28"/>
      <c r="L1207" s="90" t="str">
        <f aca="false">IF(OR(K1207="",N(H1207)=0),"",K1207/H1207)</f>
        <v/>
      </c>
      <c r="M1207" s="68"/>
      <c r="N1207" s="28"/>
      <c r="O1207" s="25"/>
      <c r="P1207" s="83" t="str">
        <f aca="false">IF(OR(N1207="",N(H1207)=0),"",N1207/H1207)</f>
        <v/>
      </c>
      <c r="Q1207" s="25"/>
    </row>
    <row r="1208" customFormat="false" ht="15" hidden="false" customHeight="false" outlineLevel="0" collapsed="false">
      <c r="A1208" s="69"/>
      <c r="B1208" s="68"/>
      <c r="C1208" s="76" t="str">
        <f aca="false">IF(B1208="","",IFERROR(INDEX(EN_Des,MATCH(B1208,EN_Code,0)),"Code inconnu"))</f>
        <v/>
      </c>
      <c r="D1208" s="25"/>
      <c r="E1208" s="25"/>
      <c r="F1208" s="82"/>
      <c r="G1208" s="82"/>
      <c r="H1208" s="83" t="str">
        <f aca="false">IF(OR(F1208="",G1208=""),"",G1208-F1208)</f>
        <v/>
      </c>
      <c r="I1208" s="82"/>
      <c r="J1208" s="82"/>
      <c r="K1208" s="28"/>
      <c r="L1208" s="90" t="str">
        <f aca="false">IF(OR(K1208="",N(H1208)=0),"",K1208/H1208)</f>
        <v/>
      </c>
      <c r="M1208" s="68"/>
      <c r="N1208" s="28"/>
      <c r="O1208" s="25"/>
      <c r="P1208" s="83" t="str">
        <f aca="false">IF(OR(N1208="",N(H1208)=0),"",N1208/H1208)</f>
        <v/>
      </c>
      <c r="Q1208" s="25"/>
    </row>
    <row r="1209" customFormat="false" ht="15" hidden="false" customHeight="false" outlineLevel="0" collapsed="false">
      <c r="A1209" s="69"/>
      <c r="B1209" s="68"/>
      <c r="C1209" s="76" t="str">
        <f aca="false">IF(B1209="","",IFERROR(INDEX(EN_Des,MATCH(B1209,EN_Code,0)),"Code inconnu"))</f>
        <v/>
      </c>
      <c r="D1209" s="25"/>
      <c r="E1209" s="25"/>
      <c r="F1209" s="82"/>
      <c r="G1209" s="82"/>
      <c r="H1209" s="83" t="str">
        <f aca="false">IF(OR(F1209="",G1209=""),"",G1209-F1209)</f>
        <v/>
      </c>
      <c r="I1209" s="82"/>
      <c r="J1209" s="82"/>
      <c r="K1209" s="28"/>
      <c r="L1209" s="90" t="str">
        <f aca="false">IF(OR(K1209="",N(H1209)=0),"",K1209/H1209)</f>
        <v/>
      </c>
      <c r="M1209" s="68"/>
      <c r="N1209" s="28"/>
      <c r="O1209" s="25"/>
      <c r="P1209" s="83" t="str">
        <f aca="false">IF(OR(N1209="",N(H1209)=0),"",N1209/H1209)</f>
        <v/>
      </c>
      <c r="Q1209" s="25"/>
    </row>
    <row r="1210" customFormat="false" ht="15" hidden="false" customHeight="false" outlineLevel="0" collapsed="false">
      <c r="A1210" s="69"/>
      <c r="B1210" s="68"/>
      <c r="C1210" s="76" t="str">
        <f aca="false">IF(B1210="","",IFERROR(INDEX(EN_Des,MATCH(B1210,EN_Code,0)),"Code inconnu"))</f>
        <v/>
      </c>
      <c r="D1210" s="25"/>
      <c r="E1210" s="25"/>
      <c r="F1210" s="82"/>
      <c r="G1210" s="82"/>
      <c r="H1210" s="83" t="str">
        <f aca="false">IF(OR(F1210="",G1210=""),"",G1210-F1210)</f>
        <v/>
      </c>
      <c r="I1210" s="82"/>
      <c r="J1210" s="82"/>
      <c r="K1210" s="28"/>
      <c r="L1210" s="90" t="str">
        <f aca="false">IF(OR(K1210="",N(H1210)=0),"",K1210/H1210)</f>
        <v/>
      </c>
      <c r="M1210" s="68"/>
      <c r="N1210" s="28"/>
      <c r="O1210" s="25"/>
      <c r="P1210" s="83" t="str">
        <f aca="false">IF(OR(N1210="",N(H1210)=0),"",N1210/H1210)</f>
        <v/>
      </c>
      <c r="Q1210" s="25"/>
    </row>
    <row r="1211" customFormat="false" ht="15" hidden="false" customHeight="false" outlineLevel="0" collapsed="false">
      <c r="A1211" s="69"/>
      <c r="B1211" s="68"/>
      <c r="C1211" s="76" t="str">
        <f aca="false">IF(B1211="","",IFERROR(INDEX(EN_Des,MATCH(B1211,EN_Code,0)),"Code inconnu"))</f>
        <v/>
      </c>
      <c r="D1211" s="25"/>
      <c r="E1211" s="25"/>
      <c r="F1211" s="82"/>
      <c r="G1211" s="82"/>
      <c r="H1211" s="83" t="str">
        <f aca="false">IF(OR(F1211="",G1211=""),"",G1211-F1211)</f>
        <v/>
      </c>
      <c r="I1211" s="82"/>
      <c r="J1211" s="82"/>
      <c r="K1211" s="28"/>
      <c r="L1211" s="90" t="str">
        <f aca="false">IF(OR(K1211="",N(H1211)=0),"",K1211/H1211)</f>
        <v/>
      </c>
      <c r="M1211" s="68"/>
      <c r="N1211" s="28"/>
      <c r="O1211" s="25"/>
      <c r="P1211" s="83" t="str">
        <f aca="false">IF(OR(N1211="",N(H1211)=0),"",N1211/H1211)</f>
        <v/>
      </c>
      <c r="Q1211" s="25"/>
    </row>
    <row r="1212" customFormat="false" ht="15" hidden="false" customHeight="false" outlineLevel="0" collapsed="false">
      <c r="A1212" s="69"/>
      <c r="B1212" s="68"/>
      <c r="C1212" s="76" t="str">
        <f aca="false">IF(B1212="","",IFERROR(INDEX(EN_Des,MATCH(B1212,EN_Code,0)),"Code inconnu"))</f>
        <v/>
      </c>
      <c r="D1212" s="25"/>
      <c r="E1212" s="25"/>
      <c r="F1212" s="82"/>
      <c r="G1212" s="82"/>
      <c r="H1212" s="83" t="str">
        <f aca="false">IF(OR(F1212="",G1212=""),"",G1212-F1212)</f>
        <v/>
      </c>
      <c r="I1212" s="82"/>
      <c r="J1212" s="82"/>
      <c r="K1212" s="28"/>
      <c r="L1212" s="90" t="str">
        <f aca="false">IF(OR(K1212="",N(H1212)=0),"",K1212/H1212)</f>
        <v/>
      </c>
      <c r="M1212" s="68"/>
      <c r="N1212" s="28"/>
      <c r="O1212" s="25"/>
      <c r="P1212" s="83" t="str">
        <f aca="false">IF(OR(N1212="",N(H1212)=0),"",N1212/H1212)</f>
        <v/>
      </c>
      <c r="Q1212" s="25"/>
    </row>
    <row r="1213" customFormat="false" ht="15" hidden="false" customHeight="false" outlineLevel="0" collapsed="false">
      <c r="A1213" s="69"/>
      <c r="B1213" s="68"/>
      <c r="C1213" s="76" t="str">
        <f aca="false">IF(B1213="","",IFERROR(INDEX(EN_Des,MATCH(B1213,EN_Code,0)),"Code inconnu"))</f>
        <v/>
      </c>
      <c r="D1213" s="25"/>
      <c r="E1213" s="25"/>
      <c r="F1213" s="82"/>
      <c r="G1213" s="82"/>
      <c r="H1213" s="83" t="str">
        <f aca="false">IF(OR(F1213="",G1213=""),"",G1213-F1213)</f>
        <v/>
      </c>
      <c r="I1213" s="82"/>
      <c r="J1213" s="82"/>
      <c r="K1213" s="28"/>
      <c r="L1213" s="90" t="str">
        <f aca="false">IF(OR(K1213="",N(H1213)=0),"",K1213/H1213)</f>
        <v/>
      </c>
      <c r="M1213" s="68"/>
      <c r="N1213" s="28"/>
      <c r="O1213" s="25"/>
      <c r="P1213" s="83" t="str">
        <f aca="false">IF(OR(N1213="",N(H1213)=0),"",N1213/H1213)</f>
        <v/>
      </c>
      <c r="Q1213" s="25"/>
    </row>
    <row r="1214" customFormat="false" ht="15" hidden="false" customHeight="false" outlineLevel="0" collapsed="false">
      <c r="A1214" s="69"/>
      <c r="B1214" s="68"/>
      <c r="C1214" s="76" t="str">
        <f aca="false">IF(B1214="","",IFERROR(INDEX(EN_Des,MATCH(B1214,EN_Code,0)),"Code inconnu"))</f>
        <v/>
      </c>
      <c r="D1214" s="25"/>
      <c r="E1214" s="25"/>
      <c r="F1214" s="82"/>
      <c r="G1214" s="82"/>
      <c r="H1214" s="83" t="str">
        <f aca="false">IF(OR(F1214="",G1214=""),"",G1214-F1214)</f>
        <v/>
      </c>
      <c r="I1214" s="82"/>
      <c r="J1214" s="82"/>
      <c r="K1214" s="28"/>
      <c r="L1214" s="90" t="str">
        <f aca="false">IF(OR(K1214="",N(H1214)=0),"",K1214/H1214)</f>
        <v/>
      </c>
      <c r="M1214" s="68"/>
      <c r="N1214" s="28"/>
      <c r="O1214" s="25"/>
      <c r="P1214" s="83" t="str">
        <f aca="false">IF(OR(N1214="",N(H1214)=0),"",N1214/H1214)</f>
        <v/>
      </c>
      <c r="Q1214" s="25"/>
    </row>
    <row r="1215" customFormat="false" ht="15" hidden="false" customHeight="false" outlineLevel="0" collapsed="false">
      <c r="A1215" s="69"/>
      <c r="B1215" s="68"/>
      <c r="C1215" s="76" t="str">
        <f aca="false">IF(B1215="","",IFERROR(INDEX(EN_Des,MATCH(B1215,EN_Code,0)),"Code inconnu"))</f>
        <v/>
      </c>
      <c r="D1215" s="25"/>
      <c r="E1215" s="25"/>
      <c r="F1215" s="82"/>
      <c r="G1215" s="82"/>
      <c r="H1215" s="83" t="str">
        <f aca="false">IF(OR(F1215="",G1215=""),"",G1215-F1215)</f>
        <v/>
      </c>
      <c r="I1215" s="82"/>
      <c r="J1215" s="82"/>
      <c r="K1215" s="28"/>
      <c r="L1215" s="90" t="str">
        <f aca="false">IF(OR(K1215="",N(H1215)=0),"",K1215/H1215)</f>
        <v/>
      </c>
      <c r="M1215" s="68"/>
      <c r="N1215" s="28"/>
      <c r="O1215" s="25"/>
      <c r="P1215" s="83" t="str">
        <f aca="false">IF(OR(N1215="",N(H1215)=0),"",N1215/H1215)</f>
        <v/>
      </c>
      <c r="Q1215" s="25"/>
    </row>
    <row r="1216" customFormat="false" ht="15" hidden="false" customHeight="false" outlineLevel="0" collapsed="false">
      <c r="A1216" s="69"/>
      <c r="B1216" s="68"/>
      <c r="C1216" s="76" t="str">
        <f aca="false">IF(B1216="","",IFERROR(INDEX(EN_Des,MATCH(B1216,EN_Code,0)),"Code inconnu"))</f>
        <v/>
      </c>
      <c r="D1216" s="25"/>
      <c r="E1216" s="25"/>
      <c r="F1216" s="82"/>
      <c r="G1216" s="82"/>
      <c r="H1216" s="83" t="str">
        <f aca="false">IF(OR(F1216="",G1216=""),"",G1216-F1216)</f>
        <v/>
      </c>
      <c r="I1216" s="82"/>
      <c r="J1216" s="82"/>
      <c r="K1216" s="28"/>
      <c r="L1216" s="90" t="str">
        <f aca="false">IF(OR(K1216="",N(H1216)=0),"",K1216/H1216)</f>
        <v/>
      </c>
      <c r="M1216" s="68"/>
      <c r="N1216" s="28"/>
      <c r="O1216" s="25"/>
      <c r="P1216" s="83" t="str">
        <f aca="false">IF(OR(N1216="",N(H1216)=0),"",N1216/H1216)</f>
        <v/>
      </c>
      <c r="Q1216" s="25"/>
    </row>
    <row r="1217" customFormat="false" ht="15" hidden="false" customHeight="false" outlineLevel="0" collapsed="false">
      <c r="A1217" s="69"/>
      <c r="B1217" s="68"/>
      <c r="C1217" s="76" t="str">
        <f aca="false">IF(B1217="","",IFERROR(INDEX(EN_Des,MATCH(B1217,EN_Code,0)),"Code inconnu"))</f>
        <v/>
      </c>
      <c r="D1217" s="25"/>
      <c r="E1217" s="25"/>
      <c r="F1217" s="82"/>
      <c r="G1217" s="82"/>
      <c r="H1217" s="83" t="str">
        <f aca="false">IF(OR(F1217="",G1217=""),"",G1217-F1217)</f>
        <v/>
      </c>
      <c r="I1217" s="82"/>
      <c r="J1217" s="82"/>
      <c r="K1217" s="28"/>
      <c r="L1217" s="90" t="str">
        <f aca="false">IF(OR(K1217="",N(H1217)=0),"",K1217/H1217)</f>
        <v/>
      </c>
      <c r="M1217" s="68"/>
      <c r="N1217" s="28"/>
      <c r="O1217" s="25"/>
      <c r="P1217" s="83" t="str">
        <f aca="false">IF(OR(N1217="",N(H1217)=0),"",N1217/H1217)</f>
        <v/>
      </c>
      <c r="Q1217" s="25"/>
    </row>
    <row r="1218" customFormat="false" ht="15" hidden="false" customHeight="false" outlineLevel="0" collapsed="false">
      <c r="A1218" s="69"/>
      <c r="B1218" s="68"/>
      <c r="C1218" s="76" t="str">
        <f aca="false">IF(B1218="","",IFERROR(INDEX(EN_Des,MATCH(B1218,EN_Code,0)),"Code inconnu"))</f>
        <v/>
      </c>
      <c r="D1218" s="25"/>
      <c r="E1218" s="25"/>
      <c r="F1218" s="82"/>
      <c r="G1218" s="82"/>
      <c r="H1218" s="83" t="str">
        <f aca="false">IF(OR(F1218="",G1218=""),"",G1218-F1218)</f>
        <v/>
      </c>
      <c r="I1218" s="82"/>
      <c r="J1218" s="82"/>
      <c r="K1218" s="28"/>
      <c r="L1218" s="90" t="str">
        <f aca="false">IF(OR(K1218="",N(H1218)=0),"",K1218/H1218)</f>
        <v/>
      </c>
      <c r="M1218" s="68"/>
      <c r="N1218" s="28"/>
      <c r="O1218" s="25"/>
      <c r="P1218" s="83" t="str">
        <f aca="false">IF(OR(N1218="",N(H1218)=0),"",N1218/H1218)</f>
        <v/>
      </c>
      <c r="Q1218" s="25"/>
    </row>
    <row r="1219" customFormat="false" ht="15" hidden="false" customHeight="false" outlineLevel="0" collapsed="false">
      <c r="A1219" s="69"/>
      <c r="B1219" s="68"/>
      <c r="C1219" s="76" t="str">
        <f aca="false">IF(B1219="","",IFERROR(INDEX(EN_Des,MATCH(B1219,EN_Code,0)),"Code inconnu"))</f>
        <v/>
      </c>
      <c r="D1219" s="25"/>
      <c r="E1219" s="25"/>
      <c r="F1219" s="82"/>
      <c r="G1219" s="82"/>
      <c r="H1219" s="83" t="str">
        <f aca="false">IF(OR(F1219="",G1219=""),"",G1219-F1219)</f>
        <v/>
      </c>
      <c r="I1219" s="82"/>
      <c r="J1219" s="82"/>
      <c r="K1219" s="28"/>
      <c r="L1219" s="90" t="str">
        <f aca="false">IF(OR(K1219="",N(H1219)=0),"",K1219/H1219)</f>
        <v/>
      </c>
      <c r="M1219" s="68"/>
      <c r="N1219" s="28"/>
      <c r="O1219" s="25"/>
      <c r="P1219" s="83" t="str">
        <f aca="false">IF(OR(N1219="",N(H1219)=0),"",N1219/H1219)</f>
        <v/>
      </c>
      <c r="Q1219" s="25"/>
    </row>
    <row r="1220" customFormat="false" ht="15" hidden="false" customHeight="false" outlineLevel="0" collapsed="false">
      <c r="A1220" s="69"/>
      <c r="B1220" s="68"/>
      <c r="C1220" s="76" t="str">
        <f aca="false">IF(B1220="","",IFERROR(INDEX(EN_Des,MATCH(B1220,EN_Code,0)),"Code inconnu"))</f>
        <v/>
      </c>
      <c r="D1220" s="25"/>
      <c r="E1220" s="25"/>
      <c r="F1220" s="82"/>
      <c r="G1220" s="82"/>
      <c r="H1220" s="83" t="str">
        <f aca="false">IF(OR(F1220="",G1220=""),"",G1220-F1220)</f>
        <v/>
      </c>
      <c r="I1220" s="82"/>
      <c r="J1220" s="82"/>
      <c r="K1220" s="28"/>
      <c r="L1220" s="90" t="str">
        <f aca="false">IF(OR(K1220="",N(H1220)=0),"",K1220/H1220)</f>
        <v/>
      </c>
      <c r="M1220" s="68"/>
      <c r="N1220" s="28"/>
      <c r="O1220" s="25"/>
      <c r="P1220" s="83" t="str">
        <f aca="false">IF(OR(N1220="",N(H1220)=0),"",N1220/H1220)</f>
        <v/>
      </c>
      <c r="Q1220" s="25"/>
    </row>
    <row r="1221" customFormat="false" ht="15" hidden="false" customHeight="false" outlineLevel="0" collapsed="false">
      <c r="A1221" s="69"/>
      <c r="B1221" s="68"/>
      <c r="C1221" s="76" t="str">
        <f aca="false">IF(B1221="","",IFERROR(INDEX(EN_Des,MATCH(B1221,EN_Code,0)),"Code inconnu"))</f>
        <v/>
      </c>
      <c r="D1221" s="25"/>
      <c r="E1221" s="25"/>
      <c r="F1221" s="82"/>
      <c r="G1221" s="82"/>
      <c r="H1221" s="83" t="str">
        <f aca="false">IF(OR(F1221="",G1221=""),"",G1221-F1221)</f>
        <v/>
      </c>
      <c r="I1221" s="82"/>
      <c r="J1221" s="82"/>
      <c r="K1221" s="28"/>
      <c r="L1221" s="90" t="str">
        <f aca="false">IF(OR(K1221="",N(H1221)=0),"",K1221/H1221)</f>
        <v/>
      </c>
      <c r="M1221" s="68"/>
      <c r="N1221" s="28"/>
      <c r="O1221" s="25"/>
      <c r="P1221" s="83" t="str">
        <f aca="false">IF(OR(N1221="",N(H1221)=0),"",N1221/H1221)</f>
        <v/>
      </c>
      <c r="Q1221" s="25"/>
    </row>
    <row r="1222" customFormat="false" ht="15" hidden="false" customHeight="false" outlineLevel="0" collapsed="false">
      <c r="A1222" s="69"/>
      <c r="B1222" s="68"/>
      <c r="C1222" s="76" t="str">
        <f aca="false">IF(B1222="","",IFERROR(INDEX(EN_Des,MATCH(B1222,EN_Code,0)),"Code inconnu"))</f>
        <v/>
      </c>
      <c r="D1222" s="25"/>
      <c r="E1222" s="25"/>
      <c r="F1222" s="82"/>
      <c r="G1222" s="82"/>
      <c r="H1222" s="83" t="str">
        <f aca="false">IF(OR(F1222="",G1222=""),"",G1222-F1222)</f>
        <v/>
      </c>
      <c r="I1222" s="82"/>
      <c r="J1222" s="82"/>
      <c r="K1222" s="28"/>
      <c r="L1222" s="90" t="str">
        <f aca="false">IF(OR(K1222="",N(H1222)=0),"",K1222/H1222)</f>
        <v/>
      </c>
      <c r="M1222" s="68"/>
      <c r="N1222" s="28"/>
      <c r="O1222" s="25"/>
      <c r="P1222" s="83" t="str">
        <f aca="false">IF(OR(N1222="",N(H1222)=0),"",N1222/H1222)</f>
        <v/>
      </c>
      <c r="Q1222" s="25"/>
    </row>
    <row r="1223" customFormat="false" ht="15" hidden="false" customHeight="false" outlineLevel="0" collapsed="false">
      <c r="A1223" s="69"/>
      <c r="B1223" s="68"/>
      <c r="C1223" s="76" t="str">
        <f aca="false">IF(B1223="","",IFERROR(INDEX(EN_Des,MATCH(B1223,EN_Code,0)),"Code inconnu"))</f>
        <v/>
      </c>
      <c r="D1223" s="25"/>
      <c r="E1223" s="25"/>
      <c r="F1223" s="82"/>
      <c r="G1223" s="82"/>
      <c r="H1223" s="83" t="str">
        <f aca="false">IF(OR(F1223="",G1223=""),"",G1223-F1223)</f>
        <v/>
      </c>
      <c r="I1223" s="82"/>
      <c r="J1223" s="82"/>
      <c r="K1223" s="28"/>
      <c r="L1223" s="90" t="str">
        <f aca="false">IF(OR(K1223="",N(H1223)=0),"",K1223/H1223)</f>
        <v/>
      </c>
      <c r="M1223" s="68"/>
      <c r="N1223" s="28"/>
      <c r="O1223" s="25"/>
      <c r="P1223" s="83" t="str">
        <f aca="false">IF(OR(N1223="",N(H1223)=0),"",N1223/H1223)</f>
        <v/>
      </c>
      <c r="Q1223" s="25"/>
    </row>
    <row r="1224" customFormat="false" ht="15" hidden="false" customHeight="false" outlineLevel="0" collapsed="false">
      <c r="A1224" s="69"/>
      <c r="B1224" s="68"/>
      <c r="C1224" s="76" t="str">
        <f aca="false">IF(B1224="","",IFERROR(INDEX(EN_Des,MATCH(B1224,EN_Code,0)),"Code inconnu"))</f>
        <v/>
      </c>
      <c r="D1224" s="25"/>
      <c r="E1224" s="25"/>
      <c r="F1224" s="82"/>
      <c r="G1224" s="82"/>
      <c r="H1224" s="83" t="str">
        <f aca="false">IF(OR(F1224="",G1224=""),"",G1224-F1224)</f>
        <v/>
      </c>
      <c r="I1224" s="82"/>
      <c r="J1224" s="82"/>
      <c r="K1224" s="28"/>
      <c r="L1224" s="90" t="str">
        <f aca="false">IF(OR(K1224="",N(H1224)=0),"",K1224/H1224)</f>
        <v/>
      </c>
      <c r="M1224" s="68"/>
      <c r="N1224" s="28"/>
      <c r="O1224" s="25"/>
      <c r="P1224" s="83" t="str">
        <f aca="false">IF(OR(N1224="",N(H1224)=0),"",N1224/H1224)</f>
        <v/>
      </c>
      <c r="Q1224" s="25"/>
    </row>
    <row r="1225" customFormat="false" ht="15" hidden="false" customHeight="false" outlineLevel="0" collapsed="false">
      <c r="A1225" s="69"/>
      <c r="B1225" s="68"/>
      <c r="C1225" s="76" t="str">
        <f aca="false">IF(B1225="","",IFERROR(INDEX(EN_Des,MATCH(B1225,EN_Code,0)),"Code inconnu"))</f>
        <v/>
      </c>
      <c r="D1225" s="25"/>
      <c r="E1225" s="25"/>
      <c r="F1225" s="82"/>
      <c r="G1225" s="82"/>
      <c r="H1225" s="83" t="str">
        <f aca="false">IF(OR(F1225="",G1225=""),"",G1225-F1225)</f>
        <v/>
      </c>
      <c r="I1225" s="82"/>
      <c r="J1225" s="82"/>
      <c r="K1225" s="28"/>
      <c r="L1225" s="90" t="str">
        <f aca="false">IF(OR(K1225="",N(H1225)=0),"",K1225/H1225)</f>
        <v/>
      </c>
      <c r="M1225" s="68"/>
      <c r="N1225" s="28"/>
      <c r="O1225" s="25"/>
      <c r="P1225" s="83" t="str">
        <f aca="false">IF(OR(N1225="",N(H1225)=0),"",N1225/H1225)</f>
        <v/>
      </c>
      <c r="Q1225" s="25"/>
    </row>
    <row r="1226" customFormat="false" ht="15" hidden="false" customHeight="false" outlineLevel="0" collapsed="false">
      <c r="A1226" s="69"/>
      <c r="B1226" s="68"/>
      <c r="C1226" s="76" t="str">
        <f aca="false">IF(B1226="","",IFERROR(INDEX(EN_Des,MATCH(B1226,EN_Code,0)),"Code inconnu"))</f>
        <v/>
      </c>
      <c r="D1226" s="25"/>
      <c r="E1226" s="25"/>
      <c r="F1226" s="82"/>
      <c r="G1226" s="82"/>
      <c r="H1226" s="83" t="str">
        <f aca="false">IF(OR(F1226="",G1226=""),"",G1226-F1226)</f>
        <v/>
      </c>
      <c r="I1226" s="82"/>
      <c r="J1226" s="82"/>
      <c r="K1226" s="28"/>
      <c r="L1226" s="90" t="str">
        <f aca="false">IF(OR(K1226="",N(H1226)=0),"",K1226/H1226)</f>
        <v/>
      </c>
      <c r="M1226" s="68"/>
      <c r="N1226" s="28"/>
      <c r="O1226" s="25"/>
      <c r="P1226" s="83" t="str">
        <f aca="false">IF(OR(N1226="",N(H1226)=0),"",N1226/H1226)</f>
        <v/>
      </c>
      <c r="Q1226" s="25"/>
    </row>
    <row r="1227" customFormat="false" ht="15" hidden="false" customHeight="false" outlineLevel="0" collapsed="false">
      <c r="A1227" s="69"/>
      <c r="B1227" s="68"/>
      <c r="C1227" s="76" t="str">
        <f aca="false">IF(B1227="","",IFERROR(INDEX(EN_Des,MATCH(B1227,EN_Code,0)),"Code inconnu"))</f>
        <v/>
      </c>
      <c r="D1227" s="25"/>
      <c r="E1227" s="25"/>
      <c r="F1227" s="82"/>
      <c r="G1227" s="82"/>
      <c r="H1227" s="83" t="str">
        <f aca="false">IF(OR(F1227="",G1227=""),"",G1227-F1227)</f>
        <v/>
      </c>
      <c r="I1227" s="82"/>
      <c r="J1227" s="82"/>
      <c r="K1227" s="28"/>
      <c r="L1227" s="90" t="str">
        <f aca="false">IF(OR(K1227="",N(H1227)=0),"",K1227/H1227)</f>
        <v/>
      </c>
      <c r="M1227" s="68"/>
      <c r="N1227" s="28"/>
      <c r="O1227" s="25"/>
      <c r="P1227" s="83" t="str">
        <f aca="false">IF(OR(N1227="",N(H1227)=0),"",N1227/H1227)</f>
        <v/>
      </c>
      <c r="Q1227" s="25"/>
    </row>
    <row r="1228" customFormat="false" ht="15" hidden="false" customHeight="false" outlineLevel="0" collapsed="false">
      <c r="A1228" s="69"/>
      <c r="B1228" s="68"/>
      <c r="C1228" s="76" t="str">
        <f aca="false">IF(B1228="","",IFERROR(INDEX(EN_Des,MATCH(B1228,EN_Code,0)),"Code inconnu"))</f>
        <v/>
      </c>
      <c r="D1228" s="25"/>
      <c r="E1228" s="25"/>
      <c r="F1228" s="82"/>
      <c r="G1228" s="82"/>
      <c r="H1228" s="83" t="str">
        <f aca="false">IF(OR(F1228="",G1228=""),"",G1228-F1228)</f>
        <v/>
      </c>
      <c r="I1228" s="82"/>
      <c r="J1228" s="82"/>
      <c r="K1228" s="28"/>
      <c r="L1228" s="90" t="str">
        <f aca="false">IF(OR(K1228="",N(H1228)=0),"",K1228/H1228)</f>
        <v/>
      </c>
      <c r="M1228" s="68"/>
      <c r="N1228" s="28"/>
      <c r="O1228" s="25"/>
      <c r="P1228" s="83" t="str">
        <f aca="false">IF(OR(N1228="",N(H1228)=0),"",N1228/H1228)</f>
        <v/>
      </c>
      <c r="Q1228" s="25"/>
    </row>
    <row r="1229" customFormat="false" ht="15" hidden="false" customHeight="false" outlineLevel="0" collapsed="false">
      <c r="A1229" s="69"/>
      <c r="B1229" s="68"/>
      <c r="C1229" s="76" t="str">
        <f aca="false">IF(B1229="","",IFERROR(INDEX(EN_Des,MATCH(B1229,EN_Code,0)),"Code inconnu"))</f>
        <v/>
      </c>
      <c r="D1229" s="25"/>
      <c r="E1229" s="25"/>
      <c r="F1229" s="82"/>
      <c r="G1229" s="82"/>
      <c r="H1229" s="83" t="str">
        <f aca="false">IF(OR(F1229="",G1229=""),"",G1229-F1229)</f>
        <v/>
      </c>
      <c r="I1229" s="82"/>
      <c r="J1229" s="82"/>
      <c r="K1229" s="28"/>
      <c r="L1229" s="90" t="str">
        <f aca="false">IF(OR(K1229="",N(H1229)=0),"",K1229/H1229)</f>
        <v/>
      </c>
      <c r="M1229" s="68"/>
      <c r="N1229" s="28"/>
      <c r="O1229" s="25"/>
      <c r="P1229" s="83" t="str">
        <f aca="false">IF(OR(N1229="",N(H1229)=0),"",N1229/H1229)</f>
        <v/>
      </c>
      <c r="Q1229" s="25"/>
    </row>
    <row r="1230" customFormat="false" ht="15" hidden="false" customHeight="false" outlineLevel="0" collapsed="false">
      <c r="A1230" s="69"/>
      <c r="B1230" s="68"/>
      <c r="C1230" s="76" t="str">
        <f aca="false">IF(B1230="","",IFERROR(INDEX(EN_Des,MATCH(B1230,EN_Code,0)),"Code inconnu"))</f>
        <v/>
      </c>
      <c r="D1230" s="25"/>
      <c r="E1230" s="25"/>
      <c r="F1230" s="82"/>
      <c r="G1230" s="82"/>
      <c r="H1230" s="83" t="str">
        <f aca="false">IF(OR(F1230="",G1230=""),"",G1230-F1230)</f>
        <v/>
      </c>
      <c r="I1230" s="82"/>
      <c r="J1230" s="82"/>
      <c r="K1230" s="28"/>
      <c r="L1230" s="90" t="str">
        <f aca="false">IF(OR(K1230="",N(H1230)=0),"",K1230/H1230)</f>
        <v/>
      </c>
      <c r="M1230" s="68"/>
      <c r="N1230" s="28"/>
      <c r="O1230" s="25"/>
      <c r="P1230" s="83" t="str">
        <f aca="false">IF(OR(N1230="",N(H1230)=0),"",N1230/H1230)</f>
        <v/>
      </c>
      <c r="Q1230" s="25"/>
    </row>
    <row r="1231" customFormat="false" ht="15" hidden="false" customHeight="false" outlineLevel="0" collapsed="false">
      <c r="A1231" s="69"/>
      <c r="B1231" s="68"/>
      <c r="C1231" s="76" t="str">
        <f aca="false">IF(B1231="","",IFERROR(INDEX(EN_Des,MATCH(B1231,EN_Code,0)),"Code inconnu"))</f>
        <v/>
      </c>
      <c r="D1231" s="25"/>
      <c r="E1231" s="25"/>
      <c r="F1231" s="82"/>
      <c r="G1231" s="82"/>
      <c r="H1231" s="83" t="str">
        <f aca="false">IF(OR(F1231="",G1231=""),"",G1231-F1231)</f>
        <v/>
      </c>
      <c r="I1231" s="82"/>
      <c r="J1231" s="82"/>
      <c r="K1231" s="28"/>
      <c r="L1231" s="90" t="str">
        <f aca="false">IF(OR(K1231="",N(H1231)=0),"",K1231/H1231)</f>
        <v/>
      </c>
      <c r="M1231" s="68"/>
      <c r="N1231" s="28"/>
      <c r="O1231" s="25"/>
      <c r="P1231" s="83" t="str">
        <f aca="false">IF(OR(N1231="",N(H1231)=0),"",N1231/H1231)</f>
        <v/>
      </c>
      <c r="Q1231" s="25"/>
    </row>
    <row r="1232" customFormat="false" ht="15" hidden="false" customHeight="false" outlineLevel="0" collapsed="false">
      <c r="A1232" s="69"/>
      <c r="B1232" s="68"/>
      <c r="C1232" s="76" t="str">
        <f aca="false">IF(B1232="","",IFERROR(INDEX(EN_Des,MATCH(B1232,EN_Code,0)),"Code inconnu"))</f>
        <v/>
      </c>
      <c r="D1232" s="25"/>
      <c r="E1232" s="25"/>
      <c r="F1232" s="82"/>
      <c r="G1232" s="82"/>
      <c r="H1232" s="83" t="str">
        <f aca="false">IF(OR(F1232="",G1232=""),"",G1232-F1232)</f>
        <v/>
      </c>
      <c r="I1232" s="82"/>
      <c r="J1232" s="82"/>
      <c r="K1232" s="28"/>
      <c r="L1232" s="90" t="str">
        <f aca="false">IF(OR(K1232="",N(H1232)=0),"",K1232/H1232)</f>
        <v/>
      </c>
      <c r="M1232" s="68"/>
      <c r="N1232" s="28"/>
      <c r="O1232" s="25"/>
      <c r="P1232" s="83" t="str">
        <f aca="false">IF(OR(N1232="",N(H1232)=0),"",N1232/H1232)</f>
        <v/>
      </c>
      <c r="Q1232" s="25"/>
    </row>
    <row r="1233" customFormat="false" ht="15" hidden="false" customHeight="false" outlineLevel="0" collapsed="false">
      <c r="A1233" s="69"/>
      <c r="B1233" s="68"/>
      <c r="C1233" s="76" t="str">
        <f aca="false">IF(B1233="","",IFERROR(INDEX(EN_Des,MATCH(B1233,EN_Code,0)),"Code inconnu"))</f>
        <v/>
      </c>
      <c r="D1233" s="25"/>
      <c r="E1233" s="25"/>
      <c r="F1233" s="82"/>
      <c r="G1233" s="82"/>
      <c r="H1233" s="83" t="str">
        <f aca="false">IF(OR(F1233="",G1233=""),"",G1233-F1233)</f>
        <v/>
      </c>
      <c r="I1233" s="82"/>
      <c r="J1233" s="82"/>
      <c r="K1233" s="28"/>
      <c r="L1233" s="90" t="str">
        <f aca="false">IF(OR(K1233="",N(H1233)=0),"",K1233/H1233)</f>
        <v/>
      </c>
      <c r="M1233" s="68"/>
      <c r="N1233" s="28"/>
      <c r="O1233" s="25"/>
      <c r="P1233" s="83" t="str">
        <f aca="false">IF(OR(N1233="",N(H1233)=0),"",N1233/H1233)</f>
        <v/>
      </c>
      <c r="Q1233" s="25"/>
    </row>
    <row r="1234" customFormat="false" ht="15" hidden="false" customHeight="false" outlineLevel="0" collapsed="false">
      <c r="A1234" s="69"/>
      <c r="B1234" s="68"/>
      <c r="C1234" s="76" t="str">
        <f aca="false">IF(B1234="","",IFERROR(INDEX(EN_Des,MATCH(B1234,EN_Code,0)),"Code inconnu"))</f>
        <v/>
      </c>
      <c r="D1234" s="25"/>
      <c r="E1234" s="25"/>
      <c r="F1234" s="82"/>
      <c r="G1234" s="82"/>
      <c r="H1234" s="83" t="str">
        <f aca="false">IF(OR(F1234="",G1234=""),"",G1234-F1234)</f>
        <v/>
      </c>
      <c r="I1234" s="82"/>
      <c r="J1234" s="82"/>
      <c r="K1234" s="28"/>
      <c r="L1234" s="90" t="str">
        <f aca="false">IF(OR(K1234="",N(H1234)=0),"",K1234/H1234)</f>
        <v/>
      </c>
      <c r="M1234" s="68"/>
      <c r="N1234" s="28"/>
      <c r="O1234" s="25"/>
      <c r="P1234" s="83" t="str">
        <f aca="false">IF(OR(N1234="",N(H1234)=0),"",N1234/H1234)</f>
        <v/>
      </c>
      <c r="Q1234" s="25"/>
    </row>
    <row r="1235" customFormat="false" ht="15" hidden="false" customHeight="false" outlineLevel="0" collapsed="false">
      <c r="A1235" s="69"/>
      <c r="B1235" s="68"/>
      <c r="C1235" s="76" t="str">
        <f aca="false">IF(B1235="","",IFERROR(INDEX(EN_Des,MATCH(B1235,EN_Code,0)),"Code inconnu"))</f>
        <v/>
      </c>
      <c r="D1235" s="25"/>
      <c r="E1235" s="25"/>
      <c r="F1235" s="82"/>
      <c r="G1235" s="82"/>
      <c r="H1235" s="83" t="str">
        <f aca="false">IF(OR(F1235="",G1235=""),"",G1235-F1235)</f>
        <v/>
      </c>
      <c r="I1235" s="82"/>
      <c r="J1235" s="82"/>
      <c r="K1235" s="28"/>
      <c r="L1235" s="90" t="str">
        <f aca="false">IF(OR(K1235="",N(H1235)=0),"",K1235/H1235)</f>
        <v/>
      </c>
      <c r="M1235" s="68"/>
      <c r="N1235" s="28"/>
      <c r="O1235" s="25"/>
      <c r="P1235" s="83" t="str">
        <f aca="false">IF(OR(N1235="",N(H1235)=0),"",N1235/H1235)</f>
        <v/>
      </c>
      <c r="Q1235" s="25"/>
    </row>
    <row r="1236" customFormat="false" ht="15" hidden="false" customHeight="false" outlineLevel="0" collapsed="false">
      <c r="A1236" s="69"/>
      <c r="B1236" s="68"/>
      <c r="C1236" s="76" t="str">
        <f aca="false">IF(B1236="","",IFERROR(INDEX(EN_Des,MATCH(B1236,EN_Code,0)),"Code inconnu"))</f>
        <v/>
      </c>
      <c r="D1236" s="25"/>
      <c r="E1236" s="25"/>
      <c r="F1236" s="82"/>
      <c r="G1236" s="82"/>
      <c r="H1236" s="83" t="str">
        <f aca="false">IF(OR(F1236="",G1236=""),"",G1236-F1236)</f>
        <v/>
      </c>
      <c r="I1236" s="82"/>
      <c r="J1236" s="82"/>
      <c r="K1236" s="28"/>
      <c r="L1236" s="90" t="str">
        <f aca="false">IF(OR(K1236="",N(H1236)=0),"",K1236/H1236)</f>
        <v/>
      </c>
      <c r="M1236" s="68"/>
      <c r="N1236" s="28"/>
      <c r="O1236" s="25"/>
      <c r="P1236" s="83" t="str">
        <f aca="false">IF(OR(N1236="",N(H1236)=0),"",N1236/H1236)</f>
        <v/>
      </c>
      <c r="Q1236" s="25"/>
    </row>
    <row r="1237" customFormat="false" ht="15" hidden="false" customHeight="false" outlineLevel="0" collapsed="false">
      <c r="A1237" s="69"/>
      <c r="B1237" s="68"/>
      <c r="C1237" s="76" t="str">
        <f aca="false">IF(B1237="","",IFERROR(INDEX(EN_Des,MATCH(B1237,EN_Code,0)),"Code inconnu"))</f>
        <v/>
      </c>
      <c r="D1237" s="25"/>
      <c r="E1237" s="25"/>
      <c r="F1237" s="82"/>
      <c r="G1237" s="82"/>
      <c r="H1237" s="83" t="str">
        <f aca="false">IF(OR(F1237="",G1237=""),"",G1237-F1237)</f>
        <v/>
      </c>
      <c r="I1237" s="82"/>
      <c r="J1237" s="82"/>
      <c r="K1237" s="28"/>
      <c r="L1237" s="90" t="str">
        <f aca="false">IF(OR(K1237="",N(H1237)=0),"",K1237/H1237)</f>
        <v/>
      </c>
      <c r="M1237" s="68"/>
      <c r="N1237" s="28"/>
      <c r="O1237" s="25"/>
      <c r="P1237" s="83" t="str">
        <f aca="false">IF(OR(N1237="",N(H1237)=0),"",N1237/H1237)</f>
        <v/>
      </c>
      <c r="Q1237" s="25"/>
    </row>
    <row r="1238" customFormat="false" ht="15" hidden="false" customHeight="false" outlineLevel="0" collapsed="false">
      <c r="A1238" s="69"/>
      <c r="B1238" s="68"/>
      <c r="C1238" s="76" t="str">
        <f aca="false">IF(B1238="","",IFERROR(INDEX(EN_Des,MATCH(B1238,EN_Code,0)),"Code inconnu"))</f>
        <v/>
      </c>
      <c r="D1238" s="25"/>
      <c r="E1238" s="25"/>
      <c r="F1238" s="82"/>
      <c r="G1238" s="82"/>
      <c r="H1238" s="83" t="str">
        <f aca="false">IF(OR(F1238="",G1238=""),"",G1238-F1238)</f>
        <v/>
      </c>
      <c r="I1238" s="82"/>
      <c r="J1238" s="82"/>
      <c r="K1238" s="28"/>
      <c r="L1238" s="90" t="str">
        <f aca="false">IF(OR(K1238="",N(H1238)=0),"",K1238/H1238)</f>
        <v/>
      </c>
      <c r="M1238" s="68"/>
      <c r="N1238" s="28"/>
      <c r="O1238" s="25"/>
      <c r="P1238" s="83" t="str">
        <f aca="false">IF(OR(N1238="",N(H1238)=0),"",N1238/H1238)</f>
        <v/>
      </c>
      <c r="Q1238" s="25"/>
    </row>
    <row r="1239" customFormat="false" ht="15" hidden="false" customHeight="false" outlineLevel="0" collapsed="false">
      <c r="A1239" s="69"/>
      <c r="B1239" s="68"/>
      <c r="C1239" s="76" t="str">
        <f aca="false">IF(B1239="","",IFERROR(INDEX(EN_Des,MATCH(B1239,EN_Code,0)),"Code inconnu"))</f>
        <v/>
      </c>
      <c r="D1239" s="25"/>
      <c r="E1239" s="25"/>
      <c r="F1239" s="82"/>
      <c r="G1239" s="82"/>
      <c r="H1239" s="83" t="str">
        <f aca="false">IF(OR(F1239="",G1239=""),"",G1239-F1239)</f>
        <v/>
      </c>
      <c r="I1239" s="82"/>
      <c r="J1239" s="82"/>
      <c r="K1239" s="28"/>
      <c r="L1239" s="90" t="str">
        <f aca="false">IF(OR(K1239="",N(H1239)=0),"",K1239/H1239)</f>
        <v/>
      </c>
      <c r="M1239" s="68"/>
      <c r="N1239" s="28"/>
      <c r="O1239" s="25"/>
      <c r="P1239" s="83" t="str">
        <f aca="false">IF(OR(N1239="",N(H1239)=0),"",N1239/H1239)</f>
        <v/>
      </c>
      <c r="Q1239" s="25"/>
    </row>
    <row r="1240" customFormat="false" ht="15" hidden="false" customHeight="false" outlineLevel="0" collapsed="false">
      <c r="A1240" s="69"/>
      <c r="B1240" s="68"/>
      <c r="C1240" s="76" t="str">
        <f aca="false">IF(B1240="","",IFERROR(INDEX(EN_Des,MATCH(B1240,EN_Code,0)),"Code inconnu"))</f>
        <v/>
      </c>
      <c r="D1240" s="25"/>
      <c r="E1240" s="25"/>
      <c r="F1240" s="82"/>
      <c r="G1240" s="82"/>
      <c r="H1240" s="83" t="str">
        <f aca="false">IF(OR(F1240="",G1240=""),"",G1240-F1240)</f>
        <v/>
      </c>
      <c r="I1240" s="82"/>
      <c r="J1240" s="82"/>
      <c r="K1240" s="28"/>
      <c r="L1240" s="90" t="str">
        <f aca="false">IF(OR(K1240="",N(H1240)=0),"",K1240/H1240)</f>
        <v/>
      </c>
      <c r="M1240" s="68"/>
      <c r="N1240" s="28"/>
      <c r="O1240" s="25"/>
      <c r="P1240" s="83" t="str">
        <f aca="false">IF(OR(N1240="",N(H1240)=0),"",N1240/H1240)</f>
        <v/>
      </c>
      <c r="Q1240" s="25"/>
    </row>
    <row r="1241" customFormat="false" ht="15" hidden="false" customHeight="false" outlineLevel="0" collapsed="false">
      <c r="A1241" s="69"/>
      <c r="B1241" s="68"/>
      <c r="C1241" s="76" t="str">
        <f aca="false">IF(B1241="","",IFERROR(INDEX(EN_Des,MATCH(B1241,EN_Code,0)),"Code inconnu"))</f>
        <v/>
      </c>
      <c r="D1241" s="25"/>
      <c r="E1241" s="25"/>
      <c r="F1241" s="82"/>
      <c r="G1241" s="82"/>
      <c r="H1241" s="83" t="str">
        <f aca="false">IF(OR(F1241="",G1241=""),"",G1241-F1241)</f>
        <v/>
      </c>
      <c r="I1241" s="82"/>
      <c r="J1241" s="82"/>
      <c r="K1241" s="28"/>
      <c r="L1241" s="90" t="str">
        <f aca="false">IF(OR(K1241="",N(H1241)=0),"",K1241/H1241)</f>
        <v/>
      </c>
      <c r="M1241" s="68"/>
      <c r="N1241" s="28"/>
      <c r="O1241" s="25"/>
      <c r="P1241" s="83" t="str">
        <f aca="false">IF(OR(N1241="",N(H1241)=0),"",N1241/H1241)</f>
        <v/>
      </c>
      <c r="Q1241" s="25"/>
    </row>
    <row r="1242" customFormat="false" ht="15" hidden="false" customHeight="false" outlineLevel="0" collapsed="false">
      <c r="A1242" s="69"/>
      <c r="B1242" s="68"/>
      <c r="C1242" s="76" t="str">
        <f aca="false">IF(B1242="","",IFERROR(INDEX(EN_Des,MATCH(B1242,EN_Code,0)),"Code inconnu"))</f>
        <v/>
      </c>
      <c r="D1242" s="25"/>
      <c r="E1242" s="25"/>
      <c r="F1242" s="82"/>
      <c r="G1242" s="82"/>
      <c r="H1242" s="83" t="str">
        <f aca="false">IF(OR(F1242="",G1242=""),"",G1242-F1242)</f>
        <v/>
      </c>
      <c r="I1242" s="82"/>
      <c r="J1242" s="82"/>
      <c r="K1242" s="28"/>
      <c r="L1242" s="90" t="str">
        <f aca="false">IF(OR(K1242="",N(H1242)=0),"",K1242/H1242)</f>
        <v/>
      </c>
      <c r="M1242" s="68"/>
      <c r="N1242" s="28"/>
      <c r="O1242" s="25"/>
      <c r="P1242" s="83" t="str">
        <f aca="false">IF(OR(N1242="",N(H1242)=0),"",N1242/H1242)</f>
        <v/>
      </c>
      <c r="Q1242" s="25"/>
    </row>
    <row r="1243" customFormat="false" ht="15" hidden="false" customHeight="false" outlineLevel="0" collapsed="false">
      <c r="A1243" s="69"/>
      <c r="B1243" s="68"/>
      <c r="C1243" s="76" t="str">
        <f aca="false">IF(B1243="","",IFERROR(INDEX(EN_Des,MATCH(B1243,EN_Code,0)),"Code inconnu"))</f>
        <v/>
      </c>
      <c r="D1243" s="25"/>
      <c r="E1243" s="25"/>
      <c r="F1243" s="82"/>
      <c r="G1243" s="82"/>
      <c r="H1243" s="83" t="str">
        <f aca="false">IF(OR(F1243="",G1243=""),"",G1243-F1243)</f>
        <v/>
      </c>
      <c r="I1243" s="82"/>
      <c r="J1243" s="82"/>
      <c r="K1243" s="28"/>
      <c r="L1243" s="90" t="str">
        <f aca="false">IF(OR(K1243="",N(H1243)=0),"",K1243/H1243)</f>
        <v/>
      </c>
      <c r="M1243" s="68"/>
      <c r="N1243" s="28"/>
      <c r="O1243" s="25"/>
      <c r="P1243" s="83" t="str">
        <f aca="false">IF(OR(N1243="",N(H1243)=0),"",N1243/H1243)</f>
        <v/>
      </c>
      <c r="Q1243" s="25"/>
    </row>
    <row r="1244" customFormat="false" ht="15" hidden="false" customHeight="false" outlineLevel="0" collapsed="false">
      <c r="A1244" s="69"/>
      <c r="B1244" s="68"/>
      <c r="C1244" s="76" t="str">
        <f aca="false">IF(B1244="","",IFERROR(INDEX(EN_Des,MATCH(B1244,EN_Code,0)),"Code inconnu"))</f>
        <v/>
      </c>
      <c r="D1244" s="25"/>
      <c r="E1244" s="25"/>
      <c r="F1244" s="82"/>
      <c r="G1244" s="82"/>
      <c r="H1244" s="83" t="str">
        <f aca="false">IF(OR(F1244="",G1244=""),"",G1244-F1244)</f>
        <v/>
      </c>
      <c r="I1244" s="82"/>
      <c r="J1244" s="82"/>
      <c r="K1244" s="28"/>
      <c r="L1244" s="90" t="str">
        <f aca="false">IF(OR(K1244="",N(H1244)=0),"",K1244/H1244)</f>
        <v/>
      </c>
      <c r="M1244" s="68"/>
      <c r="N1244" s="28"/>
      <c r="O1244" s="25"/>
      <c r="P1244" s="83" t="str">
        <f aca="false">IF(OR(N1244="",N(H1244)=0),"",N1244/H1244)</f>
        <v/>
      </c>
      <c r="Q1244" s="25"/>
    </row>
    <row r="1245" customFormat="false" ht="15" hidden="false" customHeight="false" outlineLevel="0" collapsed="false">
      <c r="A1245" s="69"/>
      <c r="B1245" s="68"/>
      <c r="C1245" s="76" t="str">
        <f aca="false">IF(B1245="","",IFERROR(INDEX(EN_Des,MATCH(B1245,EN_Code,0)),"Code inconnu"))</f>
        <v/>
      </c>
      <c r="D1245" s="25"/>
      <c r="E1245" s="25"/>
      <c r="F1245" s="82"/>
      <c r="G1245" s="82"/>
      <c r="H1245" s="83" t="str">
        <f aca="false">IF(OR(F1245="",G1245=""),"",G1245-F1245)</f>
        <v/>
      </c>
      <c r="I1245" s="82"/>
      <c r="J1245" s="82"/>
      <c r="K1245" s="28"/>
      <c r="L1245" s="90" t="str">
        <f aca="false">IF(OR(K1245="",N(H1245)=0),"",K1245/H1245)</f>
        <v/>
      </c>
      <c r="M1245" s="68"/>
      <c r="N1245" s="28"/>
      <c r="O1245" s="25"/>
      <c r="P1245" s="83" t="str">
        <f aca="false">IF(OR(N1245="",N(H1245)=0),"",N1245/H1245)</f>
        <v/>
      </c>
      <c r="Q1245" s="25"/>
    </row>
    <row r="1246" customFormat="false" ht="15" hidden="false" customHeight="false" outlineLevel="0" collapsed="false">
      <c r="A1246" s="69"/>
      <c r="B1246" s="68"/>
      <c r="C1246" s="76" t="str">
        <f aca="false">IF(B1246="","",IFERROR(INDEX(EN_Des,MATCH(B1246,EN_Code,0)),"Code inconnu"))</f>
        <v/>
      </c>
      <c r="D1246" s="25"/>
      <c r="E1246" s="25"/>
      <c r="F1246" s="82"/>
      <c r="G1246" s="82"/>
      <c r="H1246" s="83" t="str">
        <f aca="false">IF(OR(F1246="",G1246=""),"",G1246-F1246)</f>
        <v/>
      </c>
      <c r="I1246" s="82"/>
      <c r="J1246" s="82"/>
      <c r="K1246" s="28"/>
      <c r="L1246" s="90" t="str">
        <f aca="false">IF(OR(K1246="",N(H1246)=0),"",K1246/H1246)</f>
        <v/>
      </c>
      <c r="M1246" s="68"/>
      <c r="N1246" s="28"/>
      <c r="O1246" s="25"/>
      <c r="P1246" s="83" t="str">
        <f aca="false">IF(OR(N1246="",N(H1246)=0),"",N1246/H1246)</f>
        <v/>
      </c>
      <c r="Q1246" s="25"/>
    </row>
    <row r="1247" customFormat="false" ht="15" hidden="false" customHeight="false" outlineLevel="0" collapsed="false">
      <c r="A1247" s="69"/>
      <c r="B1247" s="68"/>
      <c r="C1247" s="76" t="str">
        <f aca="false">IF(B1247="","",IFERROR(INDEX(EN_Des,MATCH(B1247,EN_Code,0)),"Code inconnu"))</f>
        <v/>
      </c>
      <c r="D1247" s="25"/>
      <c r="E1247" s="25"/>
      <c r="F1247" s="82"/>
      <c r="G1247" s="82"/>
      <c r="H1247" s="83" t="str">
        <f aca="false">IF(OR(F1247="",G1247=""),"",G1247-F1247)</f>
        <v/>
      </c>
      <c r="I1247" s="82"/>
      <c r="J1247" s="82"/>
      <c r="K1247" s="28"/>
      <c r="L1247" s="90" t="str">
        <f aca="false">IF(OR(K1247="",N(H1247)=0),"",K1247/H1247)</f>
        <v/>
      </c>
      <c r="M1247" s="68"/>
      <c r="N1247" s="28"/>
      <c r="O1247" s="25"/>
      <c r="P1247" s="83" t="str">
        <f aca="false">IF(OR(N1247="",N(H1247)=0),"",N1247/H1247)</f>
        <v/>
      </c>
      <c r="Q1247" s="25"/>
    </row>
    <row r="1248" customFormat="false" ht="15" hidden="false" customHeight="false" outlineLevel="0" collapsed="false">
      <c r="A1248" s="69"/>
      <c r="B1248" s="68"/>
      <c r="C1248" s="76" t="str">
        <f aca="false">IF(B1248="","",IFERROR(INDEX(EN_Des,MATCH(B1248,EN_Code,0)),"Code inconnu"))</f>
        <v/>
      </c>
      <c r="D1248" s="25"/>
      <c r="E1248" s="25"/>
      <c r="F1248" s="82"/>
      <c r="G1248" s="82"/>
      <c r="H1248" s="83" t="str">
        <f aca="false">IF(OR(F1248="",G1248=""),"",G1248-F1248)</f>
        <v/>
      </c>
      <c r="I1248" s="82"/>
      <c r="J1248" s="82"/>
      <c r="K1248" s="28"/>
      <c r="L1248" s="90" t="str">
        <f aca="false">IF(OR(K1248="",N(H1248)=0),"",K1248/H1248)</f>
        <v/>
      </c>
      <c r="M1248" s="68"/>
      <c r="N1248" s="28"/>
      <c r="O1248" s="25"/>
      <c r="P1248" s="83" t="str">
        <f aca="false">IF(OR(N1248="",N(H1248)=0),"",N1248/H1248)</f>
        <v/>
      </c>
      <c r="Q1248" s="25"/>
    </row>
    <row r="1249" customFormat="false" ht="15" hidden="false" customHeight="false" outlineLevel="0" collapsed="false">
      <c r="A1249" s="69"/>
      <c r="B1249" s="68"/>
      <c r="C1249" s="76" t="str">
        <f aca="false">IF(B1249="","",IFERROR(INDEX(EN_Des,MATCH(B1249,EN_Code,0)),"Code inconnu"))</f>
        <v/>
      </c>
      <c r="D1249" s="25"/>
      <c r="E1249" s="25"/>
      <c r="F1249" s="82"/>
      <c r="G1249" s="82"/>
      <c r="H1249" s="83" t="str">
        <f aca="false">IF(OR(F1249="",G1249=""),"",G1249-F1249)</f>
        <v/>
      </c>
      <c r="I1249" s="82"/>
      <c r="J1249" s="82"/>
      <c r="K1249" s="28"/>
      <c r="L1249" s="90" t="str">
        <f aca="false">IF(OR(K1249="",N(H1249)=0),"",K1249/H1249)</f>
        <v/>
      </c>
      <c r="M1249" s="68"/>
      <c r="N1249" s="28"/>
      <c r="O1249" s="25"/>
      <c r="P1249" s="83" t="str">
        <f aca="false">IF(OR(N1249="",N(H1249)=0),"",N1249/H1249)</f>
        <v/>
      </c>
      <c r="Q1249" s="25"/>
    </row>
    <row r="1250" customFormat="false" ht="15" hidden="false" customHeight="false" outlineLevel="0" collapsed="false">
      <c r="A1250" s="69"/>
      <c r="B1250" s="68"/>
      <c r="C1250" s="76" t="str">
        <f aca="false">IF(B1250="","",IFERROR(INDEX(EN_Des,MATCH(B1250,EN_Code,0)),"Code inconnu"))</f>
        <v/>
      </c>
      <c r="D1250" s="25"/>
      <c r="E1250" s="25"/>
      <c r="F1250" s="82"/>
      <c r="G1250" s="82"/>
      <c r="H1250" s="83" t="str">
        <f aca="false">IF(OR(F1250="",G1250=""),"",G1250-F1250)</f>
        <v/>
      </c>
      <c r="I1250" s="82"/>
      <c r="J1250" s="82"/>
      <c r="K1250" s="28"/>
      <c r="L1250" s="90" t="str">
        <f aca="false">IF(OR(K1250="",N(H1250)=0),"",K1250/H1250)</f>
        <v/>
      </c>
      <c r="M1250" s="68"/>
      <c r="N1250" s="28"/>
      <c r="O1250" s="25"/>
      <c r="P1250" s="83" t="str">
        <f aca="false">IF(OR(N1250="",N(H1250)=0),"",N1250/H1250)</f>
        <v/>
      </c>
      <c r="Q1250" s="25"/>
    </row>
    <row r="1251" customFormat="false" ht="15" hidden="false" customHeight="false" outlineLevel="0" collapsed="false">
      <c r="A1251" s="69"/>
      <c r="B1251" s="68"/>
      <c r="C1251" s="76" t="str">
        <f aca="false">IF(B1251="","",IFERROR(INDEX(EN_Des,MATCH(B1251,EN_Code,0)),"Code inconnu"))</f>
        <v/>
      </c>
      <c r="D1251" s="25"/>
      <c r="E1251" s="25"/>
      <c r="F1251" s="82"/>
      <c r="G1251" s="82"/>
      <c r="H1251" s="83" t="str">
        <f aca="false">IF(OR(F1251="",G1251=""),"",G1251-F1251)</f>
        <v/>
      </c>
      <c r="I1251" s="82"/>
      <c r="J1251" s="82"/>
      <c r="K1251" s="28"/>
      <c r="L1251" s="90" t="str">
        <f aca="false">IF(OR(K1251="",N(H1251)=0),"",K1251/H1251)</f>
        <v/>
      </c>
      <c r="M1251" s="68"/>
      <c r="N1251" s="28"/>
      <c r="O1251" s="25"/>
      <c r="P1251" s="83" t="str">
        <f aca="false">IF(OR(N1251="",N(H1251)=0),"",N1251/H1251)</f>
        <v/>
      </c>
      <c r="Q1251" s="25"/>
    </row>
    <row r="1252" customFormat="false" ht="15" hidden="false" customHeight="false" outlineLevel="0" collapsed="false">
      <c r="A1252" s="69"/>
      <c r="B1252" s="68"/>
      <c r="C1252" s="76" t="str">
        <f aca="false">IF(B1252="","",IFERROR(INDEX(EN_Des,MATCH(B1252,EN_Code,0)),"Code inconnu"))</f>
        <v/>
      </c>
      <c r="D1252" s="25"/>
      <c r="E1252" s="25"/>
      <c r="F1252" s="82"/>
      <c r="G1252" s="82"/>
      <c r="H1252" s="83" t="str">
        <f aca="false">IF(OR(F1252="",G1252=""),"",G1252-F1252)</f>
        <v/>
      </c>
      <c r="I1252" s="82"/>
      <c r="J1252" s="82"/>
      <c r="K1252" s="28"/>
      <c r="L1252" s="90" t="str">
        <f aca="false">IF(OR(K1252="",N(H1252)=0),"",K1252/H1252)</f>
        <v/>
      </c>
      <c r="M1252" s="68"/>
      <c r="N1252" s="28"/>
      <c r="O1252" s="25"/>
      <c r="P1252" s="83" t="str">
        <f aca="false">IF(OR(N1252="",N(H1252)=0),"",N1252/H1252)</f>
        <v/>
      </c>
      <c r="Q1252" s="25"/>
    </row>
    <row r="1253" customFormat="false" ht="15" hidden="false" customHeight="false" outlineLevel="0" collapsed="false">
      <c r="A1253" s="69"/>
      <c r="B1253" s="68"/>
      <c r="C1253" s="76" t="str">
        <f aca="false">IF(B1253="","",IFERROR(INDEX(EN_Des,MATCH(B1253,EN_Code,0)),"Code inconnu"))</f>
        <v/>
      </c>
      <c r="D1253" s="25"/>
      <c r="E1253" s="25"/>
      <c r="F1253" s="82"/>
      <c r="G1253" s="82"/>
      <c r="H1253" s="83" t="str">
        <f aca="false">IF(OR(F1253="",G1253=""),"",G1253-F1253)</f>
        <v/>
      </c>
      <c r="I1253" s="82"/>
      <c r="J1253" s="82"/>
      <c r="K1253" s="28"/>
      <c r="L1253" s="90" t="str">
        <f aca="false">IF(OR(K1253="",N(H1253)=0),"",K1253/H1253)</f>
        <v/>
      </c>
      <c r="M1253" s="68"/>
      <c r="N1253" s="28"/>
      <c r="O1253" s="25"/>
      <c r="P1253" s="83" t="str">
        <f aca="false">IF(OR(N1253="",N(H1253)=0),"",N1253/H1253)</f>
        <v/>
      </c>
      <c r="Q1253" s="25"/>
    </row>
    <row r="1254" customFormat="false" ht="15" hidden="false" customHeight="false" outlineLevel="0" collapsed="false">
      <c r="A1254" s="69"/>
      <c r="B1254" s="68"/>
      <c r="C1254" s="76" t="str">
        <f aca="false">IF(B1254="","",IFERROR(INDEX(EN_Des,MATCH(B1254,EN_Code,0)),"Code inconnu"))</f>
        <v/>
      </c>
      <c r="D1254" s="25"/>
      <c r="E1254" s="25"/>
      <c r="F1254" s="82"/>
      <c r="G1254" s="82"/>
      <c r="H1254" s="83" t="str">
        <f aca="false">IF(OR(F1254="",G1254=""),"",G1254-F1254)</f>
        <v/>
      </c>
      <c r="I1254" s="82"/>
      <c r="J1254" s="82"/>
      <c r="K1254" s="28"/>
      <c r="L1254" s="90" t="str">
        <f aca="false">IF(OR(K1254="",N(H1254)=0),"",K1254/H1254)</f>
        <v/>
      </c>
      <c r="M1254" s="68"/>
      <c r="N1254" s="28"/>
      <c r="O1254" s="25"/>
      <c r="P1254" s="83" t="str">
        <f aca="false">IF(OR(N1254="",N(H1254)=0),"",N1254/H1254)</f>
        <v/>
      </c>
      <c r="Q1254" s="25"/>
    </row>
    <row r="1255" customFormat="false" ht="15" hidden="false" customHeight="false" outlineLevel="0" collapsed="false">
      <c r="A1255" s="69"/>
      <c r="B1255" s="68"/>
      <c r="C1255" s="76" t="str">
        <f aca="false">IF(B1255="","",IFERROR(INDEX(EN_Des,MATCH(B1255,EN_Code,0)),"Code inconnu"))</f>
        <v/>
      </c>
      <c r="D1255" s="25"/>
      <c r="E1255" s="25"/>
      <c r="F1255" s="82"/>
      <c r="G1255" s="82"/>
      <c r="H1255" s="83" t="str">
        <f aca="false">IF(OR(F1255="",G1255=""),"",G1255-F1255)</f>
        <v/>
      </c>
      <c r="I1255" s="82"/>
      <c r="J1255" s="82"/>
      <c r="K1255" s="28"/>
      <c r="L1255" s="90" t="str">
        <f aca="false">IF(OR(K1255="",N(H1255)=0),"",K1255/H1255)</f>
        <v/>
      </c>
      <c r="M1255" s="68"/>
      <c r="N1255" s="28"/>
      <c r="O1255" s="25"/>
      <c r="P1255" s="83" t="str">
        <f aca="false">IF(OR(N1255="",N(H1255)=0),"",N1255/H1255)</f>
        <v/>
      </c>
      <c r="Q1255" s="25"/>
    </row>
    <row r="1256" customFormat="false" ht="15" hidden="false" customHeight="false" outlineLevel="0" collapsed="false">
      <c r="A1256" s="69"/>
      <c r="B1256" s="68"/>
      <c r="C1256" s="76" t="str">
        <f aca="false">IF(B1256="","",IFERROR(INDEX(EN_Des,MATCH(B1256,EN_Code,0)),"Code inconnu"))</f>
        <v/>
      </c>
      <c r="D1256" s="25"/>
      <c r="E1256" s="25"/>
      <c r="F1256" s="82"/>
      <c r="G1256" s="82"/>
      <c r="H1256" s="83" t="str">
        <f aca="false">IF(OR(F1256="",G1256=""),"",G1256-F1256)</f>
        <v/>
      </c>
      <c r="I1256" s="82"/>
      <c r="J1256" s="82"/>
      <c r="K1256" s="28"/>
      <c r="L1256" s="90" t="str">
        <f aca="false">IF(OR(K1256="",N(H1256)=0),"",K1256/H1256)</f>
        <v/>
      </c>
      <c r="M1256" s="68"/>
      <c r="N1256" s="28"/>
      <c r="O1256" s="25"/>
      <c r="P1256" s="83" t="str">
        <f aca="false">IF(OR(N1256="",N(H1256)=0),"",N1256/H1256)</f>
        <v/>
      </c>
      <c r="Q1256" s="25"/>
    </row>
    <row r="1257" customFormat="false" ht="15" hidden="false" customHeight="false" outlineLevel="0" collapsed="false">
      <c r="A1257" s="69"/>
      <c r="B1257" s="68"/>
      <c r="C1257" s="76" t="str">
        <f aca="false">IF(B1257="","",IFERROR(INDEX(EN_Des,MATCH(B1257,EN_Code,0)),"Code inconnu"))</f>
        <v/>
      </c>
      <c r="D1257" s="25"/>
      <c r="E1257" s="25"/>
      <c r="F1257" s="82"/>
      <c r="G1257" s="82"/>
      <c r="H1257" s="83" t="str">
        <f aca="false">IF(OR(F1257="",G1257=""),"",G1257-F1257)</f>
        <v/>
      </c>
      <c r="I1257" s="82"/>
      <c r="J1257" s="82"/>
      <c r="K1257" s="28"/>
      <c r="L1257" s="90" t="str">
        <f aca="false">IF(OR(K1257="",N(H1257)=0),"",K1257/H1257)</f>
        <v/>
      </c>
      <c r="M1257" s="68"/>
      <c r="N1257" s="28"/>
      <c r="O1257" s="25"/>
      <c r="P1257" s="83" t="str">
        <f aca="false">IF(OR(N1257="",N(H1257)=0),"",N1257/H1257)</f>
        <v/>
      </c>
      <c r="Q1257" s="25"/>
    </row>
    <row r="1258" customFormat="false" ht="15" hidden="false" customHeight="false" outlineLevel="0" collapsed="false">
      <c r="A1258" s="69"/>
      <c r="B1258" s="68"/>
      <c r="C1258" s="76" t="str">
        <f aca="false">IF(B1258="","",IFERROR(INDEX(EN_Des,MATCH(B1258,EN_Code,0)),"Code inconnu"))</f>
        <v/>
      </c>
      <c r="D1258" s="25"/>
      <c r="E1258" s="25"/>
      <c r="F1258" s="82"/>
      <c r="G1258" s="82"/>
      <c r="H1258" s="83" t="str">
        <f aca="false">IF(OR(F1258="",G1258=""),"",G1258-F1258)</f>
        <v/>
      </c>
      <c r="I1258" s="82"/>
      <c r="J1258" s="82"/>
      <c r="K1258" s="28"/>
      <c r="L1258" s="90" t="str">
        <f aca="false">IF(OR(K1258="",N(H1258)=0),"",K1258/H1258)</f>
        <v/>
      </c>
      <c r="M1258" s="68"/>
      <c r="N1258" s="28"/>
      <c r="O1258" s="25"/>
      <c r="P1258" s="83" t="str">
        <f aca="false">IF(OR(N1258="",N(H1258)=0),"",N1258/H1258)</f>
        <v/>
      </c>
      <c r="Q1258" s="25"/>
    </row>
    <row r="1259" customFormat="false" ht="15" hidden="false" customHeight="false" outlineLevel="0" collapsed="false">
      <c r="A1259" s="69"/>
      <c r="B1259" s="68"/>
      <c r="C1259" s="76" t="str">
        <f aca="false">IF(B1259="","",IFERROR(INDEX(EN_Des,MATCH(B1259,EN_Code,0)),"Code inconnu"))</f>
        <v/>
      </c>
      <c r="D1259" s="25"/>
      <c r="E1259" s="25"/>
      <c r="F1259" s="82"/>
      <c r="G1259" s="82"/>
      <c r="H1259" s="83" t="str">
        <f aca="false">IF(OR(F1259="",G1259=""),"",G1259-F1259)</f>
        <v/>
      </c>
      <c r="I1259" s="82"/>
      <c r="J1259" s="82"/>
      <c r="K1259" s="28"/>
      <c r="L1259" s="90" t="str">
        <f aca="false">IF(OR(K1259="",N(H1259)=0),"",K1259/H1259)</f>
        <v/>
      </c>
      <c r="M1259" s="68"/>
      <c r="N1259" s="28"/>
      <c r="O1259" s="25"/>
      <c r="P1259" s="83" t="str">
        <f aca="false">IF(OR(N1259="",N(H1259)=0),"",N1259/H1259)</f>
        <v/>
      </c>
      <c r="Q1259" s="25"/>
    </row>
    <row r="1260" customFormat="false" ht="15" hidden="false" customHeight="false" outlineLevel="0" collapsed="false">
      <c r="A1260" s="69"/>
      <c r="B1260" s="68"/>
      <c r="C1260" s="76" t="str">
        <f aca="false">IF(B1260="","",IFERROR(INDEX(EN_Des,MATCH(B1260,EN_Code,0)),"Code inconnu"))</f>
        <v/>
      </c>
      <c r="D1260" s="25"/>
      <c r="E1260" s="25"/>
      <c r="F1260" s="82"/>
      <c r="G1260" s="82"/>
      <c r="H1260" s="83" t="str">
        <f aca="false">IF(OR(F1260="",G1260=""),"",G1260-F1260)</f>
        <v/>
      </c>
      <c r="I1260" s="82"/>
      <c r="J1260" s="82"/>
      <c r="K1260" s="28"/>
      <c r="L1260" s="90" t="str">
        <f aca="false">IF(OR(K1260="",N(H1260)=0),"",K1260/H1260)</f>
        <v/>
      </c>
      <c r="M1260" s="68"/>
      <c r="N1260" s="28"/>
      <c r="O1260" s="25"/>
      <c r="P1260" s="83" t="str">
        <f aca="false">IF(OR(N1260="",N(H1260)=0),"",N1260/H1260)</f>
        <v/>
      </c>
      <c r="Q1260" s="25"/>
    </row>
    <row r="1261" customFormat="false" ht="15" hidden="false" customHeight="false" outlineLevel="0" collapsed="false">
      <c r="A1261" s="69"/>
      <c r="B1261" s="68"/>
      <c r="C1261" s="76" t="str">
        <f aca="false">IF(B1261="","",IFERROR(INDEX(EN_Des,MATCH(B1261,EN_Code,0)),"Code inconnu"))</f>
        <v/>
      </c>
      <c r="D1261" s="25"/>
      <c r="E1261" s="25"/>
      <c r="F1261" s="82"/>
      <c r="G1261" s="82"/>
      <c r="H1261" s="83" t="str">
        <f aca="false">IF(OR(F1261="",G1261=""),"",G1261-F1261)</f>
        <v/>
      </c>
      <c r="I1261" s="82"/>
      <c r="J1261" s="82"/>
      <c r="K1261" s="28"/>
      <c r="L1261" s="90" t="str">
        <f aca="false">IF(OR(K1261="",N(H1261)=0),"",K1261/H1261)</f>
        <v/>
      </c>
      <c r="M1261" s="68"/>
      <c r="N1261" s="28"/>
      <c r="O1261" s="25"/>
      <c r="P1261" s="83" t="str">
        <f aca="false">IF(OR(N1261="",N(H1261)=0),"",N1261/H1261)</f>
        <v/>
      </c>
      <c r="Q1261" s="25"/>
    </row>
    <row r="1262" customFormat="false" ht="15" hidden="false" customHeight="false" outlineLevel="0" collapsed="false">
      <c r="A1262" s="69"/>
      <c r="B1262" s="68"/>
      <c r="C1262" s="76" t="str">
        <f aca="false">IF(B1262="","",IFERROR(INDEX(EN_Des,MATCH(B1262,EN_Code,0)),"Code inconnu"))</f>
        <v/>
      </c>
      <c r="D1262" s="25"/>
      <c r="E1262" s="25"/>
      <c r="F1262" s="82"/>
      <c r="G1262" s="82"/>
      <c r="H1262" s="83" t="str">
        <f aca="false">IF(OR(F1262="",G1262=""),"",G1262-F1262)</f>
        <v/>
      </c>
      <c r="I1262" s="82"/>
      <c r="J1262" s="82"/>
      <c r="K1262" s="28"/>
      <c r="L1262" s="90" t="str">
        <f aca="false">IF(OR(K1262="",N(H1262)=0),"",K1262/H1262)</f>
        <v/>
      </c>
      <c r="M1262" s="68"/>
      <c r="N1262" s="28"/>
      <c r="O1262" s="25"/>
      <c r="P1262" s="83" t="str">
        <f aca="false">IF(OR(N1262="",N(H1262)=0),"",N1262/H1262)</f>
        <v/>
      </c>
      <c r="Q1262" s="25"/>
    </row>
    <row r="1263" customFormat="false" ht="15" hidden="false" customHeight="false" outlineLevel="0" collapsed="false">
      <c r="A1263" s="69"/>
      <c r="B1263" s="68"/>
      <c r="C1263" s="76" t="str">
        <f aca="false">IF(B1263="","",IFERROR(INDEX(EN_Des,MATCH(B1263,EN_Code,0)),"Code inconnu"))</f>
        <v/>
      </c>
      <c r="D1263" s="25"/>
      <c r="E1263" s="25"/>
      <c r="F1263" s="82"/>
      <c r="G1263" s="82"/>
      <c r="H1263" s="83" t="str">
        <f aca="false">IF(OR(F1263="",G1263=""),"",G1263-F1263)</f>
        <v/>
      </c>
      <c r="I1263" s="82"/>
      <c r="J1263" s="82"/>
      <c r="K1263" s="28"/>
      <c r="L1263" s="90" t="str">
        <f aca="false">IF(OR(K1263="",N(H1263)=0),"",K1263/H1263)</f>
        <v/>
      </c>
      <c r="M1263" s="68"/>
      <c r="N1263" s="28"/>
      <c r="O1263" s="25"/>
      <c r="P1263" s="83" t="str">
        <f aca="false">IF(OR(N1263="",N(H1263)=0),"",N1263/H1263)</f>
        <v/>
      </c>
      <c r="Q1263" s="25"/>
    </row>
    <row r="1264" customFormat="false" ht="15" hidden="false" customHeight="false" outlineLevel="0" collapsed="false">
      <c r="A1264" s="69"/>
      <c r="B1264" s="68"/>
      <c r="C1264" s="76" t="str">
        <f aca="false">IF(B1264="","",IFERROR(INDEX(EN_Des,MATCH(B1264,EN_Code,0)),"Code inconnu"))</f>
        <v/>
      </c>
      <c r="D1264" s="25"/>
      <c r="E1264" s="25"/>
      <c r="F1264" s="82"/>
      <c r="G1264" s="82"/>
      <c r="H1264" s="83" t="str">
        <f aca="false">IF(OR(F1264="",G1264=""),"",G1264-F1264)</f>
        <v/>
      </c>
      <c r="I1264" s="82"/>
      <c r="J1264" s="82"/>
      <c r="K1264" s="28"/>
      <c r="L1264" s="90" t="str">
        <f aca="false">IF(OR(K1264="",N(H1264)=0),"",K1264/H1264)</f>
        <v/>
      </c>
      <c r="M1264" s="68"/>
      <c r="N1264" s="28"/>
      <c r="O1264" s="25"/>
      <c r="P1264" s="83" t="str">
        <f aca="false">IF(OR(N1264="",N(H1264)=0),"",N1264/H1264)</f>
        <v/>
      </c>
      <c r="Q1264" s="25"/>
    </row>
    <row r="1265" customFormat="false" ht="15" hidden="false" customHeight="false" outlineLevel="0" collapsed="false">
      <c r="A1265" s="69"/>
      <c r="B1265" s="68"/>
      <c r="C1265" s="76" t="str">
        <f aca="false">IF(B1265="","",IFERROR(INDEX(EN_Des,MATCH(B1265,EN_Code,0)),"Code inconnu"))</f>
        <v/>
      </c>
      <c r="D1265" s="25"/>
      <c r="E1265" s="25"/>
      <c r="F1265" s="82"/>
      <c r="G1265" s="82"/>
      <c r="H1265" s="83" t="str">
        <f aca="false">IF(OR(F1265="",G1265=""),"",G1265-F1265)</f>
        <v/>
      </c>
      <c r="I1265" s="82"/>
      <c r="J1265" s="82"/>
      <c r="K1265" s="28"/>
      <c r="L1265" s="90" t="str">
        <f aca="false">IF(OR(K1265="",N(H1265)=0),"",K1265/H1265)</f>
        <v/>
      </c>
      <c r="M1265" s="68"/>
      <c r="N1265" s="28"/>
      <c r="O1265" s="25"/>
      <c r="P1265" s="83" t="str">
        <f aca="false">IF(OR(N1265="",N(H1265)=0),"",N1265/H1265)</f>
        <v/>
      </c>
      <c r="Q1265" s="25"/>
    </row>
    <row r="1266" customFormat="false" ht="15" hidden="false" customHeight="false" outlineLevel="0" collapsed="false">
      <c r="A1266" s="69"/>
      <c r="B1266" s="68"/>
      <c r="C1266" s="76" t="str">
        <f aca="false">IF(B1266="","",IFERROR(INDEX(EN_Des,MATCH(B1266,EN_Code,0)),"Code inconnu"))</f>
        <v/>
      </c>
      <c r="D1266" s="25"/>
      <c r="E1266" s="25"/>
      <c r="F1266" s="82"/>
      <c r="G1266" s="82"/>
      <c r="H1266" s="83" t="str">
        <f aca="false">IF(OR(F1266="",G1266=""),"",G1266-F1266)</f>
        <v/>
      </c>
      <c r="I1266" s="82"/>
      <c r="J1266" s="82"/>
      <c r="K1266" s="28"/>
      <c r="L1266" s="90" t="str">
        <f aca="false">IF(OR(K1266="",N(H1266)=0),"",K1266/H1266)</f>
        <v/>
      </c>
      <c r="M1266" s="68"/>
      <c r="N1266" s="28"/>
      <c r="O1266" s="25"/>
      <c r="P1266" s="83" t="str">
        <f aca="false">IF(OR(N1266="",N(H1266)=0),"",N1266/H1266)</f>
        <v/>
      </c>
      <c r="Q1266" s="25"/>
    </row>
    <row r="1267" customFormat="false" ht="15" hidden="false" customHeight="false" outlineLevel="0" collapsed="false">
      <c r="A1267" s="69"/>
      <c r="B1267" s="68"/>
      <c r="C1267" s="76" t="str">
        <f aca="false">IF(B1267="","",IFERROR(INDEX(EN_Des,MATCH(B1267,EN_Code,0)),"Code inconnu"))</f>
        <v/>
      </c>
      <c r="D1267" s="25"/>
      <c r="E1267" s="25"/>
      <c r="F1267" s="82"/>
      <c r="G1267" s="82"/>
      <c r="H1267" s="83" t="str">
        <f aca="false">IF(OR(F1267="",G1267=""),"",G1267-F1267)</f>
        <v/>
      </c>
      <c r="I1267" s="82"/>
      <c r="J1267" s="82"/>
      <c r="K1267" s="28"/>
      <c r="L1267" s="90" t="str">
        <f aca="false">IF(OR(K1267="",N(H1267)=0),"",K1267/H1267)</f>
        <v/>
      </c>
      <c r="M1267" s="68"/>
      <c r="N1267" s="28"/>
      <c r="O1267" s="25"/>
      <c r="P1267" s="83" t="str">
        <f aca="false">IF(OR(N1267="",N(H1267)=0),"",N1267/H1267)</f>
        <v/>
      </c>
      <c r="Q1267" s="25"/>
    </row>
    <row r="1268" customFormat="false" ht="15" hidden="false" customHeight="false" outlineLevel="0" collapsed="false">
      <c r="A1268" s="69"/>
      <c r="B1268" s="68"/>
      <c r="C1268" s="76" t="str">
        <f aca="false">IF(B1268="","",IFERROR(INDEX(EN_Des,MATCH(B1268,EN_Code,0)),"Code inconnu"))</f>
        <v/>
      </c>
      <c r="D1268" s="25"/>
      <c r="E1268" s="25"/>
      <c r="F1268" s="82"/>
      <c r="G1268" s="82"/>
      <c r="H1268" s="83" t="str">
        <f aca="false">IF(OR(F1268="",G1268=""),"",G1268-F1268)</f>
        <v/>
      </c>
      <c r="I1268" s="82"/>
      <c r="J1268" s="82"/>
      <c r="K1268" s="28"/>
      <c r="L1268" s="90" t="str">
        <f aca="false">IF(OR(K1268="",N(H1268)=0),"",K1268/H1268)</f>
        <v/>
      </c>
      <c r="M1268" s="68"/>
      <c r="N1268" s="28"/>
      <c r="O1268" s="25"/>
      <c r="P1268" s="83" t="str">
        <f aca="false">IF(OR(N1268="",N(H1268)=0),"",N1268/H1268)</f>
        <v/>
      </c>
      <c r="Q1268" s="25"/>
    </row>
    <row r="1269" customFormat="false" ht="15" hidden="false" customHeight="false" outlineLevel="0" collapsed="false">
      <c r="A1269" s="69"/>
      <c r="B1269" s="68"/>
      <c r="C1269" s="76" t="str">
        <f aca="false">IF(B1269="","",IFERROR(INDEX(EN_Des,MATCH(B1269,EN_Code,0)),"Code inconnu"))</f>
        <v/>
      </c>
      <c r="D1269" s="25"/>
      <c r="E1269" s="25"/>
      <c r="F1269" s="82"/>
      <c r="G1269" s="82"/>
      <c r="H1269" s="83" t="str">
        <f aca="false">IF(OR(F1269="",G1269=""),"",G1269-F1269)</f>
        <v/>
      </c>
      <c r="I1269" s="82"/>
      <c r="J1269" s="82"/>
      <c r="K1269" s="28"/>
      <c r="L1269" s="90" t="str">
        <f aca="false">IF(OR(K1269="",N(H1269)=0),"",K1269/H1269)</f>
        <v/>
      </c>
      <c r="M1269" s="68"/>
      <c r="N1269" s="28"/>
      <c r="O1269" s="25"/>
      <c r="P1269" s="83" t="str">
        <f aca="false">IF(OR(N1269="",N(H1269)=0),"",N1269/H1269)</f>
        <v/>
      </c>
      <c r="Q1269" s="25"/>
    </row>
    <row r="1270" customFormat="false" ht="15" hidden="false" customHeight="false" outlineLevel="0" collapsed="false">
      <c r="A1270" s="69"/>
      <c r="B1270" s="68"/>
      <c r="C1270" s="76" t="str">
        <f aca="false">IF(B1270="","",IFERROR(INDEX(EN_Des,MATCH(B1270,EN_Code,0)),"Code inconnu"))</f>
        <v/>
      </c>
      <c r="D1270" s="25"/>
      <c r="E1270" s="25"/>
      <c r="F1270" s="82"/>
      <c r="G1270" s="82"/>
      <c r="H1270" s="83" t="str">
        <f aca="false">IF(OR(F1270="",G1270=""),"",G1270-F1270)</f>
        <v/>
      </c>
      <c r="I1270" s="82"/>
      <c r="J1270" s="82"/>
      <c r="K1270" s="28"/>
      <c r="L1270" s="90" t="str">
        <f aca="false">IF(OR(K1270="",N(H1270)=0),"",K1270/H1270)</f>
        <v/>
      </c>
      <c r="M1270" s="68"/>
      <c r="N1270" s="28"/>
      <c r="O1270" s="25"/>
      <c r="P1270" s="83" t="str">
        <f aca="false">IF(OR(N1270="",N(H1270)=0),"",N1270/H1270)</f>
        <v/>
      </c>
      <c r="Q1270" s="25"/>
    </row>
    <row r="1271" customFormat="false" ht="15" hidden="false" customHeight="false" outlineLevel="0" collapsed="false">
      <c r="A1271" s="69"/>
      <c r="B1271" s="68"/>
      <c r="C1271" s="76" t="str">
        <f aca="false">IF(B1271="","",IFERROR(INDEX(EN_Des,MATCH(B1271,EN_Code,0)),"Code inconnu"))</f>
        <v/>
      </c>
      <c r="D1271" s="25"/>
      <c r="E1271" s="25"/>
      <c r="F1271" s="82"/>
      <c r="G1271" s="82"/>
      <c r="H1271" s="83" t="str">
        <f aca="false">IF(OR(F1271="",G1271=""),"",G1271-F1271)</f>
        <v/>
      </c>
      <c r="I1271" s="82"/>
      <c r="J1271" s="82"/>
      <c r="K1271" s="28"/>
      <c r="L1271" s="90" t="str">
        <f aca="false">IF(OR(K1271="",N(H1271)=0),"",K1271/H1271)</f>
        <v/>
      </c>
      <c r="M1271" s="68"/>
      <c r="N1271" s="28"/>
      <c r="O1271" s="25"/>
      <c r="P1271" s="83" t="str">
        <f aca="false">IF(OR(N1271="",N(H1271)=0),"",N1271/H1271)</f>
        <v/>
      </c>
      <c r="Q1271" s="25"/>
    </row>
    <row r="1272" customFormat="false" ht="15" hidden="false" customHeight="false" outlineLevel="0" collapsed="false">
      <c r="A1272" s="69"/>
      <c r="B1272" s="68"/>
      <c r="C1272" s="76" t="str">
        <f aca="false">IF(B1272="","",IFERROR(INDEX(EN_Des,MATCH(B1272,EN_Code,0)),"Code inconnu"))</f>
        <v/>
      </c>
      <c r="D1272" s="25"/>
      <c r="E1272" s="25"/>
      <c r="F1272" s="82"/>
      <c r="G1272" s="82"/>
      <c r="H1272" s="83" t="str">
        <f aca="false">IF(OR(F1272="",G1272=""),"",G1272-F1272)</f>
        <v/>
      </c>
      <c r="I1272" s="82"/>
      <c r="J1272" s="82"/>
      <c r="K1272" s="28"/>
      <c r="L1272" s="90" t="str">
        <f aca="false">IF(OR(K1272="",N(H1272)=0),"",K1272/H1272)</f>
        <v/>
      </c>
      <c r="M1272" s="68"/>
      <c r="N1272" s="28"/>
      <c r="O1272" s="25"/>
      <c r="P1272" s="83" t="str">
        <f aca="false">IF(OR(N1272="",N(H1272)=0),"",N1272/H1272)</f>
        <v/>
      </c>
      <c r="Q1272" s="25"/>
    </row>
    <row r="1273" customFormat="false" ht="15" hidden="false" customHeight="false" outlineLevel="0" collapsed="false">
      <c r="A1273" s="69"/>
      <c r="B1273" s="68"/>
      <c r="C1273" s="76" t="str">
        <f aca="false">IF(B1273="","",IFERROR(INDEX(EN_Des,MATCH(B1273,EN_Code,0)),"Code inconnu"))</f>
        <v/>
      </c>
      <c r="D1273" s="25"/>
      <c r="E1273" s="25"/>
      <c r="F1273" s="82"/>
      <c r="G1273" s="82"/>
      <c r="H1273" s="83" t="str">
        <f aca="false">IF(OR(F1273="",G1273=""),"",G1273-F1273)</f>
        <v/>
      </c>
      <c r="I1273" s="82"/>
      <c r="J1273" s="82"/>
      <c r="K1273" s="28"/>
      <c r="L1273" s="90" t="str">
        <f aca="false">IF(OR(K1273="",N(H1273)=0),"",K1273/H1273)</f>
        <v/>
      </c>
      <c r="M1273" s="68"/>
      <c r="N1273" s="28"/>
      <c r="O1273" s="25"/>
      <c r="P1273" s="83" t="str">
        <f aca="false">IF(OR(N1273="",N(H1273)=0),"",N1273/H1273)</f>
        <v/>
      </c>
      <c r="Q1273" s="25"/>
    </row>
    <row r="1274" customFormat="false" ht="15" hidden="false" customHeight="false" outlineLevel="0" collapsed="false">
      <c r="A1274" s="69"/>
      <c r="B1274" s="68"/>
      <c r="C1274" s="76" t="str">
        <f aca="false">IF(B1274="","",IFERROR(INDEX(EN_Des,MATCH(B1274,EN_Code,0)),"Code inconnu"))</f>
        <v/>
      </c>
      <c r="D1274" s="25"/>
      <c r="E1274" s="25"/>
      <c r="F1274" s="82"/>
      <c r="G1274" s="82"/>
      <c r="H1274" s="83" t="str">
        <f aca="false">IF(OR(F1274="",G1274=""),"",G1274-F1274)</f>
        <v/>
      </c>
      <c r="I1274" s="82"/>
      <c r="J1274" s="82"/>
      <c r="K1274" s="28"/>
      <c r="L1274" s="90" t="str">
        <f aca="false">IF(OR(K1274="",N(H1274)=0),"",K1274/H1274)</f>
        <v/>
      </c>
      <c r="M1274" s="68"/>
      <c r="N1274" s="28"/>
      <c r="O1274" s="25"/>
      <c r="P1274" s="83" t="str">
        <f aca="false">IF(OR(N1274="",N(H1274)=0),"",N1274/H1274)</f>
        <v/>
      </c>
      <c r="Q1274" s="25"/>
    </row>
    <row r="1275" customFormat="false" ht="15" hidden="false" customHeight="false" outlineLevel="0" collapsed="false">
      <c r="A1275" s="69"/>
      <c r="B1275" s="68"/>
      <c r="C1275" s="76" t="str">
        <f aca="false">IF(B1275="","",IFERROR(INDEX(EN_Des,MATCH(B1275,EN_Code,0)),"Code inconnu"))</f>
        <v/>
      </c>
      <c r="D1275" s="25"/>
      <c r="E1275" s="25"/>
      <c r="F1275" s="82"/>
      <c r="G1275" s="82"/>
      <c r="H1275" s="83" t="str">
        <f aca="false">IF(OR(F1275="",G1275=""),"",G1275-F1275)</f>
        <v/>
      </c>
      <c r="I1275" s="82"/>
      <c r="J1275" s="82"/>
      <c r="K1275" s="28"/>
      <c r="L1275" s="90" t="str">
        <f aca="false">IF(OR(K1275="",N(H1275)=0),"",K1275/H1275)</f>
        <v/>
      </c>
      <c r="M1275" s="68"/>
      <c r="N1275" s="28"/>
      <c r="O1275" s="25"/>
      <c r="P1275" s="83" t="str">
        <f aca="false">IF(OR(N1275="",N(H1275)=0),"",N1275/H1275)</f>
        <v/>
      </c>
      <c r="Q1275" s="25"/>
    </row>
    <row r="1276" customFormat="false" ht="15" hidden="false" customHeight="false" outlineLevel="0" collapsed="false">
      <c r="A1276" s="69"/>
      <c r="B1276" s="68"/>
      <c r="C1276" s="76" t="str">
        <f aca="false">IF(B1276="","",IFERROR(INDEX(EN_Des,MATCH(B1276,EN_Code,0)),"Code inconnu"))</f>
        <v/>
      </c>
      <c r="D1276" s="25"/>
      <c r="E1276" s="25"/>
      <c r="F1276" s="82"/>
      <c r="G1276" s="82"/>
      <c r="H1276" s="83" t="str">
        <f aca="false">IF(OR(F1276="",G1276=""),"",G1276-F1276)</f>
        <v/>
      </c>
      <c r="I1276" s="82"/>
      <c r="J1276" s="82"/>
      <c r="K1276" s="28"/>
      <c r="L1276" s="90" t="str">
        <f aca="false">IF(OR(K1276="",N(H1276)=0),"",K1276/H1276)</f>
        <v/>
      </c>
      <c r="M1276" s="68"/>
      <c r="N1276" s="28"/>
      <c r="O1276" s="25"/>
      <c r="P1276" s="83" t="str">
        <f aca="false">IF(OR(N1276="",N(H1276)=0),"",N1276/H1276)</f>
        <v/>
      </c>
      <c r="Q1276" s="25"/>
    </row>
    <row r="1277" customFormat="false" ht="15" hidden="false" customHeight="false" outlineLevel="0" collapsed="false">
      <c r="A1277" s="69"/>
      <c r="B1277" s="68"/>
      <c r="C1277" s="76" t="str">
        <f aca="false">IF(B1277="","",IFERROR(INDEX(EN_Des,MATCH(B1277,EN_Code,0)),"Code inconnu"))</f>
        <v/>
      </c>
      <c r="D1277" s="25"/>
      <c r="E1277" s="25"/>
      <c r="F1277" s="82"/>
      <c r="G1277" s="82"/>
      <c r="H1277" s="83" t="str">
        <f aca="false">IF(OR(F1277="",G1277=""),"",G1277-F1277)</f>
        <v/>
      </c>
      <c r="I1277" s="82"/>
      <c r="J1277" s="82"/>
      <c r="K1277" s="28"/>
      <c r="L1277" s="90" t="str">
        <f aca="false">IF(OR(K1277="",N(H1277)=0),"",K1277/H1277)</f>
        <v/>
      </c>
      <c r="M1277" s="68"/>
      <c r="N1277" s="28"/>
      <c r="O1277" s="25"/>
      <c r="P1277" s="83" t="str">
        <f aca="false">IF(OR(N1277="",N(H1277)=0),"",N1277/H1277)</f>
        <v/>
      </c>
      <c r="Q1277" s="25"/>
    </row>
    <row r="1278" customFormat="false" ht="15" hidden="false" customHeight="false" outlineLevel="0" collapsed="false">
      <c r="A1278" s="69"/>
      <c r="B1278" s="68"/>
      <c r="C1278" s="76" t="str">
        <f aca="false">IF(B1278="","",IFERROR(INDEX(EN_Des,MATCH(B1278,EN_Code,0)),"Code inconnu"))</f>
        <v/>
      </c>
      <c r="D1278" s="25"/>
      <c r="E1278" s="25"/>
      <c r="F1278" s="82"/>
      <c r="G1278" s="82"/>
      <c r="H1278" s="83" t="str">
        <f aca="false">IF(OR(F1278="",G1278=""),"",G1278-F1278)</f>
        <v/>
      </c>
      <c r="I1278" s="82"/>
      <c r="J1278" s="82"/>
      <c r="K1278" s="28"/>
      <c r="L1278" s="90" t="str">
        <f aca="false">IF(OR(K1278="",N(H1278)=0),"",K1278/H1278)</f>
        <v/>
      </c>
      <c r="M1278" s="68"/>
      <c r="N1278" s="28"/>
      <c r="O1278" s="25"/>
      <c r="P1278" s="83" t="str">
        <f aca="false">IF(OR(N1278="",N(H1278)=0),"",N1278/H1278)</f>
        <v/>
      </c>
      <c r="Q1278" s="25"/>
    </row>
    <row r="1279" customFormat="false" ht="15" hidden="false" customHeight="false" outlineLevel="0" collapsed="false">
      <c r="A1279" s="69"/>
      <c r="B1279" s="68"/>
      <c r="C1279" s="76" t="str">
        <f aca="false">IF(B1279="","",IFERROR(INDEX(EN_Des,MATCH(B1279,EN_Code,0)),"Code inconnu"))</f>
        <v/>
      </c>
      <c r="D1279" s="25"/>
      <c r="E1279" s="25"/>
      <c r="F1279" s="82"/>
      <c r="G1279" s="82"/>
      <c r="H1279" s="83" t="str">
        <f aca="false">IF(OR(F1279="",G1279=""),"",G1279-F1279)</f>
        <v/>
      </c>
      <c r="I1279" s="82"/>
      <c r="J1279" s="82"/>
      <c r="K1279" s="28"/>
      <c r="L1279" s="90" t="str">
        <f aca="false">IF(OR(K1279="",N(H1279)=0),"",K1279/H1279)</f>
        <v/>
      </c>
      <c r="M1279" s="68"/>
      <c r="N1279" s="28"/>
      <c r="O1279" s="25"/>
      <c r="P1279" s="83" t="str">
        <f aca="false">IF(OR(N1279="",N(H1279)=0),"",N1279/H1279)</f>
        <v/>
      </c>
      <c r="Q1279" s="25"/>
    </row>
    <row r="1280" customFormat="false" ht="15" hidden="false" customHeight="false" outlineLevel="0" collapsed="false">
      <c r="A1280" s="69"/>
      <c r="B1280" s="68"/>
      <c r="C1280" s="76" t="str">
        <f aca="false">IF(B1280="","",IFERROR(INDEX(EN_Des,MATCH(B1280,EN_Code,0)),"Code inconnu"))</f>
        <v/>
      </c>
      <c r="D1280" s="25"/>
      <c r="E1280" s="25"/>
      <c r="F1280" s="82"/>
      <c r="G1280" s="82"/>
      <c r="H1280" s="83" t="str">
        <f aca="false">IF(OR(F1280="",G1280=""),"",G1280-F1280)</f>
        <v/>
      </c>
      <c r="I1280" s="82"/>
      <c r="J1280" s="82"/>
      <c r="K1280" s="28"/>
      <c r="L1280" s="90" t="str">
        <f aca="false">IF(OR(K1280="",N(H1280)=0),"",K1280/H1280)</f>
        <v/>
      </c>
      <c r="M1280" s="68"/>
      <c r="N1280" s="28"/>
      <c r="O1280" s="25"/>
      <c r="P1280" s="83" t="str">
        <f aca="false">IF(OR(N1280="",N(H1280)=0),"",N1280/H1280)</f>
        <v/>
      </c>
      <c r="Q1280" s="25"/>
    </row>
    <row r="1281" customFormat="false" ht="15" hidden="false" customHeight="false" outlineLevel="0" collapsed="false">
      <c r="A1281" s="69"/>
      <c r="B1281" s="68"/>
      <c r="C1281" s="76" t="str">
        <f aca="false">IF(B1281="","",IFERROR(INDEX(EN_Des,MATCH(B1281,EN_Code,0)),"Code inconnu"))</f>
        <v/>
      </c>
      <c r="D1281" s="25"/>
      <c r="E1281" s="25"/>
      <c r="F1281" s="82"/>
      <c r="G1281" s="82"/>
      <c r="H1281" s="83" t="str">
        <f aca="false">IF(OR(F1281="",G1281=""),"",G1281-F1281)</f>
        <v/>
      </c>
      <c r="I1281" s="82"/>
      <c r="J1281" s="82"/>
      <c r="K1281" s="28"/>
      <c r="L1281" s="90" t="str">
        <f aca="false">IF(OR(K1281="",N(H1281)=0),"",K1281/H1281)</f>
        <v/>
      </c>
      <c r="M1281" s="68"/>
      <c r="N1281" s="28"/>
      <c r="O1281" s="25"/>
      <c r="P1281" s="83" t="str">
        <f aca="false">IF(OR(N1281="",N(H1281)=0),"",N1281/H1281)</f>
        <v/>
      </c>
      <c r="Q1281" s="25"/>
    </row>
    <row r="1282" customFormat="false" ht="15" hidden="false" customHeight="false" outlineLevel="0" collapsed="false">
      <c r="A1282" s="69"/>
      <c r="B1282" s="68"/>
      <c r="C1282" s="76" t="str">
        <f aca="false">IF(B1282="","",IFERROR(INDEX(EN_Des,MATCH(B1282,EN_Code,0)),"Code inconnu"))</f>
        <v/>
      </c>
      <c r="D1282" s="25"/>
      <c r="E1282" s="25"/>
      <c r="F1282" s="82"/>
      <c r="G1282" s="82"/>
      <c r="H1282" s="83" t="str">
        <f aca="false">IF(OR(F1282="",G1282=""),"",G1282-F1282)</f>
        <v/>
      </c>
      <c r="I1282" s="82"/>
      <c r="J1282" s="82"/>
      <c r="K1282" s="28"/>
      <c r="L1282" s="90" t="str">
        <f aca="false">IF(OR(K1282="",N(H1282)=0),"",K1282/H1282)</f>
        <v/>
      </c>
      <c r="M1282" s="68"/>
      <c r="N1282" s="28"/>
      <c r="O1282" s="25"/>
      <c r="P1282" s="83" t="str">
        <f aca="false">IF(OR(N1282="",N(H1282)=0),"",N1282/H1282)</f>
        <v/>
      </c>
      <c r="Q1282" s="25"/>
    </row>
    <row r="1283" customFormat="false" ht="15" hidden="false" customHeight="false" outlineLevel="0" collapsed="false">
      <c r="A1283" s="69"/>
      <c r="B1283" s="68"/>
      <c r="C1283" s="76" t="str">
        <f aca="false">IF(B1283="","",IFERROR(INDEX(EN_Des,MATCH(B1283,EN_Code,0)),"Code inconnu"))</f>
        <v/>
      </c>
      <c r="D1283" s="25"/>
      <c r="E1283" s="25"/>
      <c r="F1283" s="82"/>
      <c r="G1283" s="82"/>
      <c r="H1283" s="83" t="str">
        <f aca="false">IF(OR(F1283="",G1283=""),"",G1283-F1283)</f>
        <v/>
      </c>
      <c r="I1283" s="82"/>
      <c r="J1283" s="82"/>
      <c r="K1283" s="28"/>
      <c r="L1283" s="90" t="str">
        <f aca="false">IF(OR(K1283="",N(H1283)=0),"",K1283/H1283)</f>
        <v/>
      </c>
      <c r="M1283" s="68"/>
      <c r="N1283" s="28"/>
      <c r="O1283" s="25"/>
      <c r="P1283" s="83" t="str">
        <f aca="false">IF(OR(N1283="",N(H1283)=0),"",N1283/H1283)</f>
        <v/>
      </c>
      <c r="Q1283" s="25"/>
    </row>
    <row r="1284" customFormat="false" ht="15" hidden="false" customHeight="false" outlineLevel="0" collapsed="false">
      <c r="A1284" s="69"/>
      <c r="B1284" s="68"/>
      <c r="C1284" s="76" t="str">
        <f aca="false">IF(B1284="","",IFERROR(INDEX(EN_Des,MATCH(B1284,EN_Code,0)),"Code inconnu"))</f>
        <v/>
      </c>
      <c r="D1284" s="25"/>
      <c r="E1284" s="25"/>
      <c r="F1284" s="82"/>
      <c r="G1284" s="82"/>
      <c r="H1284" s="83" t="str">
        <f aca="false">IF(OR(F1284="",G1284=""),"",G1284-F1284)</f>
        <v/>
      </c>
      <c r="I1284" s="82"/>
      <c r="J1284" s="82"/>
      <c r="K1284" s="28"/>
      <c r="L1284" s="90" t="str">
        <f aca="false">IF(OR(K1284="",N(H1284)=0),"",K1284/H1284)</f>
        <v/>
      </c>
      <c r="M1284" s="68"/>
      <c r="N1284" s="28"/>
      <c r="O1284" s="25"/>
      <c r="P1284" s="83" t="str">
        <f aca="false">IF(OR(N1284="",N(H1284)=0),"",N1284/H1284)</f>
        <v/>
      </c>
      <c r="Q1284" s="25"/>
    </row>
    <row r="1285" customFormat="false" ht="15" hidden="false" customHeight="false" outlineLevel="0" collapsed="false">
      <c r="A1285" s="69"/>
      <c r="B1285" s="68"/>
      <c r="C1285" s="76" t="str">
        <f aca="false">IF(B1285="","",IFERROR(INDEX(EN_Des,MATCH(B1285,EN_Code,0)),"Code inconnu"))</f>
        <v/>
      </c>
      <c r="D1285" s="25"/>
      <c r="E1285" s="25"/>
      <c r="F1285" s="82"/>
      <c r="G1285" s="82"/>
      <c r="H1285" s="83" t="str">
        <f aca="false">IF(OR(F1285="",G1285=""),"",G1285-F1285)</f>
        <v/>
      </c>
      <c r="I1285" s="82"/>
      <c r="J1285" s="82"/>
      <c r="K1285" s="28"/>
      <c r="L1285" s="90" t="str">
        <f aca="false">IF(OR(K1285="",N(H1285)=0),"",K1285/H1285)</f>
        <v/>
      </c>
      <c r="M1285" s="68"/>
      <c r="N1285" s="28"/>
      <c r="O1285" s="25"/>
      <c r="P1285" s="83" t="str">
        <f aca="false">IF(OR(N1285="",N(H1285)=0),"",N1285/H1285)</f>
        <v/>
      </c>
      <c r="Q1285" s="25"/>
    </row>
    <row r="1286" customFormat="false" ht="15" hidden="false" customHeight="false" outlineLevel="0" collapsed="false">
      <c r="A1286" s="69"/>
      <c r="B1286" s="68"/>
      <c r="C1286" s="76" t="str">
        <f aca="false">IF(B1286="","",IFERROR(INDEX(EN_Des,MATCH(B1286,EN_Code,0)),"Code inconnu"))</f>
        <v/>
      </c>
      <c r="D1286" s="25"/>
      <c r="E1286" s="25"/>
      <c r="F1286" s="82"/>
      <c r="G1286" s="82"/>
      <c r="H1286" s="83" t="str">
        <f aca="false">IF(OR(F1286="",G1286=""),"",G1286-F1286)</f>
        <v/>
      </c>
      <c r="I1286" s="82"/>
      <c r="J1286" s="82"/>
      <c r="K1286" s="28"/>
      <c r="L1286" s="90" t="str">
        <f aca="false">IF(OR(K1286="",N(H1286)=0),"",K1286/H1286)</f>
        <v/>
      </c>
      <c r="M1286" s="68"/>
      <c r="N1286" s="28"/>
      <c r="O1286" s="25"/>
      <c r="P1286" s="83" t="str">
        <f aca="false">IF(OR(N1286="",N(H1286)=0),"",N1286/H1286)</f>
        <v/>
      </c>
      <c r="Q1286" s="25"/>
    </row>
    <row r="1287" customFormat="false" ht="15" hidden="false" customHeight="false" outlineLevel="0" collapsed="false">
      <c r="A1287" s="69"/>
      <c r="B1287" s="68"/>
      <c r="C1287" s="76" t="str">
        <f aca="false">IF(B1287="","",IFERROR(INDEX(EN_Des,MATCH(B1287,EN_Code,0)),"Code inconnu"))</f>
        <v/>
      </c>
      <c r="D1287" s="25"/>
      <c r="E1287" s="25"/>
      <c r="F1287" s="82"/>
      <c r="G1287" s="82"/>
      <c r="H1287" s="83" t="str">
        <f aca="false">IF(OR(F1287="",G1287=""),"",G1287-F1287)</f>
        <v/>
      </c>
      <c r="I1287" s="82"/>
      <c r="J1287" s="82"/>
      <c r="K1287" s="28"/>
      <c r="L1287" s="90" t="str">
        <f aca="false">IF(OR(K1287="",N(H1287)=0),"",K1287/H1287)</f>
        <v/>
      </c>
      <c r="M1287" s="68"/>
      <c r="N1287" s="28"/>
      <c r="O1287" s="25"/>
      <c r="P1287" s="83" t="str">
        <f aca="false">IF(OR(N1287="",N(H1287)=0),"",N1287/H1287)</f>
        <v/>
      </c>
      <c r="Q1287" s="25"/>
    </row>
    <row r="1288" customFormat="false" ht="15" hidden="false" customHeight="false" outlineLevel="0" collapsed="false">
      <c r="A1288" s="69"/>
      <c r="B1288" s="68"/>
      <c r="C1288" s="76" t="str">
        <f aca="false">IF(B1288="","",IFERROR(INDEX(EN_Des,MATCH(B1288,EN_Code,0)),"Code inconnu"))</f>
        <v/>
      </c>
      <c r="D1288" s="25"/>
      <c r="E1288" s="25"/>
      <c r="F1288" s="82"/>
      <c r="G1288" s="82"/>
      <c r="H1288" s="83" t="str">
        <f aca="false">IF(OR(F1288="",G1288=""),"",G1288-F1288)</f>
        <v/>
      </c>
      <c r="I1288" s="82"/>
      <c r="J1288" s="82"/>
      <c r="K1288" s="28"/>
      <c r="L1288" s="90" t="str">
        <f aca="false">IF(OR(K1288="",N(H1288)=0),"",K1288/H1288)</f>
        <v/>
      </c>
      <c r="M1288" s="68"/>
      <c r="N1288" s="28"/>
      <c r="O1288" s="25"/>
      <c r="P1288" s="83" t="str">
        <f aca="false">IF(OR(N1288="",N(H1288)=0),"",N1288/H1288)</f>
        <v/>
      </c>
      <c r="Q1288" s="25"/>
    </row>
    <row r="1289" customFormat="false" ht="15" hidden="false" customHeight="false" outlineLevel="0" collapsed="false">
      <c r="A1289" s="69"/>
      <c r="B1289" s="68"/>
      <c r="C1289" s="76" t="str">
        <f aca="false">IF(B1289="","",IFERROR(INDEX(EN_Des,MATCH(B1289,EN_Code,0)),"Code inconnu"))</f>
        <v/>
      </c>
      <c r="D1289" s="25"/>
      <c r="E1289" s="25"/>
      <c r="F1289" s="82"/>
      <c r="G1289" s="82"/>
      <c r="H1289" s="83" t="str">
        <f aca="false">IF(OR(F1289="",G1289=""),"",G1289-F1289)</f>
        <v/>
      </c>
      <c r="I1289" s="82"/>
      <c r="J1289" s="82"/>
      <c r="K1289" s="28"/>
      <c r="L1289" s="90" t="str">
        <f aca="false">IF(OR(K1289="",N(H1289)=0),"",K1289/H1289)</f>
        <v/>
      </c>
      <c r="M1289" s="68"/>
      <c r="N1289" s="28"/>
      <c r="O1289" s="25"/>
      <c r="P1289" s="83" t="str">
        <f aca="false">IF(OR(N1289="",N(H1289)=0),"",N1289/H1289)</f>
        <v/>
      </c>
      <c r="Q1289" s="25"/>
    </row>
    <row r="1290" customFormat="false" ht="15" hidden="false" customHeight="false" outlineLevel="0" collapsed="false">
      <c r="A1290" s="69"/>
      <c r="B1290" s="68"/>
      <c r="C1290" s="76" t="str">
        <f aca="false">IF(B1290="","",IFERROR(INDEX(EN_Des,MATCH(B1290,EN_Code,0)),"Code inconnu"))</f>
        <v/>
      </c>
      <c r="D1290" s="25"/>
      <c r="E1290" s="25"/>
      <c r="F1290" s="82"/>
      <c r="G1290" s="82"/>
      <c r="H1290" s="83" t="str">
        <f aca="false">IF(OR(F1290="",G1290=""),"",G1290-F1290)</f>
        <v/>
      </c>
      <c r="I1290" s="82"/>
      <c r="J1290" s="82"/>
      <c r="K1290" s="28"/>
      <c r="L1290" s="90" t="str">
        <f aca="false">IF(OR(K1290="",N(H1290)=0),"",K1290/H1290)</f>
        <v/>
      </c>
      <c r="M1290" s="68"/>
      <c r="N1290" s="28"/>
      <c r="O1290" s="25"/>
      <c r="P1290" s="83" t="str">
        <f aca="false">IF(OR(N1290="",N(H1290)=0),"",N1290/H1290)</f>
        <v/>
      </c>
      <c r="Q1290" s="25"/>
    </row>
    <row r="1291" customFormat="false" ht="15" hidden="false" customHeight="false" outlineLevel="0" collapsed="false">
      <c r="A1291" s="69"/>
      <c r="B1291" s="68"/>
      <c r="C1291" s="76" t="str">
        <f aca="false">IF(B1291="","",IFERROR(INDEX(EN_Des,MATCH(B1291,EN_Code,0)),"Code inconnu"))</f>
        <v/>
      </c>
      <c r="D1291" s="25"/>
      <c r="E1291" s="25"/>
      <c r="F1291" s="82"/>
      <c r="G1291" s="82"/>
      <c r="H1291" s="83" t="str">
        <f aca="false">IF(OR(F1291="",G1291=""),"",G1291-F1291)</f>
        <v/>
      </c>
      <c r="I1291" s="82"/>
      <c r="J1291" s="82"/>
      <c r="K1291" s="28"/>
      <c r="L1291" s="90" t="str">
        <f aca="false">IF(OR(K1291="",N(H1291)=0),"",K1291/H1291)</f>
        <v/>
      </c>
      <c r="M1291" s="68"/>
      <c r="N1291" s="28"/>
      <c r="O1291" s="25"/>
      <c r="P1291" s="83" t="str">
        <f aca="false">IF(OR(N1291="",N(H1291)=0),"",N1291/H1291)</f>
        <v/>
      </c>
      <c r="Q1291" s="25"/>
    </row>
    <row r="1292" customFormat="false" ht="15" hidden="false" customHeight="false" outlineLevel="0" collapsed="false">
      <c r="A1292" s="69"/>
      <c r="B1292" s="68"/>
      <c r="C1292" s="76" t="str">
        <f aca="false">IF(B1292="","",IFERROR(INDEX(EN_Des,MATCH(B1292,EN_Code,0)),"Code inconnu"))</f>
        <v/>
      </c>
      <c r="D1292" s="25"/>
      <c r="E1292" s="25"/>
      <c r="F1292" s="82"/>
      <c r="G1292" s="82"/>
      <c r="H1292" s="83" t="str">
        <f aca="false">IF(OR(F1292="",G1292=""),"",G1292-F1292)</f>
        <v/>
      </c>
      <c r="I1292" s="82"/>
      <c r="J1292" s="82"/>
      <c r="K1292" s="28"/>
      <c r="L1292" s="90" t="str">
        <f aca="false">IF(OR(K1292="",N(H1292)=0),"",K1292/H1292)</f>
        <v/>
      </c>
      <c r="M1292" s="68"/>
      <c r="N1292" s="28"/>
      <c r="O1292" s="25"/>
      <c r="P1292" s="83" t="str">
        <f aca="false">IF(OR(N1292="",N(H1292)=0),"",N1292/H1292)</f>
        <v/>
      </c>
      <c r="Q1292" s="25"/>
    </row>
    <row r="1293" customFormat="false" ht="15" hidden="false" customHeight="false" outlineLevel="0" collapsed="false">
      <c r="A1293" s="69"/>
      <c r="B1293" s="68"/>
      <c r="C1293" s="76" t="str">
        <f aca="false">IF(B1293="","",IFERROR(INDEX(EN_Des,MATCH(B1293,EN_Code,0)),"Code inconnu"))</f>
        <v/>
      </c>
      <c r="D1293" s="25"/>
      <c r="E1293" s="25"/>
      <c r="F1293" s="82"/>
      <c r="G1293" s="82"/>
      <c r="H1293" s="83" t="str">
        <f aca="false">IF(OR(F1293="",G1293=""),"",G1293-F1293)</f>
        <v/>
      </c>
      <c r="I1293" s="82"/>
      <c r="J1293" s="82"/>
      <c r="K1293" s="28"/>
      <c r="L1293" s="90" t="str">
        <f aca="false">IF(OR(K1293="",N(H1293)=0),"",K1293/H1293)</f>
        <v/>
      </c>
      <c r="M1293" s="68"/>
      <c r="N1293" s="28"/>
      <c r="O1293" s="25"/>
      <c r="P1293" s="83" t="str">
        <f aca="false">IF(OR(N1293="",N(H1293)=0),"",N1293/H1293)</f>
        <v/>
      </c>
      <c r="Q1293" s="25"/>
    </row>
    <row r="1294" customFormat="false" ht="15" hidden="false" customHeight="false" outlineLevel="0" collapsed="false">
      <c r="A1294" s="69"/>
      <c r="B1294" s="68"/>
      <c r="C1294" s="76" t="str">
        <f aca="false">IF(B1294="","",IFERROR(INDEX(EN_Des,MATCH(B1294,EN_Code,0)),"Code inconnu"))</f>
        <v/>
      </c>
      <c r="D1294" s="25"/>
      <c r="E1294" s="25"/>
      <c r="F1294" s="82"/>
      <c r="G1294" s="82"/>
      <c r="H1294" s="83" t="str">
        <f aca="false">IF(OR(F1294="",G1294=""),"",G1294-F1294)</f>
        <v/>
      </c>
      <c r="I1294" s="82"/>
      <c r="J1294" s="82"/>
      <c r="K1294" s="28"/>
      <c r="L1294" s="90" t="str">
        <f aca="false">IF(OR(K1294="",N(H1294)=0),"",K1294/H1294)</f>
        <v/>
      </c>
      <c r="M1294" s="68"/>
      <c r="N1294" s="28"/>
      <c r="O1294" s="25"/>
      <c r="P1294" s="83" t="str">
        <f aca="false">IF(OR(N1294="",N(H1294)=0),"",N1294/H1294)</f>
        <v/>
      </c>
      <c r="Q1294" s="25"/>
    </row>
    <row r="1295" customFormat="false" ht="15" hidden="false" customHeight="false" outlineLevel="0" collapsed="false">
      <c r="A1295" s="69"/>
      <c r="B1295" s="68"/>
      <c r="C1295" s="76" t="str">
        <f aca="false">IF(B1295="","",IFERROR(INDEX(EN_Des,MATCH(B1295,EN_Code,0)),"Code inconnu"))</f>
        <v/>
      </c>
      <c r="D1295" s="25"/>
      <c r="E1295" s="25"/>
      <c r="F1295" s="82"/>
      <c r="G1295" s="82"/>
      <c r="H1295" s="83" t="str">
        <f aca="false">IF(OR(F1295="",G1295=""),"",G1295-F1295)</f>
        <v/>
      </c>
      <c r="I1295" s="82"/>
      <c r="J1295" s="82"/>
      <c r="K1295" s="28"/>
      <c r="L1295" s="90" t="str">
        <f aca="false">IF(OR(K1295="",N(H1295)=0),"",K1295/H1295)</f>
        <v/>
      </c>
      <c r="M1295" s="68"/>
      <c r="N1295" s="28"/>
      <c r="O1295" s="25"/>
      <c r="P1295" s="83" t="str">
        <f aca="false">IF(OR(N1295="",N(H1295)=0),"",N1295/H1295)</f>
        <v/>
      </c>
      <c r="Q1295" s="25"/>
    </row>
    <row r="1296" customFormat="false" ht="15" hidden="false" customHeight="false" outlineLevel="0" collapsed="false">
      <c r="A1296" s="69"/>
      <c r="B1296" s="68"/>
      <c r="C1296" s="76" t="str">
        <f aca="false">IF(B1296="","",IFERROR(INDEX(EN_Des,MATCH(B1296,EN_Code,0)),"Code inconnu"))</f>
        <v/>
      </c>
      <c r="D1296" s="25"/>
      <c r="E1296" s="25"/>
      <c r="F1296" s="82"/>
      <c r="G1296" s="82"/>
      <c r="H1296" s="83" t="str">
        <f aca="false">IF(OR(F1296="",G1296=""),"",G1296-F1296)</f>
        <v/>
      </c>
      <c r="I1296" s="82"/>
      <c r="J1296" s="82"/>
      <c r="K1296" s="28"/>
      <c r="L1296" s="90" t="str">
        <f aca="false">IF(OR(K1296="",N(H1296)=0),"",K1296/H1296)</f>
        <v/>
      </c>
      <c r="M1296" s="68"/>
      <c r="N1296" s="28"/>
      <c r="O1296" s="25"/>
      <c r="P1296" s="83" t="str">
        <f aca="false">IF(OR(N1296="",N(H1296)=0),"",N1296/H1296)</f>
        <v/>
      </c>
      <c r="Q1296" s="25"/>
    </row>
    <row r="1297" customFormat="false" ht="15" hidden="false" customHeight="false" outlineLevel="0" collapsed="false">
      <c r="A1297" s="69"/>
      <c r="B1297" s="68"/>
      <c r="C1297" s="76" t="str">
        <f aca="false">IF(B1297="","",IFERROR(INDEX(EN_Des,MATCH(B1297,EN_Code,0)),"Code inconnu"))</f>
        <v/>
      </c>
      <c r="D1297" s="25"/>
      <c r="E1297" s="25"/>
      <c r="F1297" s="82"/>
      <c r="G1297" s="82"/>
      <c r="H1297" s="83" t="str">
        <f aca="false">IF(OR(F1297="",G1297=""),"",G1297-F1297)</f>
        <v/>
      </c>
      <c r="I1297" s="82"/>
      <c r="J1297" s="82"/>
      <c r="K1297" s="28"/>
      <c r="L1297" s="90" t="str">
        <f aca="false">IF(OR(K1297="",N(H1297)=0),"",K1297/H1297)</f>
        <v/>
      </c>
      <c r="M1297" s="68"/>
      <c r="N1297" s="28"/>
      <c r="O1297" s="25"/>
      <c r="P1297" s="83" t="str">
        <f aca="false">IF(OR(N1297="",N(H1297)=0),"",N1297/H1297)</f>
        <v/>
      </c>
      <c r="Q1297" s="25"/>
    </row>
    <row r="1298" customFormat="false" ht="15" hidden="false" customHeight="false" outlineLevel="0" collapsed="false">
      <c r="A1298" s="69"/>
      <c r="B1298" s="68"/>
      <c r="C1298" s="76" t="str">
        <f aca="false">IF(B1298="","",IFERROR(INDEX(EN_Des,MATCH(B1298,EN_Code,0)),"Code inconnu"))</f>
        <v/>
      </c>
      <c r="D1298" s="25"/>
      <c r="E1298" s="25"/>
      <c r="F1298" s="82"/>
      <c r="G1298" s="82"/>
      <c r="H1298" s="83" t="str">
        <f aca="false">IF(OR(F1298="",G1298=""),"",G1298-F1298)</f>
        <v/>
      </c>
      <c r="I1298" s="82"/>
      <c r="J1298" s="82"/>
      <c r="K1298" s="28"/>
      <c r="L1298" s="90" t="str">
        <f aca="false">IF(OR(K1298="",N(H1298)=0),"",K1298/H1298)</f>
        <v/>
      </c>
      <c r="M1298" s="68"/>
      <c r="N1298" s="28"/>
      <c r="O1298" s="25"/>
      <c r="P1298" s="83" t="str">
        <f aca="false">IF(OR(N1298="",N(H1298)=0),"",N1298/H1298)</f>
        <v/>
      </c>
      <c r="Q1298" s="25"/>
    </row>
    <row r="1299" customFormat="false" ht="15" hidden="false" customHeight="false" outlineLevel="0" collapsed="false">
      <c r="A1299" s="69"/>
      <c r="B1299" s="68"/>
      <c r="C1299" s="76" t="str">
        <f aca="false">IF(B1299="","",IFERROR(INDEX(EN_Des,MATCH(B1299,EN_Code,0)),"Code inconnu"))</f>
        <v/>
      </c>
      <c r="D1299" s="25"/>
      <c r="E1299" s="25"/>
      <c r="F1299" s="82"/>
      <c r="G1299" s="82"/>
      <c r="H1299" s="83" t="str">
        <f aca="false">IF(OR(F1299="",G1299=""),"",G1299-F1299)</f>
        <v/>
      </c>
      <c r="I1299" s="82"/>
      <c r="J1299" s="82"/>
      <c r="K1299" s="28"/>
      <c r="L1299" s="90" t="str">
        <f aca="false">IF(OR(K1299="",N(H1299)=0),"",K1299/H1299)</f>
        <v/>
      </c>
      <c r="M1299" s="68"/>
      <c r="N1299" s="28"/>
      <c r="O1299" s="25"/>
      <c r="P1299" s="83" t="str">
        <f aca="false">IF(OR(N1299="",N(H1299)=0),"",N1299/H1299)</f>
        <v/>
      </c>
      <c r="Q1299" s="25"/>
    </row>
    <row r="1300" customFormat="false" ht="15" hidden="false" customHeight="false" outlineLevel="0" collapsed="false">
      <c r="A1300" s="69"/>
      <c r="B1300" s="68"/>
      <c r="C1300" s="76" t="str">
        <f aca="false">IF(B1300="","",IFERROR(INDEX(EN_Des,MATCH(B1300,EN_Code,0)),"Code inconnu"))</f>
        <v/>
      </c>
      <c r="D1300" s="25"/>
      <c r="E1300" s="25"/>
      <c r="F1300" s="82"/>
      <c r="G1300" s="82"/>
      <c r="H1300" s="83" t="str">
        <f aca="false">IF(OR(F1300="",G1300=""),"",G1300-F1300)</f>
        <v/>
      </c>
      <c r="I1300" s="82"/>
      <c r="J1300" s="82"/>
      <c r="K1300" s="28"/>
      <c r="L1300" s="90" t="str">
        <f aca="false">IF(OR(K1300="",N(H1300)=0),"",K1300/H1300)</f>
        <v/>
      </c>
      <c r="M1300" s="68"/>
      <c r="N1300" s="28"/>
      <c r="O1300" s="25"/>
      <c r="P1300" s="83" t="str">
        <f aca="false">IF(OR(N1300="",N(H1300)=0),"",N1300/H1300)</f>
        <v/>
      </c>
      <c r="Q1300" s="25"/>
    </row>
    <row r="1301" customFormat="false" ht="15" hidden="false" customHeight="false" outlineLevel="0" collapsed="false">
      <c r="A1301" s="69"/>
      <c r="B1301" s="68"/>
      <c r="C1301" s="76" t="str">
        <f aca="false">IF(B1301="","",IFERROR(INDEX(EN_Des,MATCH(B1301,EN_Code,0)),"Code inconnu"))</f>
        <v/>
      </c>
      <c r="D1301" s="25"/>
      <c r="E1301" s="25"/>
      <c r="F1301" s="82"/>
      <c r="G1301" s="82"/>
      <c r="H1301" s="83" t="str">
        <f aca="false">IF(OR(F1301="",G1301=""),"",G1301-F1301)</f>
        <v/>
      </c>
      <c r="I1301" s="82"/>
      <c r="J1301" s="82"/>
      <c r="K1301" s="28"/>
      <c r="L1301" s="90" t="str">
        <f aca="false">IF(OR(K1301="",N(H1301)=0),"",K1301/H1301)</f>
        <v/>
      </c>
      <c r="M1301" s="68"/>
      <c r="N1301" s="28"/>
      <c r="O1301" s="25"/>
      <c r="P1301" s="83" t="str">
        <f aca="false">IF(OR(N1301="",N(H1301)=0),"",N1301/H1301)</f>
        <v/>
      </c>
      <c r="Q1301" s="25"/>
    </row>
    <row r="1302" customFormat="false" ht="15" hidden="false" customHeight="false" outlineLevel="0" collapsed="false">
      <c r="A1302" s="69"/>
      <c r="B1302" s="68"/>
      <c r="C1302" s="76" t="str">
        <f aca="false">IF(B1302="","",IFERROR(INDEX(EN_Des,MATCH(B1302,EN_Code,0)),"Code inconnu"))</f>
        <v/>
      </c>
      <c r="D1302" s="25"/>
      <c r="E1302" s="25"/>
      <c r="F1302" s="82"/>
      <c r="G1302" s="82"/>
      <c r="H1302" s="83" t="str">
        <f aca="false">IF(OR(F1302="",G1302=""),"",G1302-F1302)</f>
        <v/>
      </c>
      <c r="I1302" s="82"/>
      <c r="J1302" s="82"/>
      <c r="K1302" s="28"/>
      <c r="L1302" s="90" t="str">
        <f aca="false">IF(OR(K1302="",N(H1302)=0),"",K1302/H1302)</f>
        <v/>
      </c>
      <c r="M1302" s="68"/>
      <c r="N1302" s="28"/>
      <c r="O1302" s="25"/>
      <c r="P1302" s="83" t="str">
        <f aca="false">IF(OR(N1302="",N(H1302)=0),"",N1302/H1302)</f>
        <v/>
      </c>
      <c r="Q1302" s="25"/>
    </row>
    <row r="1303" customFormat="false" ht="15" hidden="false" customHeight="false" outlineLevel="0" collapsed="false">
      <c r="A1303" s="69"/>
      <c r="B1303" s="68"/>
      <c r="C1303" s="76" t="str">
        <f aca="false">IF(B1303="","",IFERROR(INDEX(EN_Des,MATCH(B1303,EN_Code,0)),"Code inconnu"))</f>
        <v/>
      </c>
      <c r="D1303" s="25"/>
      <c r="E1303" s="25"/>
      <c r="F1303" s="82"/>
      <c r="G1303" s="82"/>
      <c r="H1303" s="83" t="str">
        <f aca="false">IF(OR(F1303="",G1303=""),"",G1303-F1303)</f>
        <v/>
      </c>
      <c r="I1303" s="82"/>
      <c r="J1303" s="82"/>
      <c r="K1303" s="28"/>
      <c r="L1303" s="90" t="str">
        <f aca="false">IF(OR(K1303="",N(H1303)=0),"",K1303/H1303)</f>
        <v/>
      </c>
      <c r="M1303" s="68"/>
      <c r="N1303" s="28"/>
      <c r="O1303" s="25"/>
      <c r="P1303" s="83" t="str">
        <f aca="false">IF(OR(N1303="",N(H1303)=0),"",N1303/H1303)</f>
        <v/>
      </c>
      <c r="Q1303" s="25"/>
    </row>
    <row r="1304" customFormat="false" ht="15" hidden="false" customHeight="false" outlineLevel="0" collapsed="false">
      <c r="A1304" s="69"/>
      <c r="B1304" s="68"/>
      <c r="C1304" s="76" t="str">
        <f aca="false">IF(B1304="","",IFERROR(INDEX(EN_Des,MATCH(B1304,EN_Code,0)),"Code inconnu"))</f>
        <v/>
      </c>
      <c r="D1304" s="25"/>
      <c r="E1304" s="25"/>
      <c r="F1304" s="82"/>
      <c r="G1304" s="82"/>
      <c r="H1304" s="83" t="str">
        <f aca="false">IF(OR(F1304="",G1304=""),"",G1304-F1304)</f>
        <v/>
      </c>
      <c r="I1304" s="82"/>
      <c r="J1304" s="82"/>
      <c r="K1304" s="28"/>
      <c r="L1304" s="90" t="str">
        <f aca="false">IF(OR(K1304="",N(H1304)=0),"",K1304/H1304)</f>
        <v/>
      </c>
      <c r="M1304" s="68"/>
      <c r="N1304" s="28"/>
      <c r="O1304" s="25"/>
      <c r="P1304" s="83" t="str">
        <f aca="false">IF(OR(N1304="",N(H1304)=0),"",N1304/H1304)</f>
        <v/>
      </c>
      <c r="Q1304" s="25"/>
    </row>
    <row r="1305" customFormat="false" ht="15" hidden="false" customHeight="false" outlineLevel="0" collapsed="false">
      <c r="A1305" s="69"/>
      <c r="B1305" s="68"/>
      <c r="C1305" s="76" t="str">
        <f aca="false">IF(B1305="","",IFERROR(INDEX(EN_Des,MATCH(B1305,EN_Code,0)),"Code inconnu"))</f>
        <v/>
      </c>
      <c r="D1305" s="25"/>
      <c r="E1305" s="25"/>
      <c r="F1305" s="82"/>
      <c r="G1305" s="82"/>
      <c r="H1305" s="83" t="str">
        <f aca="false">IF(OR(F1305="",G1305=""),"",G1305-F1305)</f>
        <v/>
      </c>
      <c r="I1305" s="82"/>
      <c r="J1305" s="82"/>
      <c r="K1305" s="28"/>
      <c r="L1305" s="90" t="str">
        <f aca="false">IF(OR(K1305="",N(H1305)=0),"",K1305/H1305)</f>
        <v/>
      </c>
      <c r="M1305" s="68"/>
      <c r="N1305" s="28"/>
      <c r="O1305" s="25"/>
      <c r="P1305" s="83" t="str">
        <f aca="false">IF(OR(N1305="",N(H1305)=0),"",N1305/H1305)</f>
        <v/>
      </c>
      <c r="Q1305" s="25"/>
    </row>
    <row r="1306" customFormat="false" ht="15" hidden="false" customHeight="false" outlineLevel="0" collapsed="false">
      <c r="A1306" s="69"/>
      <c r="B1306" s="68"/>
      <c r="C1306" s="76" t="str">
        <f aca="false">IF(B1306="","",IFERROR(INDEX(EN_Des,MATCH(B1306,EN_Code,0)),"Code inconnu"))</f>
        <v/>
      </c>
      <c r="D1306" s="25"/>
      <c r="E1306" s="25"/>
      <c r="F1306" s="82"/>
      <c r="G1306" s="82"/>
      <c r="H1306" s="83" t="str">
        <f aca="false">IF(OR(F1306="",G1306=""),"",G1306-F1306)</f>
        <v/>
      </c>
      <c r="I1306" s="82"/>
      <c r="J1306" s="82"/>
      <c r="K1306" s="28"/>
      <c r="L1306" s="90" t="str">
        <f aca="false">IF(OR(K1306="",N(H1306)=0),"",K1306/H1306)</f>
        <v/>
      </c>
      <c r="M1306" s="68"/>
      <c r="N1306" s="28"/>
      <c r="O1306" s="25"/>
      <c r="P1306" s="83" t="str">
        <f aca="false">IF(OR(N1306="",N(H1306)=0),"",N1306/H1306)</f>
        <v/>
      </c>
      <c r="Q1306" s="25"/>
    </row>
    <row r="1307" customFormat="false" ht="15" hidden="false" customHeight="false" outlineLevel="0" collapsed="false">
      <c r="A1307" s="69"/>
      <c r="B1307" s="68"/>
      <c r="C1307" s="76" t="str">
        <f aca="false">IF(B1307="","",IFERROR(INDEX(EN_Des,MATCH(B1307,EN_Code,0)),"Code inconnu"))</f>
        <v/>
      </c>
      <c r="D1307" s="25"/>
      <c r="E1307" s="25"/>
      <c r="F1307" s="82"/>
      <c r="G1307" s="82"/>
      <c r="H1307" s="83" t="str">
        <f aca="false">IF(OR(F1307="",G1307=""),"",G1307-F1307)</f>
        <v/>
      </c>
      <c r="I1307" s="82"/>
      <c r="J1307" s="82"/>
      <c r="K1307" s="28"/>
      <c r="L1307" s="90" t="str">
        <f aca="false">IF(OR(K1307="",N(H1307)=0),"",K1307/H1307)</f>
        <v/>
      </c>
      <c r="M1307" s="68"/>
      <c r="N1307" s="28"/>
      <c r="O1307" s="25"/>
      <c r="P1307" s="83" t="str">
        <f aca="false">IF(OR(N1307="",N(H1307)=0),"",N1307/H1307)</f>
        <v/>
      </c>
      <c r="Q1307" s="25"/>
    </row>
    <row r="1308" customFormat="false" ht="15" hidden="false" customHeight="false" outlineLevel="0" collapsed="false">
      <c r="A1308" s="69"/>
      <c r="B1308" s="68"/>
      <c r="C1308" s="76" t="str">
        <f aca="false">IF(B1308="","",IFERROR(INDEX(EN_Des,MATCH(B1308,EN_Code,0)),"Code inconnu"))</f>
        <v/>
      </c>
      <c r="D1308" s="25"/>
      <c r="E1308" s="25"/>
      <c r="F1308" s="82"/>
      <c r="G1308" s="82"/>
      <c r="H1308" s="83" t="str">
        <f aca="false">IF(OR(F1308="",G1308=""),"",G1308-F1308)</f>
        <v/>
      </c>
      <c r="I1308" s="82"/>
      <c r="J1308" s="82"/>
      <c r="K1308" s="28"/>
      <c r="L1308" s="90" t="str">
        <f aca="false">IF(OR(K1308="",N(H1308)=0),"",K1308/H1308)</f>
        <v/>
      </c>
      <c r="M1308" s="68"/>
      <c r="N1308" s="28"/>
      <c r="O1308" s="25"/>
      <c r="P1308" s="83" t="str">
        <f aca="false">IF(OR(N1308="",N(H1308)=0),"",N1308/H1308)</f>
        <v/>
      </c>
      <c r="Q1308" s="25"/>
    </row>
    <row r="1309" customFormat="false" ht="15" hidden="false" customHeight="false" outlineLevel="0" collapsed="false">
      <c r="A1309" s="69"/>
      <c r="B1309" s="68"/>
      <c r="C1309" s="76" t="str">
        <f aca="false">IF(B1309="","",IFERROR(INDEX(EN_Des,MATCH(B1309,EN_Code,0)),"Code inconnu"))</f>
        <v/>
      </c>
      <c r="D1309" s="25"/>
      <c r="E1309" s="25"/>
      <c r="F1309" s="82"/>
      <c r="G1309" s="82"/>
      <c r="H1309" s="83" t="str">
        <f aca="false">IF(OR(F1309="",G1309=""),"",G1309-F1309)</f>
        <v/>
      </c>
      <c r="I1309" s="82"/>
      <c r="J1309" s="82"/>
      <c r="K1309" s="28"/>
      <c r="L1309" s="90" t="str">
        <f aca="false">IF(OR(K1309="",N(H1309)=0),"",K1309/H1309)</f>
        <v/>
      </c>
      <c r="M1309" s="68"/>
      <c r="N1309" s="28"/>
      <c r="O1309" s="25"/>
      <c r="P1309" s="83" t="str">
        <f aca="false">IF(OR(N1309="",N(H1309)=0),"",N1309/H1309)</f>
        <v/>
      </c>
      <c r="Q1309" s="25"/>
    </row>
    <row r="1310" customFormat="false" ht="15" hidden="false" customHeight="false" outlineLevel="0" collapsed="false">
      <c r="A1310" s="69"/>
      <c r="B1310" s="68"/>
      <c r="C1310" s="76" t="str">
        <f aca="false">IF(B1310="","",IFERROR(INDEX(EN_Des,MATCH(B1310,EN_Code,0)),"Code inconnu"))</f>
        <v/>
      </c>
      <c r="D1310" s="25"/>
      <c r="E1310" s="25"/>
      <c r="F1310" s="82"/>
      <c r="G1310" s="82"/>
      <c r="H1310" s="83" t="str">
        <f aca="false">IF(OR(F1310="",G1310=""),"",G1310-F1310)</f>
        <v/>
      </c>
      <c r="I1310" s="82"/>
      <c r="J1310" s="82"/>
      <c r="K1310" s="28"/>
      <c r="L1310" s="90" t="str">
        <f aca="false">IF(OR(K1310="",N(H1310)=0),"",K1310/H1310)</f>
        <v/>
      </c>
      <c r="M1310" s="68"/>
      <c r="N1310" s="28"/>
      <c r="O1310" s="25"/>
      <c r="P1310" s="83" t="str">
        <f aca="false">IF(OR(N1310="",N(H1310)=0),"",N1310/H1310)</f>
        <v/>
      </c>
      <c r="Q1310" s="25"/>
    </row>
    <row r="1311" customFormat="false" ht="15" hidden="false" customHeight="false" outlineLevel="0" collapsed="false">
      <c r="A1311" s="69"/>
      <c r="B1311" s="68"/>
      <c r="C1311" s="76" t="str">
        <f aca="false">IF(B1311="","",IFERROR(INDEX(EN_Des,MATCH(B1311,EN_Code,0)),"Code inconnu"))</f>
        <v/>
      </c>
      <c r="D1311" s="25"/>
      <c r="E1311" s="25"/>
      <c r="F1311" s="82"/>
      <c r="G1311" s="82"/>
      <c r="H1311" s="83" t="str">
        <f aca="false">IF(OR(F1311="",G1311=""),"",G1311-F1311)</f>
        <v/>
      </c>
      <c r="I1311" s="82"/>
      <c r="J1311" s="82"/>
      <c r="K1311" s="28"/>
      <c r="L1311" s="90" t="str">
        <f aca="false">IF(OR(K1311="",N(H1311)=0),"",K1311/H1311)</f>
        <v/>
      </c>
      <c r="M1311" s="68"/>
      <c r="N1311" s="28"/>
      <c r="O1311" s="25"/>
      <c r="P1311" s="83" t="str">
        <f aca="false">IF(OR(N1311="",N(H1311)=0),"",N1311/H1311)</f>
        <v/>
      </c>
      <c r="Q1311" s="25"/>
    </row>
    <row r="1312" customFormat="false" ht="15" hidden="false" customHeight="false" outlineLevel="0" collapsed="false">
      <c r="A1312" s="69"/>
      <c r="B1312" s="68"/>
      <c r="C1312" s="76" t="str">
        <f aca="false">IF(B1312="","",IFERROR(INDEX(EN_Des,MATCH(B1312,EN_Code,0)),"Code inconnu"))</f>
        <v/>
      </c>
      <c r="D1312" s="25"/>
      <c r="E1312" s="25"/>
      <c r="F1312" s="82"/>
      <c r="G1312" s="82"/>
      <c r="H1312" s="83" t="str">
        <f aca="false">IF(OR(F1312="",G1312=""),"",G1312-F1312)</f>
        <v/>
      </c>
      <c r="I1312" s="82"/>
      <c r="J1312" s="82"/>
      <c r="K1312" s="28"/>
      <c r="L1312" s="90" t="str">
        <f aca="false">IF(OR(K1312="",N(H1312)=0),"",K1312/H1312)</f>
        <v/>
      </c>
      <c r="M1312" s="68"/>
      <c r="N1312" s="28"/>
      <c r="O1312" s="25"/>
      <c r="P1312" s="83" t="str">
        <f aca="false">IF(OR(N1312="",N(H1312)=0),"",N1312/H1312)</f>
        <v/>
      </c>
      <c r="Q1312" s="25"/>
    </row>
    <row r="1313" customFormat="false" ht="15" hidden="false" customHeight="false" outlineLevel="0" collapsed="false">
      <c r="A1313" s="69"/>
      <c r="B1313" s="68"/>
      <c r="C1313" s="76" t="str">
        <f aca="false">IF(B1313="","",IFERROR(INDEX(EN_Des,MATCH(B1313,EN_Code,0)),"Code inconnu"))</f>
        <v/>
      </c>
      <c r="D1313" s="25"/>
      <c r="E1313" s="25"/>
      <c r="F1313" s="82"/>
      <c r="G1313" s="82"/>
      <c r="H1313" s="83" t="str">
        <f aca="false">IF(OR(F1313="",G1313=""),"",G1313-F1313)</f>
        <v/>
      </c>
      <c r="I1313" s="82"/>
      <c r="J1313" s="82"/>
      <c r="K1313" s="28"/>
      <c r="L1313" s="90" t="str">
        <f aca="false">IF(OR(K1313="",N(H1313)=0),"",K1313/H1313)</f>
        <v/>
      </c>
      <c r="M1313" s="68"/>
      <c r="N1313" s="28"/>
      <c r="O1313" s="25"/>
      <c r="P1313" s="83" t="str">
        <f aca="false">IF(OR(N1313="",N(H1313)=0),"",N1313/H1313)</f>
        <v/>
      </c>
      <c r="Q1313" s="25"/>
    </row>
    <row r="1314" customFormat="false" ht="15" hidden="false" customHeight="false" outlineLevel="0" collapsed="false">
      <c r="A1314" s="69"/>
      <c r="B1314" s="68"/>
      <c r="C1314" s="76" t="str">
        <f aca="false">IF(B1314="","",IFERROR(INDEX(EN_Des,MATCH(B1314,EN_Code,0)),"Code inconnu"))</f>
        <v/>
      </c>
      <c r="D1314" s="25"/>
      <c r="E1314" s="25"/>
      <c r="F1314" s="82"/>
      <c r="G1314" s="82"/>
      <c r="H1314" s="83" t="str">
        <f aca="false">IF(OR(F1314="",G1314=""),"",G1314-F1314)</f>
        <v/>
      </c>
      <c r="I1314" s="82"/>
      <c r="J1314" s="82"/>
      <c r="K1314" s="28"/>
      <c r="L1314" s="90" t="str">
        <f aca="false">IF(OR(K1314="",N(H1314)=0),"",K1314/H1314)</f>
        <v/>
      </c>
      <c r="M1314" s="68"/>
      <c r="N1314" s="28"/>
      <c r="O1314" s="25"/>
      <c r="P1314" s="83" t="str">
        <f aca="false">IF(OR(N1314="",N(H1314)=0),"",N1314/H1314)</f>
        <v/>
      </c>
      <c r="Q1314" s="25"/>
    </row>
    <row r="1315" customFormat="false" ht="15" hidden="false" customHeight="false" outlineLevel="0" collapsed="false">
      <c r="A1315" s="69"/>
      <c r="B1315" s="68"/>
      <c r="C1315" s="76" t="str">
        <f aca="false">IF(B1315="","",IFERROR(INDEX(EN_Des,MATCH(B1315,EN_Code,0)),"Code inconnu"))</f>
        <v/>
      </c>
      <c r="D1315" s="25"/>
      <c r="E1315" s="25"/>
      <c r="F1315" s="82"/>
      <c r="G1315" s="82"/>
      <c r="H1315" s="83" t="str">
        <f aca="false">IF(OR(F1315="",G1315=""),"",G1315-F1315)</f>
        <v/>
      </c>
      <c r="I1315" s="82"/>
      <c r="J1315" s="82"/>
      <c r="K1315" s="28"/>
      <c r="L1315" s="90" t="str">
        <f aca="false">IF(OR(K1315="",N(H1315)=0),"",K1315/H1315)</f>
        <v/>
      </c>
      <c r="M1315" s="68"/>
      <c r="N1315" s="28"/>
      <c r="O1315" s="25"/>
      <c r="P1315" s="83" t="str">
        <f aca="false">IF(OR(N1315="",N(H1315)=0),"",N1315/H1315)</f>
        <v/>
      </c>
      <c r="Q1315" s="25"/>
    </row>
    <row r="1316" customFormat="false" ht="15" hidden="false" customHeight="false" outlineLevel="0" collapsed="false">
      <c r="A1316" s="69"/>
      <c r="B1316" s="68"/>
      <c r="C1316" s="76" t="str">
        <f aca="false">IF(B1316="","",IFERROR(INDEX(EN_Des,MATCH(B1316,EN_Code,0)),"Code inconnu"))</f>
        <v/>
      </c>
      <c r="D1316" s="25"/>
      <c r="E1316" s="25"/>
      <c r="F1316" s="82"/>
      <c r="G1316" s="82"/>
      <c r="H1316" s="83" t="str">
        <f aca="false">IF(OR(F1316="",G1316=""),"",G1316-F1316)</f>
        <v/>
      </c>
      <c r="I1316" s="82"/>
      <c r="J1316" s="82"/>
      <c r="K1316" s="28"/>
      <c r="L1316" s="90" t="str">
        <f aca="false">IF(OR(K1316="",N(H1316)=0),"",K1316/H1316)</f>
        <v/>
      </c>
      <c r="M1316" s="68"/>
      <c r="N1316" s="28"/>
      <c r="O1316" s="25"/>
      <c r="P1316" s="83" t="str">
        <f aca="false">IF(OR(N1316="",N(H1316)=0),"",N1316/H1316)</f>
        <v/>
      </c>
      <c r="Q1316" s="25"/>
    </row>
    <row r="1317" customFormat="false" ht="15" hidden="false" customHeight="false" outlineLevel="0" collapsed="false">
      <c r="A1317" s="69"/>
      <c r="B1317" s="68"/>
      <c r="C1317" s="76" t="str">
        <f aca="false">IF(B1317="","",IFERROR(INDEX(EN_Des,MATCH(B1317,EN_Code,0)),"Code inconnu"))</f>
        <v/>
      </c>
      <c r="D1317" s="25"/>
      <c r="E1317" s="25"/>
      <c r="F1317" s="82"/>
      <c r="G1317" s="82"/>
      <c r="H1317" s="83" t="str">
        <f aca="false">IF(OR(F1317="",G1317=""),"",G1317-F1317)</f>
        <v/>
      </c>
      <c r="I1317" s="82"/>
      <c r="J1317" s="82"/>
      <c r="K1317" s="28"/>
      <c r="L1317" s="90" t="str">
        <f aca="false">IF(OR(K1317="",N(H1317)=0),"",K1317/H1317)</f>
        <v/>
      </c>
      <c r="M1317" s="68"/>
      <c r="N1317" s="28"/>
      <c r="O1317" s="25"/>
      <c r="P1317" s="83" t="str">
        <f aca="false">IF(OR(N1317="",N(H1317)=0),"",N1317/H1317)</f>
        <v/>
      </c>
      <c r="Q1317" s="25"/>
    </row>
    <row r="1318" customFormat="false" ht="15" hidden="false" customHeight="false" outlineLevel="0" collapsed="false">
      <c r="A1318" s="69"/>
      <c r="B1318" s="68"/>
      <c r="C1318" s="76" t="str">
        <f aca="false">IF(B1318="","",IFERROR(INDEX(EN_Des,MATCH(B1318,EN_Code,0)),"Code inconnu"))</f>
        <v/>
      </c>
      <c r="D1318" s="25"/>
      <c r="E1318" s="25"/>
      <c r="F1318" s="82"/>
      <c r="G1318" s="82"/>
      <c r="H1318" s="83" t="str">
        <f aca="false">IF(OR(F1318="",G1318=""),"",G1318-F1318)</f>
        <v/>
      </c>
      <c r="I1318" s="82"/>
      <c r="J1318" s="82"/>
      <c r="K1318" s="28"/>
      <c r="L1318" s="90" t="str">
        <f aca="false">IF(OR(K1318="",N(H1318)=0),"",K1318/H1318)</f>
        <v/>
      </c>
      <c r="M1318" s="68"/>
      <c r="N1318" s="28"/>
      <c r="O1318" s="25"/>
      <c r="P1318" s="83" t="str">
        <f aca="false">IF(OR(N1318="",N(H1318)=0),"",N1318/H1318)</f>
        <v/>
      </c>
      <c r="Q1318" s="25"/>
    </row>
    <row r="1319" customFormat="false" ht="15" hidden="false" customHeight="false" outlineLevel="0" collapsed="false">
      <c r="A1319" s="69"/>
      <c r="B1319" s="68"/>
      <c r="C1319" s="76" t="str">
        <f aca="false">IF(B1319="","",IFERROR(INDEX(EN_Des,MATCH(B1319,EN_Code,0)),"Code inconnu"))</f>
        <v/>
      </c>
      <c r="D1319" s="25"/>
      <c r="E1319" s="25"/>
      <c r="F1319" s="82"/>
      <c r="G1319" s="82"/>
      <c r="H1319" s="83" t="str">
        <f aca="false">IF(OR(F1319="",G1319=""),"",G1319-F1319)</f>
        <v/>
      </c>
      <c r="I1319" s="82"/>
      <c r="J1319" s="82"/>
      <c r="K1319" s="28"/>
      <c r="L1319" s="90" t="str">
        <f aca="false">IF(OR(K1319="",N(H1319)=0),"",K1319/H1319)</f>
        <v/>
      </c>
      <c r="M1319" s="68"/>
      <c r="N1319" s="28"/>
      <c r="O1319" s="25"/>
      <c r="P1319" s="83" t="str">
        <f aca="false">IF(OR(N1319="",N(H1319)=0),"",N1319/H1319)</f>
        <v/>
      </c>
      <c r="Q1319" s="25"/>
    </row>
    <row r="1320" customFormat="false" ht="15" hidden="false" customHeight="false" outlineLevel="0" collapsed="false">
      <c r="A1320" s="69"/>
      <c r="B1320" s="68"/>
      <c r="C1320" s="76" t="str">
        <f aca="false">IF(B1320="","",IFERROR(INDEX(EN_Des,MATCH(B1320,EN_Code,0)),"Code inconnu"))</f>
        <v/>
      </c>
      <c r="D1320" s="25"/>
      <c r="E1320" s="25"/>
      <c r="F1320" s="82"/>
      <c r="G1320" s="82"/>
      <c r="H1320" s="83" t="str">
        <f aca="false">IF(OR(F1320="",G1320=""),"",G1320-F1320)</f>
        <v/>
      </c>
      <c r="I1320" s="82"/>
      <c r="J1320" s="82"/>
      <c r="K1320" s="28"/>
      <c r="L1320" s="90" t="str">
        <f aca="false">IF(OR(K1320="",N(H1320)=0),"",K1320/H1320)</f>
        <v/>
      </c>
      <c r="M1320" s="68"/>
      <c r="N1320" s="28"/>
      <c r="O1320" s="25"/>
      <c r="P1320" s="83" t="str">
        <f aca="false">IF(OR(N1320="",N(H1320)=0),"",N1320/H1320)</f>
        <v/>
      </c>
      <c r="Q1320" s="25"/>
    </row>
    <row r="1321" customFormat="false" ht="15" hidden="false" customHeight="false" outlineLevel="0" collapsed="false">
      <c r="A1321" s="69"/>
      <c r="B1321" s="68"/>
      <c r="C1321" s="76" t="str">
        <f aca="false">IF(B1321="","",IFERROR(INDEX(EN_Des,MATCH(B1321,EN_Code,0)),"Code inconnu"))</f>
        <v/>
      </c>
      <c r="D1321" s="25"/>
      <c r="E1321" s="25"/>
      <c r="F1321" s="82"/>
      <c r="G1321" s="82"/>
      <c r="H1321" s="83" t="str">
        <f aca="false">IF(OR(F1321="",G1321=""),"",G1321-F1321)</f>
        <v/>
      </c>
      <c r="I1321" s="82"/>
      <c r="J1321" s="82"/>
      <c r="K1321" s="28"/>
      <c r="L1321" s="90" t="str">
        <f aca="false">IF(OR(K1321="",N(H1321)=0),"",K1321/H1321)</f>
        <v/>
      </c>
      <c r="M1321" s="68"/>
      <c r="N1321" s="28"/>
      <c r="O1321" s="25"/>
      <c r="P1321" s="83" t="str">
        <f aca="false">IF(OR(N1321="",N(H1321)=0),"",N1321/H1321)</f>
        <v/>
      </c>
      <c r="Q1321" s="25"/>
    </row>
    <row r="1322" customFormat="false" ht="15" hidden="false" customHeight="false" outlineLevel="0" collapsed="false">
      <c r="A1322" s="69"/>
      <c r="B1322" s="68"/>
      <c r="C1322" s="76" t="str">
        <f aca="false">IF(B1322="","",IFERROR(INDEX(EN_Des,MATCH(B1322,EN_Code,0)),"Code inconnu"))</f>
        <v/>
      </c>
      <c r="D1322" s="25"/>
      <c r="E1322" s="25"/>
      <c r="F1322" s="82"/>
      <c r="G1322" s="82"/>
      <c r="H1322" s="83" t="str">
        <f aca="false">IF(OR(F1322="",G1322=""),"",G1322-F1322)</f>
        <v/>
      </c>
      <c r="I1322" s="82"/>
      <c r="J1322" s="82"/>
      <c r="K1322" s="28"/>
      <c r="L1322" s="90" t="str">
        <f aca="false">IF(OR(K1322="",N(H1322)=0),"",K1322/H1322)</f>
        <v/>
      </c>
      <c r="M1322" s="68"/>
      <c r="N1322" s="28"/>
      <c r="O1322" s="25"/>
      <c r="P1322" s="83" t="str">
        <f aca="false">IF(OR(N1322="",N(H1322)=0),"",N1322/H1322)</f>
        <v/>
      </c>
      <c r="Q1322" s="25"/>
    </row>
    <row r="1323" customFormat="false" ht="15" hidden="false" customHeight="false" outlineLevel="0" collapsed="false">
      <c r="A1323" s="69"/>
      <c r="B1323" s="68"/>
      <c r="C1323" s="76" t="str">
        <f aca="false">IF(B1323="","",IFERROR(INDEX(EN_Des,MATCH(B1323,EN_Code,0)),"Code inconnu"))</f>
        <v/>
      </c>
      <c r="D1323" s="25"/>
      <c r="E1323" s="25"/>
      <c r="F1323" s="82"/>
      <c r="G1323" s="82"/>
      <c r="H1323" s="83" t="str">
        <f aca="false">IF(OR(F1323="",G1323=""),"",G1323-F1323)</f>
        <v/>
      </c>
      <c r="I1323" s="82"/>
      <c r="J1323" s="82"/>
      <c r="K1323" s="28"/>
      <c r="L1323" s="90" t="str">
        <f aca="false">IF(OR(K1323="",N(H1323)=0),"",K1323/H1323)</f>
        <v/>
      </c>
      <c r="M1323" s="68"/>
      <c r="N1323" s="28"/>
      <c r="O1323" s="25"/>
      <c r="P1323" s="83" t="str">
        <f aca="false">IF(OR(N1323="",N(H1323)=0),"",N1323/H1323)</f>
        <v/>
      </c>
      <c r="Q1323" s="25"/>
    </row>
    <row r="1324" customFormat="false" ht="15" hidden="false" customHeight="false" outlineLevel="0" collapsed="false">
      <c r="A1324" s="69"/>
      <c r="B1324" s="68"/>
      <c r="C1324" s="76" t="str">
        <f aca="false">IF(B1324="","",IFERROR(INDEX(EN_Des,MATCH(B1324,EN_Code,0)),"Code inconnu"))</f>
        <v/>
      </c>
      <c r="D1324" s="25"/>
      <c r="E1324" s="25"/>
      <c r="F1324" s="82"/>
      <c r="G1324" s="82"/>
      <c r="H1324" s="83" t="str">
        <f aca="false">IF(OR(F1324="",G1324=""),"",G1324-F1324)</f>
        <v/>
      </c>
      <c r="I1324" s="82"/>
      <c r="J1324" s="82"/>
      <c r="K1324" s="28"/>
      <c r="L1324" s="90" t="str">
        <f aca="false">IF(OR(K1324="",N(H1324)=0),"",K1324/H1324)</f>
        <v/>
      </c>
      <c r="M1324" s="68"/>
      <c r="N1324" s="28"/>
      <c r="O1324" s="25"/>
      <c r="P1324" s="83" t="str">
        <f aca="false">IF(OR(N1324="",N(H1324)=0),"",N1324/H1324)</f>
        <v/>
      </c>
      <c r="Q1324" s="25"/>
    </row>
    <row r="1325" customFormat="false" ht="15" hidden="false" customHeight="false" outlineLevel="0" collapsed="false">
      <c r="A1325" s="69"/>
      <c r="B1325" s="68"/>
      <c r="C1325" s="76" t="str">
        <f aca="false">IF(B1325="","",IFERROR(INDEX(EN_Des,MATCH(B1325,EN_Code,0)),"Code inconnu"))</f>
        <v/>
      </c>
      <c r="D1325" s="25"/>
      <c r="E1325" s="25"/>
      <c r="F1325" s="82"/>
      <c r="G1325" s="82"/>
      <c r="H1325" s="83" t="str">
        <f aca="false">IF(OR(F1325="",G1325=""),"",G1325-F1325)</f>
        <v/>
      </c>
      <c r="I1325" s="82"/>
      <c r="J1325" s="82"/>
      <c r="K1325" s="28"/>
      <c r="L1325" s="90" t="str">
        <f aca="false">IF(OR(K1325="",N(H1325)=0),"",K1325/H1325)</f>
        <v/>
      </c>
      <c r="M1325" s="68"/>
      <c r="N1325" s="28"/>
      <c r="O1325" s="25"/>
      <c r="P1325" s="83" t="str">
        <f aca="false">IF(OR(N1325="",N(H1325)=0),"",N1325/H1325)</f>
        <v/>
      </c>
      <c r="Q1325" s="25"/>
    </row>
    <row r="1326" customFormat="false" ht="15" hidden="false" customHeight="false" outlineLevel="0" collapsed="false">
      <c r="A1326" s="69"/>
      <c r="B1326" s="68"/>
      <c r="C1326" s="76" t="str">
        <f aca="false">IF(B1326="","",IFERROR(INDEX(EN_Des,MATCH(B1326,EN_Code,0)),"Code inconnu"))</f>
        <v/>
      </c>
      <c r="D1326" s="25"/>
      <c r="E1326" s="25"/>
      <c r="F1326" s="82"/>
      <c r="G1326" s="82"/>
      <c r="H1326" s="83" t="str">
        <f aca="false">IF(OR(F1326="",G1326=""),"",G1326-F1326)</f>
        <v/>
      </c>
      <c r="I1326" s="82"/>
      <c r="J1326" s="82"/>
      <c r="K1326" s="28"/>
      <c r="L1326" s="90" t="str">
        <f aca="false">IF(OR(K1326="",N(H1326)=0),"",K1326/H1326)</f>
        <v/>
      </c>
      <c r="M1326" s="68"/>
      <c r="N1326" s="28"/>
      <c r="O1326" s="25"/>
      <c r="P1326" s="83" t="str">
        <f aca="false">IF(OR(N1326="",N(H1326)=0),"",N1326/H1326)</f>
        <v/>
      </c>
      <c r="Q1326" s="25"/>
    </row>
    <row r="1327" customFormat="false" ht="15" hidden="false" customHeight="false" outlineLevel="0" collapsed="false">
      <c r="A1327" s="69"/>
      <c r="B1327" s="68"/>
      <c r="C1327" s="76" t="str">
        <f aca="false">IF(B1327="","",IFERROR(INDEX(EN_Des,MATCH(B1327,EN_Code,0)),"Code inconnu"))</f>
        <v/>
      </c>
      <c r="D1327" s="25"/>
      <c r="E1327" s="25"/>
      <c r="F1327" s="82"/>
      <c r="G1327" s="82"/>
      <c r="H1327" s="83" t="str">
        <f aca="false">IF(OR(F1327="",G1327=""),"",G1327-F1327)</f>
        <v/>
      </c>
      <c r="I1327" s="82"/>
      <c r="J1327" s="82"/>
      <c r="K1327" s="28"/>
      <c r="L1327" s="90" t="str">
        <f aca="false">IF(OR(K1327="",N(H1327)=0),"",K1327/H1327)</f>
        <v/>
      </c>
      <c r="M1327" s="68"/>
      <c r="N1327" s="28"/>
      <c r="O1327" s="25"/>
      <c r="P1327" s="83" t="str">
        <f aca="false">IF(OR(N1327="",N(H1327)=0),"",N1327/H1327)</f>
        <v/>
      </c>
      <c r="Q1327" s="25"/>
    </row>
    <row r="1328" customFormat="false" ht="15" hidden="false" customHeight="false" outlineLevel="0" collapsed="false">
      <c r="A1328" s="69"/>
      <c r="B1328" s="68"/>
      <c r="C1328" s="76" t="str">
        <f aca="false">IF(B1328="","",IFERROR(INDEX(EN_Des,MATCH(B1328,EN_Code,0)),"Code inconnu"))</f>
        <v/>
      </c>
      <c r="D1328" s="25"/>
      <c r="E1328" s="25"/>
      <c r="F1328" s="82"/>
      <c r="G1328" s="82"/>
      <c r="H1328" s="83" t="str">
        <f aca="false">IF(OR(F1328="",G1328=""),"",G1328-F1328)</f>
        <v/>
      </c>
      <c r="I1328" s="82"/>
      <c r="J1328" s="82"/>
      <c r="K1328" s="28"/>
      <c r="L1328" s="90" t="str">
        <f aca="false">IF(OR(K1328="",N(H1328)=0),"",K1328/H1328)</f>
        <v/>
      </c>
      <c r="M1328" s="68"/>
      <c r="N1328" s="28"/>
      <c r="O1328" s="25"/>
      <c r="P1328" s="83" t="str">
        <f aca="false">IF(OR(N1328="",N(H1328)=0),"",N1328/H1328)</f>
        <v/>
      </c>
      <c r="Q1328" s="25"/>
    </row>
    <row r="1329" customFormat="false" ht="15" hidden="false" customHeight="false" outlineLevel="0" collapsed="false">
      <c r="A1329" s="69"/>
      <c r="B1329" s="68"/>
      <c r="C1329" s="76" t="str">
        <f aca="false">IF(B1329="","",IFERROR(INDEX(EN_Des,MATCH(B1329,EN_Code,0)),"Code inconnu"))</f>
        <v/>
      </c>
      <c r="D1329" s="25"/>
      <c r="E1329" s="25"/>
      <c r="F1329" s="82"/>
      <c r="G1329" s="82"/>
      <c r="H1329" s="83" t="str">
        <f aca="false">IF(OR(F1329="",G1329=""),"",G1329-F1329)</f>
        <v/>
      </c>
      <c r="I1329" s="82"/>
      <c r="J1329" s="82"/>
      <c r="K1329" s="28"/>
      <c r="L1329" s="90" t="str">
        <f aca="false">IF(OR(K1329="",N(H1329)=0),"",K1329/H1329)</f>
        <v/>
      </c>
      <c r="M1329" s="68"/>
      <c r="N1329" s="28"/>
      <c r="O1329" s="25"/>
      <c r="P1329" s="83" t="str">
        <f aca="false">IF(OR(N1329="",N(H1329)=0),"",N1329/H1329)</f>
        <v/>
      </c>
      <c r="Q1329" s="25"/>
    </row>
    <row r="1330" customFormat="false" ht="15" hidden="false" customHeight="false" outlineLevel="0" collapsed="false">
      <c r="A1330" s="69"/>
      <c r="B1330" s="68"/>
      <c r="C1330" s="76" t="str">
        <f aca="false">IF(B1330="","",IFERROR(INDEX(EN_Des,MATCH(B1330,EN_Code,0)),"Code inconnu"))</f>
        <v/>
      </c>
      <c r="D1330" s="25"/>
      <c r="E1330" s="25"/>
      <c r="F1330" s="82"/>
      <c r="G1330" s="82"/>
      <c r="H1330" s="83" t="str">
        <f aca="false">IF(OR(F1330="",G1330=""),"",G1330-F1330)</f>
        <v/>
      </c>
      <c r="I1330" s="82"/>
      <c r="J1330" s="82"/>
      <c r="K1330" s="28"/>
      <c r="L1330" s="90" t="str">
        <f aca="false">IF(OR(K1330="",N(H1330)=0),"",K1330/H1330)</f>
        <v/>
      </c>
      <c r="M1330" s="68"/>
      <c r="N1330" s="28"/>
      <c r="O1330" s="25"/>
      <c r="P1330" s="83" t="str">
        <f aca="false">IF(OR(N1330="",N(H1330)=0),"",N1330/H1330)</f>
        <v/>
      </c>
      <c r="Q1330" s="25"/>
    </row>
    <row r="1331" customFormat="false" ht="15" hidden="false" customHeight="false" outlineLevel="0" collapsed="false">
      <c r="A1331" s="69"/>
      <c r="B1331" s="68"/>
      <c r="C1331" s="76" t="str">
        <f aca="false">IF(B1331="","",IFERROR(INDEX(EN_Des,MATCH(B1331,EN_Code,0)),"Code inconnu"))</f>
        <v/>
      </c>
      <c r="D1331" s="25"/>
      <c r="E1331" s="25"/>
      <c r="F1331" s="82"/>
      <c r="G1331" s="82"/>
      <c r="H1331" s="83" t="str">
        <f aca="false">IF(OR(F1331="",G1331=""),"",G1331-F1331)</f>
        <v/>
      </c>
      <c r="I1331" s="82"/>
      <c r="J1331" s="82"/>
      <c r="K1331" s="28"/>
      <c r="L1331" s="90" t="str">
        <f aca="false">IF(OR(K1331="",N(H1331)=0),"",K1331/H1331)</f>
        <v/>
      </c>
      <c r="M1331" s="68"/>
      <c r="N1331" s="28"/>
      <c r="O1331" s="25"/>
      <c r="P1331" s="83" t="str">
        <f aca="false">IF(OR(N1331="",N(H1331)=0),"",N1331/H1331)</f>
        <v/>
      </c>
      <c r="Q1331" s="25"/>
    </row>
    <row r="1332" customFormat="false" ht="15" hidden="false" customHeight="false" outlineLevel="0" collapsed="false">
      <c r="A1332" s="69"/>
      <c r="B1332" s="68"/>
      <c r="C1332" s="76" t="str">
        <f aca="false">IF(B1332="","",IFERROR(INDEX(EN_Des,MATCH(B1332,EN_Code,0)),"Code inconnu"))</f>
        <v/>
      </c>
      <c r="D1332" s="25"/>
      <c r="E1332" s="25"/>
      <c r="F1332" s="82"/>
      <c r="G1332" s="82"/>
      <c r="H1332" s="83" t="str">
        <f aca="false">IF(OR(F1332="",G1332=""),"",G1332-F1332)</f>
        <v/>
      </c>
      <c r="I1332" s="82"/>
      <c r="J1332" s="82"/>
      <c r="K1332" s="28"/>
      <c r="L1332" s="90" t="str">
        <f aca="false">IF(OR(K1332="",N(H1332)=0),"",K1332/H1332)</f>
        <v/>
      </c>
      <c r="M1332" s="68"/>
      <c r="N1332" s="28"/>
      <c r="O1332" s="25"/>
      <c r="P1332" s="83" t="str">
        <f aca="false">IF(OR(N1332="",N(H1332)=0),"",N1332/H1332)</f>
        <v/>
      </c>
      <c r="Q1332" s="25"/>
    </row>
    <row r="1333" customFormat="false" ht="15" hidden="false" customHeight="false" outlineLevel="0" collapsed="false">
      <c r="A1333" s="69"/>
      <c r="B1333" s="68"/>
      <c r="C1333" s="76" t="str">
        <f aca="false">IF(B1333="","",IFERROR(INDEX(EN_Des,MATCH(B1333,EN_Code,0)),"Code inconnu"))</f>
        <v/>
      </c>
      <c r="D1333" s="25"/>
      <c r="E1333" s="25"/>
      <c r="F1333" s="82"/>
      <c r="G1333" s="82"/>
      <c r="H1333" s="83" t="str">
        <f aca="false">IF(OR(F1333="",G1333=""),"",G1333-F1333)</f>
        <v/>
      </c>
      <c r="I1333" s="82"/>
      <c r="J1333" s="82"/>
      <c r="K1333" s="28"/>
      <c r="L1333" s="90" t="str">
        <f aca="false">IF(OR(K1333="",N(H1333)=0),"",K1333/H1333)</f>
        <v/>
      </c>
      <c r="M1333" s="68"/>
      <c r="N1333" s="28"/>
      <c r="O1333" s="25"/>
      <c r="P1333" s="83" t="str">
        <f aca="false">IF(OR(N1333="",N(H1333)=0),"",N1333/H1333)</f>
        <v/>
      </c>
      <c r="Q1333" s="25"/>
    </row>
    <row r="1334" customFormat="false" ht="15" hidden="false" customHeight="false" outlineLevel="0" collapsed="false">
      <c r="A1334" s="69"/>
      <c r="B1334" s="68"/>
      <c r="C1334" s="76" t="str">
        <f aca="false">IF(B1334="","",IFERROR(INDEX(EN_Des,MATCH(B1334,EN_Code,0)),"Code inconnu"))</f>
        <v/>
      </c>
      <c r="D1334" s="25"/>
      <c r="E1334" s="25"/>
      <c r="F1334" s="82"/>
      <c r="G1334" s="82"/>
      <c r="H1334" s="83" t="str">
        <f aca="false">IF(OR(F1334="",G1334=""),"",G1334-F1334)</f>
        <v/>
      </c>
      <c r="I1334" s="82"/>
      <c r="J1334" s="82"/>
      <c r="K1334" s="28"/>
      <c r="L1334" s="90" t="str">
        <f aca="false">IF(OR(K1334="",N(H1334)=0),"",K1334/H1334)</f>
        <v/>
      </c>
      <c r="M1334" s="68"/>
      <c r="N1334" s="28"/>
      <c r="O1334" s="25"/>
      <c r="P1334" s="83" t="str">
        <f aca="false">IF(OR(N1334="",N(H1334)=0),"",N1334/H1334)</f>
        <v/>
      </c>
      <c r="Q1334" s="25"/>
    </row>
    <row r="1335" customFormat="false" ht="15" hidden="false" customHeight="false" outlineLevel="0" collapsed="false">
      <c r="A1335" s="69"/>
      <c r="B1335" s="68"/>
      <c r="C1335" s="76" t="str">
        <f aca="false">IF(B1335="","",IFERROR(INDEX(EN_Des,MATCH(B1335,EN_Code,0)),"Code inconnu"))</f>
        <v/>
      </c>
      <c r="D1335" s="25"/>
      <c r="E1335" s="25"/>
      <c r="F1335" s="82"/>
      <c r="G1335" s="82"/>
      <c r="H1335" s="83" t="str">
        <f aca="false">IF(OR(F1335="",G1335=""),"",G1335-F1335)</f>
        <v/>
      </c>
      <c r="I1335" s="82"/>
      <c r="J1335" s="82"/>
      <c r="K1335" s="28"/>
      <c r="L1335" s="90" t="str">
        <f aca="false">IF(OR(K1335="",N(H1335)=0),"",K1335/H1335)</f>
        <v/>
      </c>
      <c r="M1335" s="68"/>
      <c r="N1335" s="28"/>
      <c r="O1335" s="25"/>
      <c r="P1335" s="83" t="str">
        <f aca="false">IF(OR(N1335="",N(H1335)=0),"",N1335/H1335)</f>
        <v/>
      </c>
      <c r="Q1335" s="25"/>
    </row>
    <row r="1336" customFormat="false" ht="15" hidden="false" customHeight="false" outlineLevel="0" collapsed="false">
      <c r="A1336" s="69"/>
      <c r="B1336" s="68"/>
      <c r="C1336" s="76" t="str">
        <f aca="false">IF(B1336="","",IFERROR(INDEX(EN_Des,MATCH(B1336,EN_Code,0)),"Code inconnu"))</f>
        <v/>
      </c>
      <c r="D1336" s="25"/>
      <c r="E1336" s="25"/>
      <c r="F1336" s="82"/>
      <c r="G1336" s="82"/>
      <c r="H1336" s="83" t="str">
        <f aca="false">IF(OR(F1336="",G1336=""),"",G1336-F1336)</f>
        <v/>
      </c>
      <c r="I1336" s="82"/>
      <c r="J1336" s="82"/>
      <c r="K1336" s="28"/>
      <c r="L1336" s="90" t="str">
        <f aca="false">IF(OR(K1336="",N(H1336)=0),"",K1336/H1336)</f>
        <v/>
      </c>
      <c r="M1336" s="68"/>
      <c r="N1336" s="28"/>
      <c r="O1336" s="25"/>
      <c r="P1336" s="83" t="str">
        <f aca="false">IF(OR(N1336="",N(H1336)=0),"",N1336/H1336)</f>
        <v/>
      </c>
      <c r="Q1336" s="25"/>
    </row>
    <row r="1337" customFormat="false" ht="15" hidden="false" customHeight="false" outlineLevel="0" collapsed="false">
      <c r="A1337" s="69"/>
      <c r="B1337" s="68"/>
      <c r="C1337" s="76" t="str">
        <f aca="false">IF(B1337="","",IFERROR(INDEX(EN_Des,MATCH(B1337,EN_Code,0)),"Code inconnu"))</f>
        <v/>
      </c>
      <c r="D1337" s="25"/>
      <c r="E1337" s="25"/>
      <c r="F1337" s="82"/>
      <c r="G1337" s="82"/>
      <c r="H1337" s="83" t="str">
        <f aca="false">IF(OR(F1337="",G1337=""),"",G1337-F1337)</f>
        <v/>
      </c>
      <c r="I1337" s="82"/>
      <c r="J1337" s="82"/>
      <c r="K1337" s="28"/>
      <c r="L1337" s="90" t="str">
        <f aca="false">IF(OR(K1337="",N(H1337)=0),"",K1337/H1337)</f>
        <v/>
      </c>
      <c r="M1337" s="68"/>
      <c r="N1337" s="28"/>
      <c r="O1337" s="25"/>
      <c r="P1337" s="83" t="str">
        <f aca="false">IF(OR(N1337="",N(H1337)=0),"",N1337/H1337)</f>
        <v/>
      </c>
      <c r="Q1337" s="25"/>
    </row>
    <row r="1338" customFormat="false" ht="15" hidden="false" customHeight="false" outlineLevel="0" collapsed="false">
      <c r="A1338" s="69"/>
      <c r="B1338" s="68"/>
      <c r="C1338" s="76" t="str">
        <f aca="false">IF(B1338="","",IFERROR(INDEX(EN_Des,MATCH(B1338,EN_Code,0)),"Code inconnu"))</f>
        <v/>
      </c>
      <c r="D1338" s="25"/>
      <c r="E1338" s="25"/>
      <c r="F1338" s="82"/>
      <c r="G1338" s="82"/>
      <c r="H1338" s="83" t="str">
        <f aca="false">IF(OR(F1338="",G1338=""),"",G1338-F1338)</f>
        <v/>
      </c>
      <c r="I1338" s="82"/>
      <c r="J1338" s="82"/>
      <c r="K1338" s="28"/>
      <c r="L1338" s="90" t="str">
        <f aca="false">IF(OR(K1338="",N(H1338)=0),"",K1338/H1338)</f>
        <v/>
      </c>
      <c r="M1338" s="68"/>
      <c r="N1338" s="28"/>
      <c r="O1338" s="25"/>
      <c r="P1338" s="83" t="str">
        <f aca="false">IF(OR(N1338="",N(H1338)=0),"",N1338/H1338)</f>
        <v/>
      </c>
      <c r="Q1338" s="25"/>
    </row>
    <row r="1339" customFormat="false" ht="15" hidden="false" customHeight="false" outlineLevel="0" collapsed="false">
      <c r="A1339" s="69"/>
      <c r="B1339" s="68"/>
      <c r="C1339" s="76" t="str">
        <f aca="false">IF(B1339="","",IFERROR(INDEX(EN_Des,MATCH(B1339,EN_Code,0)),"Code inconnu"))</f>
        <v/>
      </c>
      <c r="D1339" s="25"/>
      <c r="E1339" s="25"/>
      <c r="F1339" s="82"/>
      <c r="G1339" s="82"/>
      <c r="H1339" s="83" t="str">
        <f aca="false">IF(OR(F1339="",G1339=""),"",G1339-F1339)</f>
        <v/>
      </c>
      <c r="I1339" s="82"/>
      <c r="J1339" s="82"/>
      <c r="K1339" s="28"/>
      <c r="L1339" s="90" t="str">
        <f aca="false">IF(OR(K1339="",N(H1339)=0),"",K1339/H1339)</f>
        <v/>
      </c>
      <c r="M1339" s="68"/>
      <c r="N1339" s="28"/>
      <c r="O1339" s="25"/>
      <c r="P1339" s="83" t="str">
        <f aca="false">IF(OR(N1339="",N(H1339)=0),"",N1339/H1339)</f>
        <v/>
      </c>
      <c r="Q1339" s="25"/>
    </row>
    <row r="1340" customFormat="false" ht="15" hidden="false" customHeight="false" outlineLevel="0" collapsed="false">
      <c r="A1340" s="69"/>
      <c r="B1340" s="68"/>
      <c r="C1340" s="76" t="str">
        <f aca="false">IF(B1340="","",IFERROR(INDEX(EN_Des,MATCH(B1340,EN_Code,0)),"Code inconnu"))</f>
        <v/>
      </c>
      <c r="D1340" s="25"/>
      <c r="E1340" s="25"/>
      <c r="F1340" s="82"/>
      <c r="G1340" s="82"/>
      <c r="H1340" s="83" t="str">
        <f aca="false">IF(OR(F1340="",G1340=""),"",G1340-F1340)</f>
        <v/>
      </c>
      <c r="I1340" s="82"/>
      <c r="J1340" s="82"/>
      <c r="K1340" s="28"/>
      <c r="L1340" s="90" t="str">
        <f aca="false">IF(OR(K1340="",N(H1340)=0),"",K1340/H1340)</f>
        <v/>
      </c>
      <c r="M1340" s="68"/>
      <c r="N1340" s="28"/>
      <c r="O1340" s="25"/>
      <c r="P1340" s="83" t="str">
        <f aca="false">IF(OR(N1340="",N(H1340)=0),"",N1340/H1340)</f>
        <v/>
      </c>
      <c r="Q1340" s="25"/>
    </row>
    <row r="1341" customFormat="false" ht="15" hidden="false" customHeight="false" outlineLevel="0" collapsed="false">
      <c r="A1341" s="69"/>
      <c r="B1341" s="68"/>
      <c r="C1341" s="76" t="str">
        <f aca="false">IF(B1341="","",IFERROR(INDEX(EN_Des,MATCH(B1341,EN_Code,0)),"Code inconnu"))</f>
        <v/>
      </c>
      <c r="D1341" s="25"/>
      <c r="E1341" s="25"/>
      <c r="F1341" s="82"/>
      <c r="G1341" s="82"/>
      <c r="H1341" s="83" t="str">
        <f aca="false">IF(OR(F1341="",G1341=""),"",G1341-F1341)</f>
        <v/>
      </c>
      <c r="I1341" s="82"/>
      <c r="J1341" s="82"/>
      <c r="K1341" s="28"/>
      <c r="L1341" s="90" t="str">
        <f aca="false">IF(OR(K1341="",N(H1341)=0),"",K1341/H1341)</f>
        <v/>
      </c>
      <c r="M1341" s="68"/>
      <c r="N1341" s="28"/>
      <c r="O1341" s="25"/>
      <c r="P1341" s="83" t="str">
        <f aca="false">IF(OR(N1341="",N(H1341)=0),"",N1341/H1341)</f>
        <v/>
      </c>
      <c r="Q1341" s="25"/>
    </row>
    <row r="1342" customFormat="false" ht="15" hidden="false" customHeight="false" outlineLevel="0" collapsed="false">
      <c r="A1342" s="69"/>
      <c r="B1342" s="68"/>
      <c r="C1342" s="76" t="str">
        <f aca="false">IF(B1342="","",IFERROR(INDEX(EN_Des,MATCH(B1342,EN_Code,0)),"Code inconnu"))</f>
        <v/>
      </c>
      <c r="D1342" s="25"/>
      <c r="E1342" s="25"/>
      <c r="F1342" s="82"/>
      <c r="G1342" s="82"/>
      <c r="H1342" s="83" t="str">
        <f aca="false">IF(OR(F1342="",G1342=""),"",G1342-F1342)</f>
        <v/>
      </c>
      <c r="I1342" s="82"/>
      <c r="J1342" s="82"/>
      <c r="K1342" s="28"/>
      <c r="L1342" s="90" t="str">
        <f aca="false">IF(OR(K1342="",N(H1342)=0),"",K1342/H1342)</f>
        <v/>
      </c>
      <c r="M1342" s="68"/>
      <c r="N1342" s="28"/>
      <c r="O1342" s="25"/>
      <c r="P1342" s="83" t="str">
        <f aca="false">IF(OR(N1342="",N(H1342)=0),"",N1342/H1342)</f>
        <v/>
      </c>
      <c r="Q1342" s="25"/>
    </row>
    <row r="1343" customFormat="false" ht="15" hidden="false" customHeight="false" outlineLevel="0" collapsed="false">
      <c r="A1343" s="69"/>
      <c r="B1343" s="68"/>
      <c r="C1343" s="76" t="str">
        <f aca="false">IF(B1343="","",IFERROR(INDEX(EN_Des,MATCH(B1343,EN_Code,0)),"Code inconnu"))</f>
        <v/>
      </c>
      <c r="D1343" s="25"/>
      <c r="E1343" s="25"/>
      <c r="F1343" s="82"/>
      <c r="G1343" s="82"/>
      <c r="H1343" s="83" t="str">
        <f aca="false">IF(OR(F1343="",G1343=""),"",G1343-F1343)</f>
        <v/>
      </c>
      <c r="I1343" s="82"/>
      <c r="J1343" s="82"/>
      <c r="K1343" s="28"/>
      <c r="L1343" s="90" t="str">
        <f aca="false">IF(OR(K1343="",N(H1343)=0),"",K1343/H1343)</f>
        <v/>
      </c>
      <c r="M1343" s="68"/>
      <c r="N1343" s="28"/>
      <c r="O1343" s="25"/>
      <c r="P1343" s="83" t="str">
        <f aca="false">IF(OR(N1343="",N(H1343)=0),"",N1343/H1343)</f>
        <v/>
      </c>
      <c r="Q1343" s="25"/>
    </row>
    <row r="1344" customFormat="false" ht="15" hidden="false" customHeight="false" outlineLevel="0" collapsed="false">
      <c r="A1344" s="69"/>
      <c r="B1344" s="68"/>
      <c r="C1344" s="76" t="str">
        <f aca="false">IF(B1344="","",IFERROR(INDEX(EN_Des,MATCH(B1344,EN_Code,0)),"Code inconnu"))</f>
        <v/>
      </c>
      <c r="D1344" s="25"/>
      <c r="E1344" s="25"/>
      <c r="F1344" s="82"/>
      <c r="G1344" s="82"/>
      <c r="H1344" s="83" t="str">
        <f aca="false">IF(OR(F1344="",G1344=""),"",G1344-F1344)</f>
        <v/>
      </c>
      <c r="I1344" s="82"/>
      <c r="J1344" s="82"/>
      <c r="K1344" s="28"/>
      <c r="L1344" s="90" t="str">
        <f aca="false">IF(OR(K1344="",N(H1344)=0),"",K1344/H1344)</f>
        <v/>
      </c>
      <c r="M1344" s="68"/>
      <c r="N1344" s="28"/>
      <c r="O1344" s="25"/>
      <c r="P1344" s="83" t="str">
        <f aca="false">IF(OR(N1344="",N(H1344)=0),"",N1344/H1344)</f>
        <v/>
      </c>
      <c r="Q1344" s="25"/>
    </row>
    <row r="1345" customFormat="false" ht="15" hidden="false" customHeight="false" outlineLevel="0" collapsed="false">
      <c r="A1345" s="69"/>
      <c r="B1345" s="68"/>
      <c r="C1345" s="76" t="str">
        <f aca="false">IF(B1345="","",IFERROR(INDEX(EN_Des,MATCH(B1345,EN_Code,0)),"Code inconnu"))</f>
        <v/>
      </c>
      <c r="D1345" s="25"/>
      <c r="E1345" s="25"/>
      <c r="F1345" s="82"/>
      <c r="G1345" s="82"/>
      <c r="H1345" s="83" t="str">
        <f aca="false">IF(OR(F1345="",G1345=""),"",G1345-F1345)</f>
        <v/>
      </c>
      <c r="I1345" s="82"/>
      <c r="J1345" s="82"/>
      <c r="K1345" s="28"/>
      <c r="L1345" s="90" t="str">
        <f aca="false">IF(OR(K1345="",N(H1345)=0),"",K1345/H1345)</f>
        <v/>
      </c>
      <c r="M1345" s="68"/>
      <c r="N1345" s="28"/>
      <c r="O1345" s="25"/>
      <c r="P1345" s="83" t="str">
        <f aca="false">IF(OR(N1345="",N(H1345)=0),"",N1345/H1345)</f>
        <v/>
      </c>
      <c r="Q1345" s="25"/>
    </row>
    <row r="1346" customFormat="false" ht="15" hidden="false" customHeight="false" outlineLevel="0" collapsed="false">
      <c r="A1346" s="69"/>
      <c r="B1346" s="68"/>
      <c r="C1346" s="76" t="str">
        <f aca="false">IF(B1346="","",IFERROR(INDEX(EN_Des,MATCH(B1346,EN_Code,0)),"Code inconnu"))</f>
        <v/>
      </c>
      <c r="D1346" s="25"/>
      <c r="E1346" s="25"/>
      <c r="F1346" s="82"/>
      <c r="G1346" s="82"/>
      <c r="H1346" s="83" t="str">
        <f aca="false">IF(OR(F1346="",G1346=""),"",G1346-F1346)</f>
        <v/>
      </c>
      <c r="I1346" s="82"/>
      <c r="J1346" s="82"/>
      <c r="K1346" s="28"/>
      <c r="L1346" s="90" t="str">
        <f aca="false">IF(OR(K1346="",N(H1346)=0),"",K1346/H1346)</f>
        <v/>
      </c>
      <c r="M1346" s="68"/>
      <c r="N1346" s="28"/>
      <c r="O1346" s="25"/>
      <c r="P1346" s="83" t="str">
        <f aca="false">IF(OR(N1346="",N(H1346)=0),"",N1346/H1346)</f>
        <v/>
      </c>
      <c r="Q1346" s="25"/>
    </row>
    <row r="1347" customFormat="false" ht="15" hidden="false" customHeight="false" outlineLevel="0" collapsed="false">
      <c r="A1347" s="69"/>
      <c r="B1347" s="68"/>
      <c r="C1347" s="76" t="str">
        <f aca="false">IF(B1347="","",IFERROR(INDEX(EN_Des,MATCH(B1347,EN_Code,0)),"Code inconnu"))</f>
        <v/>
      </c>
      <c r="D1347" s="25"/>
      <c r="E1347" s="25"/>
      <c r="F1347" s="82"/>
      <c r="G1347" s="82"/>
      <c r="H1347" s="83" t="str">
        <f aca="false">IF(OR(F1347="",G1347=""),"",G1347-F1347)</f>
        <v/>
      </c>
      <c r="I1347" s="82"/>
      <c r="J1347" s="82"/>
      <c r="K1347" s="28"/>
      <c r="L1347" s="90" t="str">
        <f aca="false">IF(OR(K1347="",N(H1347)=0),"",K1347/H1347)</f>
        <v/>
      </c>
      <c r="M1347" s="68"/>
      <c r="N1347" s="28"/>
      <c r="O1347" s="25"/>
      <c r="P1347" s="83" t="str">
        <f aca="false">IF(OR(N1347="",N(H1347)=0),"",N1347/H1347)</f>
        <v/>
      </c>
      <c r="Q1347" s="25"/>
    </row>
    <row r="1348" customFormat="false" ht="15" hidden="false" customHeight="false" outlineLevel="0" collapsed="false">
      <c r="A1348" s="69"/>
      <c r="B1348" s="68"/>
      <c r="C1348" s="76" t="str">
        <f aca="false">IF(B1348="","",IFERROR(INDEX(EN_Des,MATCH(B1348,EN_Code,0)),"Code inconnu"))</f>
        <v/>
      </c>
      <c r="D1348" s="25"/>
      <c r="E1348" s="25"/>
      <c r="F1348" s="82"/>
      <c r="G1348" s="82"/>
      <c r="H1348" s="83" t="str">
        <f aca="false">IF(OR(F1348="",G1348=""),"",G1348-F1348)</f>
        <v/>
      </c>
      <c r="I1348" s="82"/>
      <c r="J1348" s="82"/>
      <c r="K1348" s="28"/>
      <c r="L1348" s="90" t="str">
        <f aca="false">IF(OR(K1348="",N(H1348)=0),"",K1348/H1348)</f>
        <v/>
      </c>
      <c r="M1348" s="68"/>
      <c r="N1348" s="28"/>
      <c r="O1348" s="25"/>
      <c r="P1348" s="83" t="str">
        <f aca="false">IF(OR(N1348="",N(H1348)=0),"",N1348/H1348)</f>
        <v/>
      </c>
      <c r="Q1348" s="25"/>
    </row>
    <row r="1349" customFormat="false" ht="15" hidden="false" customHeight="false" outlineLevel="0" collapsed="false">
      <c r="A1349" s="69"/>
      <c r="B1349" s="68"/>
      <c r="C1349" s="76" t="str">
        <f aca="false">IF(B1349="","",IFERROR(INDEX(EN_Des,MATCH(B1349,EN_Code,0)),"Code inconnu"))</f>
        <v/>
      </c>
      <c r="D1349" s="25"/>
      <c r="E1349" s="25"/>
      <c r="F1349" s="82"/>
      <c r="G1349" s="82"/>
      <c r="H1349" s="83" t="str">
        <f aca="false">IF(OR(F1349="",G1349=""),"",G1349-F1349)</f>
        <v/>
      </c>
      <c r="I1349" s="82"/>
      <c r="J1349" s="82"/>
      <c r="K1349" s="28"/>
      <c r="L1349" s="90" t="str">
        <f aca="false">IF(OR(K1349="",N(H1349)=0),"",K1349/H1349)</f>
        <v/>
      </c>
      <c r="M1349" s="68"/>
      <c r="N1349" s="28"/>
      <c r="O1349" s="25"/>
      <c r="P1349" s="83" t="str">
        <f aca="false">IF(OR(N1349="",N(H1349)=0),"",N1349/H1349)</f>
        <v/>
      </c>
      <c r="Q1349" s="25"/>
    </row>
    <row r="1350" customFormat="false" ht="15" hidden="false" customHeight="false" outlineLevel="0" collapsed="false">
      <c r="A1350" s="69"/>
      <c r="B1350" s="68"/>
      <c r="C1350" s="76" t="str">
        <f aca="false">IF(B1350="","",IFERROR(INDEX(EN_Des,MATCH(B1350,EN_Code,0)),"Code inconnu"))</f>
        <v/>
      </c>
      <c r="D1350" s="25"/>
      <c r="E1350" s="25"/>
      <c r="F1350" s="82"/>
      <c r="G1350" s="82"/>
      <c r="H1350" s="83" t="str">
        <f aca="false">IF(OR(F1350="",G1350=""),"",G1350-F1350)</f>
        <v/>
      </c>
      <c r="I1350" s="82"/>
      <c r="J1350" s="82"/>
      <c r="K1350" s="28"/>
      <c r="L1350" s="90" t="str">
        <f aca="false">IF(OR(K1350="",N(H1350)=0),"",K1350/H1350)</f>
        <v/>
      </c>
      <c r="M1350" s="68"/>
      <c r="N1350" s="28"/>
      <c r="O1350" s="25"/>
      <c r="P1350" s="83" t="str">
        <f aca="false">IF(OR(N1350="",N(H1350)=0),"",N1350/H1350)</f>
        <v/>
      </c>
      <c r="Q1350" s="25"/>
    </row>
    <row r="1351" customFormat="false" ht="15" hidden="false" customHeight="false" outlineLevel="0" collapsed="false">
      <c r="A1351" s="69"/>
      <c r="B1351" s="68"/>
      <c r="C1351" s="76" t="str">
        <f aca="false">IF(B1351="","",IFERROR(INDEX(EN_Des,MATCH(B1351,EN_Code,0)),"Code inconnu"))</f>
        <v/>
      </c>
      <c r="D1351" s="25"/>
      <c r="E1351" s="25"/>
      <c r="F1351" s="82"/>
      <c r="G1351" s="82"/>
      <c r="H1351" s="83" t="str">
        <f aca="false">IF(OR(F1351="",G1351=""),"",G1351-F1351)</f>
        <v/>
      </c>
      <c r="I1351" s="82"/>
      <c r="J1351" s="82"/>
      <c r="K1351" s="28"/>
      <c r="L1351" s="90" t="str">
        <f aca="false">IF(OR(K1351="",N(H1351)=0),"",K1351/H1351)</f>
        <v/>
      </c>
      <c r="M1351" s="68"/>
      <c r="N1351" s="28"/>
      <c r="O1351" s="25"/>
      <c r="P1351" s="83" t="str">
        <f aca="false">IF(OR(N1351="",N(H1351)=0),"",N1351/H1351)</f>
        <v/>
      </c>
      <c r="Q1351" s="25"/>
    </row>
    <row r="1352" customFormat="false" ht="15" hidden="false" customHeight="false" outlineLevel="0" collapsed="false">
      <c r="A1352" s="69"/>
      <c r="B1352" s="68"/>
      <c r="C1352" s="76" t="str">
        <f aca="false">IF(B1352="","",IFERROR(INDEX(EN_Des,MATCH(B1352,EN_Code,0)),"Code inconnu"))</f>
        <v/>
      </c>
      <c r="D1352" s="25"/>
      <c r="E1352" s="25"/>
      <c r="F1352" s="82"/>
      <c r="G1352" s="82"/>
      <c r="H1352" s="83" t="str">
        <f aca="false">IF(OR(F1352="",G1352=""),"",G1352-F1352)</f>
        <v/>
      </c>
      <c r="I1352" s="82"/>
      <c r="J1352" s="82"/>
      <c r="K1352" s="28"/>
      <c r="L1352" s="90" t="str">
        <f aca="false">IF(OR(K1352="",N(H1352)=0),"",K1352/H1352)</f>
        <v/>
      </c>
      <c r="M1352" s="68"/>
      <c r="N1352" s="28"/>
      <c r="O1352" s="25"/>
      <c r="P1352" s="83" t="str">
        <f aca="false">IF(OR(N1352="",N(H1352)=0),"",N1352/H1352)</f>
        <v/>
      </c>
      <c r="Q1352" s="25"/>
    </row>
    <row r="1353" customFormat="false" ht="15" hidden="false" customHeight="false" outlineLevel="0" collapsed="false">
      <c r="A1353" s="69"/>
      <c r="B1353" s="68"/>
      <c r="C1353" s="76" t="str">
        <f aca="false">IF(B1353="","",IFERROR(INDEX(EN_Des,MATCH(B1353,EN_Code,0)),"Code inconnu"))</f>
        <v/>
      </c>
      <c r="D1353" s="25"/>
      <c r="E1353" s="25"/>
      <c r="F1353" s="82"/>
      <c r="G1353" s="82"/>
      <c r="H1353" s="83" t="str">
        <f aca="false">IF(OR(F1353="",G1353=""),"",G1353-F1353)</f>
        <v/>
      </c>
      <c r="I1353" s="82"/>
      <c r="J1353" s="82"/>
      <c r="K1353" s="28"/>
      <c r="L1353" s="90" t="str">
        <f aca="false">IF(OR(K1353="",N(H1353)=0),"",K1353/H1353)</f>
        <v/>
      </c>
      <c r="M1353" s="68"/>
      <c r="N1353" s="28"/>
      <c r="O1353" s="25"/>
      <c r="P1353" s="83" t="str">
        <f aca="false">IF(OR(N1353="",N(H1353)=0),"",N1353/H1353)</f>
        <v/>
      </c>
      <c r="Q1353" s="25"/>
    </row>
    <row r="1354" customFormat="false" ht="15" hidden="false" customHeight="false" outlineLevel="0" collapsed="false">
      <c r="A1354" s="69"/>
      <c r="B1354" s="68"/>
      <c r="C1354" s="76" t="str">
        <f aca="false">IF(B1354="","",IFERROR(INDEX(EN_Des,MATCH(B1354,EN_Code,0)),"Code inconnu"))</f>
        <v/>
      </c>
      <c r="D1354" s="25"/>
      <c r="E1354" s="25"/>
      <c r="F1354" s="82"/>
      <c r="G1354" s="82"/>
      <c r="H1354" s="83" t="str">
        <f aca="false">IF(OR(F1354="",G1354=""),"",G1354-F1354)</f>
        <v/>
      </c>
      <c r="I1354" s="82"/>
      <c r="J1354" s="82"/>
      <c r="K1354" s="28"/>
      <c r="L1354" s="90" t="str">
        <f aca="false">IF(OR(K1354="",N(H1354)=0),"",K1354/H1354)</f>
        <v/>
      </c>
      <c r="M1354" s="68"/>
      <c r="N1354" s="28"/>
      <c r="O1354" s="25"/>
      <c r="P1354" s="83" t="str">
        <f aca="false">IF(OR(N1354="",N(H1354)=0),"",N1354/H1354)</f>
        <v/>
      </c>
      <c r="Q1354" s="25"/>
    </row>
    <row r="1355" customFormat="false" ht="15" hidden="false" customHeight="false" outlineLevel="0" collapsed="false">
      <c r="A1355" s="69"/>
      <c r="B1355" s="68"/>
      <c r="C1355" s="76" t="str">
        <f aca="false">IF(B1355="","",IFERROR(INDEX(EN_Des,MATCH(B1355,EN_Code,0)),"Code inconnu"))</f>
        <v/>
      </c>
      <c r="D1355" s="25"/>
      <c r="E1355" s="25"/>
      <c r="F1355" s="82"/>
      <c r="G1355" s="82"/>
      <c r="H1355" s="83" t="str">
        <f aca="false">IF(OR(F1355="",G1355=""),"",G1355-F1355)</f>
        <v/>
      </c>
      <c r="I1355" s="82"/>
      <c r="J1355" s="82"/>
      <c r="K1355" s="28"/>
      <c r="L1355" s="90" t="str">
        <f aca="false">IF(OR(K1355="",N(H1355)=0),"",K1355/H1355)</f>
        <v/>
      </c>
      <c r="M1355" s="68"/>
      <c r="N1355" s="28"/>
      <c r="O1355" s="25"/>
      <c r="P1355" s="83" t="str">
        <f aca="false">IF(OR(N1355="",N(H1355)=0),"",N1355/H1355)</f>
        <v/>
      </c>
      <c r="Q1355" s="25"/>
    </row>
    <row r="1356" customFormat="false" ht="15" hidden="false" customHeight="false" outlineLevel="0" collapsed="false">
      <c r="A1356" s="69"/>
      <c r="B1356" s="68"/>
      <c r="C1356" s="76" t="str">
        <f aca="false">IF(B1356="","",IFERROR(INDEX(EN_Des,MATCH(B1356,EN_Code,0)),"Code inconnu"))</f>
        <v/>
      </c>
      <c r="D1356" s="25"/>
      <c r="E1356" s="25"/>
      <c r="F1356" s="82"/>
      <c r="G1356" s="82"/>
      <c r="H1356" s="83" t="str">
        <f aca="false">IF(OR(F1356="",G1356=""),"",G1356-F1356)</f>
        <v/>
      </c>
      <c r="I1356" s="82"/>
      <c r="J1356" s="82"/>
      <c r="K1356" s="28"/>
      <c r="L1356" s="90" t="str">
        <f aca="false">IF(OR(K1356="",N(H1356)=0),"",K1356/H1356)</f>
        <v/>
      </c>
      <c r="M1356" s="68"/>
      <c r="N1356" s="28"/>
      <c r="O1356" s="25"/>
      <c r="P1356" s="83" t="str">
        <f aca="false">IF(OR(N1356="",N(H1356)=0),"",N1356/H1356)</f>
        <v/>
      </c>
      <c r="Q1356" s="25"/>
    </row>
    <row r="1357" customFormat="false" ht="15" hidden="false" customHeight="false" outlineLevel="0" collapsed="false">
      <c r="A1357" s="69"/>
      <c r="B1357" s="68"/>
      <c r="C1357" s="76" t="str">
        <f aca="false">IF(B1357="","",IFERROR(INDEX(EN_Des,MATCH(B1357,EN_Code,0)),"Code inconnu"))</f>
        <v/>
      </c>
      <c r="D1357" s="25"/>
      <c r="E1357" s="25"/>
      <c r="F1357" s="82"/>
      <c r="G1357" s="82"/>
      <c r="H1357" s="83" t="str">
        <f aca="false">IF(OR(F1357="",G1357=""),"",G1357-F1357)</f>
        <v/>
      </c>
      <c r="I1357" s="82"/>
      <c r="J1357" s="82"/>
      <c r="K1357" s="28"/>
      <c r="L1357" s="90" t="str">
        <f aca="false">IF(OR(K1357="",N(H1357)=0),"",K1357/H1357)</f>
        <v/>
      </c>
      <c r="M1357" s="68"/>
      <c r="N1357" s="28"/>
      <c r="O1357" s="25"/>
      <c r="P1357" s="83" t="str">
        <f aca="false">IF(OR(N1357="",N(H1357)=0),"",N1357/H1357)</f>
        <v/>
      </c>
      <c r="Q1357" s="25"/>
    </row>
    <row r="1358" customFormat="false" ht="15" hidden="false" customHeight="false" outlineLevel="0" collapsed="false">
      <c r="A1358" s="69"/>
      <c r="B1358" s="68"/>
      <c r="C1358" s="76" t="str">
        <f aca="false">IF(B1358="","",IFERROR(INDEX(EN_Des,MATCH(B1358,EN_Code,0)),"Code inconnu"))</f>
        <v/>
      </c>
      <c r="D1358" s="25"/>
      <c r="E1358" s="25"/>
      <c r="F1358" s="82"/>
      <c r="G1358" s="82"/>
      <c r="H1358" s="83" t="str">
        <f aca="false">IF(OR(F1358="",G1358=""),"",G1358-F1358)</f>
        <v/>
      </c>
      <c r="I1358" s="82"/>
      <c r="J1358" s="82"/>
      <c r="K1358" s="28"/>
      <c r="L1358" s="90" t="str">
        <f aca="false">IF(OR(K1358="",N(H1358)=0),"",K1358/H1358)</f>
        <v/>
      </c>
      <c r="M1358" s="68"/>
      <c r="N1358" s="28"/>
      <c r="O1358" s="25"/>
      <c r="P1358" s="83" t="str">
        <f aca="false">IF(OR(N1358="",N(H1358)=0),"",N1358/H1358)</f>
        <v/>
      </c>
      <c r="Q1358" s="25"/>
    </row>
    <row r="1359" customFormat="false" ht="15" hidden="false" customHeight="false" outlineLevel="0" collapsed="false">
      <c r="A1359" s="69"/>
      <c r="B1359" s="68"/>
      <c r="C1359" s="76" t="str">
        <f aca="false">IF(B1359="","",IFERROR(INDEX(EN_Des,MATCH(B1359,EN_Code,0)),"Code inconnu"))</f>
        <v/>
      </c>
      <c r="D1359" s="25"/>
      <c r="E1359" s="25"/>
      <c r="F1359" s="82"/>
      <c r="G1359" s="82"/>
      <c r="H1359" s="83" t="str">
        <f aca="false">IF(OR(F1359="",G1359=""),"",G1359-F1359)</f>
        <v/>
      </c>
      <c r="I1359" s="82"/>
      <c r="J1359" s="82"/>
      <c r="K1359" s="28"/>
      <c r="L1359" s="90" t="str">
        <f aca="false">IF(OR(K1359="",N(H1359)=0),"",K1359/H1359)</f>
        <v/>
      </c>
      <c r="M1359" s="68"/>
      <c r="N1359" s="28"/>
      <c r="O1359" s="25"/>
      <c r="P1359" s="83" t="str">
        <f aca="false">IF(OR(N1359="",N(H1359)=0),"",N1359/H1359)</f>
        <v/>
      </c>
      <c r="Q1359" s="25"/>
    </row>
    <row r="1360" customFormat="false" ht="15" hidden="false" customHeight="false" outlineLevel="0" collapsed="false">
      <c r="A1360" s="69"/>
      <c r="B1360" s="68"/>
      <c r="C1360" s="76" t="str">
        <f aca="false">IF(B1360="","",IFERROR(INDEX(EN_Des,MATCH(B1360,EN_Code,0)),"Code inconnu"))</f>
        <v/>
      </c>
      <c r="D1360" s="25"/>
      <c r="E1360" s="25"/>
      <c r="F1360" s="82"/>
      <c r="G1360" s="82"/>
      <c r="H1360" s="83" t="str">
        <f aca="false">IF(OR(F1360="",G1360=""),"",G1360-F1360)</f>
        <v/>
      </c>
      <c r="I1360" s="82"/>
      <c r="J1360" s="82"/>
      <c r="K1360" s="28"/>
      <c r="L1360" s="90" t="str">
        <f aca="false">IF(OR(K1360="",N(H1360)=0),"",K1360/H1360)</f>
        <v/>
      </c>
      <c r="M1360" s="68"/>
      <c r="N1360" s="28"/>
      <c r="O1360" s="25"/>
      <c r="P1360" s="83" t="str">
        <f aca="false">IF(OR(N1360="",N(H1360)=0),"",N1360/H1360)</f>
        <v/>
      </c>
      <c r="Q1360" s="25"/>
    </row>
    <row r="1361" customFormat="false" ht="15" hidden="false" customHeight="false" outlineLevel="0" collapsed="false">
      <c r="A1361" s="69"/>
      <c r="B1361" s="68"/>
      <c r="C1361" s="76" t="str">
        <f aca="false">IF(B1361="","",IFERROR(INDEX(EN_Des,MATCH(B1361,EN_Code,0)),"Code inconnu"))</f>
        <v/>
      </c>
      <c r="D1361" s="25"/>
      <c r="E1361" s="25"/>
      <c r="F1361" s="82"/>
      <c r="G1361" s="82"/>
      <c r="H1361" s="83" t="str">
        <f aca="false">IF(OR(F1361="",G1361=""),"",G1361-F1361)</f>
        <v/>
      </c>
      <c r="I1361" s="82"/>
      <c r="J1361" s="82"/>
      <c r="K1361" s="28"/>
      <c r="L1361" s="90" t="str">
        <f aca="false">IF(OR(K1361="",N(H1361)=0),"",K1361/H1361)</f>
        <v/>
      </c>
      <c r="M1361" s="68"/>
      <c r="N1361" s="28"/>
      <c r="O1361" s="25"/>
      <c r="P1361" s="83" t="str">
        <f aca="false">IF(OR(N1361="",N(H1361)=0),"",N1361/H1361)</f>
        <v/>
      </c>
      <c r="Q1361" s="25"/>
    </row>
    <row r="1362" customFormat="false" ht="15" hidden="false" customHeight="false" outlineLevel="0" collapsed="false">
      <c r="A1362" s="69"/>
      <c r="B1362" s="68"/>
      <c r="C1362" s="76" t="str">
        <f aca="false">IF(B1362="","",IFERROR(INDEX(EN_Des,MATCH(B1362,EN_Code,0)),"Code inconnu"))</f>
        <v/>
      </c>
      <c r="D1362" s="25"/>
      <c r="E1362" s="25"/>
      <c r="F1362" s="82"/>
      <c r="G1362" s="82"/>
      <c r="H1362" s="83" t="str">
        <f aca="false">IF(OR(F1362="",G1362=""),"",G1362-F1362)</f>
        <v/>
      </c>
      <c r="I1362" s="82"/>
      <c r="J1362" s="82"/>
      <c r="K1362" s="28"/>
      <c r="L1362" s="90" t="str">
        <f aca="false">IF(OR(K1362="",N(H1362)=0),"",K1362/H1362)</f>
        <v/>
      </c>
      <c r="M1362" s="68"/>
      <c r="N1362" s="28"/>
      <c r="O1362" s="25"/>
      <c r="P1362" s="83" t="str">
        <f aca="false">IF(OR(N1362="",N(H1362)=0),"",N1362/H1362)</f>
        <v/>
      </c>
      <c r="Q1362" s="25"/>
    </row>
    <row r="1363" customFormat="false" ht="15" hidden="false" customHeight="false" outlineLevel="0" collapsed="false">
      <c r="A1363" s="69"/>
      <c r="B1363" s="68"/>
      <c r="C1363" s="76" t="str">
        <f aca="false">IF(B1363="","",IFERROR(INDEX(EN_Des,MATCH(B1363,EN_Code,0)),"Code inconnu"))</f>
        <v/>
      </c>
      <c r="D1363" s="25"/>
      <c r="E1363" s="25"/>
      <c r="F1363" s="82"/>
      <c r="G1363" s="82"/>
      <c r="H1363" s="83" t="str">
        <f aca="false">IF(OR(F1363="",G1363=""),"",G1363-F1363)</f>
        <v/>
      </c>
      <c r="I1363" s="82"/>
      <c r="J1363" s="82"/>
      <c r="K1363" s="28"/>
      <c r="L1363" s="90" t="str">
        <f aca="false">IF(OR(K1363="",N(H1363)=0),"",K1363/H1363)</f>
        <v/>
      </c>
      <c r="M1363" s="68"/>
      <c r="N1363" s="28"/>
      <c r="O1363" s="25"/>
      <c r="P1363" s="83" t="str">
        <f aca="false">IF(OR(N1363="",N(H1363)=0),"",N1363/H1363)</f>
        <v/>
      </c>
      <c r="Q1363" s="25"/>
    </row>
    <row r="1364" customFormat="false" ht="15" hidden="false" customHeight="false" outlineLevel="0" collapsed="false">
      <c r="A1364" s="69"/>
      <c r="B1364" s="68"/>
      <c r="C1364" s="76" t="str">
        <f aca="false">IF(B1364="","",IFERROR(INDEX(EN_Des,MATCH(B1364,EN_Code,0)),"Code inconnu"))</f>
        <v/>
      </c>
      <c r="D1364" s="25"/>
      <c r="E1364" s="25"/>
      <c r="F1364" s="82"/>
      <c r="G1364" s="82"/>
      <c r="H1364" s="83" t="str">
        <f aca="false">IF(OR(F1364="",G1364=""),"",G1364-F1364)</f>
        <v/>
      </c>
      <c r="I1364" s="82"/>
      <c r="J1364" s="82"/>
      <c r="K1364" s="28"/>
      <c r="L1364" s="90" t="str">
        <f aca="false">IF(OR(K1364="",N(H1364)=0),"",K1364/H1364)</f>
        <v/>
      </c>
      <c r="M1364" s="68"/>
      <c r="N1364" s="28"/>
      <c r="O1364" s="25"/>
      <c r="P1364" s="83" t="str">
        <f aca="false">IF(OR(N1364="",N(H1364)=0),"",N1364/H1364)</f>
        <v/>
      </c>
      <c r="Q1364" s="25"/>
    </row>
    <row r="1365" customFormat="false" ht="15" hidden="false" customHeight="false" outlineLevel="0" collapsed="false">
      <c r="A1365" s="69"/>
      <c r="B1365" s="68"/>
      <c r="C1365" s="76" t="str">
        <f aca="false">IF(B1365="","",IFERROR(INDEX(EN_Des,MATCH(B1365,EN_Code,0)),"Code inconnu"))</f>
        <v/>
      </c>
      <c r="D1365" s="25"/>
      <c r="E1365" s="25"/>
      <c r="F1365" s="82"/>
      <c r="G1365" s="82"/>
      <c r="H1365" s="83" t="str">
        <f aca="false">IF(OR(F1365="",G1365=""),"",G1365-F1365)</f>
        <v/>
      </c>
      <c r="I1365" s="82"/>
      <c r="J1365" s="82"/>
      <c r="K1365" s="28"/>
      <c r="L1365" s="90" t="str">
        <f aca="false">IF(OR(K1365="",N(H1365)=0),"",K1365/H1365)</f>
        <v/>
      </c>
      <c r="M1365" s="68"/>
      <c r="N1365" s="28"/>
      <c r="O1365" s="25"/>
      <c r="P1365" s="83" t="str">
        <f aca="false">IF(OR(N1365="",N(H1365)=0),"",N1365/H1365)</f>
        <v/>
      </c>
      <c r="Q1365" s="25"/>
    </row>
    <row r="1366" customFormat="false" ht="15" hidden="false" customHeight="false" outlineLevel="0" collapsed="false">
      <c r="A1366" s="69"/>
      <c r="B1366" s="68"/>
      <c r="C1366" s="76" t="str">
        <f aca="false">IF(B1366="","",IFERROR(INDEX(EN_Des,MATCH(B1366,EN_Code,0)),"Code inconnu"))</f>
        <v/>
      </c>
      <c r="D1366" s="25"/>
      <c r="E1366" s="25"/>
      <c r="F1366" s="82"/>
      <c r="G1366" s="82"/>
      <c r="H1366" s="83" t="str">
        <f aca="false">IF(OR(F1366="",G1366=""),"",G1366-F1366)</f>
        <v/>
      </c>
      <c r="I1366" s="82"/>
      <c r="J1366" s="82"/>
      <c r="K1366" s="28"/>
      <c r="L1366" s="90" t="str">
        <f aca="false">IF(OR(K1366="",N(H1366)=0),"",K1366/H1366)</f>
        <v/>
      </c>
      <c r="M1366" s="68"/>
      <c r="N1366" s="28"/>
      <c r="O1366" s="25"/>
      <c r="P1366" s="83" t="str">
        <f aca="false">IF(OR(N1366="",N(H1366)=0),"",N1366/H1366)</f>
        <v/>
      </c>
      <c r="Q1366" s="25"/>
    </row>
    <row r="1367" customFormat="false" ht="15" hidden="false" customHeight="false" outlineLevel="0" collapsed="false">
      <c r="A1367" s="69"/>
      <c r="B1367" s="68"/>
      <c r="C1367" s="76" t="str">
        <f aca="false">IF(B1367="","",IFERROR(INDEX(EN_Des,MATCH(B1367,EN_Code,0)),"Code inconnu"))</f>
        <v/>
      </c>
      <c r="D1367" s="25"/>
      <c r="E1367" s="25"/>
      <c r="F1367" s="82"/>
      <c r="G1367" s="82"/>
      <c r="H1367" s="83" t="str">
        <f aca="false">IF(OR(F1367="",G1367=""),"",G1367-F1367)</f>
        <v/>
      </c>
      <c r="I1367" s="82"/>
      <c r="J1367" s="82"/>
      <c r="K1367" s="28"/>
      <c r="L1367" s="90" t="str">
        <f aca="false">IF(OR(K1367="",N(H1367)=0),"",K1367/H1367)</f>
        <v/>
      </c>
      <c r="M1367" s="68"/>
      <c r="N1367" s="28"/>
      <c r="O1367" s="25"/>
      <c r="P1367" s="83" t="str">
        <f aca="false">IF(OR(N1367="",N(H1367)=0),"",N1367/H1367)</f>
        <v/>
      </c>
      <c r="Q1367" s="25"/>
    </row>
    <row r="1368" customFormat="false" ht="15" hidden="false" customHeight="false" outlineLevel="0" collapsed="false">
      <c r="A1368" s="69"/>
      <c r="B1368" s="68"/>
      <c r="C1368" s="76" t="str">
        <f aca="false">IF(B1368="","",IFERROR(INDEX(EN_Des,MATCH(B1368,EN_Code,0)),"Code inconnu"))</f>
        <v/>
      </c>
      <c r="D1368" s="25"/>
      <c r="E1368" s="25"/>
      <c r="F1368" s="82"/>
      <c r="G1368" s="82"/>
      <c r="H1368" s="83" t="str">
        <f aca="false">IF(OR(F1368="",G1368=""),"",G1368-F1368)</f>
        <v/>
      </c>
      <c r="I1368" s="82"/>
      <c r="J1368" s="82"/>
      <c r="K1368" s="28"/>
      <c r="L1368" s="90" t="str">
        <f aca="false">IF(OR(K1368="",N(H1368)=0),"",K1368/H1368)</f>
        <v/>
      </c>
      <c r="M1368" s="68"/>
      <c r="N1368" s="28"/>
      <c r="O1368" s="25"/>
      <c r="P1368" s="83" t="str">
        <f aca="false">IF(OR(N1368="",N(H1368)=0),"",N1368/H1368)</f>
        <v/>
      </c>
      <c r="Q1368" s="25"/>
    </row>
    <row r="1369" customFormat="false" ht="15" hidden="false" customHeight="false" outlineLevel="0" collapsed="false">
      <c r="A1369" s="69"/>
      <c r="B1369" s="68"/>
      <c r="C1369" s="76" t="str">
        <f aca="false">IF(B1369="","",IFERROR(INDEX(EN_Des,MATCH(B1369,EN_Code,0)),"Code inconnu"))</f>
        <v/>
      </c>
      <c r="D1369" s="25"/>
      <c r="E1369" s="25"/>
      <c r="F1369" s="82"/>
      <c r="G1369" s="82"/>
      <c r="H1369" s="83" t="str">
        <f aca="false">IF(OR(F1369="",G1369=""),"",G1369-F1369)</f>
        <v/>
      </c>
      <c r="I1369" s="82"/>
      <c r="J1369" s="82"/>
      <c r="K1369" s="28"/>
      <c r="L1369" s="90" t="str">
        <f aca="false">IF(OR(K1369="",N(H1369)=0),"",K1369/H1369)</f>
        <v/>
      </c>
      <c r="M1369" s="68"/>
      <c r="N1369" s="28"/>
      <c r="O1369" s="25"/>
      <c r="P1369" s="83" t="str">
        <f aca="false">IF(OR(N1369="",N(H1369)=0),"",N1369/H1369)</f>
        <v/>
      </c>
      <c r="Q1369" s="25"/>
    </row>
    <row r="1370" customFormat="false" ht="15" hidden="false" customHeight="false" outlineLevel="0" collapsed="false">
      <c r="A1370" s="69"/>
      <c r="B1370" s="68"/>
      <c r="C1370" s="76" t="str">
        <f aca="false">IF(B1370="","",IFERROR(INDEX(EN_Des,MATCH(B1370,EN_Code,0)),"Code inconnu"))</f>
        <v/>
      </c>
      <c r="D1370" s="25"/>
      <c r="E1370" s="25"/>
      <c r="F1370" s="82"/>
      <c r="G1370" s="82"/>
      <c r="H1370" s="83" t="str">
        <f aca="false">IF(OR(F1370="",G1370=""),"",G1370-F1370)</f>
        <v/>
      </c>
      <c r="I1370" s="82"/>
      <c r="J1370" s="82"/>
      <c r="K1370" s="28"/>
      <c r="L1370" s="90" t="str">
        <f aca="false">IF(OR(K1370="",N(H1370)=0),"",K1370/H1370)</f>
        <v/>
      </c>
      <c r="M1370" s="68"/>
      <c r="N1370" s="28"/>
      <c r="O1370" s="25"/>
      <c r="P1370" s="83" t="str">
        <f aca="false">IF(OR(N1370="",N(H1370)=0),"",N1370/H1370)</f>
        <v/>
      </c>
      <c r="Q1370" s="25"/>
    </row>
    <row r="1371" customFormat="false" ht="15" hidden="false" customHeight="false" outlineLevel="0" collapsed="false">
      <c r="A1371" s="69"/>
      <c r="B1371" s="68"/>
      <c r="C1371" s="76" t="str">
        <f aca="false">IF(B1371="","",IFERROR(INDEX(EN_Des,MATCH(B1371,EN_Code,0)),"Code inconnu"))</f>
        <v/>
      </c>
      <c r="D1371" s="25"/>
      <c r="E1371" s="25"/>
      <c r="F1371" s="82"/>
      <c r="G1371" s="82"/>
      <c r="H1371" s="83" t="str">
        <f aca="false">IF(OR(F1371="",G1371=""),"",G1371-F1371)</f>
        <v/>
      </c>
      <c r="I1371" s="82"/>
      <c r="J1371" s="82"/>
      <c r="K1371" s="28"/>
      <c r="L1371" s="90" t="str">
        <f aca="false">IF(OR(K1371="",N(H1371)=0),"",K1371/H1371)</f>
        <v/>
      </c>
      <c r="M1371" s="68"/>
      <c r="N1371" s="28"/>
      <c r="O1371" s="25"/>
      <c r="P1371" s="83" t="str">
        <f aca="false">IF(OR(N1371="",N(H1371)=0),"",N1371/H1371)</f>
        <v/>
      </c>
      <c r="Q1371" s="25"/>
    </row>
    <row r="1372" customFormat="false" ht="15" hidden="false" customHeight="false" outlineLevel="0" collapsed="false">
      <c r="A1372" s="69"/>
      <c r="B1372" s="68"/>
      <c r="C1372" s="76" t="str">
        <f aca="false">IF(B1372="","",IFERROR(INDEX(EN_Des,MATCH(B1372,EN_Code,0)),"Code inconnu"))</f>
        <v/>
      </c>
      <c r="D1372" s="25"/>
      <c r="E1372" s="25"/>
      <c r="F1372" s="82"/>
      <c r="G1372" s="82"/>
      <c r="H1372" s="83" t="str">
        <f aca="false">IF(OR(F1372="",G1372=""),"",G1372-F1372)</f>
        <v/>
      </c>
      <c r="I1372" s="82"/>
      <c r="J1372" s="82"/>
      <c r="K1372" s="28"/>
      <c r="L1372" s="90" t="str">
        <f aca="false">IF(OR(K1372="",N(H1372)=0),"",K1372/H1372)</f>
        <v/>
      </c>
      <c r="M1372" s="68"/>
      <c r="N1372" s="28"/>
      <c r="O1372" s="25"/>
      <c r="P1372" s="83" t="str">
        <f aca="false">IF(OR(N1372="",N(H1372)=0),"",N1372/H1372)</f>
        <v/>
      </c>
      <c r="Q1372" s="25"/>
    </row>
    <row r="1373" customFormat="false" ht="15" hidden="false" customHeight="false" outlineLevel="0" collapsed="false">
      <c r="A1373" s="69"/>
      <c r="B1373" s="68"/>
      <c r="C1373" s="76" t="str">
        <f aca="false">IF(B1373="","",IFERROR(INDEX(EN_Des,MATCH(B1373,EN_Code,0)),"Code inconnu"))</f>
        <v/>
      </c>
      <c r="D1373" s="25"/>
      <c r="E1373" s="25"/>
      <c r="F1373" s="82"/>
      <c r="G1373" s="82"/>
      <c r="H1373" s="83" t="str">
        <f aca="false">IF(OR(F1373="",G1373=""),"",G1373-F1373)</f>
        <v/>
      </c>
      <c r="I1373" s="82"/>
      <c r="J1373" s="82"/>
      <c r="K1373" s="28"/>
      <c r="L1373" s="90" t="str">
        <f aca="false">IF(OR(K1373="",N(H1373)=0),"",K1373/H1373)</f>
        <v/>
      </c>
      <c r="M1373" s="68"/>
      <c r="N1373" s="28"/>
      <c r="O1373" s="25"/>
      <c r="P1373" s="83" t="str">
        <f aca="false">IF(OR(N1373="",N(H1373)=0),"",N1373/H1373)</f>
        <v/>
      </c>
      <c r="Q1373" s="25"/>
    </row>
    <row r="1374" customFormat="false" ht="15" hidden="false" customHeight="false" outlineLevel="0" collapsed="false">
      <c r="A1374" s="69"/>
      <c r="B1374" s="68"/>
      <c r="C1374" s="76" t="str">
        <f aca="false">IF(B1374="","",IFERROR(INDEX(EN_Des,MATCH(B1374,EN_Code,0)),"Code inconnu"))</f>
        <v/>
      </c>
      <c r="D1374" s="25"/>
      <c r="E1374" s="25"/>
      <c r="F1374" s="82"/>
      <c r="G1374" s="82"/>
      <c r="H1374" s="83" t="str">
        <f aca="false">IF(OR(F1374="",G1374=""),"",G1374-F1374)</f>
        <v/>
      </c>
      <c r="I1374" s="82"/>
      <c r="J1374" s="82"/>
      <c r="K1374" s="28"/>
      <c r="L1374" s="90" t="str">
        <f aca="false">IF(OR(K1374="",N(H1374)=0),"",K1374/H1374)</f>
        <v/>
      </c>
      <c r="M1374" s="68"/>
      <c r="N1374" s="28"/>
      <c r="O1374" s="25"/>
      <c r="P1374" s="83" t="str">
        <f aca="false">IF(OR(N1374="",N(H1374)=0),"",N1374/H1374)</f>
        <v/>
      </c>
      <c r="Q1374" s="25"/>
    </row>
    <row r="1375" customFormat="false" ht="15" hidden="false" customHeight="false" outlineLevel="0" collapsed="false">
      <c r="A1375" s="69"/>
      <c r="B1375" s="68"/>
      <c r="C1375" s="76" t="str">
        <f aca="false">IF(B1375="","",IFERROR(INDEX(EN_Des,MATCH(B1375,EN_Code,0)),"Code inconnu"))</f>
        <v/>
      </c>
      <c r="D1375" s="25"/>
      <c r="E1375" s="25"/>
      <c r="F1375" s="82"/>
      <c r="G1375" s="82"/>
      <c r="H1375" s="83" t="str">
        <f aca="false">IF(OR(F1375="",G1375=""),"",G1375-F1375)</f>
        <v/>
      </c>
      <c r="I1375" s="82"/>
      <c r="J1375" s="82"/>
      <c r="K1375" s="28"/>
      <c r="L1375" s="90" t="str">
        <f aca="false">IF(OR(K1375="",N(H1375)=0),"",K1375/H1375)</f>
        <v/>
      </c>
      <c r="M1375" s="68"/>
      <c r="N1375" s="28"/>
      <c r="O1375" s="25"/>
      <c r="P1375" s="83" t="str">
        <f aca="false">IF(OR(N1375="",N(H1375)=0),"",N1375/H1375)</f>
        <v/>
      </c>
      <c r="Q1375" s="25"/>
    </row>
    <row r="1376" customFormat="false" ht="15" hidden="false" customHeight="false" outlineLevel="0" collapsed="false">
      <c r="A1376" s="69"/>
      <c r="B1376" s="68"/>
      <c r="C1376" s="76" t="str">
        <f aca="false">IF(B1376="","",IFERROR(INDEX(EN_Des,MATCH(B1376,EN_Code,0)),"Code inconnu"))</f>
        <v/>
      </c>
      <c r="D1376" s="25"/>
      <c r="E1376" s="25"/>
      <c r="F1376" s="82"/>
      <c r="G1376" s="82"/>
      <c r="H1376" s="83" t="str">
        <f aca="false">IF(OR(F1376="",G1376=""),"",G1376-F1376)</f>
        <v/>
      </c>
      <c r="I1376" s="82"/>
      <c r="J1376" s="82"/>
      <c r="K1376" s="28"/>
      <c r="L1376" s="90" t="str">
        <f aca="false">IF(OR(K1376="",N(H1376)=0),"",K1376/H1376)</f>
        <v/>
      </c>
      <c r="M1376" s="68"/>
      <c r="N1376" s="28"/>
      <c r="O1376" s="25"/>
      <c r="P1376" s="83" t="str">
        <f aca="false">IF(OR(N1376="",N(H1376)=0),"",N1376/H1376)</f>
        <v/>
      </c>
      <c r="Q1376" s="25"/>
    </row>
    <row r="1377" customFormat="false" ht="15" hidden="false" customHeight="false" outlineLevel="0" collapsed="false">
      <c r="A1377" s="69"/>
      <c r="B1377" s="68"/>
      <c r="C1377" s="76" t="str">
        <f aca="false">IF(B1377="","",IFERROR(INDEX(EN_Des,MATCH(B1377,EN_Code,0)),"Code inconnu"))</f>
        <v/>
      </c>
      <c r="D1377" s="25"/>
      <c r="E1377" s="25"/>
      <c r="F1377" s="82"/>
      <c r="G1377" s="82"/>
      <c r="H1377" s="83" t="str">
        <f aca="false">IF(OR(F1377="",G1377=""),"",G1377-F1377)</f>
        <v/>
      </c>
      <c r="I1377" s="82"/>
      <c r="J1377" s="82"/>
      <c r="K1377" s="28"/>
      <c r="L1377" s="90" t="str">
        <f aca="false">IF(OR(K1377="",N(H1377)=0),"",K1377/H1377)</f>
        <v/>
      </c>
      <c r="M1377" s="68"/>
      <c r="N1377" s="28"/>
      <c r="O1377" s="25"/>
      <c r="P1377" s="83" t="str">
        <f aca="false">IF(OR(N1377="",N(H1377)=0),"",N1377/H1377)</f>
        <v/>
      </c>
      <c r="Q1377" s="25"/>
    </row>
    <row r="1378" customFormat="false" ht="15" hidden="false" customHeight="false" outlineLevel="0" collapsed="false">
      <c r="A1378" s="69"/>
      <c r="B1378" s="68"/>
      <c r="C1378" s="76" t="str">
        <f aca="false">IF(B1378="","",IFERROR(INDEX(EN_Des,MATCH(B1378,EN_Code,0)),"Code inconnu"))</f>
        <v/>
      </c>
      <c r="D1378" s="25"/>
      <c r="E1378" s="25"/>
      <c r="F1378" s="82"/>
      <c r="G1378" s="82"/>
      <c r="H1378" s="83" t="str">
        <f aca="false">IF(OR(F1378="",G1378=""),"",G1378-F1378)</f>
        <v/>
      </c>
      <c r="I1378" s="82"/>
      <c r="J1378" s="82"/>
      <c r="K1378" s="28"/>
      <c r="L1378" s="90" t="str">
        <f aca="false">IF(OR(K1378="",N(H1378)=0),"",K1378/H1378)</f>
        <v/>
      </c>
      <c r="M1378" s="68"/>
      <c r="N1378" s="28"/>
      <c r="O1378" s="25"/>
      <c r="P1378" s="83" t="str">
        <f aca="false">IF(OR(N1378="",N(H1378)=0),"",N1378/H1378)</f>
        <v/>
      </c>
      <c r="Q1378" s="25"/>
    </row>
    <row r="1379" customFormat="false" ht="15" hidden="false" customHeight="false" outlineLevel="0" collapsed="false">
      <c r="A1379" s="69"/>
      <c r="B1379" s="68"/>
      <c r="C1379" s="76" t="str">
        <f aca="false">IF(B1379="","",IFERROR(INDEX(EN_Des,MATCH(B1379,EN_Code,0)),"Code inconnu"))</f>
        <v/>
      </c>
      <c r="D1379" s="25"/>
      <c r="E1379" s="25"/>
      <c r="F1379" s="82"/>
      <c r="G1379" s="82"/>
      <c r="H1379" s="83" t="str">
        <f aca="false">IF(OR(F1379="",G1379=""),"",G1379-F1379)</f>
        <v/>
      </c>
      <c r="I1379" s="82"/>
      <c r="J1379" s="82"/>
      <c r="K1379" s="28"/>
      <c r="L1379" s="90" t="str">
        <f aca="false">IF(OR(K1379="",N(H1379)=0),"",K1379/H1379)</f>
        <v/>
      </c>
      <c r="M1379" s="68"/>
      <c r="N1379" s="28"/>
      <c r="O1379" s="25"/>
      <c r="P1379" s="83" t="str">
        <f aca="false">IF(OR(N1379="",N(H1379)=0),"",N1379/H1379)</f>
        <v/>
      </c>
      <c r="Q1379" s="25"/>
    </row>
    <row r="1380" customFormat="false" ht="15" hidden="false" customHeight="false" outlineLevel="0" collapsed="false">
      <c r="A1380" s="69"/>
      <c r="B1380" s="68"/>
      <c r="C1380" s="76" t="str">
        <f aca="false">IF(B1380="","",IFERROR(INDEX(EN_Des,MATCH(B1380,EN_Code,0)),"Code inconnu"))</f>
        <v/>
      </c>
      <c r="D1380" s="25"/>
      <c r="E1380" s="25"/>
      <c r="F1380" s="82"/>
      <c r="G1380" s="82"/>
      <c r="H1380" s="83" t="str">
        <f aca="false">IF(OR(F1380="",G1380=""),"",G1380-F1380)</f>
        <v/>
      </c>
      <c r="I1380" s="82"/>
      <c r="J1380" s="82"/>
      <c r="K1380" s="28"/>
      <c r="L1380" s="90" t="str">
        <f aca="false">IF(OR(K1380="",N(H1380)=0),"",K1380/H1380)</f>
        <v/>
      </c>
      <c r="M1380" s="68"/>
      <c r="N1380" s="28"/>
      <c r="O1380" s="25"/>
      <c r="P1380" s="83" t="str">
        <f aca="false">IF(OR(N1380="",N(H1380)=0),"",N1380/H1380)</f>
        <v/>
      </c>
      <c r="Q1380" s="25"/>
    </row>
    <row r="1381" customFormat="false" ht="15" hidden="false" customHeight="false" outlineLevel="0" collapsed="false">
      <c r="A1381" s="69"/>
      <c r="B1381" s="68"/>
      <c r="C1381" s="76" t="str">
        <f aca="false">IF(B1381="","",IFERROR(INDEX(EN_Des,MATCH(B1381,EN_Code,0)),"Code inconnu"))</f>
        <v/>
      </c>
      <c r="D1381" s="25"/>
      <c r="E1381" s="25"/>
      <c r="F1381" s="82"/>
      <c r="G1381" s="82"/>
      <c r="H1381" s="83" t="str">
        <f aca="false">IF(OR(F1381="",G1381=""),"",G1381-F1381)</f>
        <v/>
      </c>
      <c r="I1381" s="82"/>
      <c r="J1381" s="82"/>
      <c r="K1381" s="28"/>
      <c r="L1381" s="90" t="str">
        <f aca="false">IF(OR(K1381="",N(H1381)=0),"",K1381/H1381)</f>
        <v/>
      </c>
      <c r="M1381" s="68"/>
      <c r="N1381" s="28"/>
      <c r="O1381" s="25"/>
      <c r="P1381" s="83" t="str">
        <f aca="false">IF(OR(N1381="",N(H1381)=0),"",N1381/H1381)</f>
        <v/>
      </c>
      <c r="Q1381" s="25"/>
    </row>
    <row r="1382" customFormat="false" ht="15" hidden="false" customHeight="false" outlineLevel="0" collapsed="false">
      <c r="A1382" s="69"/>
      <c r="B1382" s="68"/>
      <c r="C1382" s="76" t="str">
        <f aca="false">IF(B1382="","",IFERROR(INDEX(EN_Des,MATCH(B1382,EN_Code,0)),"Code inconnu"))</f>
        <v/>
      </c>
      <c r="D1382" s="25"/>
      <c r="E1382" s="25"/>
      <c r="F1382" s="82"/>
      <c r="G1382" s="82"/>
      <c r="H1382" s="83" t="str">
        <f aca="false">IF(OR(F1382="",G1382=""),"",G1382-F1382)</f>
        <v/>
      </c>
      <c r="I1382" s="82"/>
      <c r="J1382" s="82"/>
      <c r="K1382" s="28"/>
      <c r="L1382" s="90" t="str">
        <f aca="false">IF(OR(K1382="",N(H1382)=0),"",K1382/H1382)</f>
        <v/>
      </c>
      <c r="M1382" s="68"/>
      <c r="N1382" s="28"/>
      <c r="O1382" s="25"/>
      <c r="P1382" s="83" t="str">
        <f aca="false">IF(OR(N1382="",N(H1382)=0),"",N1382/H1382)</f>
        <v/>
      </c>
      <c r="Q1382" s="25"/>
    </row>
    <row r="1383" customFormat="false" ht="15" hidden="false" customHeight="false" outlineLevel="0" collapsed="false">
      <c r="A1383" s="69"/>
      <c r="B1383" s="68"/>
      <c r="C1383" s="76" t="str">
        <f aca="false">IF(B1383="","",IFERROR(INDEX(EN_Des,MATCH(B1383,EN_Code,0)),"Code inconnu"))</f>
        <v/>
      </c>
      <c r="D1383" s="25"/>
      <c r="E1383" s="25"/>
      <c r="F1383" s="82"/>
      <c r="G1383" s="82"/>
      <c r="H1383" s="83" t="str">
        <f aca="false">IF(OR(F1383="",G1383=""),"",G1383-F1383)</f>
        <v/>
      </c>
      <c r="I1383" s="82"/>
      <c r="J1383" s="82"/>
      <c r="K1383" s="28"/>
      <c r="L1383" s="90" t="str">
        <f aca="false">IF(OR(K1383="",N(H1383)=0),"",K1383/H1383)</f>
        <v/>
      </c>
      <c r="M1383" s="68"/>
      <c r="N1383" s="28"/>
      <c r="O1383" s="25"/>
      <c r="P1383" s="83" t="str">
        <f aca="false">IF(OR(N1383="",N(H1383)=0),"",N1383/H1383)</f>
        <v/>
      </c>
      <c r="Q1383" s="25"/>
    </row>
    <row r="1384" customFormat="false" ht="15" hidden="false" customHeight="false" outlineLevel="0" collapsed="false">
      <c r="A1384" s="69"/>
      <c r="B1384" s="68"/>
      <c r="C1384" s="76" t="str">
        <f aca="false">IF(B1384="","",IFERROR(INDEX(EN_Des,MATCH(B1384,EN_Code,0)),"Code inconnu"))</f>
        <v/>
      </c>
      <c r="D1384" s="25"/>
      <c r="E1384" s="25"/>
      <c r="F1384" s="82"/>
      <c r="G1384" s="82"/>
      <c r="H1384" s="83" t="str">
        <f aca="false">IF(OR(F1384="",G1384=""),"",G1384-F1384)</f>
        <v/>
      </c>
      <c r="I1384" s="82"/>
      <c r="J1384" s="82"/>
      <c r="K1384" s="28"/>
      <c r="L1384" s="90" t="str">
        <f aca="false">IF(OR(K1384="",N(H1384)=0),"",K1384/H1384)</f>
        <v/>
      </c>
      <c r="M1384" s="68"/>
      <c r="N1384" s="28"/>
      <c r="O1384" s="25"/>
      <c r="P1384" s="83" t="str">
        <f aca="false">IF(OR(N1384="",N(H1384)=0),"",N1384/H1384)</f>
        <v/>
      </c>
      <c r="Q1384" s="25"/>
    </row>
    <row r="1385" customFormat="false" ht="15" hidden="false" customHeight="false" outlineLevel="0" collapsed="false">
      <c r="A1385" s="69"/>
      <c r="B1385" s="68"/>
      <c r="C1385" s="76" t="str">
        <f aca="false">IF(B1385="","",IFERROR(INDEX(EN_Des,MATCH(B1385,EN_Code,0)),"Code inconnu"))</f>
        <v/>
      </c>
      <c r="D1385" s="25"/>
      <c r="E1385" s="25"/>
      <c r="F1385" s="82"/>
      <c r="G1385" s="82"/>
      <c r="H1385" s="83" t="str">
        <f aca="false">IF(OR(F1385="",G1385=""),"",G1385-F1385)</f>
        <v/>
      </c>
      <c r="I1385" s="82"/>
      <c r="J1385" s="82"/>
      <c r="K1385" s="28"/>
      <c r="L1385" s="90" t="str">
        <f aca="false">IF(OR(K1385="",N(H1385)=0),"",K1385/H1385)</f>
        <v/>
      </c>
      <c r="M1385" s="68"/>
      <c r="N1385" s="28"/>
      <c r="O1385" s="25"/>
      <c r="P1385" s="83" t="str">
        <f aca="false">IF(OR(N1385="",N(H1385)=0),"",N1385/H1385)</f>
        <v/>
      </c>
      <c r="Q1385" s="25"/>
    </row>
    <row r="1386" customFormat="false" ht="15" hidden="false" customHeight="false" outlineLevel="0" collapsed="false">
      <c r="A1386" s="69"/>
      <c r="B1386" s="68"/>
      <c r="C1386" s="76" t="str">
        <f aca="false">IF(B1386="","",IFERROR(INDEX(EN_Des,MATCH(B1386,EN_Code,0)),"Code inconnu"))</f>
        <v/>
      </c>
      <c r="D1386" s="25"/>
      <c r="E1386" s="25"/>
      <c r="F1386" s="82"/>
      <c r="G1386" s="82"/>
      <c r="H1386" s="83" t="str">
        <f aca="false">IF(OR(F1386="",G1386=""),"",G1386-F1386)</f>
        <v/>
      </c>
      <c r="I1386" s="82"/>
      <c r="J1386" s="82"/>
      <c r="K1386" s="28"/>
      <c r="L1386" s="90" t="str">
        <f aca="false">IF(OR(K1386="",N(H1386)=0),"",K1386/H1386)</f>
        <v/>
      </c>
      <c r="M1386" s="68"/>
      <c r="N1386" s="28"/>
      <c r="O1386" s="25"/>
      <c r="P1386" s="83" t="str">
        <f aca="false">IF(OR(N1386="",N(H1386)=0),"",N1386/H1386)</f>
        <v/>
      </c>
      <c r="Q1386" s="25"/>
    </row>
    <row r="1387" customFormat="false" ht="15" hidden="false" customHeight="false" outlineLevel="0" collapsed="false">
      <c r="A1387" s="69"/>
      <c r="B1387" s="68"/>
      <c r="C1387" s="76" t="str">
        <f aca="false">IF(B1387="","",IFERROR(INDEX(EN_Des,MATCH(B1387,EN_Code,0)),"Code inconnu"))</f>
        <v/>
      </c>
      <c r="D1387" s="25"/>
      <c r="E1387" s="25"/>
      <c r="F1387" s="82"/>
      <c r="G1387" s="82"/>
      <c r="H1387" s="83" t="str">
        <f aca="false">IF(OR(F1387="",G1387=""),"",G1387-F1387)</f>
        <v/>
      </c>
      <c r="I1387" s="82"/>
      <c r="J1387" s="82"/>
      <c r="K1387" s="28"/>
      <c r="L1387" s="90" t="str">
        <f aca="false">IF(OR(K1387="",N(H1387)=0),"",K1387/H1387)</f>
        <v/>
      </c>
      <c r="M1387" s="68"/>
      <c r="N1387" s="28"/>
      <c r="O1387" s="25"/>
      <c r="P1387" s="83" t="str">
        <f aca="false">IF(OR(N1387="",N(H1387)=0),"",N1387/H1387)</f>
        <v/>
      </c>
      <c r="Q1387" s="25"/>
    </row>
    <row r="1388" customFormat="false" ht="15" hidden="false" customHeight="false" outlineLevel="0" collapsed="false">
      <c r="A1388" s="69"/>
      <c r="B1388" s="68"/>
      <c r="C1388" s="76" t="str">
        <f aca="false">IF(B1388="","",IFERROR(INDEX(EN_Des,MATCH(B1388,EN_Code,0)),"Code inconnu"))</f>
        <v/>
      </c>
      <c r="D1388" s="25"/>
      <c r="E1388" s="25"/>
      <c r="F1388" s="82"/>
      <c r="G1388" s="82"/>
      <c r="H1388" s="83" t="str">
        <f aca="false">IF(OR(F1388="",G1388=""),"",G1388-F1388)</f>
        <v/>
      </c>
      <c r="I1388" s="82"/>
      <c r="J1388" s="82"/>
      <c r="K1388" s="28"/>
      <c r="L1388" s="90" t="str">
        <f aca="false">IF(OR(K1388="",N(H1388)=0),"",K1388/H1388)</f>
        <v/>
      </c>
      <c r="M1388" s="68"/>
      <c r="N1388" s="28"/>
      <c r="O1388" s="25"/>
      <c r="P1388" s="83" t="str">
        <f aca="false">IF(OR(N1388="",N(H1388)=0),"",N1388/H1388)</f>
        <v/>
      </c>
      <c r="Q1388" s="25"/>
    </row>
    <row r="1389" customFormat="false" ht="15" hidden="false" customHeight="false" outlineLevel="0" collapsed="false">
      <c r="A1389" s="69"/>
      <c r="B1389" s="68"/>
      <c r="C1389" s="76" t="str">
        <f aca="false">IF(B1389="","",IFERROR(INDEX(EN_Des,MATCH(B1389,EN_Code,0)),"Code inconnu"))</f>
        <v/>
      </c>
      <c r="D1389" s="25"/>
      <c r="E1389" s="25"/>
      <c r="F1389" s="82"/>
      <c r="G1389" s="82"/>
      <c r="H1389" s="83" t="str">
        <f aca="false">IF(OR(F1389="",G1389=""),"",G1389-F1389)</f>
        <v/>
      </c>
      <c r="I1389" s="82"/>
      <c r="J1389" s="82"/>
      <c r="K1389" s="28"/>
      <c r="L1389" s="90" t="str">
        <f aca="false">IF(OR(K1389="",N(H1389)=0),"",K1389/H1389)</f>
        <v/>
      </c>
      <c r="M1389" s="68"/>
      <c r="N1389" s="28"/>
      <c r="O1389" s="25"/>
      <c r="P1389" s="83" t="str">
        <f aca="false">IF(OR(N1389="",N(H1389)=0),"",N1389/H1389)</f>
        <v/>
      </c>
      <c r="Q1389" s="25"/>
    </row>
    <row r="1390" customFormat="false" ht="15" hidden="false" customHeight="false" outlineLevel="0" collapsed="false">
      <c r="A1390" s="69"/>
      <c r="B1390" s="68"/>
      <c r="C1390" s="76" t="str">
        <f aca="false">IF(B1390="","",IFERROR(INDEX(EN_Des,MATCH(B1390,EN_Code,0)),"Code inconnu"))</f>
        <v/>
      </c>
      <c r="D1390" s="25"/>
      <c r="E1390" s="25"/>
      <c r="F1390" s="82"/>
      <c r="G1390" s="82"/>
      <c r="H1390" s="83" t="str">
        <f aca="false">IF(OR(F1390="",G1390=""),"",G1390-F1390)</f>
        <v/>
      </c>
      <c r="I1390" s="82"/>
      <c r="J1390" s="82"/>
      <c r="K1390" s="28"/>
      <c r="L1390" s="90" t="str">
        <f aca="false">IF(OR(K1390="",N(H1390)=0),"",K1390/H1390)</f>
        <v/>
      </c>
      <c r="M1390" s="68"/>
      <c r="N1390" s="28"/>
      <c r="O1390" s="25"/>
      <c r="P1390" s="83" t="str">
        <f aca="false">IF(OR(N1390="",N(H1390)=0),"",N1390/H1390)</f>
        <v/>
      </c>
      <c r="Q1390" s="25"/>
    </row>
    <row r="1391" customFormat="false" ht="15" hidden="false" customHeight="false" outlineLevel="0" collapsed="false">
      <c r="A1391" s="69"/>
      <c r="B1391" s="68"/>
      <c r="C1391" s="76" t="str">
        <f aca="false">IF(B1391="","",IFERROR(INDEX(EN_Des,MATCH(B1391,EN_Code,0)),"Code inconnu"))</f>
        <v/>
      </c>
      <c r="D1391" s="25"/>
      <c r="E1391" s="25"/>
      <c r="F1391" s="82"/>
      <c r="G1391" s="82"/>
      <c r="H1391" s="83" t="str">
        <f aca="false">IF(OR(F1391="",G1391=""),"",G1391-F1391)</f>
        <v/>
      </c>
      <c r="I1391" s="82"/>
      <c r="J1391" s="82"/>
      <c r="K1391" s="28"/>
      <c r="L1391" s="90" t="str">
        <f aca="false">IF(OR(K1391="",N(H1391)=0),"",K1391/H1391)</f>
        <v/>
      </c>
      <c r="M1391" s="68"/>
      <c r="N1391" s="28"/>
      <c r="O1391" s="25"/>
      <c r="P1391" s="83" t="str">
        <f aca="false">IF(OR(N1391="",N(H1391)=0),"",N1391/H1391)</f>
        <v/>
      </c>
      <c r="Q1391" s="25"/>
    </row>
    <row r="1392" customFormat="false" ht="15" hidden="false" customHeight="false" outlineLevel="0" collapsed="false">
      <c r="A1392" s="69"/>
      <c r="B1392" s="68"/>
      <c r="C1392" s="76" t="str">
        <f aca="false">IF(B1392="","",IFERROR(INDEX(EN_Des,MATCH(B1392,EN_Code,0)),"Code inconnu"))</f>
        <v/>
      </c>
      <c r="D1392" s="25"/>
      <c r="E1392" s="25"/>
      <c r="F1392" s="82"/>
      <c r="G1392" s="82"/>
      <c r="H1392" s="83" t="str">
        <f aca="false">IF(OR(F1392="",G1392=""),"",G1392-F1392)</f>
        <v/>
      </c>
      <c r="I1392" s="82"/>
      <c r="J1392" s="82"/>
      <c r="K1392" s="28"/>
      <c r="L1392" s="90" t="str">
        <f aca="false">IF(OR(K1392="",N(H1392)=0),"",K1392/H1392)</f>
        <v/>
      </c>
      <c r="M1392" s="68"/>
      <c r="N1392" s="28"/>
      <c r="O1392" s="25"/>
      <c r="P1392" s="83" t="str">
        <f aca="false">IF(OR(N1392="",N(H1392)=0),"",N1392/H1392)</f>
        <v/>
      </c>
      <c r="Q1392" s="25"/>
    </row>
    <row r="1393" customFormat="false" ht="15" hidden="false" customHeight="false" outlineLevel="0" collapsed="false">
      <c r="A1393" s="69"/>
      <c r="B1393" s="68"/>
      <c r="C1393" s="76" t="str">
        <f aca="false">IF(B1393="","",IFERROR(INDEX(EN_Des,MATCH(B1393,EN_Code,0)),"Code inconnu"))</f>
        <v/>
      </c>
      <c r="D1393" s="25"/>
      <c r="E1393" s="25"/>
      <c r="F1393" s="82"/>
      <c r="G1393" s="82"/>
      <c r="H1393" s="83" t="str">
        <f aca="false">IF(OR(F1393="",G1393=""),"",G1393-F1393)</f>
        <v/>
      </c>
      <c r="I1393" s="82"/>
      <c r="J1393" s="82"/>
      <c r="K1393" s="28"/>
      <c r="L1393" s="90" t="str">
        <f aca="false">IF(OR(K1393="",N(H1393)=0),"",K1393/H1393)</f>
        <v/>
      </c>
      <c r="M1393" s="68"/>
      <c r="N1393" s="28"/>
      <c r="O1393" s="25"/>
      <c r="P1393" s="83" t="str">
        <f aca="false">IF(OR(N1393="",N(H1393)=0),"",N1393/H1393)</f>
        <v/>
      </c>
      <c r="Q1393" s="25"/>
    </row>
    <row r="1394" customFormat="false" ht="15" hidden="false" customHeight="false" outlineLevel="0" collapsed="false">
      <c r="A1394" s="69"/>
      <c r="B1394" s="68"/>
      <c r="C1394" s="76" t="str">
        <f aca="false">IF(B1394="","",IFERROR(INDEX(EN_Des,MATCH(B1394,EN_Code,0)),"Code inconnu"))</f>
        <v/>
      </c>
      <c r="D1394" s="25"/>
      <c r="E1394" s="25"/>
      <c r="F1394" s="82"/>
      <c r="G1394" s="82"/>
      <c r="H1394" s="83" t="str">
        <f aca="false">IF(OR(F1394="",G1394=""),"",G1394-F1394)</f>
        <v/>
      </c>
      <c r="I1394" s="82"/>
      <c r="J1394" s="82"/>
      <c r="K1394" s="28"/>
      <c r="L1394" s="90" t="str">
        <f aca="false">IF(OR(K1394="",N(H1394)=0),"",K1394/H1394)</f>
        <v/>
      </c>
      <c r="M1394" s="68"/>
      <c r="N1394" s="28"/>
      <c r="O1394" s="25"/>
      <c r="P1394" s="83" t="str">
        <f aca="false">IF(OR(N1394="",N(H1394)=0),"",N1394/H1394)</f>
        <v/>
      </c>
      <c r="Q1394" s="25"/>
    </row>
    <row r="1395" customFormat="false" ht="15" hidden="false" customHeight="false" outlineLevel="0" collapsed="false">
      <c r="A1395" s="69"/>
      <c r="B1395" s="68"/>
      <c r="C1395" s="76" t="str">
        <f aca="false">IF(B1395="","",IFERROR(INDEX(EN_Des,MATCH(B1395,EN_Code,0)),"Code inconnu"))</f>
        <v/>
      </c>
      <c r="D1395" s="25"/>
      <c r="E1395" s="25"/>
      <c r="F1395" s="82"/>
      <c r="G1395" s="82"/>
      <c r="H1395" s="83" t="str">
        <f aca="false">IF(OR(F1395="",G1395=""),"",G1395-F1395)</f>
        <v/>
      </c>
      <c r="I1395" s="82"/>
      <c r="J1395" s="82"/>
      <c r="K1395" s="28"/>
      <c r="L1395" s="90" t="str">
        <f aca="false">IF(OR(K1395="",N(H1395)=0),"",K1395/H1395)</f>
        <v/>
      </c>
      <c r="M1395" s="68"/>
      <c r="N1395" s="28"/>
      <c r="O1395" s="25"/>
      <c r="P1395" s="83" t="str">
        <f aca="false">IF(OR(N1395="",N(H1395)=0),"",N1395/H1395)</f>
        <v/>
      </c>
      <c r="Q1395" s="25"/>
    </row>
    <row r="1396" customFormat="false" ht="15" hidden="false" customHeight="false" outlineLevel="0" collapsed="false">
      <c r="A1396" s="69"/>
      <c r="B1396" s="68"/>
      <c r="C1396" s="76" t="str">
        <f aca="false">IF(B1396="","",IFERROR(INDEX(EN_Des,MATCH(B1396,EN_Code,0)),"Code inconnu"))</f>
        <v/>
      </c>
      <c r="D1396" s="25"/>
      <c r="E1396" s="25"/>
      <c r="F1396" s="82"/>
      <c r="G1396" s="82"/>
      <c r="H1396" s="83" t="str">
        <f aca="false">IF(OR(F1396="",G1396=""),"",G1396-F1396)</f>
        <v/>
      </c>
      <c r="I1396" s="82"/>
      <c r="J1396" s="82"/>
      <c r="K1396" s="28"/>
      <c r="L1396" s="90" t="str">
        <f aca="false">IF(OR(K1396="",N(H1396)=0),"",K1396/H1396)</f>
        <v/>
      </c>
      <c r="M1396" s="68"/>
      <c r="N1396" s="28"/>
      <c r="O1396" s="25"/>
      <c r="P1396" s="83" t="str">
        <f aca="false">IF(OR(N1396="",N(H1396)=0),"",N1396/H1396)</f>
        <v/>
      </c>
      <c r="Q1396" s="25"/>
    </row>
    <row r="1397" customFormat="false" ht="15" hidden="false" customHeight="false" outlineLevel="0" collapsed="false">
      <c r="A1397" s="69"/>
      <c r="B1397" s="68"/>
      <c r="C1397" s="76" t="str">
        <f aca="false">IF(B1397="","",IFERROR(INDEX(EN_Des,MATCH(B1397,EN_Code,0)),"Code inconnu"))</f>
        <v/>
      </c>
      <c r="D1397" s="25"/>
      <c r="E1397" s="25"/>
      <c r="F1397" s="82"/>
      <c r="G1397" s="82"/>
      <c r="H1397" s="83" t="str">
        <f aca="false">IF(OR(F1397="",G1397=""),"",G1397-F1397)</f>
        <v/>
      </c>
      <c r="I1397" s="82"/>
      <c r="J1397" s="82"/>
      <c r="K1397" s="28"/>
      <c r="L1397" s="90" t="str">
        <f aca="false">IF(OR(K1397="",N(H1397)=0),"",K1397/H1397)</f>
        <v/>
      </c>
      <c r="M1397" s="68"/>
      <c r="N1397" s="28"/>
      <c r="O1397" s="25"/>
      <c r="P1397" s="83" t="str">
        <f aca="false">IF(OR(N1397="",N(H1397)=0),"",N1397/H1397)</f>
        <v/>
      </c>
      <c r="Q1397" s="25"/>
    </row>
    <row r="1398" customFormat="false" ht="15" hidden="false" customHeight="false" outlineLevel="0" collapsed="false">
      <c r="A1398" s="69"/>
      <c r="B1398" s="68"/>
      <c r="C1398" s="76" t="str">
        <f aca="false">IF(B1398="","",IFERROR(INDEX(EN_Des,MATCH(B1398,EN_Code,0)),"Code inconnu"))</f>
        <v/>
      </c>
      <c r="D1398" s="25"/>
      <c r="E1398" s="25"/>
      <c r="F1398" s="82"/>
      <c r="G1398" s="82"/>
      <c r="H1398" s="83" t="str">
        <f aca="false">IF(OR(F1398="",G1398=""),"",G1398-F1398)</f>
        <v/>
      </c>
      <c r="I1398" s="82"/>
      <c r="J1398" s="82"/>
      <c r="K1398" s="28"/>
      <c r="L1398" s="90" t="str">
        <f aca="false">IF(OR(K1398="",N(H1398)=0),"",K1398/H1398)</f>
        <v/>
      </c>
      <c r="M1398" s="68"/>
      <c r="N1398" s="28"/>
      <c r="O1398" s="25"/>
      <c r="P1398" s="83" t="str">
        <f aca="false">IF(OR(N1398="",N(H1398)=0),"",N1398/H1398)</f>
        <v/>
      </c>
      <c r="Q1398" s="25"/>
    </row>
    <row r="1399" customFormat="false" ht="15" hidden="false" customHeight="false" outlineLevel="0" collapsed="false">
      <c r="A1399" s="69"/>
      <c r="B1399" s="68"/>
      <c r="C1399" s="76" t="str">
        <f aca="false">IF(B1399="","",IFERROR(INDEX(EN_Des,MATCH(B1399,EN_Code,0)),"Code inconnu"))</f>
        <v/>
      </c>
      <c r="D1399" s="25"/>
      <c r="E1399" s="25"/>
      <c r="F1399" s="82"/>
      <c r="G1399" s="82"/>
      <c r="H1399" s="83" t="str">
        <f aca="false">IF(OR(F1399="",G1399=""),"",G1399-F1399)</f>
        <v/>
      </c>
      <c r="I1399" s="82"/>
      <c r="J1399" s="82"/>
      <c r="K1399" s="28"/>
      <c r="L1399" s="90" t="str">
        <f aca="false">IF(OR(K1399="",N(H1399)=0),"",K1399/H1399)</f>
        <v/>
      </c>
      <c r="M1399" s="68"/>
      <c r="N1399" s="28"/>
      <c r="O1399" s="25"/>
      <c r="P1399" s="83" t="str">
        <f aca="false">IF(OR(N1399="",N(H1399)=0),"",N1399/H1399)</f>
        <v/>
      </c>
      <c r="Q1399" s="25"/>
    </row>
    <row r="1400" customFormat="false" ht="15" hidden="false" customHeight="false" outlineLevel="0" collapsed="false">
      <c r="A1400" s="69"/>
      <c r="B1400" s="68"/>
      <c r="C1400" s="76" t="str">
        <f aca="false">IF(B1400="","",IFERROR(INDEX(EN_Des,MATCH(B1400,EN_Code,0)),"Code inconnu"))</f>
        <v/>
      </c>
      <c r="D1400" s="25"/>
      <c r="E1400" s="25"/>
      <c r="F1400" s="82"/>
      <c r="G1400" s="82"/>
      <c r="H1400" s="83" t="str">
        <f aca="false">IF(OR(F1400="",G1400=""),"",G1400-F1400)</f>
        <v/>
      </c>
      <c r="I1400" s="82"/>
      <c r="J1400" s="82"/>
      <c r="K1400" s="28"/>
      <c r="L1400" s="90" t="str">
        <f aca="false">IF(OR(K1400="",N(H1400)=0),"",K1400/H1400)</f>
        <v/>
      </c>
      <c r="M1400" s="68"/>
      <c r="N1400" s="28"/>
      <c r="O1400" s="25"/>
      <c r="P1400" s="83" t="str">
        <f aca="false">IF(OR(N1400="",N(H1400)=0),"",N1400/H1400)</f>
        <v/>
      </c>
      <c r="Q1400" s="25"/>
    </row>
    <row r="1401" customFormat="false" ht="15" hidden="false" customHeight="false" outlineLevel="0" collapsed="false">
      <c r="A1401" s="69"/>
      <c r="B1401" s="68"/>
      <c r="C1401" s="76" t="str">
        <f aca="false">IF(B1401="","",IFERROR(INDEX(EN_Des,MATCH(B1401,EN_Code,0)),"Code inconnu"))</f>
        <v/>
      </c>
      <c r="D1401" s="25"/>
      <c r="E1401" s="25"/>
      <c r="F1401" s="82"/>
      <c r="G1401" s="82"/>
      <c r="H1401" s="83" t="str">
        <f aca="false">IF(OR(F1401="",G1401=""),"",G1401-F1401)</f>
        <v/>
      </c>
      <c r="I1401" s="82"/>
      <c r="J1401" s="82"/>
      <c r="K1401" s="28"/>
      <c r="L1401" s="90" t="str">
        <f aca="false">IF(OR(K1401="",N(H1401)=0),"",K1401/H1401)</f>
        <v/>
      </c>
      <c r="M1401" s="68"/>
      <c r="N1401" s="28"/>
      <c r="O1401" s="25"/>
      <c r="P1401" s="83" t="str">
        <f aca="false">IF(OR(N1401="",N(H1401)=0),"",N1401/H1401)</f>
        <v/>
      </c>
      <c r="Q1401" s="25"/>
    </row>
    <row r="1402" customFormat="false" ht="15" hidden="false" customHeight="false" outlineLevel="0" collapsed="false">
      <c r="A1402" s="69"/>
      <c r="B1402" s="68"/>
      <c r="C1402" s="76" t="str">
        <f aca="false">IF(B1402="","",IFERROR(INDEX(EN_Des,MATCH(B1402,EN_Code,0)),"Code inconnu"))</f>
        <v/>
      </c>
      <c r="D1402" s="25"/>
      <c r="E1402" s="25"/>
      <c r="F1402" s="82"/>
      <c r="G1402" s="82"/>
      <c r="H1402" s="83" t="str">
        <f aca="false">IF(OR(F1402="",G1402=""),"",G1402-F1402)</f>
        <v/>
      </c>
      <c r="I1402" s="82"/>
      <c r="J1402" s="82"/>
      <c r="K1402" s="28"/>
      <c r="L1402" s="90" t="str">
        <f aca="false">IF(OR(K1402="",N(H1402)=0),"",K1402/H1402)</f>
        <v/>
      </c>
      <c r="M1402" s="68"/>
      <c r="N1402" s="28"/>
      <c r="O1402" s="25"/>
      <c r="P1402" s="83" t="str">
        <f aca="false">IF(OR(N1402="",N(H1402)=0),"",N1402/H1402)</f>
        <v/>
      </c>
      <c r="Q1402" s="25"/>
    </row>
    <row r="1403" customFormat="false" ht="15" hidden="false" customHeight="false" outlineLevel="0" collapsed="false">
      <c r="A1403" s="69"/>
      <c r="B1403" s="68"/>
      <c r="C1403" s="76" t="str">
        <f aca="false">IF(B1403="","",IFERROR(INDEX(EN_Des,MATCH(B1403,EN_Code,0)),"Code inconnu"))</f>
        <v/>
      </c>
      <c r="D1403" s="25"/>
      <c r="E1403" s="25"/>
      <c r="F1403" s="82"/>
      <c r="G1403" s="82"/>
      <c r="H1403" s="83" t="str">
        <f aca="false">IF(OR(F1403="",G1403=""),"",G1403-F1403)</f>
        <v/>
      </c>
      <c r="I1403" s="82"/>
      <c r="J1403" s="82"/>
      <c r="K1403" s="28"/>
      <c r="L1403" s="90" t="str">
        <f aca="false">IF(OR(K1403="",N(H1403)=0),"",K1403/H1403)</f>
        <v/>
      </c>
      <c r="M1403" s="68"/>
      <c r="N1403" s="28"/>
      <c r="O1403" s="25"/>
      <c r="P1403" s="83" t="str">
        <f aca="false">IF(OR(N1403="",N(H1403)=0),"",N1403/H1403)</f>
        <v/>
      </c>
      <c r="Q1403" s="25"/>
    </row>
    <row r="1404" customFormat="false" ht="15" hidden="false" customHeight="false" outlineLevel="0" collapsed="false">
      <c r="A1404" s="69"/>
      <c r="B1404" s="68"/>
      <c r="C1404" s="76" t="str">
        <f aca="false">IF(B1404="","",IFERROR(INDEX(EN_Des,MATCH(B1404,EN_Code,0)),"Code inconnu"))</f>
        <v/>
      </c>
      <c r="D1404" s="25"/>
      <c r="E1404" s="25"/>
      <c r="F1404" s="82"/>
      <c r="G1404" s="82"/>
      <c r="H1404" s="83" t="str">
        <f aca="false">IF(OR(F1404="",G1404=""),"",G1404-F1404)</f>
        <v/>
      </c>
      <c r="I1404" s="82"/>
      <c r="J1404" s="82"/>
      <c r="K1404" s="28"/>
      <c r="L1404" s="90" t="str">
        <f aca="false">IF(OR(K1404="",N(H1404)=0),"",K1404/H1404)</f>
        <v/>
      </c>
      <c r="M1404" s="68"/>
      <c r="N1404" s="28"/>
      <c r="O1404" s="25"/>
      <c r="P1404" s="83" t="str">
        <f aca="false">IF(OR(N1404="",N(H1404)=0),"",N1404/H1404)</f>
        <v/>
      </c>
      <c r="Q1404" s="25"/>
    </row>
    <row r="1405" customFormat="false" ht="15" hidden="false" customHeight="false" outlineLevel="0" collapsed="false">
      <c r="A1405" s="69"/>
      <c r="B1405" s="68"/>
      <c r="C1405" s="76" t="str">
        <f aca="false">IF(B1405="","",IFERROR(INDEX(EN_Des,MATCH(B1405,EN_Code,0)),"Code inconnu"))</f>
        <v/>
      </c>
      <c r="D1405" s="25"/>
      <c r="E1405" s="25"/>
      <c r="F1405" s="82"/>
      <c r="G1405" s="82"/>
      <c r="H1405" s="83" t="str">
        <f aca="false">IF(OR(F1405="",G1405=""),"",G1405-F1405)</f>
        <v/>
      </c>
      <c r="I1405" s="82"/>
      <c r="J1405" s="82"/>
      <c r="K1405" s="28"/>
      <c r="L1405" s="90" t="str">
        <f aca="false">IF(OR(K1405="",N(H1405)=0),"",K1405/H1405)</f>
        <v/>
      </c>
      <c r="M1405" s="68"/>
      <c r="N1405" s="28"/>
      <c r="O1405" s="25"/>
      <c r="P1405" s="83" t="str">
        <f aca="false">IF(OR(N1405="",N(H1405)=0),"",N1405/H1405)</f>
        <v/>
      </c>
      <c r="Q1405" s="25"/>
    </row>
    <row r="1406" customFormat="false" ht="15" hidden="false" customHeight="false" outlineLevel="0" collapsed="false">
      <c r="A1406" s="69"/>
      <c r="B1406" s="68"/>
      <c r="C1406" s="76" t="str">
        <f aca="false">IF(B1406="","",IFERROR(INDEX(EN_Des,MATCH(B1406,EN_Code,0)),"Code inconnu"))</f>
        <v/>
      </c>
      <c r="D1406" s="25"/>
      <c r="E1406" s="25"/>
      <c r="F1406" s="82"/>
      <c r="G1406" s="82"/>
      <c r="H1406" s="83" t="str">
        <f aca="false">IF(OR(F1406="",G1406=""),"",G1406-F1406)</f>
        <v/>
      </c>
      <c r="I1406" s="82"/>
      <c r="J1406" s="82"/>
      <c r="K1406" s="28"/>
      <c r="L1406" s="90" t="str">
        <f aca="false">IF(OR(K1406="",N(H1406)=0),"",K1406/H1406)</f>
        <v/>
      </c>
      <c r="M1406" s="68"/>
      <c r="N1406" s="28"/>
      <c r="O1406" s="25"/>
      <c r="P1406" s="83" t="str">
        <f aca="false">IF(OR(N1406="",N(H1406)=0),"",N1406/H1406)</f>
        <v/>
      </c>
      <c r="Q1406" s="25"/>
    </row>
    <row r="1407" customFormat="false" ht="15" hidden="false" customHeight="false" outlineLevel="0" collapsed="false">
      <c r="A1407" s="69"/>
      <c r="B1407" s="68"/>
      <c r="C1407" s="76" t="str">
        <f aca="false">IF(B1407="","",IFERROR(INDEX(EN_Des,MATCH(B1407,EN_Code,0)),"Code inconnu"))</f>
        <v/>
      </c>
      <c r="D1407" s="25"/>
      <c r="E1407" s="25"/>
      <c r="F1407" s="82"/>
      <c r="G1407" s="82"/>
      <c r="H1407" s="83" t="str">
        <f aca="false">IF(OR(F1407="",G1407=""),"",G1407-F1407)</f>
        <v/>
      </c>
      <c r="I1407" s="82"/>
      <c r="J1407" s="82"/>
      <c r="K1407" s="28"/>
      <c r="L1407" s="90" t="str">
        <f aca="false">IF(OR(K1407="",N(H1407)=0),"",K1407/H1407)</f>
        <v/>
      </c>
      <c r="M1407" s="68"/>
      <c r="N1407" s="28"/>
      <c r="O1407" s="25"/>
      <c r="P1407" s="83" t="str">
        <f aca="false">IF(OR(N1407="",N(H1407)=0),"",N1407/H1407)</f>
        <v/>
      </c>
      <c r="Q1407" s="25"/>
    </row>
    <row r="1408" customFormat="false" ht="15" hidden="false" customHeight="false" outlineLevel="0" collapsed="false">
      <c r="A1408" s="69"/>
      <c r="B1408" s="68"/>
      <c r="C1408" s="76" t="str">
        <f aca="false">IF(B1408="","",IFERROR(INDEX(EN_Des,MATCH(B1408,EN_Code,0)),"Code inconnu"))</f>
        <v/>
      </c>
      <c r="D1408" s="25"/>
      <c r="E1408" s="25"/>
      <c r="F1408" s="82"/>
      <c r="G1408" s="82"/>
      <c r="H1408" s="83" t="str">
        <f aca="false">IF(OR(F1408="",G1408=""),"",G1408-F1408)</f>
        <v/>
      </c>
      <c r="I1408" s="82"/>
      <c r="J1408" s="82"/>
      <c r="K1408" s="28"/>
      <c r="L1408" s="90" t="str">
        <f aca="false">IF(OR(K1408="",N(H1408)=0),"",K1408/H1408)</f>
        <v/>
      </c>
      <c r="M1408" s="68"/>
      <c r="N1408" s="28"/>
      <c r="O1408" s="25"/>
      <c r="P1408" s="83" t="str">
        <f aca="false">IF(OR(N1408="",N(H1408)=0),"",N1408/H1408)</f>
        <v/>
      </c>
      <c r="Q1408" s="25"/>
    </row>
    <row r="1409" customFormat="false" ht="15" hidden="false" customHeight="false" outlineLevel="0" collapsed="false">
      <c r="A1409" s="69"/>
      <c r="B1409" s="68"/>
      <c r="C1409" s="76" t="str">
        <f aca="false">IF(B1409="","",IFERROR(INDEX(EN_Des,MATCH(B1409,EN_Code,0)),"Code inconnu"))</f>
        <v/>
      </c>
      <c r="D1409" s="25"/>
      <c r="E1409" s="25"/>
      <c r="F1409" s="82"/>
      <c r="G1409" s="82"/>
      <c r="H1409" s="83" t="str">
        <f aca="false">IF(OR(F1409="",G1409=""),"",G1409-F1409)</f>
        <v/>
      </c>
      <c r="I1409" s="82"/>
      <c r="J1409" s="82"/>
      <c r="K1409" s="28"/>
      <c r="L1409" s="90" t="str">
        <f aca="false">IF(OR(K1409="",N(H1409)=0),"",K1409/H1409)</f>
        <v/>
      </c>
      <c r="M1409" s="68"/>
      <c r="N1409" s="28"/>
      <c r="O1409" s="25"/>
      <c r="P1409" s="83" t="str">
        <f aca="false">IF(OR(N1409="",N(H1409)=0),"",N1409/H1409)</f>
        <v/>
      </c>
      <c r="Q1409" s="25"/>
    </row>
    <row r="1410" customFormat="false" ht="15" hidden="false" customHeight="false" outlineLevel="0" collapsed="false">
      <c r="A1410" s="69"/>
      <c r="B1410" s="68"/>
      <c r="C1410" s="76" t="str">
        <f aca="false">IF(B1410="","",IFERROR(INDEX(EN_Des,MATCH(B1410,EN_Code,0)),"Code inconnu"))</f>
        <v/>
      </c>
      <c r="D1410" s="25"/>
      <c r="E1410" s="25"/>
      <c r="F1410" s="82"/>
      <c r="G1410" s="82"/>
      <c r="H1410" s="83" t="str">
        <f aca="false">IF(OR(F1410="",G1410=""),"",G1410-F1410)</f>
        <v/>
      </c>
      <c r="I1410" s="82"/>
      <c r="J1410" s="82"/>
      <c r="K1410" s="28"/>
      <c r="L1410" s="90" t="str">
        <f aca="false">IF(OR(K1410="",N(H1410)=0),"",K1410/H1410)</f>
        <v/>
      </c>
      <c r="M1410" s="68"/>
      <c r="N1410" s="28"/>
      <c r="O1410" s="25"/>
      <c r="P1410" s="83" t="str">
        <f aca="false">IF(OR(N1410="",N(H1410)=0),"",N1410/H1410)</f>
        <v/>
      </c>
      <c r="Q1410" s="25"/>
    </row>
    <row r="1411" customFormat="false" ht="15" hidden="false" customHeight="false" outlineLevel="0" collapsed="false">
      <c r="A1411" s="69"/>
      <c r="B1411" s="68"/>
      <c r="C1411" s="76" t="str">
        <f aca="false">IF(B1411="","",IFERROR(INDEX(EN_Des,MATCH(B1411,EN_Code,0)),"Code inconnu"))</f>
        <v/>
      </c>
      <c r="D1411" s="25"/>
      <c r="E1411" s="25"/>
      <c r="F1411" s="82"/>
      <c r="G1411" s="82"/>
      <c r="H1411" s="83" t="str">
        <f aca="false">IF(OR(F1411="",G1411=""),"",G1411-F1411)</f>
        <v/>
      </c>
      <c r="I1411" s="82"/>
      <c r="J1411" s="82"/>
      <c r="K1411" s="28"/>
      <c r="L1411" s="90" t="str">
        <f aca="false">IF(OR(K1411="",N(H1411)=0),"",K1411/H1411)</f>
        <v/>
      </c>
      <c r="M1411" s="68"/>
      <c r="N1411" s="28"/>
      <c r="O1411" s="25"/>
      <c r="P1411" s="83" t="str">
        <f aca="false">IF(OR(N1411="",N(H1411)=0),"",N1411/H1411)</f>
        <v/>
      </c>
      <c r="Q1411" s="25"/>
    </row>
    <row r="1412" customFormat="false" ht="15" hidden="false" customHeight="false" outlineLevel="0" collapsed="false">
      <c r="A1412" s="69"/>
      <c r="B1412" s="68"/>
      <c r="C1412" s="76" t="str">
        <f aca="false">IF(B1412="","",IFERROR(INDEX(EN_Des,MATCH(B1412,EN_Code,0)),"Code inconnu"))</f>
        <v/>
      </c>
      <c r="D1412" s="25"/>
      <c r="E1412" s="25"/>
      <c r="F1412" s="82"/>
      <c r="G1412" s="82"/>
      <c r="H1412" s="83" t="str">
        <f aca="false">IF(OR(F1412="",G1412=""),"",G1412-F1412)</f>
        <v/>
      </c>
      <c r="I1412" s="82"/>
      <c r="J1412" s="82"/>
      <c r="K1412" s="28"/>
      <c r="L1412" s="90" t="str">
        <f aca="false">IF(OR(K1412="",N(H1412)=0),"",K1412/H1412)</f>
        <v/>
      </c>
      <c r="M1412" s="68"/>
      <c r="N1412" s="28"/>
      <c r="O1412" s="25"/>
      <c r="P1412" s="83" t="str">
        <f aca="false">IF(OR(N1412="",N(H1412)=0),"",N1412/H1412)</f>
        <v/>
      </c>
      <c r="Q1412" s="25"/>
    </row>
    <row r="1413" customFormat="false" ht="15" hidden="false" customHeight="false" outlineLevel="0" collapsed="false">
      <c r="A1413" s="69"/>
      <c r="B1413" s="68"/>
      <c r="C1413" s="76" t="str">
        <f aca="false">IF(B1413="","",IFERROR(INDEX(EN_Des,MATCH(B1413,EN_Code,0)),"Code inconnu"))</f>
        <v/>
      </c>
      <c r="D1413" s="25"/>
      <c r="E1413" s="25"/>
      <c r="F1413" s="82"/>
      <c r="G1413" s="82"/>
      <c r="H1413" s="83" t="str">
        <f aca="false">IF(OR(F1413="",G1413=""),"",G1413-F1413)</f>
        <v/>
      </c>
      <c r="I1413" s="82"/>
      <c r="J1413" s="82"/>
      <c r="K1413" s="28"/>
      <c r="L1413" s="90" t="str">
        <f aca="false">IF(OR(K1413="",N(H1413)=0),"",K1413/H1413)</f>
        <v/>
      </c>
      <c r="M1413" s="68"/>
      <c r="N1413" s="28"/>
      <c r="O1413" s="25"/>
      <c r="P1413" s="83" t="str">
        <f aca="false">IF(OR(N1413="",N(H1413)=0),"",N1413/H1413)</f>
        <v/>
      </c>
      <c r="Q1413" s="25"/>
    </row>
    <row r="1414" customFormat="false" ht="15" hidden="false" customHeight="false" outlineLevel="0" collapsed="false">
      <c r="A1414" s="69"/>
      <c r="B1414" s="68"/>
      <c r="C1414" s="76" t="str">
        <f aca="false">IF(B1414="","",IFERROR(INDEX(EN_Des,MATCH(B1414,EN_Code,0)),"Code inconnu"))</f>
        <v/>
      </c>
      <c r="D1414" s="25"/>
      <c r="E1414" s="25"/>
      <c r="F1414" s="82"/>
      <c r="G1414" s="82"/>
      <c r="H1414" s="83" t="str">
        <f aca="false">IF(OR(F1414="",G1414=""),"",G1414-F1414)</f>
        <v/>
      </c>
      <c r="I1414" s="82"/>
      <c r="J1414" s="82"/>
      <c r="K1414" s="28"/>
      <c r="L1414" s="90" t="str">
        <f aca="false">IF(OR(K1414="",N(H1414)=0),"",K1414/H1414)</f>
        <v/>
      </c>
      <c r="M1414" s="68"/>
      <c r="N1414" s="28"/>
      <c r="O1414" s="25"/>
      <c r="P1414" s="83" t="str">
        <f aca="false">IF(OR(N1414="",N(H1414)=0),"",N1414/H1414)</f>
        <v/>
      </c>
      <c r="Q1414" s="25"/>
    </row>
    <row r="1415" customFormat="false" ht="15" hidden="false" customHeight="false" outlineLevel="0" collapsed="false">
      <c r="A1415" s="69"/>
      <c r="B1415" s="68"/>
      <c r="C1415" s="76" t="str">
        <f aca="false">IF(B1415="","",IFERROR(INDEX(EN_Des,MATCH(B1415,EN_Code,0)),"Code inconnu"))</f>
        <v/>
      </c>
      <c r="D1415" s="25"/>
      <c r="E1415" s="25"/>
      <c r="F1415" s="82"/>
      <c r="G1415" s="82"/>
      <c r="H1415" s="83" t="str">
        <f aca="false">IF(OR(F1415="",G1415=""),"",G1415-F1415)</f>
        <v/>
      </c>
      <c r="I1415" s="82"/>
      <c r="J1415" s="82"/>
      <c r="K1415" s="28"/>
      <c r="L1415" s="90" t="str">
        <f aca="false">IF(OR(K1415="",N(H1415)=0),"",K1415/H1415)</f>
        <v/>
      </c>
      <c r="M1415" s="68"/>
      <c r="N1415" s="28"/>
      <c r="O1415" s="25"/>
      <c r="P1415" s="83" t="str">
        <f aca="false">IF(OR(N1415="",N(H1415)=0),"",N1415/H1415)</f>
        <v/>
      </c>
      <c r="Q1415" s="25"/>
    </row>
    <row r="1416" customFormat="false" ht="15" hidden="false" customHeight="false" outlineLevel="0" collapsed="false">
      <c r="A1416" s="69"/>
      <c r="B1416" s="68"/>
      <c r="C1416" s="76" t="str">
        <f aca="false">IF(B1416="","",IFERROR(INDEX(EN_Des,MATCH(B1416,EN_Code,0)),"Code inconnu"))</f>
        <v/>
      </c>
      <c r="D1416" s="25"/>
      <c r="E1416" s="25"/>
      <c r="F1416" s="82"/>
      <c r="G1416" s="82"/>
      <c r="H1416" s="83" t="str">
        <f aca="false">IF(OR(F1416="",G1416=""),"",G1416-F1416)</f>
        <v/>
      </c>
      <c r="I1416" s="82"/>
      <c r="J1416" s="82"/>
      <c r="K1416" s="28"/>
      <c r="L1416" s="90" t="str">
        <f aca="false">IF(OR(K1416="",N(H1416)=0),"",K1416/H1416)</f>
        <v/>
      </c>
      <c r="M1416" s="68"/>
      <c r="N1416" s="28"/>
      <c r="O1416" s="25"/>
      <c r="P1416" s="83" t="str">
        <f aca="false">IF(OR(N1416="",N(H1416)=0),"",N1416/H1416)</f>
        <v/>
      </c>
      <c r="Q1416" s="25"/>
    </row>
    <row r="1417" customFormat="false" ht="15" hidden="false" customHeight="false" outlineLevel="0" collapsed="false">
      <c r="A1417" s="69"/>
      <c r="B1417" s="68"/>
      <c r="C1417" s="76" t="str">
        <f aca="false">IF(B1417="","",IFERROR(INDEX(EN_Des,MATCH(B1417,EN_Code,0)),"Code inconnu"))</f>
        <v/>
      </c>
      <c r="D1417" s="25"/>
      <c r="E1417" s="25"/>
      <c r="F1417" s="82"/>
      <c r="G1417" s="82"/>
      <c r="H1417" s="83" t="str">
        <f aca="false">IF(OR(F1417="",G1417=""),"",G1417-F1417)</f>
        <v/>
      </c>
      <c r="I1417" s="82"/>
      <c r="J1417" s="82"/>
      <c r="K1417" s="28"/>
      <c r="L1417" s="90" t="str">
        <f aca="false">IF(OR(K1417="",N(H1417)=0),"",K1417/H1417)</f>
        <v/>
      </c>
      <c r="M1417" s="68"/>
      <c r="N1417" s="28"/>
      <c r="O1417" s="25"/>
      <c r="P1417" s="83" t="str">
        <f aca="false">IF(OR(N1417="",N(H1417)=0),"",N1417/H1417)</f>
        <v/>
      </c>
      <c r="Q1417" s="25"/>
    </row>
    <row r="1418" customFormat="false" ht="15" hidden="false" customHeight="false" outlineLevel="0" collapsed="false">
      <c r="A1418" s="69"/>
      <c r="B1418" s="68"/>
      <c r="C1418" s="76" t="str">
        <f aca="false">IF(B1418="","",IFERROR(INDEX(EN_Des,MATCH(B1418,EN_Code,0)),"Code inconnu"))</f>
        <v/>
      </c>
      <c r="D1418" s="25"/>
      <c r="E1418" s="25"/>
      <c r="F1418" s="82"/>
      <c r="G1418" s="82"/>
      <c r="H1418" s="83" t="str">
        <f aca="false">IF(OR(F1418="",G1418=""),"",G1418-F1418)</f>
        <v/>
      </c>
      <c r="I1418" s="82"/>
      <c r="J1418" s="82"/>
      <c r="K1418" s="28"/>
      <c r="L1418" s="90" t="str">
        <f aca="false">IF(OR(K1418="",N(H1418)=0),"",K1418/H1418)</f>
        <v/>
      </c>
      <c r="M1418" s="68"/>
      <c r="N1418" s="28"/>
      <c r="O1418" s="25"/>
      <c r="P1418" s="83" t="str">
        <f aca="false">IF(OR(N1418="",N(H1418)=0),"",N1418/H1418)</f>
        <v/>
      </c>
      <c r="Q1418" s="25"/>
    </row>
    <row r="1419" customFormat="false" ht="15" hidden="false" customHeight="false" outlineLevel="0" collapsed="false">
      <c r="A1419" s="69"/>
      <c r="B1419" s="68"/>
      <c r="C1419" s="76" t="str">
        <f aca="false">IF(B1419="","",IFERROR(INDEX(EN_Des,MATCH(B1419,EN_Code,0)),"Code inconnu"))</f>
        <v/>
      </c>
      <c r="D1419" s="25"/>
      <c r="E1419" s="25"/>
      <c r="F1419" s="82"/>
      <c r="G1419" s="82"/>
      <c r="H1419" s="83" t="str">
        <f aca="false">IF(OR(F1419="",G1419=""),"",G1419-F1419)</f>
        <v/>
      </c>
      <c r="I1419" s="82"/>
      <c r="J1419" s="82"/>
      <c r="K1419" s="28"/>
      <c r="L1419" s="90" t="str">
        <f aca="false">IF(OR(K1419="",N(H1419)=0),"",K1419/H1419)</f>
        <v/>
      </c>
      <c r="M1419" s="68"/>
      <c r="N1419" s="28"/>
      <c r="O1419" s="25"/>
      <c r="P1419" s="83" t="str">
        <f aca="false">IF(OR(N1419="",N(H1419)=0),"",N1419/H1419)</f>
        <v/>
      </c>
      <c r="Q1419" s="25"/>
    </row>
    <row r="1420" customFormat="false" ht="15" hidden="false" customHeight="false" outlineLevel="0" collapsed="false">
      <c r="A1420" s="69"/>
      <c r="B1420" s="68"/>
      <c r="C1420" s="76" t="str">
        <f aca="false">IF(B1420="","",IFERROR(INDEX(EN_Des,MATCH(B1420,EN_Code,0)),"Code inconnu"))</f>
        <v/>
      </c>
      <c r="D1420" s="25"/>
      <c r="E1420" s="25"/>
      <c r="F1420" s="82"/>
      <c r="G1420" s="82"/>
      <c r="H1420" s="83" t="str">
        <f aca="false">IF(OR(F1420="",G1420=""),"",G1420-F1420)</f>
        <v/>
      </c>
      <c r="I1420" s="82"/>
      <c r="J1420" s="82"/>
      <c r="K1420" s="28"/>
      <c r="L1420" s="90" t="str">
        <f aca="false">IF(OR(K1420="",N(H1420)=0),"",K1420/H1420)</f>
        <v/>
      </c>
      <c r="M1420" s="68"/>
      <c r="N1420" s="28"/>
      <c r="O1420" s="25"/>
      <c r="P1420" s="83" t="str">
        <f aca="false">IF(OR(N1420="",N(H1420)=0),"",N1420/H1420)</f>
        <v/>
      </c>
      <c r="Q1420" s="25"/>
    </row>
    <row r="1421" customFormat="false" ht="15" hidden="false" customHeight="false" outlineLevel="0" collapsed="false">
      <c r="A1421" s="69"/>
      <c r="B1421" s="68"/>
      <c r="C1421" s="76" t="str">
        <f aca="false">IF(B1421="","",IFERROR(INDEX(EN_Des,MATCH(B1421,EN_Code,0)),"Code inconnu"))</f>
        <v/>
      </c>
      <c r="D1421" s="25"/>
      <c r="E1421" s="25"/>
      <c r="F1421" s="82"/>
      <c r="G1421" s="82"/>
      <c r="H1421" s="83" t="str">
        <f aca="false">IF(OR(F1421="",G1421=""),"",G1421-F1421)</f>
        <v/>
      </c>
      <c r="I1421" s="82"/>
      <c r="J1421" s="82"/>
      <c r="K1421" s="28"/>
      <c r="L1421" s="90" t="str">
        <f aca="false">IF(OR(K1421="",N(H1421)=0),"",K1421/H1421)</f>
        <v/>
      </c>
      <c r="M1421" s="68"/>
      <c r="N1421" s="28"/>
      <c r="O1421" s="25"/>
      <c r="P1421" s="83" t="str">
        <f aca="false">IF(OR(N1421="",N(H1421)=0),"",N1421/H1421)</f>
        <v/>
      </c>
      <c r="Q1421" s="25"/>
    </row>
    <row r="1422" customFormat="false" ht="15" hidden="false" customHeight="false" outlineLevel="0" collapsed="false">
      <c r="A1422" s="69"/>
      <c r="B1422" s="68"/>
      <c r="C1422" s="76" t="str">
        <f aca="false">IF(B1422="","",IFERROR(INDEX(EN_Des,MATCH(B1422,EN_Code,0)),"Code inconnu"))</f>
        <v/>
      </c>
      <c r="D1422" s="25"/>
      <c r="E1422" s="25"/>
      <c r="F1422" s="82"/>
      <c r="G1422" s="82"/>
      <c r="H1422" s="83" t="str">
        <f aca="false">IF(OR(F1422="",G1422=""),"",G1422-F1422)</f>
        <v/>
      </c>
      <c r="I1422" s="82"/>
      <c r="J1422" s="82"/>
      <c r="K1422" s="28"/>
      <c r="L1422" s="90" t="str">
        <f aca="false">IF(OR(K1422="",N(H1422)=0),"",K1422/H1422)</f>
        <v/>
      </c>
      <c r="M1422" s="68"/>
      <c r="N1422" s="28"/>
      <c r="O1422" s="25"/>
      <c r="P1422" s="83" t="str">
        <f aca="false">IF(OR(N1422="",N(H1422)=0),"",N1422/H1422)</f>
        <v/>
      </c>
      <c r="Q1422" s="25"/>
    </row>
    <row r="1423" customFormat="false" ht="15" hidden="false" customHeight="false" outlineLevel="0" collapsed="false">
      <c r="A1423" s="69"/>
      <c r="B1423" s="68"/>
      <c r="C1423" s="76" t="str">
        <f aca="false">IF(B1423="","",IFERROR(INDEX(EN_Des,MATCH(B1423,EN_Code,0)),"Code inconnu"))</f>
        <v/>
      </c>
      <c r="D1423" s="25"/>
      <c r="E1423" s="25"/>
      <c r="F1423" s="82"/>
      <c r="G1423" s="82"/>
      <c r="H1423" s="83" t="str">
        <f aca="false">IF(OR(F1423="",G1423=""),"",G1423-F1423)</f>
        <v/>
      </c>
      <c r="I1423" s="82"/>
      <c r="J1423" s="82"/>
      <c r="K1423" s="28"/>
      <c r="L1423" s="90" t="str">
        <f aca="false">IF(OR(K1423="",N(H1423)=0),"",K1423/H1423)</f>
        <v/>
      </c>
      <c r="M1423" s="68"/>
      <c r="N1423" s="28"/>
      <c r="O1423" s="25"/>
      <c r="P1423" s="83" t="str">
        <f aca="false">IF(OR(N1423="",N(H1423)=0),"",N1423/H1423)</f>
        <v/>
      </c>
      <c r="Q1423" s="25"/>
    </row>
    <row r="1424" customFormat="false" ht="15" hidden="false" customHeight="false" outlineLevel="0" collapsed="false">
      <c r="A1424" s="69"/>
      <c r="B1424" s="68"/>
      <c r="C1424" s="76" t="str">
        <f aca="false">IF(B1424="","",IFERROR(INDEX(EN_Des,MATCH(B1424,EN_Code,0)),"Code inconnu"))</f>
        <v/>
      </c>
      <c r="D1424" s="25"/>
      <c r="E1424" s="25"/>
      <c r="F1424" s="82"/>
      <c r="G1424" s="82"/>
      <c r="H1424" s="83" t="str">
        <f aca="false">IF(OR(F1424="",G1424=""),"",G1424-F1424)</f>
        <v/>
      </c>
      <c r="I1424" s="82"/>
      <c r="J1424" s="82"/>
      <c r="K1424" s="28"/>
      <c r="L1424" s="90" t="str">
        <f aca="false">IF(OR(K1424="",N(H1424)=0),"",K1424/H1424)</f>
        <v/>
      </c>
      <c r="M1424" s="68"/>
      <c r="N1424" s="28"/>
      <c r="O1424" s="25"/>
      <c r="P1424" s="83" t="str">
        <f aca="false">IF(OR(N1424="",N(H1424)=0),"",N1424/H1424)</f>
        <v/>
      </c>
      <c r="Q1424" s="25"/>
    </row>
    <row r="1425" customFormat="false" ht="15" hidden="false" customHeight="false" outlineLevel="0" collapsed="false">
      <c r="A1425" s="69"/>
      <c r="B1425" s="68"/>
      <c r="C1425" s="76" t="str">
        <f aca="false">IF(B1425="","",IFERROR(INDEX(EN_Des,MATCH(B1425,EN_Code,0)),"Code inconnu"))</f>
        <v/>
      </c>
      <c r="D1425" s="25"/>
      <c r="E1425" s="25"/>
      <c r="F1425" s="82"/>
      <c r="G1425" s="82"/>
      <c r="H1425" s="83" t="str">
        <f aca="false">IF(OR(F1425="",G1425=""),"",G1425-F1425)</f>
        <v/>
      </c>
      <c r="I1425" s="82"/>
      <c r="J1425" s="82"/>
      <c r="K1425" s="28"/>
      <c r="L1425" s="90" t="str">
        <f aca="false">IF(OR(K1425="",N(H1425)=0),"",K1425/H1425)</f>
        <v/>
      </c>
      <c r="M1425" s="68"/>
      <c r="N1425" s="28"/>
      <c r="O1425" s="25"/>
      <c r="P1425" s="83" t="str">
        <f aca="false">IF(OR(N1425="",N(H1425)=0),"",N1425/H1425)</f>
        <v/>
      </c>
      <c r="Q1425" s="25"/>
    </row>
    <row r="1426" customFormat="false" ht="15" hidden="false" customHeight="false" outlineLevel="0" collapsed="false">
      <c r="A1426" s="69"/>
      <c r="B1426" s="68"/>
      <c r="C1426" s="76" t="str">
        <f aca="false">IF(B1426="","",IFERROR(INDEX(EN_Des,MATCH(B1426,EN_Code,0)),"Code inconnu"))</f>
        <v/>
      </c>
      <c r="D1426" s="25"/>
      <c r="E1426" s="25"/>
      <c r="F1426" s="82"/>
      <c r="G1426" s="82"/>
      <c r="H1426" s="83" t="str">
        <f aca="false">IF(OR(F1426="",G1426=""),"",G1426-F1426)</f>
        <v/>
      </c>
      <c r="I1426" s="82"/>
      <c r="J1426" s="82"/>
      <c r="K1426" s="28"/>
      <c r="L1426" s="90" t="str">
        <f aca="false">IF(OR(K1426="",N(H1426)=0),"",K1426/H1426)</f>
        <v/>
      </c>
      <c r="M1426" s="68"/>
      <c r="N1426" s="28"/>
      <c r="O1426" s="25"/>
      <c r="P1426" s="83" t="str">
        <f aca="false">IF(OR(N1426="",N(H1426)=0),"",N1426/H1426)</f>
        <v/>
      </c>
      <c r="Q1426" s="25"/>
    </row>
    <row r="1427" customFormat="false" ht="15" hidden="false" customHeight="false" outlineLevel="0" collapsed="false">
      <c r="A1427" s="69"/>
      <c r="B1427" s="68"/>
      <c r="C1427" s="76" t="str">
        <f aca="false">IF(B1427="","",IFERROR(INDEX(EN_Des,MATCH(B1427,EN_Code,0)),"Code inconnu"))</f>
        <v/>
      </c>
      <c r="D1427" s="25"/>
      <c r="E1427" s="25"/>
      <c r="F1427" s="82"/>
      <c r="G1427" s="82"/>
      <c r="H1427" s="83" t="str">
        <f aca="false">IF(OR(F1427="",G1427=""),"",G1427-F1427)</f>
        <v/>
      </c>
      <c r="I1427" s="82"/>
      <c r="J1427" s="82"/>
      <c r="K1427" s="28"/>
      <c r="L1427" s="90" t="str">
        <f aca="false">IF(OR(K1427="",N(H1427)=0),"",K1427/H1427)</f>
        <v/>
      </c>
      <c r="M1427" s="68"/>
      <c r="N1427" s="28"/>
      <c r="O1427" s="25"/>
      <c r="P1427" s="83" t="str">
        <f aca="false">IF(OR(N1427="",N(H1427)=0),"",N1427/H1427)</f>
        <v/>
      </c>
      <c r="Q1427" s="25"/>
    </row>
    <row r="1428" customFormat="false" ht="15" hidden="false" customHeight="false" outlineLevel="0" collapsed="false">
      <c r="A1428" s="69"/>
      <c r="B1428" s="68"/>
      <c r="C1428" s="76" t="str">
        <f aca="false">IF(B1428="","",IFERROR(INDEX(EN_Des,MATCH(B1428,EN_Code,0)),"Code inconnu"))</f>
        <v/>
      </c>
      <c r="D1428" s="25"/>
      <c r="E1428" s="25"/>
      <c r="F1428" s="82"/>
      <c r="G1428" s="82"/>
      <c r="H1428" s="83" t="str">
        <f aca="false">IF(OR(F1428="",G1428=""),"",G1428-F1428)</f>
        <v/>
      </c>
      <c r="I1428" s="82"/>
      <c r="J1428" s="82"/>
      <c r="K1428" s="28"/>
      <c r="L1428" s="90" t="str">
        <f aca="false">IF(OR(K1428="",N(H1428)=0),"",K1428/H1428)</f>
        <v/>
      </c>
      <c r="M1428" s="68"/>
      <c r="N1428" s="28"/>
      <c r="O1428" s="25"/>
      <c r="P1428" s="83" t="str">
        <f aca="false">IF(OR(N1428="",N(H1428)=0),"",N1428/H1428)</f>
        <v/>
      </c>
      <c r="Q1428" s="25"/>
    </row>
    <row r="1429" customFormat="false" ht="15" hidden="false" customHeight="false" outlineLevel="0" collapsed="false">
      <c r="A1429" s="69"/>
      <c r="B1429" s="68"/>
      <c r="C1429" s="76" t="str">
        <f aca="false">IF(B1429="","",IFERROR(INDEX(EN_Des,MATCH(B1429,EN_Code,0)),"Code inconnu"))</f>
        <v/>
      </c>
      <c r="D1429" s="25"/>
      <c r="E1429" s="25"/>
      <c r="F1429" s="82"/>
      <c r="G1429" s="82"/>
      <c r="H1429" s="83" t="str">
        <f aca="false">IF(OR(F1429="",G1429=""),"",G1429-F1429)</f>
        <v/>
      </c>
      <c r="I1429" s="82"/>
      <c r="J1429" s="82"/>
      <c r="K1429" s="28"/>
      <c r="L1429" s="90" t="str">
        <f aca="false">IF(OR(K1429="",N(H1429)=0),"",K1429/H1429)</f>
        <v/>
      </c>
      <c r="M1429" s="68"/>
      <c r="N1429" s="28"/>
      <c r="O1429" s="25"/>
      <c r="P1429" s="83" t="str">
        <f aca="false">IF(OR(N1429="",N(H1429)=0),"",N1429/H1429)</f>
        <v/>
      </c>
      <c r="Q1429" s="25"/>
    </row>
    <row r="1430" customFormat="false" ht="15" hidden="false" customHeight="false" outlineLevel="0" collapsed="false">
      <c r="A1430" s="69"/>
      <c r="B1430" s="68"/>
      <c r="C1430" s="76" t="str">
        <f aca="false">IF(B1430="","",IFERROR(INDEX(EN_Des,MATCH(B1430,EN_Code,0)),"Code inconnu"))</f>
        <v/>
      </c>
      <c r="D1430" s="25"/>
      <c r="E1430" s="25"/>
      <c r="F1430" s="82"/>
      <c r="G1430" s="82"/>
      <c r="H1430" s="83" t="str">
        <f aca="false">IF(OR(F1430="",G1430=""),"",G1430-F1430)</f>
        <v/>
      </c>
      <c r="I1430" s="82"/>
      <c r="J1430" s="82"/>
      <c r="K1430" s="28"/>
      <c r="L1430" s="90" t="str">
        <f aca="false">IF(OR(K1430="",N(H1430)=0),"",K1430/H1430)</f>
        <v/>
      </c>
      <c r="M1430" s="68"/>
      <c r="N1430" s="28"/>
      <c r="O1430" s="25"/>
      <c r="P1430" s="83" t="str">
        <f aca="false">IF(OR(N1430="",N(H1430)=0),"",N1430/H1430)</f>
        <v/>
      </c>
      <c r="Q1430" s="25"/>
    </row>
    <row r="1431" customFormat="false" ht="15" hidden="false" customHeight="false" outlineLevel="0" collapsed="false">
      <c r="A1431" s="69"/>
      <c r="B1431" s="68"/>
      <c r="C1431" s="76" t="str">
        <f aca="false">IF(B1431="","",IFERROR(INDEX(EN_Des,MATCH(B1431,EN_Code,0)),"Code inconnu"))</f>
        <v/>
      </c>
      <c r="D1431" s="25"/>
      <c r="E1431" s="25"/>
      <c r="F1431" s="82"/>
      <c r="G1431" s="82"/>
      <c r="H1431" s="83" t="str">
        <f aca="false">IF(OR(F1431="",G1431=""),"",G1431-F1431)</f>
        <v/>
      </c>
      <c r="I1431" s="82"/>
      <c r="J1431" s="82"/>
      <c r="K1431" s="28"/>
      <c r="L1431" s="90" t="str">
        <f aca="false">IF(OR(K1431="",N(H1431)=0),"",K1431/H1431)</f>
        <v/>
      </c>
      <c r="M1431" s="68"/>
      <c r="N1431" s="28"/>
      <c r="O1431" s="25"/>
      <c r="P1431" s="83" t="str">
        <f aca="false">IF(OR(N1431="",N(H1431)=0),"",N1431/H1431)</f>
        <v/>
      </c>
      <c r="Q1431" s="25"/>
    </row>
    <row r="1432" customFormat="false" ht="15" hidden="false" customHeight="false" outlineLevel="0" collapsed="false">
      <c r="A1432" s="69"/>
      <c r="B1432" s="68"/>
      <c r="C1432" s="76" t="str">
        <f aca="false">IF(B1432="","",IFERROR(INDEX(EN_Des,MATCH(B1432,EN_Code,0)),"Code inconnu"))</f>
        <v/>
      </c>
      <c r="D1432" s="25"/>
      <c r="E1432" s="25"/>
      <c r="F1432" s="82"/>
      <c r="G1432" s="82"/>
      <c r="H1432" s="83" t="str">
        <f aca="false">IF(OR(F1432="",G1432=""),"",G1432-F1432)</f>
        <v/>
      </c>
      <c r="I1432" s="82"/>
      <c r="J1432" s="82"/>
      <c r="K1432" s="28"/>
      <c r="L1432" s="90" t="str">
        <f aca="false">IF(OR(K1432="",N(H1432)=0),"",K1432/H1432)</f>
        <v/>
      </c>
      <c r="M1432" s="68"/>
      <c r="N1432" s="28"/>
      <c r="O1432" s="25"/>
      <c r="P1432" s="83" t="str">
        <f aca="false">IF(OR(N1432="",N(H1432)=0),"",N1432/H1432)</f>
        <v/>
      </c>
      <c r="Q1432" s="25"/>
    </row>
    <row r="1433" customFormat="false" ht="15" hidden="false" customHeight="false" outlineLevel="0" collapsed="false">
      <c r="A1433" s="69"/>
      <c r="B1433" s="68"/>
      <c r="C1433" s="76" t="str">
        <f aca="false">IF(B1433="","",IFERROR(INDEX(EN_Des,MATCH(B1433,EN_Code,0)),"Code inconnu"))</f>
        <v/>
      </c>
      <c r="D1433" s="25"/>
      <c r="E1433" s="25"/>
      <c r="F1433" s="82"/>
      <c r="G1433" s="82"/>
      <c r="H1433" s="83" t="str">
        <f aca="false">IF(OR(F1433="",G1433=""),"",G1433-F1433)</f>
        <v/>
      </c>
      <c r="I1433" s="82"/>
      <c r="J1433" s="82"/>
      <c r="K1433" s="28"/>
      <c r="L1433" s="90" t="str">
        <f aca="false">IF(OR(K1433="",N(H1433)=0),"",K1433/H1433)</f>
        <v/>
      </c>
      <c r="M1433" s="68"/>
      <c r="N1433" s="28"/>
      <c r="O1433" s="25"/>
      <c r="P1433" s="83" t="str">
        <f aca="false">IF(OR(N1433="",N(H1433)=0),"",N1433/H1433)</f>
        <v/>
      </c>
      <c r="Q1433" s="25"/>
    </row>
    <row r="1434" customFormat="false" ht="15" hidden="false" customHeight="false" outlineLevel="0" collapsed="false">
      <c r="A1434" s="69"/>
      <c r="B1434" s="68"/>
      <c r="C1434" s="76" t="str">
        <f aca="false">IF(B1434="","",IFERROR(INDEX(EN_Des,MATCH(B1434,EN_Code,0)),"Code inconnu"))</f>
        <v/>
      </c>
      <c r="D1434" s="25"/>
      <c r="E1434" s="25"/>
      <c r="F1434" s="82"/>
      <c r="G1434" s="82"/>
      <c r="H1434" s="83" t="str">
        <f aca="false">IF(OR(F1434="",G1434=""),"",G1434-F1434)</f>
        <v/>
      </c>
      <c r="I1434" s="82"/>
      <c r="J1434" s="82"/>
      <c r="K1434" s="28"/>
      <c r="L1434" s="90" t="str">
        <f aca="false">IF(OR(K1434="",N(H1434)=0),"",K1434/H1434)</f>
        <v/>
      </c>
      <c r="M1434" s="68"/>
      <c r="N1434" s="28"/>
      <c r="O1434" s="25"/>
      <c r="P1434" s="83" t="str">
        <f aca="false">IF(OR(N1434="",N(H1434)=0),"",N1434/H1434)</f>
        <v/>
      </c>
      <c r="Q1434" s="25"/>
    </row>
    <row r="1435" customFormat="false" ht="15" hidden="false" customHeight="false" outlineLevel="0" collapsed="false">
      <c r="A1435" s="69"/>
      <c r="B1435" s="68"/>
      <c r="C1435" s="76" t="str">
        <f aca="false">IF(B1435="","",IFERROR(INDEX(EN_Des,MATCH(B1435,EN_Code,0)),"Code inconnu"))</f>
        <v/>
      </c>
      <c r="D1435" s="25"/>
      <c r="E1435" s="25"/>
      <c r="F1435" s="82"/>
      <c r="G1435" s="82"/>
      <c r="H1435" s="83" t="str">
        <f aca="false">IF(OR(F1435="",G1435=""),"",G1435-F1435)</f>
        <v/>
      </c>
      <c r="I1435" s="82"/>
      <c r="J1435" s="82"/>
      <c r="K1435" s="28"/>
      <c r="L1435" s="90" t="str">
        <f aca="false">IF(OR(K1435="",N(H1435)=0),"",K1435/H1435)</f>
        <v/>
      </c>
      <c r="M1435" s="68"/>
      <c r="N1435" s="28"/>
      <c r="O1435" s="25"/>
      <c r="P1435" s="83" t="str">
        <f aca="false">IF(OR(N1435="",N(H1435)=0),"",N1435/H1435)</f>
        <v/>
      </c>
      <c r="Q1435" s="25"/>
    </row>
    <row r="1436" customFormat="false" ht="15" hidden="false" customHeight="false" outlineLevel="0" collapsed="false">
      <c r="A1436" s="69"/>
      <c r="B1436" s="68"/>
      <c r="C1436" s="76" t="str">
        <f aca="false">IF(B1436="","",IFERROR(INDEX(EN_Des,MATCH(B1436,EN_Code,0)),"Code inconnu"))</f>
        <v/>
      </c>
      <c r="D1436" s="25"/>
      <c r="E1436" s="25"/>
      <c r="F1436" s="82"/>
      <c r="G1436" s="82"/>
      <c r="H1436" s="83" t="str">
        <f aca="false">IF(OR(F1436="",G1436=""),"",G1436-F1436)</f>
        <v/>
      </c>
      <c r="I1436" s="82"/>
      <c r="J1436" s="82"/>
      <c r="K1436" s="28"/>
      <c r="L1436" s="90" t="str">
        <f aca="false">IF(OR(K1436="",N(H1436)=0),"",K1436/H1436)</f>
        <v/>
      </c>
      <c r="M1436" s="68"/>
      <c r="N1436" s="28"/>
      <c r="O1436" s="25"/>
      <c r="P1436" s="83" t="str">
        <f aca="false">IF(OR(N1436="",N(H1436)=0),"",N1436/H1436)</f>
        <v/>
      </c>
      <c r="Q1436" s="25"/>
    </row>
    <row r="1437" customFormat="false" ht="15" hidden="false" customHeight="false" outlineLevel="0" collapsed="false">
      <c r="A1437" s="69"/>
      <c r="B1437" s="68"/>
      <c r="C1437" s="76" t="str">
        <f aca="false">IF(B1437="","",IFERROR(INDEX(EN_Des,MATCH(B1437,EN_Code,0)),"Code inconnu"))</f>
        <v/>
      </c>
      <c r="D1437" s="25"/>
      <c r="E1437" s="25"/>
      <c r="F1437" s="82"/>
      <c r="G1437" s="82"/>
      <c r="H1437" s="83" t="str">
        <f aca="false">IF(OR(F1437="",G1437=""),"",G1437-F1437)</f>
        <v/>
      </c>
      <c r="I1437" s="82"/>
      <c r="J1437" s="82"/>
      <c r="K1437" s="28"/>
      <c r="L1437" s="90" t="str">
        <f aca="false">IF(OR(K1437="",N(H1437)=0),"",K1437/H1437)</f>
        <v/>
      </c>
      <c r="M1437" s="68"/>
      <c r="N1437" s="28"/>
      <c r="O1437" s="25"/>
      <c r="P1437" s="83" t="str">
        <f aca="false">IF(OR(N1437="",N(H1437)=0),"",N1437/H1437)</f>
        <v/>
      </c>
      <c r="Q1437" s="25"/>
    </row>
    <row r="1438" customFormat="false" ht="15" hidden="false" customHeight="false" outlineLevel="0" collapsed="false">
      <c r="A1438" s="69"/>
      <c r="B1438" s="68"/>
      <c r="C1438" s="76" t="str">
        <f aca="false">IF(B1438="","",IFERROR(INDEX(EN_Des,MATCH(B1438,EN_Code,0)),"Code inconnu"))</f>
        <v/>
      </c>
      <c r="D1438" s="25"/>
      <c r="E1438" s="25"/>
      <c r="F1438" s="82"/>
      <c r="G1438" s="82"/>
      <c r="H1438" s="83" t="str">
        <f aca="false">IF(OR(F1438="",G1438=""),"",G1438-F1438)</f>
        <v/>
      </c>
      <c r="I1438" s="82"/>
      <c r="J1438" s="82"/>
      <c r="K1438" s="28"/>
      <c r="L1438" s="90" t="str">
        <f aca="false">IF(OR(K1438="",N(H1438)=0),"",K1438/H1438)</f>
        <v/>
      </c>
      <c r="M1438" s="68"/>
      <c r="N1438" s="28"/>
      <c r="O1438" s="25"/>
      <c r="P1438" s="83" t="str">
        <f aca="false">IF(OR(N1438="",N(H1438)=0),"",N1438/H1438)</f>
        <v/>
      </c>
      <c r="Q1438" s="25"/>
    </row>
    <row r="1439" customFormat="false" ht="15" hidden="false" customHeight="false" outlineLevel="0" collapsed="false">
      <c r="A1439" s="69"/>
      <c r="B1439" s="68"/>
      <c r="C1439" s="76" t="str">
        <f aca="false">IF(B1439="","",IFERROR(INDEX(EN_Des,MATCH(B1439,EN_Code,0)),"Code inconnu"))</f>
        <v/>
      </c>
      <c r="D1439" s="25"/>
      <c r="E1439" s="25"/>
      <c r="F1439" s="82"/>
      <c r="G1439" s="82"/>
      <c r="H1439" s="83" t="str">
        <f aca="false">IF(OR(F1439="",G1439=""),"",G1439-F1439)</f>
        <v/>
      </c>
      <c r="I1439" s="82"/>
      <c r="J1439" s="82"/>
      <c r="K1439" s="28"/>
      <c r="L1439" s="90" t="str">
        <f aca="false">IF(OR(K1439="",N(H1439)=0),"",K1439/H1439)</f>
        <v/>
      </c>
      <c r="M1439" s="68"/>
      <c r="N1439" s="28"/>
      <c r="O1439" s="25"/>
      <c r="P1439" s="83" t="str">
        <f aca="false">IF(OR(N1439="",N(H1439)=0),"",N1439/H1439)</f>
        <v/>
      </c>
      <c r="Q1439" s="25"/>
    </row>
    <row r="1440" customFormat="false" ht="15" hidden="false" customHeight="false" outlineLevel="0" collapsed="false">
      <c r="A1440" s="69"/>
      <c r="B1440" s="68"/>
      <c r="C1440" s="76" t="str">
        <f aca="false">IF(B1440="","",IFERROR(INDEX(EN_Des,MATCH(B1440,EN_Code,0)),"Code inconnu"))</f>
        <v/>
      </c>
      <c r="D1440" s="25"/>
      <c r="E1440" s="25"/>
      <c r="F1440" s="82"/>
      <c r="G1440" s="82"/>
      <c r="H1440" s="83" t="str">
        <f aca="false">IF(OR(F1440="",G1440=""),"",G1440-F1440)</f>
        <v/>
      </c>
      <c r="I1440" s="82"/>
      <c r="J1440" s="82"/>
      <c r="K1440" s="28"/>
      <c r="L1440" s="90" t="str">
        <f aca="false">IF(OR(K1440="",N(H1440)=0),"",K1440/H1440)</f>
        <v/>
      </c>
      <c r="M1440" s="68"/>
      <c r="N1440" s="28"/>
      <c r="O1440" s="25"/>
      <c r="P1440" s="83" t="str">
        <f aca="false">IF(OR(N1440="",N(H1440)=0),"",N1440/H1440)</f>
        <v/>
      </c>
      <c r="Q1440" s="25"/>
    </row>
    <row r="1441" customFormat="false" ht="15" hidden="false" customHeight="false" outlineLevel="0" collapsed="false">
      <c r="A1441" s="69"/>
      <c r="B1441" s="68"/>
      <c r="C1441" s="76" t="str">
        <f aca="false">IF(B1441="","",IFERROR(INDEX(EN_Des,MATCH(B1441,EN_Code,0)),"Code inconnu"))</f>
        <v/>
      </c>
      <c r="D1441" s="25"/>
      <c r="E1441" s="25"/>
      <c r="F1441" s="82"/>
      <c r="G1441" s="82"/>
      <c r="H1441" s="83" t="str">
        <f aca="false">IF(OR(F1441="",G1441=""),"",G1441-F1441)</f>
        <v/>
      </c>
      <c r="I1441" s="82"/>
      <c r="J1441" s="82"/>
      <c r="K1441" s="28"/>
      <c r="L1441" s="90" t="str">
        <f aca="false">IF(OR(K1441="",N(H1441)=0),"",K1441/H1441)</f>
        <v/>
      </c>
      <c r="M1441" s="68"/>
      <c r="N1441" s="28"/>
      <c r="O1441" s="25"/>
      <c r="P1441" s="83" t="str">
        <f aca="false">IF(OR(N1441="",N(H1441)=0),"",N1441/H1441)</f>
        <v/>
      </c>
      <c r="Q1441" s="25"/>
    </row>
    <row r="1442" customFormat="false" ht="15" hidden="false" customHeight="false" outlineLevel="0" collapsed="false">
      <c r="A1442" s="69"/>
      <c r="B1442" s="68"/>
      <c r="C1442" s="76" t="str">
        <f aca="false">IF(B1442="","",IFERROR(INDEX(EN_Des,MATCH(B1442,EN_Code,0)),"Code inconnu"))</f>
        <v/>
      </c>
      <c r="D1442" s="25"/>
      <c r="E1442" s="25"/>
      <c r="F1442" s="82"/>
      <c r="G1442" s="82"/>
      <c r="H1442" s="83" t="str">
        <f aca="false">IF(OR(F1442="",G1442=""),"",G1442-F1442)</f>
        <v/>
      </c>
      <c r="I1442" s="82"/>
      <c r="J1442" s="82"/>
      <c r="K1442" s="28"/>
      <c r="L1442" s="90" t="str">
        <f aca="false">IF(OR(K1442="",N(H1442)=0),"",K1442/H1442)</f>
        <v/>
      </c>
      <c r="M1442" s="68"/>
      <c r="N1442" s="28"/>
      <c r="O1442" s="25"/>
      <c r="P1442" s="83" t="str">
        <f aca="false">IF(OR(N1442="",N(H1442)=0),"",N1442/H1442)</f>
        <v/>
      </c>
      <c r="Q1442" s="25"/>
    </row>
    <row r="1443" customFormat="false" ht="15" hidden="false" customHeight="false" outlineLevel="0" collapsed="false">
      <c r="A1443" s="69"/>
      <c r="B1443" s="68"/>
      <c r="C1443" s="76" t="str">
        <f aca="false">IF(B1443="","",IFERROR(INDEX(EN_Des,MATCH(B1443,EN_Code,0)),"Code inconnu"))</f>
        <v/>
      </c>
      <c r="D1443" s="25"/>
      <c r="E1443" s="25"/>
      <c r="F1443" s="82"/>
      <c r="G1443" s="82"/>
      <c r="H1443" s="83" t="str">
        <f aca="false">IF(OR(F1443="",G1443=""),"",G1443-F1443)</f>
        <v/>
      </c>
      <c r="I1443" s="82"/>
      <c r="J1443" s="82"/>
      <c r="K1443" s="28"/>
      <c r="L1443" s="90" t="str">
        <f aca="false">IF(OR(K1443="",N(H1443)=0),"",K1443/H1443)</f>
        <v/>
      </c>
      <c r="M1443" s="68"/>
      <c r="N1443" s="28"/>
      <c r="O1443" s="25"/>
      <c r="P1443" s="83" t="str">
        <f aca="false">IF(OR(N1443="",N(H1443)=0),"",N1443/H1443)</f>
        <v/>
      </c>
      <c r="Q1443" s="25"/>
    </row>
    <row r="1444" customFormat="false" ht="15" hidden="false" customHeight="false" outlineLevel="0" collapsed="false">
      <c r="A1444" s="69"/>
      <c r="B1444" s="68"/>
      <c r="C1444" s="76" t="str">
        <f aca="false">IF(B1444="","",IFERROR(INDEX(EN_Des,MATCH(B1444,EN_Code,0)),"Code inconnu"))</f>
        <v/>
      </c>
      <c r="D1444" s="25"/>
      <c r="E1444" s="25"/>
      <c r="F1444" s="82"/>
      <c r="G1444" s="82"/>
      <c r="H1444" s="83" t="str">
        <f aca="false">IF(OR(F1444="",G1444=""),"",G1444-F1444)</f>
        <v/>
      </c>
      <c r="I1444" s="82"/>
      <c r="J1444" s="82"/>
      <c r="K1444" s="28"/>
      <c r="L1444" s="90" t="str">
        <f aca="false">IF(OR(K1444="",N(H1444)=0),"",K1444/H1444)</f>
        <v/>
      </c>
      <c r="M1444" s="68"/>
      <c r="N1444" s="28"/>
      <c r="O1444" s="25"/>
      <c r="P1444" s="83" t="str">
        <f aca="false">IF(OR(N1444="",N(H1444)=0),"",N1444/H1444)</f>
        <v/>
      </c>
      <c r="Q1444" s="25"/>
    </row>
    <row r="1445" customFormat="false" ht="15" hidden="false" customHeight="false" outlineLevel="0" collapsed="false">
      <c r="A1445" s="69"/>
      <c r="B1445" s="68"/>
      <c r="C1445" s="76" t="str">
        <f aca="false">IF(B1445="","",IFERROR(INDEX(EN_Des,MATCH(B1445,EN_Code,0)),"Code inconnu"))</f>
        <v/>
      </c>
      <c r="D1445" s="25"/>
      <c r="E1445" s="25"/>
      <c r="F1445" s="82"/>
      <c r="G1445" s="82"/>
      <c r="H1445" s="83" t="str">
        <f aca="false">IF(OR(F1445="",G1445=""),"",G1445-F1445)</f>
        <v/>
      </c>
      <c r="I1445" s="82"/>
      <c r="J1445" s="82"/>
      <c r="K1445" s="28"/>
      <c r="L1445" s="90" t="str">
        <f aca="false">IF(OR(K1445="",N(H1445)=0),"",K1445/H1445)</f>
        <v/>
      </c>
      <c r="M1445" s="68"/>
      <c r="N1445" s="28"/>
      <c r="O1445" s="25"/>
      <c r="P1445" s="83" t="str">
        <f aca="false">IF(OR(N1445="",N(H1445)=0),"",N1445/H1445)</f>
        <v/>
      </c>
      <c r="Q1445" s="25"/>
    </row>
    <row r="1446" customFormat="false" ht="15" hidden="false" customHeight="false" outlineLevel="0" collapsed="false">
      <c r="A1446" s="69"/>
      <c r="B1446" s="68"/>
      <c r="C1446" s="76" t="str">
        <f aca="false">IF(B1446="","",IFERROR(INDEX(EN_Des,MATCH(B1446,EN_Code,0)),"Code inconnu"))</f>
        <v/>
      </c>
      <c r="D1446" s="25"/>
      <c r="E1446" s="25"/>
      <c r="F1446" s="82"/>
      <c r="G1446" s="82"/>
      <c r="H1446" s="83" t="str">
        <f aca="false">IF(OR(F1446="",G1446=""),"",G1446-F1446)</f>
        <v/>
      </c>
      <c r="I1446" s="82"/>
      <c r="J1446" s="82"/>
      <c r="K1446" s="28"/>
      <c r="L1446" s="90" t="str">
        <f aca="false">IF(OR(K1446="",N(H1446)=0),"",K1446/H1446)</f>
        <v/>
      </c>
      <c r="M1446" s="68"/>
      <c r="N1446" s="28"/>
      <c r="O1446" s="25"/>
      <c r="P1446" s="83" t="str">
        <f aca="false">IF(OR(N1446="",N(H1446)=0),"",N1446/H1446)</f>
        <v/>
      </c>
      <c r="Q1446" s="25"/>
    </row>
    <row r="1447" customFormat="false" ht="15" hidden="false" customHeight="false" outlineLevel="0" collapsed="false">
      <c r="A1447" s="69"/>
      <c r="B1447" s="68"/>
      <c r="C1447" s="76" t="str">
        <f aca="false">IF(B1447="","",IFERROR(INDEX(EN_Des,MATCH(B1447,EN_Code,0)),"Code inconnu"))</f>
        <v/>
      </c>
      <c r="D1447" s="25"/>
      <c r="E1447" s="25"/>
      <c r="F1447" s="82"/>
      <c r="G1447" s="82"/>
      <c r="H1447" s="83" t="str">
        <f aca="false">IF(OR(F1447="",G1447=""),"",G1447-F1447)</f>
        <v/>
      </c>
      <c r="I1447" s="82"/>
      <c r="J1447" s="82"/>
      <c r="K1447" s="28"/>
      <c r="L1447" s="90" t="str">
        <f aca="false">IF(OR(K1447="",N(H1447)=0),"",K1447/H1447)</f>
        <v/>
      </c>
      <c r="M1447" s="68"/>
      <c r="N1447" s="28"/>
      <c r="O1447" s="25"/>
      <c r="P1447" s="83" t="str">
        <f aca="false">IF(OR(N1447="",N(H1447)=0),"",N1447/H1447)</f>
        <v/>
      </c>
      <c r="Q1447" s="25"/>
    </row>
    <row r="1448" customFormat="false" ht="15" hidden="false" customHeight="false" outlineLevel="0" collapsed="false">
      <c r="A1448" s="69"/>
      <c r="B1448" s="68"/>
      <c r="C1448" s="76" t="str">
        <f aca="false">IF(B1448="","",IFERROR(INDEX(EN_Des,MATCH(B1448,EN_Code,0)),"Code inconnu"))</f>
        <v/>
      </c>
      <c r="D1448" s="25"/>
      <c r="E1448" s="25"/>
      <c r="F1448" s="82"/>
      <c r="G1448" s="82"/>
      <c r="H1448" s="83" t="str">
        <f aca="false">IF(OR(F1448="",G1448=""),"",G1448-F1448)</f>
        <v/>
      </c>
      <c r="I1448" s="82"/>
      <c r="J1448" s="82"/>
      <c r="K1448" s="28"/>
      <c r="L1448" s="90" t="str">
        <f aca="false">IF(OR(K1448="",N(H1448)=0),"",K1448/H1448)</f>
        <v/>
      </c>
      <c r="M1448" s="68"/>
      <c r="N1448" s="28"/>
      <c r="O1448" s="25"/>
      <c r="P1448" s="83" t="str">
        <f aca="false">IF(OR(N1448="",N(H1448)=0),"",N1448/H1448)</f>
        <v/>
      </c>
      <c r="Q1448" s="25"/>
    </row>
    <row r="1449" customFormat="false" ht="15" hidden="false" customHeight="false" outlineLevel="0" collapsed="false">
      <c r="A1449" s="69"/>
      <c r="B1449" s="68"/>
      <c r="C1449" s="76" t="str">
        <f aca="false">IF(B1449="","",IFERROR(INDEX(EN_Des,MATCH(B1449,EN_Code,0)),"Code inconnu"))</f>
        <v/>
      </c>
      <c r="D1449" s="25"/>
      <c r="E1449" s="25"/>
      <c r="F1449" s="82"/>
      <c r="G1449" s="82"/>
      <c r="H1449" s="83" t="str">
        <f aca="false">IF(OR(F1449="",G1449=""),"",G1449-F1449)</f>
        <v/>
      </c>
      <c r="I1449" s="82"/>
      <c r="J1449" s="82"/>
      <c r="K1449" s="28"/>
      <c r="L1449" s="90" t="str">
        <f aca="false">IF(OR(K1449="",N(H1449)=0),"",K1449/H1449)</f>
        <v/>
      </c>
      <c r="M1449" s="68"/>
      <c r="N1449" s="28"/>
      <c r="O1449" s="25"/>
      <c r="P1449" s="83" t="str">
        <f aca="false">IF(OR(N1449="",N(H1449)=0),"",N1449/H1449)</f>
        <v/>
      </c>
      <c r="Q1449" s="25"/>
    </row>
    <row r="1450" customFormat="false" ht="15" hidden="false" customHeight="false" outlineLevel="0" collapsed="false">
      <c r="A1450" s="69"/>
      <c r="B1450" s="68"/>
      <c r="C1450" s="76" t="str">
        <f aca="false">IF(B1450="","",IFERROR(INDEX(EN_Des,MATCH(B1450,EN_Code,0)),"Code inconnu"))</f>
        <v/>
      </c>
      <c r="D1450" s="25"/>
      <c r="E1450" s="25"/>
      <c r="F1450" s="82"/>
      <c r="G1450" s="82"/>
      <c r="H1450" s="83" t="str">
        <f aca="false">IF(OR(F1450="",G1450=""),"",G1450-F1450)</f>
        <v/>
      </c>
      <c r="I1450" s="82"/>
      <c r="J1450" s="82"/>
      <c r="K1450" s="28"/>
      <c r="L1450" s="90" t="str">
        <f aca="false">IF(OR(K1450="",N(H1450)=0),"",K1450/H1450)</f>
        <v/>
      </c>
      <c r="M1450" s="68"/>
      <c r="N1450" s="28"/>
      <c r="O1450" s="25"/>
      <c r="P1450" s="83" t="str">
        <f aca="false">IF(OR(N1450="",N(H1450)=0),"",N1450/H1450)</f>
        <v/>
      </c>
      <c r="Q1450" s="25"/>
    </row>
    <row r="1451" customFormat="false" ht="15" hidden="false" customHeight="false" outlineLevel="0" collapsed="false">
      <c r="A1451" s="69"/>
      <c r="B1451" s="68"/>
      <c r="C1451" s="76" t="str">
        <f aca="false">IF(B1451="","",IFERROR(INDEX(EN_Des,MATCH(B1451,EN_Code,0)),"Code inconnu"))</f>
        <v/>
      </c>
      <c r="D1451" s="25"/>
      <c r="E1451" s="25"/>
      <c r="F1451" s="82"/>
      <c r="G1451" s="82"/>
      <c r="H1451" s="83" t="str">
        <f aca="false">IF(OR(F1451="",G1451=""),"",G1451-F1451)</f>
        <v/>
      </c>
      <c r="I1451" s="82"/>
      <c r="J1451" s="82"/>
      <c r="K1451" s="28"/>
      <c r="L1451" s="90" t="str">
        <f aca="false">IF(OR(K1451="",N(H1451)=0),"",K1451/H1451)</f>
        <v/>
      </c>
      <c r="M1451" s="68"/>
      <c r="N1451" s="28"/>
      <c r="O1451" s="25"/>
      <c r="P1451" s="83" t="str">
        <f aca="false">IF(OR(N1451="",N(H1451)=0),"",N1451/H1451)</f>
        <v/>
      </c>
      <c r="Q1451" s="25"/>
    </row>
    <row r="1452" customFormat="false" ht="15" hidden="false" customHeight="false" outlineLevel="0" collapsed="false">
      <c r="A1452" s="69"/>
      <c r="B1452" s="68"/>
      <c r="C1452" s="76" t="str">
        <f aca="false">IF(B1452="","",IFERROR(INDEX(EN_Des,MATCH(B1452,EN_Code,0)),"Code inconnu"))</f>
        <v/>
      </c>
      <c r="D1452" s="25"/>
      <c r="E1452" s="25"/>
      <c r="F1452" s="82"/>
      <c r="G1452" s="82"/>
      <c r="H1452" s="83" t="str">
        <f aca="false">IF(OR(F1452="",G1452=""),"",G1452-F1452)</f>
        <v/>
      </c>
      <c r="I1452" s="82"/>
      <c r="J1452" s="82"/>
      <c r="K1452" s="28"/>
      <c r="L1452" s="90" t="str">
        <f aca="false">IF(OR(K1452="",N(H1452)=0),"",K1452/H1452)</f>
        <v/>
      </c>
      <c r="M1452" s="68"/>
      <c r="N1452" s="28"/>
      <c r="O1452" s="25"/>
      <c r="P1452" s="83" t="str">
        <f aca="false">IF(OR(N1452="",N(H1452)=0),"",N1452/H1452)</f>
        <v/>
      </c>
      <c r="Q1452" s="25"/>
    </row>
    <row r="1453" customFormat="false" ht="15" hidden="false" customHeight="false" outlineLevel="0" collapsed="false">
      <c r="A1453" s="69"/>
      <c r="B1453" s="68"/>
      <c r="C1453" s="76" t="str">
        <f aca="false">IF(B1453="","",IFERROR(INDEX(EN_Des,MATCH(B1453,EN_Code,0)),"Code inconnu"))</f>
        <v/>
      </c>
      <c r="D1453" s="25"/>
      <c r="E1453" s="25"/>
      <c r="F1453" s="82"/>
      <c r="G1453" s="82"/>
      <c r="H1453" s="83" t="str">
        <f aca="false">IF(OR(F1453="",G1453=""),"",G1453-F1453)</f>
        <v/>
      </c>
      <c r="I1453" s="82"/>
      <c r="J1453" s="82"/>
      <c r="K1453" s="28"/>
      <c r="L1453" s="90" t="str">
        <f aca="false">IF(OR(K1453="",N(H1453)=0),"",K1453/H1453)</f>
        <v/>
      </c>
      <c r="M1453" s="68"/>
      <c r="N1453" s="28"/>
      <c r="O1453" s="25"/>
      <c r="P1453" s="83" t="str">
        <f aca="false">IF(OR(N1453="",N(H1453)=0),"",N1453/H1453)</f>
        <v/>
      </c>
      <c r="Q1453" s="25"/>
    </row>
    <row r="1454" customFormat="false" ht="15" hidden="false" customHeight="false" outlineLevel="0" collapsed="false">
      <c r="A1454" s="69"/>
      <c r="B1454" s="68"/>
      <c r="C1454" s="76" t="str">
        <f aca="false">IF(B1454="","",IFERROR(INDEX(EN_Des,MATCH(B1454,EN_Code,0)),"Code inconnu"))</f>
        <v/>
      </c>
      <c r="D1454" s="25"/>
      <c r="E1454" s="25"/>
      <c r="F1454" s="82"/>
      <c r="G1454" s="82"/>
      <c r="H1454" s="83" t="str">
        <f aca="false">IF(OR(F1454="",G1454=""),"",G1454-F1454)</f>
        <v/>
      </c>
      <c r="I1454" s="82"/>
      <c r="J1454" s="82"/>
      <c r="K1454" s="28"/>
      <c r="L1454" s="90" t="str">
        <f aca="false">IF(OR(K1454="",N(H1454)=0),"",K1454/H1454)</f>
        <v/>
      </c>
      <c r="M1454" s="68"/>
      <c r="N1454" s="28"/>
      <c r="O1454" s="25"/>
      <c r="P1454" s="83" t="str">
        <f aca="false">IF(OR(N1454="",N(H1454)=0),"",N1454/H1454)</f>
        <v/>
      </c>
      <c r="Q1454" s="25"/>
    </row>
    <row r="1455" customFormat="false" ht="15" hidden="false" customHeight="false" outlineLevel="0" collapsed="false">
      <c r="A1455" s="69"/>
      <c r="B1455" s="68"/>
      <c r="C1455" s="76" t="str">
        <f aca="false">IF(B1455="","",IFERROR(INDEX(EN_Des,MATCH(B1455,EN_Code,0)),"Code inconnu"))</f>
        <v/>
      </c>
      <c r="D1455" s="25"/>
      <c r="E1455" s="25"/>
      <c r="F1455" s="82"/>
      <c r="G1455" s="82"/>
      <c r="H1455" s="83" t="str">
        <f aca="false">IF(OR(F1455="",G1455=""),"",G1455-F1455)</f>
        <v/>
      </c>
      <c r="I1455" s="82"/>
      <c r="J1455" s="82"/>
      <c r="K1455" s="28"/>
      <c r="L1455" s="90" t="str">
        <f aca="false">IF(OR(K1455="",N(H1455)=0),"",K1455/H1455)</f>
        <v/>
      </c>
      <c r="M1455" s="68"/>
      <c r="N1455" s="28"/>
      <c r="O1455" s="25"/>
      <c r="P1455" s="83" t="str">
        <f aca="false">IF(OR(N1455="",N(H1455)=0),"",N1455/H1455)</f>
        <v/>
      </c>
      <c r="Q1455" s="25"/>
    </row>
    <row r="1456" customFormat="false" ht="15" hidden="false" customHeight="false" outlineLevel="0" collapsed="false">
      <c r="A1456" s="69"/>
      <c r="B1456" s="68"/>
      <c r="C1456" s="76" t="str">
        <f aca="false">IF(B1456="","",IFERROR(INDEX(EN_Des,MATCH(B1456,EN_Code,0)),"Code inconnu"))</f>
        <v/>
      </c>
      <c r="D1456" s="25"/>
      <c r="E1456" s="25"/>
      <c r="F1456" s="82"/>
      <c r="G1456" s="82"/>
      <c r="H1456" s="83" t="str">
        <f aca="false">IF(OR(F1456="",G1456=""),"",G1456-F1456)</f>
        <v/>
      </c>
      <c r="I1456" s="82"/>
      <c r="J1456" s="82"/>
      <c r="K1456" s="28"/>
      <c r="L1456" s="90" t="str">
        <f aca="false">IF(OR(K1456="",N(H1456)=0),"",K1456/H1456)</f>
        <v/>
      </c>
      <c r="M1456" s="68"/>
      <c r="N1456" s="28"/>
      <c r="O1456" s="25"/>
      <c r="P1456" s="83" t="str">
        <f aca="false">IF(OR(N1456="",N(H1456)=0),"",N1456/H1456)</f>
        <v/>
      </c>
      <c r="Q1456" s="25"/>
    </row>
    <row r="1457" customFormat="false" ht="15" hidden="false" customHeight="false" outlineLevel="0" collapsed="false">
      <c r="A1457" s="69"/>
      <c r="B1457" s="68"/>
      <c r="C1457" s="76" t="str">
        <f aca="false">IF(B1457="","",IFERROR(INDEX(EN_Des,MATCH(B1457,EN_Code,0)),"Code inconnu"))</f>
        <v/>
      </c>
      <c r="D1457" s="25"/>
      <c r="E1457" s="25"/>
      <c r="F1457" s="82"/>
      <c r="G1457" s="82"/>
      <c r="H1457" s="83" t="str">
        <f aca="false">IF(OR(F1457="",G1457=""),"",G1457-F1457)</f>
        <v/>
      </c>
      <c r="I1457" s="82"/>
      <c r="J1457" s="82"/>
      <c r="K1457" s="28"/>
      <c r="L1457" s="90" t="str">
        <f aca="false">IF(OR(K1457="",N(H1457)=0),"",K1457/H1457)</f>
        <v/>
      </c>
      <c r="M1457" s="68"/>
      <c r="N1457" s="28"/>
      <c r="O1457" s="25"/>
      <c r="P1457" s="83" t="str">
        <f aca="false">IF(OR(N1457="",N(H1457)=0),"",N1457/H1457)</f>
        <v/>
      </c>
      <c r="Q1457" s="25"/>
    </row>
    <row r="1458" customFormat="false" ht="15" hidden="false" customHeight="false" outlineLevel="0" collapsed="false">
      <c r="A1458" s="69"/>
      <c r="B1458" s="68"/>
      <c r="C1458" s="76" t="str">
        <f aca="false">IF(B1458="","",IFERROR(INDEX(EN_Des,MATCH(B1458,EN_Code,0)),"Code inconnu"))</f>
        <v/>
      </c>
      <c r="D1458" s="25"/>
      <c r="E1458" s="25"/>
      <c r="F1458" s="82"/>
      <c r="G1458" s="82"/>
      <c r="H1458" s="83" t="str">
        <f aca="false">IF(OR(F1458="",G1458=""),"",G1458-F1458)</f>
        <v/>
      </c>
      <c r="I1458" s="82"/>
      <c r="J1458" s="82"/>
      <c r="K1458" s="28"/>
      <c r="L1458" s="90" t="str">
        <f aca="false">IF(OR(K1458="",N(H1458)=0),"",K1458/H1458)</f>
        <v/>
      </c>
      <c r="M1458" s="68"/>
      <c r="N1458" s="28"/>
      <c r="O1458" s="25"/>
      <c r="P1458" s="83" t="str">
        <f aca="false">IF(OR(N1458="",N(H1458)=0),"",N1458/H1458)</f>
        <v/>
      </c>
      <c r="Q1458" s="25"/>
    </row>
    <row r="1459" customFormat="false" ht="15" hidden="false" customHeight="false" outlineLevel="0" collapsed="false">
      <c r="A1459" s="69"/>
      <c r="B1459" s="68"/>
      <c r="C1459" s="76" t="str">
        <f aca="false">IF(B1459="","",IFERROR(INDEX(EN_Des,MATCH(B1459,EN_Code,0)),"Code inconnu"))</f>
        <v/>
      </c>
      <c r="D1459" s="25"/>
      <c r="E1459" s="25"/>
      <c r="F1459" s="82"/>
      <c r="G1459" s="82"/>
      <c r="H1459" s="83" t="str">
        <f aca="false">IF(OR(F1459="",G1459=""),"",G1459-F1459)</f>
        <v/>
      </c>
      <c r="I1459" s="82"/>
      <c r="J1459" s="82"/>
      <c r="K1459" s="28"/>
      <c r="L1459" s="90" t="str">
        <f aca="false">IF(OR(K1459="",N(H1459)=0),"",K1459/H1459)</f>
        <v/>
      </c>
      <c r="M1459" s="68"/>
      <c r="N1459" s="28"/>
      <c r="O1459" s="25"/>
      <c r="P1459" s="83" t="str">
        <f aca="false">IF(OR(N1459="",N(H1459)=0),"",N1459/H1459)</f>
        <v/>
      </c>
      <c r="Q1459" s="25"/>
    </row>
    <row r="1460" customFormat="false" ht="15" hidden="false" customHeight="false" outlineLevel="0" collapsed="false">
      <c r="A1460" s="69"/>
      <c r="B1460" s="68"/>
      <c r="C1460" s="76" t="str">
        <f aca="false">IF(B1460="","",IFERROR(INDEX(EN_Des,MATCH(B1460,EN_Code,0)),"Code inconnu"))</f>
        <v/>
      </c>
      <c r="D1460" s="25"/>
      <c r="E1460" s="25"/>
      <c r="F1460" s="82"/>
      <c r="G1460" s="82"/>
      <c r="H1460" s="83" t="str">
        <f aca="false">IF(OR(F1460="",G1460=""),"",G1460-F1460)</f>
        <v/>
      </c>
      <c r="I1460" s="82"/>
      <c r="J1460" s="82"/>
      <c r="K1460" s="28"/>
      <c r="L1460" s="90" t="str">
        <f aca="false">IF(OR(K1460="",N(H1460)=0),"",K1460/H1460)</f>
        <v/>
      </c>
      <c r="M1460" s="68"/>
      <c r="N1460" s="28"/>
      <c r="O1460" s="25"/>
      <c r="P1460" s="83" t="str">
        <f aca="false">IF(OR(N1460="",N(H1460)=0),"",N1460/H1460)</f>
        <v/>
      </c>
      <c r="Q1460" s="25"/>
    </row>
    <row r="1461" customFormat="false" ht="15" hidden="false" customHeight="false" outlineLevel="0" collapsed="false">
      <c r="A1461" s="69"/>
      <c r="B1461" s="68"/>
      <c r="C1461" s="76" t="str">
        <f aca="false">IF(B1461="","",IFERROR(INDEX(EN_Des,MATCH(B1461,EN_Code,0)),"Code inconnu"))</f>
        <v/>
      </c>
      <c r="D1461" s="25"/>
      <c r="E1461" s="25"/>
      <c r="F1461" s="82"/>
      <c r="G1461" s="82"/>
      <c r="H1461" s="83" t="str">
        <f aca="false">IF(OR(F1461="",G1461=""),"",G1461-F1461)</f>
        <v/>
      </c>
      <c r="I1461" s="82"/>
      <c r="J1461" s="82"/>
      <c r="K1461" s="28"/>
      <c r="L1461" s="90" t="str">
        <f aca="false">IF(OR(K1461="",N(H1461)=0),"",K1461/H1461)</f>
        <v/>
      </c>
      <c r="M1461" s="68"/>
      <c r="N1461" s="28"/>
      <c r="O1461" s="25"/>
      <c r="P1461" s="83" t="str">
        <f aca="false">IF(OR(N1461="",N(H1461)=0),"",N1461/H1461)</f>
        <v/>
      </c>
      <c r="Q1461" s="25"/>
    </row>
    <row r="1462" customFormat="false" ht="15" hidden="false" customHeight="false" outlineLevel="0" collapsed="false">
      <c r="A1462" s="69"/>
      <c r="B1462" s="68"/>
      <c r="C1462" s="76" t="str">
        <f aca="false">IF(B1462="","",IFERROR(INDEX(EN_Des,MATCH(B1462,EN_Code,0)),"Code inconnu"))</f>
        <v/>
      </c>
      <c r="D1462" s="25"/>
      <c r="E1462" s="25"/>
      <c r="F1462" s="82"/>
      <c r="G1462" s="82"/>
      <c r="H1462" s="83" t="str">
        <f aca="false">IF(OR(F1462="",G1462=""),"",G1462-F1462)</f>
        <v/>
      </c>
      <c r="I1462" s="82"/>
      <c r="J1462" s="82"/>
      <c r="K1462" s="28"/>
      <c r="L1462" s="90" t="str">
        <f aca="false">IF(OR(K1462="",N(H1462)=0),"",K1462/H1462)</f>
        <v/>
      </c>
      <c r="M1462" s="68"/>
      <c r="N1462" s="28"/>
      <c r="O1462" s="25"/>
      <c r="P1462" s="83" t="str">
        <f aca="false">IF(OR(N1462="",N(H1462)=0),"",N1462/H1462)</f>
        <v/>
      </c>
      <c r="Q1462" s="25"/>
    </row>
    <row r="1463" customFormat="false" ht="15" hidden="false" customHeight="false" outlineLevel="0" collapsed="false">
      <c r="A1463" s="69"/>
      <c r="B1463" s="68"/>
      <c r="C1463" s="76" t="str">
        <f aca="false">IF(B1463="","",IFERROR(INDEX(EN_Des,MATCH(B1463,EN_Code,0)),"Code inconnu"))</f>
        <v/>
      </c>
      <c r="D1463" s="25"/>
      <c r="E1463" s="25"/>
      <c r="F1463" s="82"/>
      <c r="G1463" s="82"/>
      <c r="H1463" s="83" t="str">
        <f aca="false">IF(OR(F1463="",G1463=""),"",G1463-F1463)</f>
        <v/>
      </c>
      <c r="I1463" s="82"/>
      <c r="J1463" s="82"/>
      <c r="K1463" s="28"/>
      <c r="L1463" s="90" t="str">
        <f aca="false">IF(OR(K1463="",N(H1463)=0),"",K1463/H1463)</f>
        <v/>
      </c>
      <c r="M1463" s="68"/>
      <c r="N1463" s="28"/>
      <c r="O1463" s="25"/>
      <c r="P1463" s="83" t="str">
        <f aca="false">IF(OR(N1463="",N(H1463)=0),"",N1463/H1463)</f>
        <v/>
      </c>
      <c r="Q1463" s="25"/>
    </row>
    <row r="1464" customFormat="false" ht="15" hidden="false" customHeight="false" outlineLevel="0" collapsed="false">
      <c r="A1464" s="69"/>
      <c r="B1464" s="68"/>
      <c r="C1464" s="76" t="str">
        <f aca="false">IF(B1464="","",IFERROR(INDEX(EN_Des,MATCH(B1464,EN_Code,0)),"Code inconnu"))</f>
        <v/>
      </c>
      <c r="D1464" s="25"/>
      <c r="E1464" s="25"/>
      <c r="F1464" s="82"/>
      <c r="G1464" s="82"/>
      <c r="H1464" s="83" t="str">
        <f aca="false">IF(OR(F1464="",G1464=""),"",G1464-F1464)</f>
        <v/>
      </c>
      <c r="I1464" s="82"/>
      <c r="J1464" s="82"/>
      <c r="K1464" s="28"/>
      <c r="L1464" s="90" t="str">
        <f aca="false">IF(OR(K1464="",N(H1464)=0),"",K1464/H1464)</f>
        <v/>
      </c>
      <c r="M1464" s="68"/>
      <c r="N1464" s="28"/>
      <c r="O1464" s="25"/>
      <c r="P1464" s="83" t="str">
        <f aca="false">IF(OR(N1464="",N(H1464)=0),"",N1464/H1464)</f>
        <v/>
      </c>
      <c r="Q1464" s="25"/>
    </row>
    <row r="1465" customFormat="false" ht="15" hidden="false" customHeight="false" outlineLevel="0" collapsed="false">
      <c r="A1465" s="69"/>
      <c r="B1465" s="68"/>
      <c r="C1465" s="76" t="str">
        <f aca="false">IF(B1465="","",IFERROR(INDEX(EN_Des,MATCH(B1465,EN_Code,0)),"Code inconnu"))</f>
        <v/>
      </c>
      <c r="D1465" s="25"/>
      <c r="E1465" s="25"/>
      <c r="F1465" s="82"/>
      <c r="G1465" s="82"/>
      <c r="H1465" s="83" t="str">
        <f aca="false">IF(OR(F1465="",G1465=""),"",G1465-F1465)</f>
        <v/>
      </c>
      <c r="I1465" s="82"/>
      <c r="J1465" s="82"/>
      <c r="K1465" s="28"/>
      <c r="L1465" s="90" t="str">
        <f aca="false">IF(OR(K1465="",N(H1465)=0),"",K1465/H1465)</f>
        <v/>
      </c>
      <c r="M1465" s="68"/>
      <c r="N1465" s="28"/>
      <c r="O1465" s="25"/>
      <c r="P1465" s="83" t="str">
        <f aca="false">IF(OR(N1465="",N(H1465)=0),"",N1465/H1465)</f>
        <v/>
      </c>
      <c r="Q1465" s="25"/>
    </row>
    <row r="1466" customFormat="false" ht="15" hidden="false" customHeight="false" outlineLevel="0" collapsed="false">
      <c r="A1466" s="69"/>
      <c r="B1466" s="68"/>
      <c r="C1466" s="76" t="str">
        <f aca="false">IF(B1466="","",IFERROR(INDEX(EN_Des,MATCH(B1466,EN_Code,0)),"Code inconnu"))</f>
        <v/>
      </c>
      <c r="D1466" s="25"/>
      <c r="E1466" s="25"/>
      <c r="F1466" s="82"/>
      <c r="G1466" s="82"/>
      <c r="H1466" s="83" t="str">
        <f aca="false">IF(OR(F1466="",G1466=""),"",G1466-F1466)</f>
        <v/>
      </c>
      <c r="I1466" s="82"/>
      <c r="J1466" s="82"/>
      <c r="K1466" s="28"/>
      <c r="L1466" s="90" t="str">
        <f aca="false">IF(OR(K1466="",N(H1466)=0),"",K1466/H1466)</f>
        <v/>
      </c>
      <c r="M1466" s="68"/>
      <c r="N1466" s="28"/>
      <c r="O1466" s="25"/>
      <c r="P1466" s="83" t="str">
        <f aca="false">IF(OR(N1466="",N(H1466)=0),"",N1466/H1466)</f>
        <v/>
      </c>
      <c r="Q1466" s="25"/>
    </row>
    <row r="1467" customFormat="false" ht="15" hidden="false" customHeight="false" outlineLevel="0" collapsed="false">
      <c r="A1467" s="69"/>
      <c r="B1467" s="68"/>
      <c r="C1467" s="76" t="str">
        <f aca="false">IF(B1467="","",IFERROR(INDEX(EN_Des,MATCH(B1467,EN_Code,0)),"Code inconnu"))</f>
        <v/>
      </c>
      <c r="D1467" s="25"/>
      <c r="E1467" s="25"/>
      <c r="F1467" s="82"/>
      <c r="G1467" s="82"/>
      <c r="H1467" s="83" t="str">
        <f aca="false">IF(OR(F1467="",G1467=""),"",G1467-F1467)</f>
        <v/>
      </c>
      <c r="I1467" s="82"/>
      <c r="J1467" s="82"/>
      <c r="K1467" s="28"/>
      <c r="L1467" s="90" t="str">
        <f aca="false">IF(OR(K1467="",N(H1467)=0),"",K1467/H1467)</f>
        <v/>
      </c>
      <c r="M1467" s="68"/>
      <c r="N1467" s="28"/>
      <c r="O1467" s="25"/>
      <c r="P1467" s="83" t="str">
        <f aca="false">IF(OR(N1467="",N(H1467)=0),"",N1467/H1467)</f>
        <v/>
      </c>
      <c r="Q1467" s="25"/>
    </row>
    <row r="1468" customFormat="false" ht="15" hidden="false" customHeight="false" outlineLevel="0" collapsed="false">
      <c r="A1468" s="69"/>
      <c r="B1468" s="68"/>
      <c r="C1468" s="76" t="str">
        <f aca="false">IF(B1468="","",IFERROR(INDEX(EN_Des,MATCH(B1468,EN_Code,0)),"Code inconnu"))</f>
        <v/>
      </c>
      <c r="D1468" s="25"/>
      <c r="E1468" s="25"/>
      <c r="F1468" s="82"/>
      <c r="G1468" s="82"/>
      <c r="H1468" s="83" t="str">
        <f aca="false">IF(OR(F1468="",G1468=""),"",G1468-F1468)</f>
        <v/>
      </c>
      <c r="I1468" s="82"/>
      <c r="J1468" s="82"/>
      <c r="K1468" s="28"/>
      <c r="L1468" s="90" t="str">
        <f aca="false">IF(OR(K1468="",N(H1468)=0),"",K1468/H1468)</f>
        <v/>
      </c>
      <c r="M1468" s="68"/>
      <c r="N1468" s="28"/>
      <c r="O1468" s="25"/>
      <c r="P1468" s="83" t="str">
        <f aca="false">IF(OR(N1468="",N(H1468)=0),"",N1468/H1468)</f>
        <v/>
      </c>
      <c r="Q1468" s="25"/>
    </row>
    <row r="1469" customFormat="false" ht="15" hidden="false" customHeight="false" outlineLevel="0" collapsed="false">
      <c r="A1469" s="69"/>
      <c r="B1469" s="68"/>
      <c r="C1469" s="76" t="str">
        <f aca="false">IF(B1469="","",IFERROR(INDEX(EN_Des,MATCH(B1469,EN_Code,0)),"Code inconnu"))</f>
        <v/>
      </c>
      <c r="D1469" s="25"/>
      <c r="E1469" s="25"/>
      <c r="F1469" s="82"/>
      <c r="G1469" s="82"/>
      <c r="H1469" s="83" t="str">
        <f aca="false">IF(OR(F1469="",G1469=""),"",G1469-F1469)</f>
        <v/>
      </c>
      <c r="I1469" s="82"/>
      <c r="J1469" s="82"/>
      <c r="K1469" s="28"/>
      <c r="L1469" s="90" t="str">
        <f aca="false">IF(OR(K1469="",N(H1469)=0),"",K1469/H1469)</f>
        <v/>
      </c>
      <c r="M1469" s="68"/>
      <c r="N1469" s="28"/>
      <c r="O1469" s="25"/>
      <c r="P1469" s="83" t="str">
        <f aca="false">IF(OR(N1469="",N(H1469)=0),"",N1469/H1469)</f>
        <v/>
      </c>
      <c r="Q1469" s="25"/>
    </row>
    <row r="1470" customFormat="false" ht="15" hidden="false" customHeight="false" outlineLevel="0" collapsed="false">
      <c r="A1470" s="69"/>
      <c r="B1470" s="68"/>
      <c r="C1470" s="76" t="str">
        <f aca="false">IF(B1470="","",IFERROR(INDEX(EN_Des,MATCH(B1470,EN_Code,0)),"Code inconnu"))</f>
        <v/>
      </c>
      <c r="D1470" s="25"/>
      <c r="E1470" s="25"/>
      <c r="F1470" s="82"/>
      <c r="G1470" s="82"/>
      <c r="H1470" s="83" t="str">
        <f aca="false">IF(OR(F1470="",G1470=""),"",G1470-F1470)</f>
        <v/>
      </c>
      <c r="I1470" s="82"/>
      <c r="J1470" s="82"/>
      <c r="K1470" s="28"/>
      <c r="L1470" s="90" t="str">
        <f aca="false">IF(OR(K1470="",N(H1470)=0),"",K1470/H1470)</f>
        <v/>
      </c>
      <c r="M1470" s="68"/>
      <c r="N1470" s="28"/>
      <c r="O1470" s="25"/>
      <c r="P1470" s="83" t="str">
        <f aca="false">IF(OR(N1470="",N(H1470)=0),"",N1470/H1470)</f>
        <v/>
      </c>
      <c r="Q1470" s="25"/>
    </row>
    <row r="1471" customFormat="false" ht="15" hidden="false" customHeight="false" outlineLevel="0" collapsed="false">
      <c r="A1471" s="69"/>
      <c r="B1471" s="68"/>
      <c r="C1471" s="76" t="str">
        <f aca="false">IF(B1471="","",IFERROR(INDEX(EN_Des,MATCH(B1471,EN_Code,0)),"Code inconnu"))</f>
        <v/>
      </c>
      <c r="D1471" s="25"/>
      <c r="E1471" s="25"/>
      <c r="F1471" s="82"/>
      <c r="G1471" s="82"/>
      <c r="H1471" s="83" t="str">
        <f aca="false">IF(OR(F1471="",G1471=""),"",G1471-F1471)</f>
        <v/>
      </c>
      <c r="I1471" s="82"/>
      <c r="J1471" s="82"/>
      <c r="K1471" s="28"/>
      <c r="L1471" s="90" t="str">
        <f aca="false">IF(OR(K1471="",N(H1471)=0),"",K1471/H1471)</f>
        <v/>
      </c>
      <c r="M1471" s="68"/>
      <c r="N1471" s="28"/>
      <c r="O1471" s="25"/>
      <c r="P1471" s="83" t="str">
        <f aca="false">IF(OR(N1471="",N(H1471)=0),"",N1471/H1471)</f>
        <v/>
      </c>
      <c r="Q1471" s="25"/>
    </row>
    <row r="1472" customFormat="false" ht="15" hidden="false" customHeight="false" outlineLevel="0" collapsed="false">
      <c r="A1472" s="69"/>
      <c r="B1472" s="68"/>
      <c r="C1472" s="76" t="str">
        <f aca="false">IF(B1472="","",IFERROR(INDEX(EN_Des,MATCH(B1472,EN_Code,0)),"Code inconnu"))</f>
        <v/>
      </c>
      <c r="D1472" s="25"/>
      <c r="E1472" s="25"/>
      <c r="F1472" s="82"/>
      <c r="G1472" s="82"/>
      <c r="H1472" s="83" t="str">
        <f aca="false">IF(OR(F1472="",G1472=""),"",G1472-F1472)</f>
        <v/>
      </c>
      <c r="I1472" s="82"/>
      <c r="J1472" s="82"/>
      <c r="K1472" s="28"/>
      <c r="L1472" s="90" t="str">
        <f aca="false">IF(OR(K1472="",N(H1472)=0),"",K1472/H1472)</f>
        <v/>
      </c>
      <c r="M1472" s="68"/>
      <c r="N1472" s="28"/>
      <c r="O1472" s="25"/>
      <c r="P1472" s="83" t="str">
        <f aca="false">IF(OR(N1472="",N(H1472)=0),"",N1472/H1472)</f>
        <v/>
      </c>
      <c r="Q1472" s="25"/>
    </row>
    <row r="1473" customFormat="false" ht="15" hidden="false" customHeight="false" outlineLevel="0" collapsed="false">
      <c r="A1473" s="69"/>
      <c r="B1473" s="68"/>
      <c r="C1473" s="76" t="str">
        <f aca="false">IF(B1473="","",IFERROR(INDEX(EN_Des,MATCH(B1473,EN_Code,0)),"Code inconnu"))</f>
        <v/>
      </c>
      <c r="D1473" s="25"/>
      <c r="E1473" s="25"/>
      <c r="F1473" s="82"/>
      <c r="G1473" s="82"/>
      <c r="H1473" s="83" t="str">
        <f aca="false">IF(OR(F1473="",G1473=""),"",G1473-F1473)</f>
        <v/>
      </c>
      <c r="I1473" s="82"/>
      <c r="J1473" s="82"/>
      <c r="K1473" s="28"/>
      <c r="L1473" s="90" t="str">
        <f aca="false">IF(OR(K1473="",N(H1473)=0),"",K1473/H1473)</f>
        <v/>
      </c>
      <c r="M1473" s="68"/>
      <c r="N1473" s="28"/>
      <c r="O1473" s="25"/>
      <c r="P1473" s="83" t="str">
        <f aca="false">IF(OR(N1473="",N(H1473)=0),"",N1473/H1473)</f>
        <v/>
      </c>
      <c r="Q1473" s="25"/>
    </row>
    <row r="1474" customFormat="false" ht="15" hidden="false" customHeight="false" outlineLevel="0" collapsed="false">
      <c r="A1474" s="69"/>
      <c r="B1474" s="68"/>
      <c r="C1474" s="76" t="str">
        <f aca="false">IF(B1474="","",IFERROR(INDEX(EN_Des,MATCH(B1474,EN_Code,0)),"Code inconnu"))</f>
        <v/>
      </c>
      <c r="D1474" s="25"/>
      <c r="E1474" s="25"/>
      <c r="F1474" s="82"/>
      <c r="G1474" s="82"/>
      <c r="H1474" s="83" t="str">
        <f aca="false">IF(OR(F1474="",G1474=""),"",G1474-F1474)</f>
        <v/>
      </c>
      <c r="I1474" s="82"/>
      <c r="J1474" s="82"/>
      <c r="K1474" s="28"/>
      <c r="L1474" s="90" t="str">
        <f aca="false">IF(OR(K1474="",N(H1474)=0),"",K1474/H1474)</f>
        <v/>
      </c>
      <c r="M1474" s="68"/>
      <c r="N1474" s="28"/>
      <c r="O1474" s="25"/>
      <c r="P1474" s="83" t="str">
        <f aca="false">IF(OR(N1474="",N(H1474)=0),"",N1474/H1474)</f>
        <v/>
      </c>
      <c r="Q1474" s="25"/>
    </row>
    <row r="1475" customFormat="false" ht="15" hidden="false" customHeight="false" outlineLevel="0" collapsed="false">
      <c r="A1475" s="69"/>
      <c r="B1475" s="68"/>
      <c r="C1475" s="76" t="str">
        <f aca="false">IF(B1475="","",IFERROR(INDEX(EN_Des,MATCH(B1475,EN_Code,0)),"Code inconnu"))</f>
        <v/>
      </c>
      <c r="D1475" s="25"/>
      <c r="E1475" s="25"/>
      <c r="F1475" s="82"/>
      <c r="G1475" s="82"/>
      <c r="H1475" s="83" t="str">
        <f aca="false">IF(OR(F1475="",G1475=""),"",G1475-F1475)</f>
        <v/>
      </c>
      <c r="I1475" s="82"/>
      <c r="J1475" s="82"/>
      <c r="K1475" s="28"/>
      <c r="L1475" s="90" t="str">
        <f aca="false">IF(OR(K1475="",N(H1475)=0),"",K1475/H1475)</f>
        <v/>
      </c>
      <c r="M1475" s="68"/>
      <c r="N1475" s="28"/>
      <c r="O1475" s="25"/>
      <c r="P1475" s="83" t="str">
        <f aca="false">IF(OR(N1475="",N(H1475)=0),"",N1475/H1475)</f>
        <v/>
      </c>
      <c r="Q1475" s="25"/>
    </row>
    <row r="1476" customFormat="false" ht="15" hidden="false" customHeight="false" outlineLevel="0" collapsed="false">
      <c r="A1476" s="69"/>
      <c r="B1476" s="68"/>
      <c r="C1476" s="76" t="str">
        <f aca="false">IF(B1476="","",IFERROR(INDEX(EN_Des,MATCH(B1476,EN_Code,0)),"Code inconnu"))</f>
        <v/>
      </c>
      <c r="D1476" s="25"/>
      <c r="E1476" s="25"/>
      <c r="F1476" s="82"/>
      <c r="G1476" s="82"/>
      <c r="H1476" s="83" t="str">
        <f aca="false">IF(OR(F1476="",G1476=""),"",G1476-F1476)</f>
        <v/>
      </c>
      <c r="I1476" s="82"/>
      <c r="J1476" s="82"/>
      <c r="K1476" s="28"/>
      <c r="L1476" s="90" t="str">
        <f aca="false">IF(OR(K1476="",N(H1476)=0),"",K1476/H1476)</f>
        <v/>
      </c>
      <c r="M1476" s="68"/>
      <c r="N1476" s="28"/>
      <c r="O1476" s="25"/>
      <c r="P1476" s="83" t="str">
        <f aca="false">IF(OR(N1476="",N(H1476)=0),"",N1476/H1476)</f>
        <v/>
      </c>
      <c r="Q1476" s="25"/>
    </row>
    <row r="1477" customFormat="false" ht="15" hidden="false" customHeight="false" outlineLevel="0" collapsed="false">
      <c r="A1477" s="69"/>
      <c r="B1477" s="68"/>
      <c r="C1477" s="76" t="str">
        <f aca="false">IF(B1477="","",IFERROR(INDEX(EN_Des,MATCH(B1477,EN_Code,0)),"Code inconnu"))</f>
        <v/>
      </c>
      <c r="D1477" s="25"/>
      <c r="E1477" s="25"/>
      <c r="F1477" s="82"/>
      <c r="G1477" s="82"/>
      <c r="H1477" s="83" t="str">
        <f aca="false">IF(OR(F1477="",G1477=""),"",G1477-F1477)</f>
        <v/>
      </c>
      <c r="I1477" s="82"/>
      <c r="J1477" s="82"/>
      <c r="K1477" s="28"/>
      <c r="L1477" s="90" t="str">
        <f aca="false">IF(OR(K1477="",N(H1477)=0),"",K1477/H1477)</f>
        <v/>
      </c>
      <c r="M1477" s="68"/>
      <c r="N1477" s="28"/>
      <c r="O1477" s="25"/>
      <c r="P1477" s="83" t="str">
        <f aca="false">IF(OR(N1477="",N(H1477)=0),"",N1477/H1477)</f>
        <v/>
      </c>
      <c r="Q1477" s="25"/>
    </row>
    <row r="1478" customFormat="false" ht="15" hidden="false" customHeight="false" outlineLevel="0" collapsed="false">
      <c r="A1478" s="69"/>
      <c r="B1478" s="68"/>
      <c r="C1478" s="76" t="str">
        <f aca="false">IF(B1478="","",IFERROR(INDEX(EN_Des,MATCH(B1478,EN_Code,0)),"Code inconnu"))</f>
        <v/>
      </c>
      <c r="D1478" s="25"/>
      <c r="E1478" s="25"/>
      <c r="F1478" s="82"/>
      <c r="G1478" s="82"/>
      <c r="H1478" s="83" t="str">
        <f aca="false">IF(OR(F1478="",G1478=""),"",G1478-F1478)</f>
        <v/>
      </c>
      <c r="I1478" s="82"/>
      <c r="J1478" s="82"/>
      <c r="K1478" s="28"/>
      <c r="L1478" s="90" t="str">
        <f aca="false">IF(OR(K1478="",N(H1478)=0),"",K1478/H1478)</f>
        <v/>
      </c>
      <c r="M1478" s="68"/>
      <c r="N1478" s="28"/>
      <c r="O1478" s="25"/>
      <c r="P1478" s="83" t="str">
        <f aca="false">IF(OR(N1478="",N(H1478)=0),"",N1478/H1478)</f>
        <v/>
      </c>
      <c r="Q1478" s="25"/>
    </row>
    <row r="1479" customFormat="false" ht="15" hidden="false" customHeight="false" outlineLevel="0" collapsed="false">
      <c r="A1479" s="69"/>
      <c r="B1479" s="68"/>
      <c r="C1479" s="76" t="str">
        <f aca="false">IF(B1479="","",IFERROR(INDEX(EN_Des,MATCH(B1479,EN_Code,0)),"Code inconnu"))</f>
        <v/>
      </c>
      <c r="D1479" s="25"/>
      <c r="E1479" s="25"/>
      <c r="F1479" s="82"/>
      <c r="G1479" s="82"/>
      <c r="H1479" s="83" t="str">
        <f aca="false">IF(OR(F1479="",G1479=""),"",G1479-F1479)</f>
        <v/>
      </c>
      <c r="I1479" s="82"/>
      <c r="J1479" s="82"/>
      <c r="K1479" s="28"/>
      <c r="L1479" s="90" t="str">
        <f aca="false">IF(OR(K1479="",N(H1479)=0),"",K1479/H1479)</f>
        <v/>
      </c>
      <c r="M1479" s="68"/>
      <c r="N1479" s="28"/>
      <c r="O1479" s="25"/>
      <c r="P1479" s="83" t="str">
        <f aca="false">IF(OR(N1479="",N(H1479)=0),"",N1479/H1479)</f>
        <v/>
      </c>
      <c r="Q1479" s="25"/>
    </row>
    <row r="1480" customFormat="false" ht="15" hidden="false" customHeight="false" outlineLevel="0" collapsed="false">
      <c r="A1480" s="69"/>
      <c r="B1480" s="68"/>
      <c r="C1480" s="76" t="str">
        <f aca="false">IF(B1480="","",IFERROR(INDEX(EN_Des,MATCH(B1480,EN_Code,0)),"Code inconnu"))</f>
        <v/>
      </c>
      <c r="D1480" s="25"/>
      <c r="E1480" s="25"/>
      <c r="F1480" s="82"/>
      <c r="G1480" s="82"/>
      <c r="H1480" s="83" t="str">
        <f aca="false">IF(OR(F1480="",G1480=""),"",G1480-F1480)</f>
        <v/>
      </c>
      <c r="I1480" s="82"/>
      <c r="J1480" s="82"/>
      <c r="K1480" s="28"/>
      <c r="L1480" s="90" t="str">
        <f aca="false">IF(OR(K1480="",N(H1480)=0),"",K1480/H1480)</f>
        <v/>
      </c>
      <c r="M1480" s="68"/>
      <c r="N1480" s="28"/>
      <c r="O1480" s="25"/>
      <c r="P1480" s="83" t="str">
        <f aca="false">IF(OR(N1480="",N(H1480)=0),"",N1480/H1480)</f>
        <v/>
      </c>
      <c r="Q1480" s="25"/>
    </row>
    <row r="1481" customFormat="false" ht="15" hidden="false" customHeight="false" outlineLevel="0" collapsed="false">
      <c r="A1481" s="69"/>
      <c r="B1481" s="68"/>
      <c r="C1481" s="76" t="str">
        <f aca="false">IF(B1481="","",IFERROR(INDEX(EN_Des,MATCH(B1481,EN_Code,0)),"Code inconnu"))</f>
        <v/>
      </c>
      <c r="D1481" s="25"/>
      <c r="E1481" s="25"/>
      <c r="F1481" s="82"/>
      <c r="G1481" s="82"/>
      <c r="H1481" s="83" t="str">
        <f aca="false">IF(OR(F1481="",G1481=""),"",G1481-F1481)</f>
        <v/>
      </c>
      <c r="I1481" s="82"/>
      <c r="J1481" s="82"/>
      <c r="K1481" s="28"/>
      <c r="L1481" s="90" t="str">
        <f aca="false">IF(OR(K1481="",N(H1481)=0),"",K1481/H1481)</f>
        <v/>
      </c>
      <c r="M1481" s="68"/>
      <c r="N1481" s="28"/>
      <c r="O1481" s="25"/>
      <c r="P1481" s="83" t="str">
        <f aca="false">IF(OR(N1481="",N(H1481)=0),"",N1481/H1481)</f>
        <v/>
      </c>
      <c r="Q1481" s="25"/>
    </row>
    <row r="1482" customFormat="false" ht="15" hidden="false" customHeight="false" outlineLevel="0" collapsed="false">
      <c r="A1482" s="69"/>
      <c r="B1482" s="68"/>
      <c r="C1482" s="76" t="str">
        <f aca="false">IF(B1482="","",IFERROR(INDEX(EN_Des,MATCH(B1482,EN_Code,0)),"Code inconnu"))</f>
        <v/>
      </c>
      <c r="D1482" s="25"/>
      <c r="E1482" s="25"/>
      <c r="F1482" s="82"/>
      <c r="G1482" s="82"/>
      <c r="H1482" s="83" t="str">
        <f aca="false">IF(OR(F1482="",G1482=""),"",G1482-F1482)</f>
        <v/>
      </c>
      <c r="I1482" s="82"/>
      <c r="J1482" s="82"/>
      <c r="K1482" s="28"/>
      <c r="L1482" s="90" t="str">
        <f aca="false">IF(OR(K1482="",N(H1482)=0),"",K1482/H1482)</f>
        <v/>
      </c>
      <c r="M1482" s="68"/>
      <c r="N1482" s="28"/>
      <c r="O1482" s="25"/>
      <c r="P1482" s="83" t="str">
        <f aca="false">IF(OR(N1482="",N(H1482)=0),"",N1482/H1482)</f>
        <v/>
      </c>
      <c r="Q1482" s="25"/>
    </row>
    <row r="1483" customFormat="false" ht="15" hidden="false" customHeight="false" outlineLevel="0" collapsed="false">
      <c r="A1483" s="69"/>
      <c r="B1483" s="68"/>
      <c r="C1483" s="76" t="str">
        <f aca="false">IF(B1483="","",IFERROR(INDEX(EN_Des,MATCH(B1483,EN_Code,0)),"Code inconnu"))</f>
        <v/>
      </c>
      <c r="D1483" s="25"/>
      <c r="E1483" s="25"/>
      <c r="F1483" s="82"/>
      <c r="G1483" s="82"/>
      <c r="H1483" s="83" t="str">
        <f aca="false">IF(OR(F1483="",G1483=""),"",G1483-F1483)</f>
        <v/>
      </c>
      <c r="I1483" s="82"/>
      <c r="J1483" s="82"/>
      <c r="K1483" s="28"/>
      <c r="L1483" s="90" t="str">
        <f aca="false">IF(OR(K1483="",N(H1483)=0),"",K1483/H1483)</f>
        <v/>
      </c>
      <c r="M1483" s="68"/>
      <c r="N1483" s="28"/>
      <c r="O1483" s="25"/>
      <c r="P1483" s="83" t="str">
        <f aca="false">IF(OR(N1483="",N(H1483)=0),"",N1483/H1483)</f>
        <v/>
      </c>
      <c r="Q1483" s="25"/>
    </row>
    <row r="1484" customFormat="false" ht="15" hidden="false" customHeight="false" outlineLevel="0" collapsed="false">
      <c r="A1484" s="69"/>
      <c r="B1484" s="68"/>
      <c r="C1484" s="76" t="str">
        <f aca="false">IF(B1484="","",IFERROR(INDEX(EN_Des,MATCH(B1484,EN_Code,0)),"Code inconnu"))</f>
        <v/>
      </c>
      <c r="D1484" s="25"/>
      <c r="E1484" s="25"/>
      <c r="F1484" s="82"/>
      <c r="G1484" s="82"/>
      <c r="H1484" s="83" t="str">
        <f aca="false">IF(OR(F1484="",G1484=""),"",G1484-F1484)</f>
        <v/>
      </c>
      <c r="I1484" s="82"/>
      <c r="J1484" s="82"/>
      <c r="K1484" s="28"/>
      <c r="L1484" s="90" t="str">
        <f aca="false">IF(OR(K1484="",N(H1484)=0),"",K1484/H1484)</f>
        <v/>
      </c>
      <c r="M1484" s="68"/>
      <c r="N1484" s="28"/>
      <c r="O1484" s="25"/>
      <c r="P1484" s="83" t="str">
        <f aca="false">IF(OR(N1484="",N(H1484)=0),"",N1484/H1484)</f>
        <v/>
      </c>
      <c r="Q1484" s="25"/>
    </row>
    <row r="1485" customFormat="false" ht="15" hidden="false" customHeight="false" outlineLevel="0" collapsed="false">
      <c r="A1485" s="69"/>
      <c r="B1485" s="68"/>
      <c r="C1485" s="76" t="str">
        <f aca="false">IF(B1485="","",IFERROR(INDEX(EN_Des,MATCH(B1485,EN_Code,0)),"Code inconnu"))</f>
        <v/>
      </c>
      <c r="D1485" s="25"/>
      <c r="E1485" s="25"/>
      <c r="F1485" s="82"/>
      <c r="G1485" s="82"/>
      <c r="H1485" s="83" t="str">
        <f aca="false">IF(OR(F1485="",G1485=""),"",G1485-F1485)</f>
        <v/>
      </c>
      <c r="I1485" s="82"/>
      <c r="J1485" s="82"/>
      <c r="K1485" s="28"/>
      <c r="L1485" s="90" t="str">
        <f aca="false">IF(OR(K1485="",N(H1485)=0),"",K1485/H1485)</f>
        <v/>
      </c>
      <c r="M1485" s="68"/>
      <c r="N1485" s="28"/>
      <c r="O1485" s="25"/>
      <c r="P1485" s="83" t="str">
        <f aca="false">IF(OR(N1485="",N(H1485)=0),"",N1485/H1485)</f>
        <v/>
      </c>
      <c r="Q1485" s="25"/>
    </row>
    <row r="1486" customFormat="false" ht="15" hidden="false" customHeight="false" outlineLevel="0" collapsed="false">
      <c r="A1486" s="69"/>
      <c r="B1486" s="68"/>
      <c r="C1486" s="76" t="str">
        <f aca="false">IF(B1486="","",IFERROR(INDEX(EN_Des,MATCH(B1486,EN_Code,0)),"Code inconnu"))</f>
        <v/>
      </c>
      <c r="D1486" s="25"/>
      <c r="E1486" s="25"/>
      <c r="F1486" s="82"/>
      <c r="G1486" s="82"/>
      <c r="H1486" s="83" t="str">
        <f aca="false">IF(OR(F1486="",G1486=""),"",G1486-F1486)</f>
        <v/>
      </c>
      <c r="I1486" s="82"/>
      <c r="J1486" s="82"/>
      <c r="K1486" s="28"/>
      <c r="L1486" s="90" t="str">
        <f aca="false">IF(OR(K1486="",N(H1486)=0),"",K1486/H1486)</f>
        <v/>
      </c>
      <c r="M1486" s="68"/>
      <c r="N1486" s="28"/>
      <c r="O1486" s="25"/>
      <c r="P1486" s="83" t="str">
        <f aca="false">IF(OR(N1486="",N(H1486)=0),"",N1486/H1486)</f>
        <v/>
      </c>
      <c r="Q1486" s="25"/>
    </row>
    <row r="1487" customFormat="false" ht="15" hidden="false" customHeight="false" outlineLevel="0" collapsed="false">
      <c r="A1487" s="69"/>
      <c r="B1487" s="68"/>
      <c r="C1487" s="76" t="str">
        <f aca="false">IF(B1487="","",IFERROR(INDEX(EN_Des,MATCH(B1487,EN_Code,0)),"Code inconnu"))</f>
        <v/>
      </c>
      <c r="D1487" s="25"/>
      <c r="E1487" s="25"/>
      <c r="F1487" s="82"/>
      <c r="G1487" s="82"/>
      <c r="H1487" s="83" t="str">
        <f aca="false">IF(OR(F1487="",G1487=""),"",G1487-F1487)</f>
        <v/>
      </c>
      <c r="I1487" s="82"/>
      <c r="J1487" s="82"/>
      <c r="K1487" s="28"/>
      <c r="L1487" s="90" t="str">
        <f aca="false">IF(OR(K1487="",N(H1487)=0),"",K1487/H1487)</f>
        <v/>
      </c>
      <c r="M1487" s="68"/>
      <c r="N1487" s="28"/>
      <c r="O1487" s="25"/>
      <c r="P1487" s="83" t="str">
        <f aca="false">IF(OR(N1487="",N(H1487)=0),"",N1487/H1487)</f>
        <v/>
      </c>
      <c r="Q1487" s="25"/>
    </row>
    <row r="1488" customFormat="false" ht="15" hidden="false" customHeight="false" outlineLevel="0" collapsed="false">
      <c r="A1488" s="69"/>
      <c r="B1488" s="68"/>
      <c r="C1488" s="76" t="str">
        <f aca="false">IF(B1488="","",IFERROR(INDEX(EN_Des,MATCH(B1488,EN_Code,0)),"Code inconnu"))</f>
        <v/>
      </c>
      <c r="D1488" s="25"/>
      <c r="E1488" s="25"/>
      <c r="F1488" s="82"/>
      <c r="G1488" s="82"/>
      <c r="H1488" s="83" t="str">
        <f aca="false">IF(OR(F1488="",G1488=""),"",G1488-F1488)</f>
        <v/>
      </c>
      <c r="I1488" s="82"/>
      <c r="J1488" s="82"/>
      <c r="K1488" s="28"/>
      <c r="L1488" s="90" t="str">
        <f aca="false">IF(OR(K1488="",N(H1488)=0),"",K1488/H1488)</f>
        <v/>
      </c>
      <c r="M1488" s="68"/>
      <c r="N1488" s="28"/>
      <c r="O1488" s="25"/>
      <c r="P1488" s="83" t="str">
        <f aca="false">IF(OR(N1488="",N(H1488)=0),"",N1488/H1488)</f>
        <v/>
      </c>
      <c r="Q1488" s="25"/>
    </row>
    <row r="1489" customFormat="false" ht="15" hidden="false" customHeight="false" outlineLevel="0" collapsed="false">
      <c r="A1489" s="69"/>
      <c r="B1489" s="68"/>
      <c r="C1489" s="76" t="str">
        <f aca="false">IF(B1489="","",IFERROR(INDEX(EN_Des,MATCH(B1489,EN_Code,0)),"Code inconnu"))</f>
        <v/>
      </c>
      <c r="D1489" s="25"/>
      <c r="E1489" s="25"/>
      <c r="F1489" s="82"/>
      <c r="G1489" s="82"/>
      <c r="H1489" s="83" t="str">
        <f aca="false">IF(OR(F1489="",G1489=""),"",G1489-F1489)</f>
        <v/>
      </c>
      <c r="I1489" s="82"/>
      <c r="J1489" s="82"/>
      <c r="K1489" s="28"/>
      <c r="L1489" s="90" t="str">
        <f aca="false">IF(OR(K1489="",N(H1489)=0),"",K1489/H1489)</f>
        <v/>
      </c>
      <c r="M1489" s="68"/>
      <c r="N1489" s="28"/>
      <c r="O1489" s="25"/>
      <c r="P1489" s="83" t="str">
        <f aca="false">IF(OR(N1489="",N(H1489)=0),"",N1489/H1489)</f>
        <v/>
      </c>
      <c r="Q1489" s="25"/>
    </row>
    <row r="1490" customFormat="false" ht="15" hidden="false" customHeight="false" outlineLevel="0" collapsed="false">
      <c r="A1490" s="69"/>
      <c r="B1490" s="68"/>
      <c r="C1490" s="76" t="str">
        <f aca="false">IF(B1490="","",IFERROR(INDEX(EN_Des,MATCH(B1490,EN_Code,0)),"Code inconnu"))</f>
        <v/>
      </c>
      <c r="D1490" s="25"/>
      <c r="E1490" s="25"/>
      <c r="F1490" s="82"/>
      <c r="G1490" s="82"/>
      <c r="H1490" s="83" t="str">
        <f aca="false">IF(OR(F1490="",G1490=""),"",G1490-F1490)</f>
        <v/>
      </c>
      <c r="I1490" s="82"/>
      <c r="J1490" s="82"/>
      <c r="K1490" s="28"/>
      <c r="L1490" s="90" t="str">
        <f aca="false">IF(OR(K1490="",N(H1490)=0),"",K1490/H1490)</f>
        <v/>
      </c>
      <c r="M1490" s="68"/>
      <c r="N1490" s="28"/>
      <c r="O1490" s="25"/>
      <c r="P1490" s="83" t="str">
        <f aca="false">IF(OR(N1490="",N(H1490)=0),"",N1490/H1490)</f>
        <v/>
      </c>
      <c r="Q1490" s="25"/>
    </row>
    <row r="1491" customFormat="false" ht="15" hidden="false" customHeight="false" outlineLevel="0" collapsed="false">
      <c r="A1491" s="69"/>
      <c r="B1491" s="68"/>
      <c r="C1491" s="76" t="str">
        <f aca="false">IF(B1491="","",IFERROR(INDEX(EN_Des,MATCH(B1491,EN_Code,0)),"Code inconnu"))</f>
        <v/>
      </c>
      <c r="D1491" s="25"/>
      <c r="E1491" s="25"/>
      <c r="F1491" s="82"/>
      <c r="G1491" s="82"/>
      <c r="H1491" s="83" t="str">
        <f aca="false">IF(OR(F1491="",G1491=""),"",G1491-F1491)</f>
        <v/>
      </c>
      <c r="I1491" s="82"/>
      <c r="J1491" s="82"/>
      <c r="K1491" s="28"/>
      <c r="L1491" s="90" t="str">
        <f aca="false">IF(OR(K1491="",N(H1491)=0),"",K1491/H1491)</f>
        <v/>
      </c>
      <c r="M1491" s="68"/>
      <c r="N1491" s="28"/>
      <c r="O1491" s="25"/>
      <c r="P1491" s="83" t="str">
        <f aca="false">IF(OR(N1491="",N(H1491)=0),"",N1491/H1491)</f>
        <v/>
      </c>
      <c r="Q1491" s="25"/>
    </row>
    <row r="1492" customFormat="false" ht="15" hidden="false" customHeight="false" outlineLevel="0" collapsed="false">
      <c r="A1492" s="69"/>
      <c r="B1492" s="68"/>
      <c r="C1492" s="76" t="str">
        <f aca="false">IF(B1492="","",IFERROR(INDEX(EN_Des,MATCH(B1492,EN_Code,0)),"Code inconnu"))</f>
        <v/>
      </c>
      <c r="D1492" s="25"/>
      <c r="E1492" s="25"/>
      <c r="F1492" s="82"/>
      <c r="G1492" s="82"/>
      <c r="H1492" s="83" t="str">
        <f aca="false">IF(OR(F1492="",G1492=""),"",G1492-F1492)</f>
        <v/>
      </c>
      <c r="I1492" s="82"/>
      <c r="J1492" s="82"/>
      <c r="K1492" s="28"/>
      <c r="L1492" s="90" t="str">
        <f aca="false">IF(OR(K1492="",N(H1492)=0),"",K1492/H1492)</f>
        <v/>
      </c>
      <c r="M1492" s="68"/>
      <c r="N1492" s="28"/>
      <c r="O1492" s="25"/>
      <c r="P1492" s="83" t="str">
        <f aca="false">IF(OR(N1492="",N(H1492)=0),"",N1492/H1492)</f>
        <v/>
      </c>
      <c r="Q1492" s="25"/>
    </row>
    <row r="1493" customFormat="false" ht="15" hidden="false" customHeight="false" outlineLevel="0" collapsed="false">
      <c r="A1493" s="69"/>
      <c r="B1493" s="68"/>
      <c r="C1493" s="76" t="str">
        <f aca="false">IF(B1493="","",IFERROR(INDEX(EN_Des,MATCH(B1493,EN_Code,0)),"Code inconnu"))</f>
        <v/>
      </c>
      <c r="D1493" s="25"/>
      <c r="E1493" s="25"/>
      <c r="F1493" s="82"/>
      <c r="G1493" s="82"/>
      <c r="H1493" s="83" t="str">
        <f aca="false">IF(OR(F1493="",G1493=""),"",G1493-F1493)</f>
        <v/>
      </c>
      <c r="I1493" s="82"/>
      <c r="J1493" s="82"/>
      <c r="K1493" s="28"/>
      <c r="L1493" s="90" t="str">
        <f aca="false">IF(OR(K1493="",N(H1493)=0),"",K1493/H1493)</f>
        <v/>
      </c>
      <c r="M1493" s="68"/>
      <c r="N1493" s="28"/>
      <c r="O1493" s="25"/>
      <c r="P1493" s="83" t="str">
        <f aca="false">IF(OR(N1493="",N(H1493)=0),"",N1493/H1493)</f>
        <v/>
      </c>
      <c r="Q1493" s="25"/>
    </row>
    <row r="1494" customFormat="false" ht="15" hidden="false" customHeight="false" outlineLevel="0" collapsed="false">
      <c r="A1494" s="69"/>
      <c r="B1494" s="68"/>
      <c r="C1494" s="76" t="str">
        <f aca="false">IF(B1494="","",IFERROR(INDEX(EN_Des,MATCH(B1494,EN_Code,0)),"Code inconnu"))</f>
        <v/>
      </c>
      <c r="D1494" s="25"/>
      <c r="E1494" s="25"/>
      <c r="F1494" s="82"/>
      <c r="G1494" s="82"/>
      <c r="H1494" s="83" t="str">
        <f aca="false">IF(OR(F1494="",G1494=""),"",G1494-F1494)</f>
        <v/>
      </c>
      <c r="I1494" s="82"/>
      <c r="J1494" s="82"/>
      <c r="K1494" s="28"/>
      <c r="L1494" s="90" t="str">
        <f aca="false">IF(OR(K1494="",N(H1494)=0),"",K1494/H1494)</f>
        <v/>
      </c>
      <c r="M1494" s="68"/>
      <c r="N1494" s="28"/>
      <c r="O1494" s="25"/>
      <c r="P1494" s="83" t="str">
        <f aca="false">IF(OR(N1494="",N(H1494)=0),"",N1494/H1494)</f>
        <v/>
      </c>
      <c r="Q1494" s="25"/>
    </row>
    <row r="1495" customFormat="false" ht="15" hidden="false" customHeight="false" outlineLevel="0" collapsed="false">
      <c r="A1495" s="69"/>
      <c r="B1495" s="68"/>
      <c r="C1495" s="76" t="str">
        <f aca="false">IF(B1495="","",IFERROR(INDEX(EN_Des,MATCH(B1495,EN_Code,0)),"Code inconnu"))</f>
        <v/>
      </c>
      <c r="D1495" s="25"/>
      <c r="E1495" s="25"/>
      <c r="F1495" s="82"/>
      <c r="G1495" s="82"/>
      <c r="H1495" s="83" t="str">
        <f aca="false">IF(OR(F1495="",G1495=""),"",G1495-F1495)</f>
        <v/>
      </c>
      <c r="I1495" s="82"/>
      <c r="J1495" s="82"/>
      <c r="K1495" s="28"/>
      <c r="L1495" s="90" t="str">
        <f aca="false">IF(OR(K1495="",N(H1495)=0),"",K1495/H1495)</f>
        <v/>
      </c>
      <c r="M1495" s="68"/>
      <c r="N1495" s="28"/>
      <c r="O1495" s="25"/>
      <c r="P1495" s="83" t="str">
        <f aca="false">IF(OR(N1495="",N(H1495)=0),"",N1495/H1495)</f>
        <v/>
      </c>
      <c r="Q1495" s="25"/>
    </row>
    <row r="1496" customFormat="false" ht="15" hidden="false" customHeight="false" outlineLevel="0" collapsed="false">
      <c r="A1496" s="69"/>
      <c r="B1496" s="68"/>
      <c r="C1496" s="76" t="str">
        <f aca="false">IF(B1496="","",IFERROR(INDEX(EN_Des,MATCH(B1496,EN_Code,0)),"Code inconnu"))</f>
        <v/>
      </c>
      <c r="D1496" s="25"/>
      <c r="E1496" s="25"/>
      <c r="F1496" s="82"/>
      <c r="G1496" s="82"/>
      <c r="H1496" s="83" t="str">
        <f aca="false">IF(OR(F1496="",G1496=""),"",G1496-F1496)</f>
        <v/>
      </c>
      <c r="I1496" s="82"/>
      <c r="J1496" s="82"/>
      <c r="K1496" s="28"/>
      <c r="L1496" s="90" t="str">
        <f aca="false">IF(OR(K1496="",N(H1496)=0),"",K1496/H1496)</f>
        <v/>
      </c>
      <c r="M1496" s="68"/>
      <c r="N1496" s="28"/>
      <c r="O1496" s="25"/>
      <c r="P1496" s="83" t="str">
        <f aca="false">IF(OR(N1496="",N(H1496)=0),"",N1496/H1496)</f>
        <v/>
      </c>
      <c r="Q1496" s="25"/>
    </row>
    <row r="1497" customFormat="false" ht="15" hidden="false" customHeight="false" outlineLevel="0" collapsed="false">
      <c r="A1497" s="69"/>
      <c r="B1497" s="68"/>
      <c r="C1497" s="76" t="str">
        <f aca="false">IF(B1497="","",IFERROR(INDEX(EN_Des,MATCH(B1497,EN_Code,0)),"Code inconnu"))</f>
        <v/>
      </c>
      <c r="D1497" s="25"/>
      <c r="E1497" s="25"/>
      <c r="F1497" s="82"/>
      <c r="G1497" s="82"/>
      <c r="H1497" s="83" t="str">
        <f aca="false">IF(OR(F1497="",G1497=""),"",G1497-F1497)</f>
        <v/>
      </c>
      <c r="I1497" s="82"/>
      <c r="J1497" s="82"/>
      <c r="K1497" s="28"/>
      <c r="L1497" s="90" t="str">
        <f aca="false">IF(OR(K1497="",N(H1497)=0),"",K1497/H1497)</f>
        <v/>
      </c>
      <c r="M1497" s="68"/>
      <c r="N1497" s="28"/>
      <c r="O1497" s="25"/>
      <c r="P1497" s="83" t="str">
        <f aca="false">IF(OR(N1497="",N(H1497)=0),"",N1497/H1497)</f>
        <v/>
      </c>
      <c r="Q1497" s="25"/>
    </row>
    <row r="1498" customFormat="false" ht="15" hidden="false" customHeight="false" outlineLevel="0" collapsed="false">
      <c r="A1498" s="69"/>
      <c r="B1498" s="68"/>
      <c r="C1498" s="76" t="str">
        <f aca="false">IF(B1498="","",IFERROR(INDEX(EN_Des,MATCH(B1498,EN_Code,0)),"Code inconnu"))</f>
        <v/>
      </c>
      <c r="D1498" s="25"/>
      <c r="E1498" s="25"/>
      <c r="F1498" s="82"/>
      <c r="G1498" s="82"/>
      <c r="H1498" s="83" t="str">
        <f aca="false">IF(OR(F1498="",G1498=""),"",G1498-F1498)</f>
        <v/>
      </c>
      <c r="I1498" s="82"/>
      <c r="J1498" s="82"/>
      <c r="K1498" s="28"/>
      <c r="L1498" s="90" t="str">
        <f aca="false">IF(OR(K1498="",N(H1498)=0),"",K1498/H1498)</f>
        <v/>
      </c>
      <c r="M1498" s="68"/>
      <c r="N1498" s="28"/>
      <c r="O1498" s="25"/>
      <c r="P1498" s="83" t="str">
        <f aca="false">IF(OR(N1498="",N(H1498)=0),"",N1498/H1498)</f>
        <v/>
      </c>
      <c r="Q1498" s="25"/>
    </row>
    <row r="1499" customFormat="false" ht="15" hidden="false" customHeight="false" outlineLevel="0" collapsed="false">
      <c r="A1499" s="69"/>
      <c r="B1499" s="68"/>
      <c r="C1499" s="76" t="str">
        <f aca="false">IF(B1499="","",IFERROR(INDEX(EN_Des,MATCH(B1499,EN_Code,0)),"Code inconnu"))</f>
        <v/>
      </c>
      <c r="D1499" s="25"/>
      <c r="E1499" s="25"/>
      <c r="F1499" s="82"/>
      <c r="G1499" s="82"/>
      <c r="H1499" s="83" t="str">
        <f aca="false">IF(OR(F1499="",G1499=""),"",G1499-F1499)</f>
        <v/>
      </c>
      <c r="I1499" s="82"/>
      <c r="J1499" s="82"/>
      <c r="K1499" s="28"/>
      <c r="L1499" s="90" t="str">
        <f aca="false">IF(OR(K1499="",N(H1499)=0),"",K1499/H1499)</f>
        <v/>
      </c>
      <c r="M1499" s="68"/>
      <c r="N1499" s="28"/>
      <c r="O1499" s="25"/>
      <c r="P1499" s="83" t="str">
        <f aca="false">IF(OR(N1499="",N(H1499)=0),"",N1499/H1499)</f>
        <v/>
      </c>
      <c r="Q1499" s="25"/>
    </row>
    <row r="1500" customFormat="false" ht="15" hidden="false" customHeight="false" outlineLevel="0" collapsed="false">
      <c r="A1500" s="69"/>
      <c r="B1500" s="68"/>
      <c r="C1500" s="76" t="str">
        <f aca="false">IF(B1500="","",IFERROR(INDEX(EN_Des,MATCH(B1500,EN_Code,0)),"Code inconnu"))</f>
        <v/>
      </c>
      <c r="D1500" s="25"/>
      <c r="E1500" s="25"/>
      <c r="F1500" s="82"/>
      <c r="G1500" s="82"/>
      <c r="H1500" s="83" t="str">
        <f aca="false">IF(OR(F1500="",G1500=""),"",G1500-F1500)</f>
        <v/>
      </c>
      <c r="I1500" s="82"/>
      <c r="J1500" s="82"/>
      <c r="K1500" s="28"/>
      <c r="L1500" s="90" t="str">
        <f aca="false">IF(OR(K1500="",N(H1500)=0),"",K1500/H1500)</f>
        <v/>
      </c>
      <c r="M1500" s="68"/>
      <c r="N1500" s="28"/>
      <c r="O1500" s="25"/>
      <c r="P1500" s="83" t="str">
        <f aca="false">IF(OR(N1500="",N(H1500)=0),"",N1500/H1500)</f>
        <v/>
      </c>
      <c r="Q1500" s="25"/>
    </row>
    <row r="1501" customFormat="false" ht="15" hidden="false" customHeight="false" outlineLevel="0" collapsed="false">
      <c r="A1501" s="69"/>
      <c r="B1501" s="68"/>
      <c r="C1501" s="76" t="str">
        <f aca="false">IF(B1501="","",IFERROR(INDEX(EN_Des,MATCH(B1501,EN_Code,0)),"Code inconnu"))</f>
        <v/>
      </c>
      <c r="D1501" s="25"/>
      <c r="E1501" s="25"/>
      <c r="F1501" s="82"/>
      <c r="G1501" s="82"/>
      <c r="H1501" s="83" t="str">
        <f aca="false">IF(OR(F1501="",G1501=""),"",G1501-F1501)</f>
        <v/>
      </c>
      <c r="I1501" s="82"/>
      <c r="J1501" s="82"/>
      <c r="K1501" s="28"/>
      <c r="L1501" s="90" t="str">
        <f aca="false">IF(OR(K1501="",N(H1501)=0),"",K1501/H1501)</f>
        <v/>
      </c>
      <c r="M1501" s="68"/>
      <c r="N1501" s="28"/>
      <c r="O1501" s="25"/>
      <c r="P1501" s="83" t="str">
        <f aca="false">IF(OR(N1501="",N(H1501)=0),"",N1501/H1501)</f>
        <v/>
      </c>
      <c r="Q1501" s="25"/>
    </row>
    <row r="1502" customFormat="false" ht="15" hidden="false" customHeight="false" outlineLevel="0" collapsed="false">
      <c r="A1502" s="69"/>
      <c r="B1502" s="68"/>
      <c r="C1502" s="76" t="str">
        <f aca="false">IF(B1502="","",IFERROR(INDEX(EN_Des,MATCH(B1502,EN_Code,0)),"Code inconnu"))</f>
        <v/>
      </c>
      <c r="D1502" s="25"/>
      <c r="E1502" s="25"/>
      <c r="F1502" s="82"/>
      <c r="G1502" s="82"/>
      <c r="H1502" s="83" t="str">
        <f aca="false">IF(OR(F1502="",G1502=""),"",G1502-F1502)</f>
        <v/>
      </c>
      <c r="I1502" s="82"/>
      <c r="J1502" s="82"/>
      <c r="K1502" s="28"/>
      <c r="L1502" s="90" t="str">
        <f aca="false">IF(OR(K1502="",N(H1502)=0),"",K1502/H1502)</f>
        <v/>
      </c>
      <c r="M1502" s="68"/>
      <c r="N1502" s="28"/>
      <c r="O1502" s="25"/>
      <c r="P1502" s="83" t="str">
        <f aca="false">IF(OR(N1502="",N(H1502)=0),"",N1502/H1502)</f>
        <v/>
      </c>
      <c r="Q1502" s="25"/>
    </row>
    <row r="1503" customFormat="false" ht="15" hidden="false" customHeight="false" outlineLevel="0" collapsed="false">
      <c r="A1503" s="69"/>
      <c r="B1503" s="68"/>
      <c r="C1503" s="76" t="str">
        <f aca="false">IF(B1503="","",IFERROR(INDEX(EN_Des,MATCH(B1503,EN_Code,0)),"Code inconnu"))</f>
        <v/>
      </c>
      <c r="D1503" s="25"/>
      <c r="E1503" s="25"/>
      <c r="F1503" s="82"/>
      <c r="G1503" s="82"/>
      <c r="H1503" s="83" t="str">
        <f aca="false">IF(OR(F1503="",G1503=""),"",G1503-F1503)</f>
        <v/>
      </c>
      <c r="I1503" s="82"/>
      <c r="J1503" s="82"/>
      <c r="K1503" s="28"/>
      <c r="L1503" s="90" t="str">
        <f aca="false">IF(OR(K1503="",N(H1503)=0),"",K1503/H1503)</f>
        <v/>
      </c>
      <c r="M1503" s="68"/>
      <c r="N1503" s="28"/>
      <c r="O1503" s="25"/>
      <c r="P1503" s="83" t="str">
        <f aca="false">IF(OR(N1503="",N(H1503)=0),"",N1503/H1503)</f>
        <v/>
      </c>
      <c r="Q1503" s="25"/>
    </row>
    <row r="1504" customFormat="false" ht="15" hidden="false" customHeight="false" outlineLevel="0" collapsed="false">
      <c r="A1504" s="69"/>
      <c r="B1504" s="68"/>
      <c r="C1504" s="76" t="str">
        <f aca="false">IF(B1504="","",IFERROR(INDEX(EN_Des,MATCH(B1504,EN_Code,0)),"Code inconnu"))</f>
        <v/>
      </c>
      <c r="D1504" s="25"/>
      <c r="E1504" s="25"/>
      <c r="F1504" s="82"/>
      <c r="G1504" s="82"/>
      <c r="H1504" s="83" t="str">
        <f aca="false">IF(OR(F1504="",G1504=""),"",G1504-F1504)</f>
        <v/>
      </c>
      <c r="I1504" s="82"/>
      <c r="J1504" s="82"/>
      <c r="K1504" s="28"/>
      <c r="L1504" s="90" t="str">
        <f aca="false">IF(OR(K1504="",N(H1504)=0),"",K1504/H1504)</f>
        <v/>
      </c>
      <c r="M1504" s="68"/>
      <c r="N1504" s="28"/>
      <c r="O1504" s="25"/>
      <c r="P1504" s="83" t="str">
        <f aca="false">IF(OR(N1504="",N(H1504)=0),"",N1504/H1504)</f>
        <v/>
      </c>
      <c r="Q1504" s="25"/>
    </row>
    <row r="1505" customFormat="false" ht="15" hidden="false" customHeight="false" outlineLevel="0" collapsed="false">
      <c r="A1505" s="69"/>
      <c r="B1505" s="68"/>
      <c r="C1505" s="76" t="str">
        <f aca="false">IF(B1505="","",IFERROR(INDEX(EN_Des,MATCH(B1505,EN_Code,0)),"Code inconnu"))</f>
        <v/>
      </c>
      <c r="D1505" s="25"/>
      <c r="E1505" s="25"/>
      <c r="F1505" s="82"/>
      <c r="G1505" s="82"/>
      <c r="H1505" s="83" t="str">
        <f aca="false">IF(OR(F1505="",G1505=""),"",G1505-F1505)</f>
        <v/>
      </c>
      <c r="I1505" s="82"/>
      <c r="J1505" s="82"/>
      <c r="K1505" s="28"/>
      <c r="L1505" s="90" t="str">
        <f aca="false">IF(OR(K1505="",N(H1505)=0),"",K1505/H1505)</f>
        <v/>
      </c>
      <c r="M1505" s="68"/>
      <c r="N1505" s="28"/>
      <c r="O1505" s="25"/>
      <c r="P1505" s="83" t="str">
        <f aca="false">IF(OR(N1505="",N(H1505)=0),"",N1505/H1505)</f>
        <v/>
      </c>
      <c r="Q1505" s="25"/>
    </row>
    <row r="1506" customFormat="false" ht="15" hidden="false" customHeight="false" outlineLevel="0" collapsed="false">
      <c r="A1506" s="69"/>
      <c r="B1506" s="68"/>
      <c r="C1506" s="76" t="str">
        <f aca="false">IF(B1506="","",IFERROR(INDEX(EN_Des,MATCH(B1506,EN_Code,0)),"Code inconnu"))</f>
        <v/>
      </c>
      <c r="D1506" s="25"/>
      <c r="E1506" s="25"/>
      <c r="F1506" s="82"/>
      <c r="G1506" s="82"/>
      <c r="H1506" s="83" t="str">
        <f aca="false">IF(OR(F1506="",G1506=""),"",G1506-F1506)</f>
        <v/>
      </c>
      <c r="I1506" s="82"/>
      <c r="J1506" s="82"/>
      <c r="K1506" s="28"/>
      <c r="L1506" s="90" t="str">
        <f aca="false">IF(OR(K1506="",N(H1506)=0),"",K1506/H1506)</f>
        <v/>
      </c>
      <c r="M1506" s="68"/>
      <c r="N1506" s="28"/>
      <c r="O1506" s="25"/>
      <c r="P1506" s="83" t="str">
        <f aca="false">IF(OR(N1506="",N(H1506)=0),"",N1506/H1506)</f>
        <v/>
      </c>
      <c r="Q1506" s="25"/>
    </row>
  </sheetData>
  <autoFilter ref="A6:Q1506"/>
  <mergeCells count="4">
    <mergeCell ref="A1:Q1"/>
    <mergeCell ref="A2:Q2"/>
    <mergeCell ref="A3:Q3"/>
    <mergeCell ref="A4:Q4"/>
  </mergeCells>
  <conditionalFormatting sqref="G7:G1506">
    <cfRule type="expression" priority="2" aboveAverage="0" equalAverage="0" bottom="0" percent="0" rank="0" text="" dxfId="16">
      <formula>AND(G7&lt;&gt;"",G7&lt;F7)</formula>
    </cfRule>
  </conditionalFormatting>
  <conditionalFormatting sqref="I7:I1506">
    <cfRule type="cellIs" priority="3" operator="greaterThan" aboveAverage="0" equalAverage="0" bottom="0" percent="0" rank="0" text="" dxfId="19">
      <formula>0</formula>
    </cfRule>
  </conditionalFormatting>
  <dataValidations count="3">
    <dataValidation allowBlank="true" errorStyle="stop" operator="between" showDropDown="false" showErrorMessage="true" showInputMessage="false" sqref="B7:B1506" type="list">
      <formula1>EN_Code</formula1>
      <formula2>0</formula2>
    </dataValidation>
    <dataValidation allowBlank="true" errorStyle="stop" operator="between" showDropDown="false" showErrorMessage="true" showInputMessage="false" sqref="D7:D1506" type="list">
      <formula1>L_Lots</formula1>
      <formula2>0</formula2>
    </dataValidation>
    <dataValidation allowBlank="true" errorStyle="stop" operator="between" showDropDown="false" showErrorMessage="true" showInputMessage="false" sqref="M7:M1506" type="list">
      <formula1>PE_Mat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true"/>
  </sheetPr>
  <dimension ref="A1:G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6"/>
    <col collapsed="false" customWidth="true" hidden="false" outlineLevel="0" max="7" min="7" style="0" width="18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</row>
    <row r="2" customFormat="false" ht="19.5" hidden="false" customHeight="true" outlineLevel="0" collapsed="false">
      <c r="A2" s="20" t="s">
        <v>1067</v>
      </c>
      <c r="B2" s="20"/>
      <c r="C2" s="20"/>
      <c r="D2" s="20"/>
      <c r="E2" s="20"/>
      <c r="F2" s="20"/>
      <c r="G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</row>
    <row r="4" customFormat="false" ht="30" hidden="false" customHeight="true" outlineLevel="0" collapsed="false">
      <c r="A4" s="21" t="s">
        <v>1068</v>
      </c>
      <c r="B4" s="21"/>
      <c r="C4" s="21"/>
      <c r="D4" s="21"/>
      <c r="E4" s="21"/>
      <c r="F4" s="21"/>
      <c r="G4" s="21"/>
    </row>
    <row r="6" customFormat="false" ht="31.5" hidden="false" customHeight="true" outlineLevel="0" collapsed="false">
      <c r="A6" s="23" t="s">
        <v>301</v>
      </c>
      <c r="B6" s="23" t="s">
        <v>1069</v>
      </c>
      <c r="C6" s="23" t="s">
        <v>1070</v>
      </c>
      <c r="D6" s="23" t="s">
        <v>748</v>
      </c>
      <c r="E6" s="23" t="s">
        <v>1071</v>
      </c>
      <c r="F6" s="23" t="s">
        <v>666</v>
      </c>
      <c r="G6" s="23" t="s">
        <v>1072</v>
      </c>
    </row>
    <row r="7" customFormat="false" ht="23.85" hidden="false" customHeight="false" outlineLevel="0" collapsed="false">
      <c r="A7" s="25" t="s">
        <v>154</v>
      </c>
      <c r="B7" s="25" t="s">
        <v>760</v>
      </c>
      <c r="C7" s="25" t="s">
        <v>1073</v>
      </c>
      <c r="D7" s="25" t="s">
        <v>1074</v>
      </c>
      <c r="E7" s="25" t="s">
        <v>1075</v>
      </c>
      <c r="F7" s="68" t="s">
        <v>996</v>
      </c>
      <c r="G7" s="25" t="s">
        <v>1076</v>
      </c>
    </row>
    <row r="8" customFormat="false" ht="15" hidden="false" customHeight="false" outlineLevel="0" collapsed="false">
      <c r="A8" s="25" t="s">
        <v>154</v>
      </c>
      <c r="B8" s="25" t="s">
        <v>1077</v>
      </c>
      <c r="C8" s="25" t="s">
        <v>1078</v>
      </c>
      <c r="D8" s="25" t="s">
        <v>1079</v>
      </c>
      <c r="E8" s="25" t="s">
        <v>1080</v>
      </c>
      <c r="F8" s="68" t="s">
        <v>1081</v>
      </c>
      <c r="G8" s="25" t="s">
        <v>1082</v>
      </c>
    </row>
    <row r="9" customFormat="false" ht="15" hidden="false" customHeight="false" outlineLevel="0" collapsed="false">
      <c r="A9" s="25" t="s">
        <v>154</v>
      </c>
      <c r="B9" s="25" t="s">
        <v>789</v>
      </c>
      <c r="C9" s="25" t="s">
        <v>1083</v>
      </c>
      <c r="D9" s="25" t="s">
        <v>1084</v>
      </c>
      <c r="E9" s="25" t="s">
        <v>1085</v>
      </c>
      <c r="F9" s="68" t="s">
        <v>1081</v>
      </c>
      <c r="G9" s="25" t="s">
        <v>1082</v>
      </c>
    </row>
    <row r="10" customFormat="false" ht="15" hidden="false" customHeight="false" outlineLevel="0" collapsed="false">
      <c r="A10" s="25" t="s">
        <v>154</v>
      </c>
      <c r="B10" s="25" t="s">
        <v>783</v>
      </c>
      <c r="C10" s="25" t="s">
        <v>1086</v>
      </c>
      <c r="D10" s="25" t="s">
        <v>1087</v>
      </c>
      <c r="E10" s="25" t="s">
        <v>1088</v>
      </c>
      <c r="F10" s="68" t="s">
        <v>1081</v>
      </c>
      <c r="G10" s="25" t="s">
        <v>1082</v>
      </c>
    </row>
    <row r="11" customFormat="false" ht="23.85" hidden="false" customHeight="false" outlineLevel="0" collapsed="false">
      <c r="A11" s="25" t="s">
        <v>154</v>
      </c>
      <c r="B11" s="25" t="s">
        <v>783</v>
      </c>
      <c r="C11" s="25" t="s">
        <v>1089</v>
      </c>
      <c r="D11" s="25" t="s">
        <v>1090</v>
      </c>
      <c r="E11" s="25" t="s">
        <v>1091</v>
      </c>
      <c r="F11" s="68" t="s">
        <v>996</v>
      </c>
      <c r="G11" s="25" t="s">
        <v>1082</v>
      </c>
    </row>
    <row r="12" customFormat="false" ht="15" hidden="false" customHeight="false" outlineLevel="0" collapsed="false">
      <c r="A12" s="25" t="s">
        <v>154</v>
      </c>
      <c r="B12" s="25" t="s">
        <v>839</v>
      </c>
      <c r="C12" s="25" t="s">
        <v>1092</v>
      </c>
      <c r="D12" s="25" t="s">
        <v>1093</v>
      </c>
      <c r="E12" s="25" t="s">
        <v>1094</v>
      </c>
      <c r="F12" s="68" t="s">
        <v>1081</v>
      </c>
      <c r="G12" s="25" t="s">
        <v>1082</v>
      </c>
    </row>
    <row r="13" customFormat="false" ht="15" hidden="false" customHeight="false" outlineLevel="0" collapsed="false">
      <c r="A13" s="25" t="s">
        <v>154</v>
      </c>
      <c r="B13" s="25" t="s">
        <v>1095</v>
      </c>
      <c r="C13" s="25" t="s">
        <v>1096</v>
      </c>
      <c r="D13" s="25" t="s">
        <v>1097</v>
      </c>
      <c r="E13" s="25" t="s">
        <v>1098</v>
      </c>
      <c r="F13" s="68" t="s">
        <v>1099</v>
      </c>
      <c r="G13" s="25" t="s">
        <v>1082</v>
      </c>
    </row>
    <row r="14" customFormat="false" ht="15" hidden="false" customHeight="false" outlineLevel="0" collapsed="false">
      <c r="A14" s="25" t="s">
        <v>176</v>
      </c>
      <c r="B14" s="25" t="s">
        <v>1100</v>
      </c>
      <c r="C14" s="25" t="s">
        <v>1101</v>
      </c>
      <c r="D14" s="25" t="s">
        <v>1102</v>
      </c>
      <c r="E14" s="25" t="s">
        <v>1103</v>
      </c>
      <c r="F14" s="68" t="s">
        <v>996</v>
      </c>
      <c r="G14" s="25" t="s">
        <v>1082</v>
      </c>
    </row>
    <row r="15" customFormat="false" ht="15" hidden="false" customHeight="false" outlineLevel="0" collapsed="false">
      <c r="A15" s="25" t="s">
        <v>176</v>
      </c>
      <c r="B15" s="25" t="s">
        <v>1104</v>
      </c>
      <c r="C15" s="25" t="s">
        <v>1105</v>
      </c>
      <c r="D15" s="25" t="s">
        <v>1106</v>
      </c>
      <c r="E15" s="25" t="s">
        <v>1107</v>
      </c>
      <c r="F15" s="68" t="s">
        <v>996</v>
      </c>
      <c r="G15" s="25" t="s">
        <v>1082</v>
      </c>
    </row>
    <row r="16" customFormat="false" ht="23.85" hidden="false" customHeight="false" outlineLevel="0" collapsed="false">
      <c r="A16" s="25" t="s">
        <v>194</v>
      </c>
      <c r="B16" s="25" t="s">
        <v>1108</v>
      </c>
      <c r="C16" s="25" t="s">
        <v>1109</v>
      </c>
      <c r="D16" s="25" t="s">
        <v>1110</v>
      </c>
      <c r="E16" s="25" t="s">
        <v>1111</v>
      </c>
      <c r="F16" s="68" t="s">
        <v>1081</v>
      </c>
      <c r="G16" s="25" t="s">
        <v>1112</v>
      </c>
    </row>
    <row r="17" customFormat="false" ht="23.85" hidden="false" customHeight="false" outlineLevel="0" collapsed="false">
      <c r="A17" s="25" t="s">
        <v>194</v>
      </c>
      <c r="B17" s="25" t="s">
        <v>885</v>
      </c>
      <c r="C17" s="25" t="s">
        <v>1113</v>
      </c>
      <c r="D17" s="25" t="s">
        <v>1114</v>
      </c>
      <c r="E17" s="25" t="s">
        <v>1115</v>
      </c>
      <c r="F17" s="68" t="s">
        <v>996</v>
      </c>
      <c r="G17" s="25" t="s">
        <v>1116</v>
      </c>
    </row>
    <row r="18" customFormat="false" ht="23.85" hidden="false" customHeight="false" outlineLevel="0" collapsed="false">
      <c r="A18" s="25" t="s">
        <v>194</v>
      </c>
      <c r="B18" s="25" t="s">
        <v>797</v>
      </c>
      <c r="C18" s="25" t="s">
        <v>1117</v>
      </c>
      <c r="D18" s="25" t="s">
        <v>1118</v>
      </c>
      <c r="E18" s="25" t="s">
        <v>1115</v>
      </c>
      <c r="F18" s="68" t="s">
        <v>1099</v>
      </c>
      <c r="G18" s="25" t="s">
        <v>1082</v>
      </c>
    </row>
    <row r="19" customFormat="false" ht="23.85" hidden="false" customHeight="false" outlineLevel="0" collapsed="false">
      <c r="A19" s="25" t="s">
        <v>194</v>
      </c>
      <c r="B19" s="25" t="s">
        <v>802</v>
      </c>
      <c r="C19" s="25" t="s">
        <v>1119</v>
      </c>
      <c r="D19" s="25" t="s">
        <v>1120</v>
      </c>
      <c r="E19" s="25" t="s">
        <v>1115</v>
      </c>
      <c r="F19" s="68" t="s">
        <v>996</v>
      </c>
      <c r="G19" s="25" t="s">
        <v>1082</v>
      </c>
    </row>
    <row r="20" customFormat="false" ht="23.85" hidden="false" customHeight="false" outlineLevel="0" collapsed="false">
      <c r="A20" s="25" t="s">
        <v>194</v>
      </c>
      <c r="B20" s="25" t="s">
        <v>1121</v>
      </c>
      <c r="C20" s="25" t="s">
        <v>1122</v>
      </c>
      <c r="D20" s="25" t="s">
        <v>1123</v>
      </c>
      <c r="E20" s="25" t="s">
        <v>1124</v>
      </c>
      <c r="F20" s="68" t="s">
        <v>996</v>
      </c>
      <c r="G20" s="25" t="s">
        <v>1125</v>
      </c>
    </row>
    <row r="21" customFormat="false" ht="15" hidden="false" customHeight="false" outlineLevel="0" collapsed="false">
      <c r="A21" s="25" t="s">
        <v>206</v>
      </c>
      <c r="B21" s="25" t="s">
        <v>1126</v>
      </c>
      <c r="C21" s="25" t="s">
        <v>1127</v>
      </c>
      <c r="D21" s="25" t="s">
        <v>1128</v>
      </c>
      <c r="E21" s="25" t="s">
        <v>1129</v>
      </c>
      <c r="F21" s="68" t="s">
        <v>996</v>
      </c>
      <c r="G21" s="25" t="s">
        <v>1116</v>
      </c>
    </row>
    <row r="22" customFormat="false" ht="23.85" hidden="false" customHeight="false" outlineLevel="0" collapsed="false">
      <c r="A22" s="25" t="s">
        <v>206</v>
      </c>
      <c r="B22" s="25" t="s">
        <v>1130</v>
      </c>
      <c r="C22" s="25" t="s">
        <v>1131</v>
      </c>
      <c r="D22" s="25" t="s">
        <v>1132</v>
      </c>
      <c r="E22" s="25" t="s">
        <v>1129</v>
      </c>
      <c r="F22" s="68" t="s">
        <v>996</v>
      </c>
      <c r="G22" s="25" t="s">
        <v>1133</v>
      </c>
    </row>
    <row r="23" customFormat="false" ht="23.85" hidden="false" customHeight="false" outlineLevel="0" collapsed="false">
      <c r="A23" s="25" t="s">
        <v>206</v>
      </c>
      <c r="B23" s="25" t="s">
        <v>767</v>
      </c>
      <c r="C23" s="25" t="s">
        <v>1134</v>
      </c>
      <c r="D23" s="25" t="s">
        <v>1135</v>
      </c>
      <c r="E23" s="25" t="s">
        <v>1136</v>
      </c>
      <c r="F23" s="68" t="s">
        <v>996</v>
      </c>
      <c r="G23" s="25" t="s">
        <v>1125</v>
      </c>
    </row>
    <row r="24" customFormat="false" ht="15" hidden="false" customHeight="false" outlineLevel="0" collapsed="false">
      <c r="A24" s="25" t="s">
        <v>206</v>
      </c>
      <c r="B24" s="25" t="s">
        <v>1137</v>
      </c>
      <c r="C24" s="25" t="s">
        <v>1138</v>
      </c>
      <c r="D24" s="25" t="s">
        <v>1139</v>
      </c>
      <c r="E24" s="25" t="s">
        <v>1136</v>
      </c>
      <c r="F24" s="68" t="s">
        <v>996</v>
      </c>
      <c r="G24" s="25" t="s">
        <v>1082</v>
      </c>
    </row>
    <row r="25" customFormat="false" ht="15" hidden="false" customHeight="false" outlineLevel="0" collapsed="false">
      <c r="A25" s="25" t="s">
        <v>206</v>
      </c>
      <c r="B25" s="25" t="s">
        <v>773</v>
      </c>
      <c r="C25" s="25" t="s">
        <v>1140</v>
      </c>
      <c r="D25" s="25" t="s">
        <v>1141</v>
      </c>
      <c r="E25" s="25" t="s">
        <v>1142</v>
      </c>
      <c r="F25" s="68" t="s">
        <v>1081</v>
      </c>
      <c r="G25" s="25" t="s">
        <v>1143</v>
      </c>
    </row>
    <row r="26" customFormat="false" ht="23.85" hidden="false" customHeight="false" outlineLevel="0" collapsed="false">
      <c r="A26" s="25" t="s">
        <v>206</v>
      </c>
      <c r="B26" s="25" t="s">
        <v>777</v>
      </c>
      <c r="C26" s="25" t="s">
        <v>1144</v>
      </c>
      <c r="D26" s="25" t="s">
        <v>1145</v>
      </c>
      <c r="E26" s="25" t="s">
        <v>1146</v>
      </c>
      <c r="F26" s="68" t="s">
        <v>1099</v>
      </c>
      <c r="G26" s="25" t="s">
        <v>1125</v>
      </c>
    </row>
    <row r="27" customFormat="false" ht="15" hidden="false" customHeight="false" outlineLevel="0" collapsed="false">
      <c r="A27" s="25" t="s">
        <v>206</v>
      </c>
      <c r="B27" s="25" t="s">
        <v>1147</v>
      </c>
      <c r="C27" s="25" t="s">
        <v>1148</v>
      </c>
      <c r="D27" s="25" t="s">
        <v>1149</v>
      </c>
      <c r="E27" s="25" t="s">
        <v>1150</v>
      </c>
      <c r="F27" s="68" t="s">
        <v>1081</v>
      </c>
      <c r="G27" s="25" t="s">
        <v>1151</v>
      </c>
    </row>
    <row r="28" customFormat="false" ht="15" hidden="false" customHeight="false" outlineLevel="0" collapsed="false">
      <c r="A28" s="25" t="s">
        <v>206</v>
      </c>
      <c r="B28" s="25" t="s">
        <v>1152</v>
      </c>
      <c r="C28" s="25" t="s">
        <v>1153</v>
      </c>
      <c r="D28" s="25" t="s">
        <v>1106</v>
      </c>
      <c r="E28" s="25" t="s">
        <v>1107</v>
      </c>
      <c r="F28" s="68" t="s">
        <v>996</v>
      </c>
      <c r="G28" s="25" t="s">
        <v>1082</v>
      </c>
    </row>
    <row r="29" customFormat="false" ht="15" hidden="false" customHeight="false" outlineLevel="0" collapsed="false">
      <c r="A29" s="25" t="s">
        <v>218</v>
      </c>
      <c r="B29" s="25" t="s">
        <v>808</v>
      </c>
      <c r="C29" s="25" t="s">
        <v>1154</v>
      </c>
      <c r="D29" s="25" t="s">
        <v>1155</v>
      </c>
      <c r="E29" s="25" t="s">
        <v>1156</v>
      </c>
      <c r="F29" s="68" t="s">
        <v>996</v>
      </c>
      <c r="G29" s="25" t="s">
        <v>1125</v>
      </c>
    </row>
    <row r="30" customFormat="false" ht="15" hidden="false" customHeight="false" outlineLevel="0" collapsed="false">
      <c r="A30" s="25" t="s">
        <v>218</v>
      </c>
      <c r="B30" s="25" t="s">
        <v>1157</v>
      </c>
      <c r="C30" s="25" t="s">
        <v>1158</v>
      </c>
      <c r="D30" s="25" t="s">
        <v>1159</v>
      </c>
      <c r="E30" s="25" t="s">
        <v>1150</v>
      </c>
      <c r="F30" s="68" t="s">
        <v>1099</v>
      </c>
      <c r="G30" s="25" t="s">
        <v>1125</v>
      </c>
    </row>
    <row r="31" customFormat="false" ht="15" hidden="false" customHeight="false" outlineLevel="0" collapsed="false">
      <c r="A31" s="25" t="s">
        <v>218</v>
      </c>
      <c r="B31" s="25" t="s">
        <v>1160</v>
      </c>
      <c r="C31" s="25" t="s">
        <v>1161</v>
      </c>
      <c r="D31" s="25" t="s">
        <v>1162</v>
      </c>
      <c r="E31" s="25" t="s">
        <v>1163</v>
      </c>
      <c r="F31" s="68" t="s">
        <v>1081</v>
      </c>
      <c r="G31" s="25" t="s">
        <v>1164</v>
      </c>
    </row>
    <row r="32" customFormat="false" ht="15" hidden="false" customHeight="false" outlineLevel="0" collapsed="false">
      <c r="A32" s="25" t="s">
        <v>218</v>
      </c>
      <c r="B32" s="25" t="s">
        <v>945</v>
      </c>
      <c r="C32" s="25" t="s">
        <v>1165</v>
      </c>
      <c r="D32" s="25" t="s">
        <v>1166</v>
      </c>
      <c r="E32" s="25" t="s">
        <v>1167</v>
      </c>
      <c r="F32" s="68" t="s">
        <v>996</v>
      </c>
      <c r="G32" s="25" t="s">
        <v>1168</v>
      </c>
    </row>
    <row r="33" customFormat="false" ht="15" hidden="false" customHeight="false" outlineLevel="0" collapsed="false">
      <c r="A33" s="25" t="s">
        <v>218</v>
      </c>
      <c r="B33" s="25" t="s">
        <v>1169</v>
      </c>
      <c r="C33" s="25" t="s">
        <v>1170</v>
      </c>
      <c r="D33" s="25" t="s">
        <v>1171</v>
      </c>
      <c r="E33" s="25" t="s">
        <v>1172</v>
      </c>
      <c r="F33" s="68" t="s">
        <v>996</v>
      </c>
      <c r="G33" s="25" t="s">
        <v>1082</v>
      </c>
    </row>
    <row r="34" customFormat="false" ht="23.85" hidden="false" customHeight="false" outlineLevel="0" collapsed="false">
      <c r="A34" s="25" t="s">
        <v>218</v>
      </c>
      <c r="B34" s="25" t="s">
        <v>1173</v>
      </c>
      <c r="C34" s="25" t="s">
        <v>1174</v>
      </c>
      <c r="D34" s="25" t="s">
        <v>1175</v>
      </c>
      <c r="E34" s="25" t="s">
        <v>1176</v>
      </c>
      <c r="F34" s="68" t="s">
        <v>996</v>
      </c>
      <c r="G34" s="25" t="s">
        <v>1177</v>
      </c>
    </row>
    <row r="35" customFormat="false" ht="15" hidden="false" customHeight="false" outlineLevel="0" collapsed="false">
      <c r="A35" s="25" t="s">
        <v>218</v>
      </c>
      <c r="B35" s="25" t="s">
        <v>1178</v>
      </c>
      <c r="C35" s="25" t="s">
        <v>1179</v>
      </c>
      <c r="D35" s="25" t="s">
        <v>1180</v>
      </c>
      <c r="E35" s="25" t="s">
        <v>1181</v>
      </c>
      <c r="F35" s="68" t="s">
        <v>1099</v>
      </c>
      <c r="G35" s="25" t="s">
        <v>1182</v>
      </c>
    </row>
    <row r="36" customFormat="false" ht="15" hidden="false" customHeight="false" outlineLevel="0" collapsed="false">
      <c r="A36" s="25" t="s">
        <v>228</v>
      </c>
      <c r="B36" s="25" t="s">
        <v>1183</v>
      </c>
      <c r="C36" s="25" t="s">
        <v>1184</v>
      </c>
      <c r="D36" s="25" t="s">
        <v>1185</v>
      </c>
      <c r="E36" s="25" t="s">
        <v>1094</v>
      </c>
      <c r="F36" s="68" t="s">
        <v>1081</v>
      </c>
      <c r="G36" s="25" t="s">
        <v>1186</v>
      </c>
    </row>
    <row r="37" customFormat="false" ht="15" hidden="false" customHeight="false" outlineLevel="0" collapsed="false">
      <c r="A37" s="25" t="s">
        <v>228</v>
      </c>
      <c r="B37" s="25" t="s">
        <v>818</v>
      </c>
      <c r="C37" s="25" t="s">
        <v>1187</v>
      </c>
      <c r="D37" s="25" t="s">
        <v>1188</v>
      </c>
      <c r="E37" s="25" t="s">
        <v>1094</v>
      </c>
      <c r="F37" s="68" t="s">
        <v>1081</v>
      </c>
      <c r="G37" s="25" t="s">
        <v>1186</v>
      </c>
    </row>
    <row r="38" customFormat="false" ht="15" hidden="false" customHeight="false" outlineLevel="0" collapsed="false">
      <c r="A38" s="25" t="s">
        <v>228</v>
      </c>
      <c r="B38" s="25" t="s">
        <v>1189</v>
      </c>
      <c r="C38" s="25" t="s">
        <v>1190</v>
      </c>
      <c r="D38" s="25" t="s">
        <v>1191</v>
      </c>
      <c r="E38" s="25" t="s">
        <v>1094</v>
      </c>
      <c r="F38" s="68" t="s">
        <v>1081</v>
      </c>
      <c r="G38" s="25" t="s">
        <v>1186</v>
      </c>
    </row>
    <row r="39" customFormat="false" ht="15" hidden="false" customHeight="false" outlineLevel="0" collapsed="false">
      <c r="A39" s="25" t="s">
        <v>234</v>
      </c>
      <c r="B39" s="25" t="s">
        <v>223</v>
      </c>
      <c r="C39" s="25" t="s">
        <v>1192</v>
      </c>
      <c r="D39" s="25" t="s">
        <v>1193</v>
      </c>
      <c r="E39" s="25" t="s">
        <v>1194</v>
      </c>
      <c r="F39" s="68" t="s">
        <v>996</v>
      </c>
      <c r="G39" s="25" t="s">
        <v>1195</v>
      </c>
    </row>
    <row r="40" customFormat="false" ht="15" hidden="false" customHeight="false" outlineLevel="0" collapsed="false">
      <c r="A40" s="25" t="s">
        <v>234</v>
      </c>
      <c r="B40" s="25" t="s">
        <v>1196</v>
      </c>
      <c r="C40" s="25" t="s">
        <v>1197</v>
      </c>
      <c r="D40" s="25" t="s">
        <v>1198</v>
      </c>
      <c r="E40" s="25" t="s">
        <v>1199</v>
      </c>
      <c r="F40" s="68" t="s">
        <v>1099</v>
      </c>
      <c r="G40" s="25" t="s">
        <v>1200</v>
      </c>
    </row>
    <row r="41" customFormat="false" ht="15" hidden="false" customHeight="false" outlineLevel="0" collapsed="false">
      <c r="A41" s="25" t="s">
        <v>234</v>
      </c>
      <c r="B41" s="25" t="s">
        <v>1201</v>
      </c>
      <c r="C41" s="25" t="s">
        <v>1202</v>
      </c>
      <c r="D41" s="25" t="s">
        <v>1203</v>
      </c>
      <c r="E41" s="25" t="s">
        <v>1199</v>
      </c>
      <c r="F41" s="68" t="s">
        <v>1081</v>
      </c>
      <c r="G41" s="25" t="s">
        <v>1082</v>
      </c>
    </row>
    <row r="42" customFormat="false" ht="15" hidden="false" customHeight="false" outlineLevel="0" collapsed="false">
      <c r="A42" s="25" t="s">
        <v>234</v>
      </c>
      <c r="B42" s="25" t="s">
        <v>1204</v>
      </c>
      <c r="C42" s="25" t="s">
        <v>1205</v>
      </c>
      <c r="D42" s="25" t="s">
        <v>1206</v>
      </c>
      <c r="E42" s="25" t="s">
        <v>1207</v>
      </c>
      <c r="F42" s="68" t="s">
        <v>996</v>
      </c>
      <c r="G42" s="25" t="s">
        <v>1186</v>
      </c>
    </row>
    <row r="43" customFormat="false" ht="15" hidden="false" customHeight="false" outlineLevel="0" collapsed="false">
      <c r="A43" s="25" t="s">
        <v>234</v>
      </c>
      <c r="B43" s="25" t="s">
        <v>1208</v>
      </c>
      <c r="C43" s="25" t="s">
        <v>1209</v>
      </c>
      <c r="D43" s="25" t="s">
        <v>1210</v>
      </c>
      <c r="E43" s="25" t="s">
        <v>1211</v>
      </c>
      <c r="F43" s="68" t="s">
        <v>1099</v>
      </c>
      <c r="G43" s="25" t="s">
        <v>1200</v>
      </c>
    </row>
    <row r="44" customFormat="false" ht="15" hidden="false" customHeight="false" outlineLevel="0" collapsed="false">
      <c r="A44" s="25" t="s">
        <v>234</v>
      </c>
      <c r="B44" s="25" t="s">
        <v>1212</v>
      </c>
      <c r="C44" s="25" t="s">
        <v>1213</v>
      </c>
      <c r="D44" s="25" t="s">
        <v>1214</v>
      </c>
      <c r="E44" s="25" t="s">
        <v>1215</v>
      </c>
      <c r="F44" s="68" t="s">
        <v>996</v>
      </c>
      <c r="G44" s="25" t="s">
        <v>1216</v>
      </c>
    </row>
    <row r="45" customFormat="false" ht="15" hidden="false" customHeight="false" outlineLevel="0" collapsed="false">
      <c r="A45" s="25"/>
      <c r="B45" s="25"/>
      <c r="C45" s="25"/>
      <c r="D45" s="25"/>
      <c r="E45" s="25"/>
      <c r="F45" s="68"/>
      <c r="G45" s="25"/>
    </row>
    <row r="46" customFormat="false" ht="15" hidden="false" customHeight="false" outlineLevel="0" collapsed="false">
      <c r="A46" s="25"/>
      <c r="B46" s="25"/>
      <c r="C46" s="25"/>
      <c r="D46" s="25"/>
      <c r="E46" s="25"/>
      <c r="F46" s="68"/>
      <c r="G46" s="25"/>
    </row>
    <row r="47" customFormat="false" ht="15" hidden="false" customHeight="false" outlineLevel="0" collapsed="false">
      <c r="A47" s="25"/>
      <c r="B47" s="25"/>
      <c r="C47" s="25"/>
      <c r="D47" s="25"/>
      <c r="E47" s="25"/>
      <c r="F47" s="68"/>
      <c r="G47" s="25"/>
    </row>
    <row r="48" customFormat="false" ht="15" hidden="false" customHeight="false" outlineLevel="0" collapsed="false">
      <c r="A48" s="25"/>
      <c r="B48" s="25"/>
      <c r="C48" s="25"/>
      <c r="D48" s="25"/>
      <c r="E48" s="25"/>
      <c r="F48" s="68"/>
      <c r="G48" s="25"/>
    </row>
    <row r="49" customFormat="false" ht="15" hidden="false" customHeight="false" outlineLevel="0" collapsed="false">
      <c r="A49" s="25"/>
      <c r="B49" s="25"/>
      <c r="C49" s="25"/>
      <c r="D49" s="25"/>
      <c r="E49" s="25"/>
      <c r="F49" s="68"/>
      <c r="G49" s="25"/>
    </row>
    <row r="50" customFormat="false" ht="15" hidden="false" customHeight="false" outlineLevel="0" collapsed="false">
      <c r="A50" s="25"/>
      <c r="B50" s="25"/>
      <c r="C50" s="25"/>
      <c r="D50" s="25"/>
      <c r="E50" s="25"/>
      <c r="F50" s="68"/>
      <c r="G50" s="25"/>
    </row>
    <row r="51" customFormat="false" ht="15" hidden="false" customHeight="false" outlineLevel="0" collapsed="false">
      <c r="A51" s="25"/>
      <c r="B51" s="25"/>
      <c r="C51" s="25"/>
      <c r="D51" s="25"/>
      <c r="E51" s="25"/>
      <c r="F51" s="68"/>
      <c r="G51" s="25"/>
    </row>
    <row r="52" customFormat="false" ht="15" hidden="false" customHeight="false" outlineLevel="0" collapsed="false">
      <c r="A52" s="25"/>
      <c r="B52" s="25"/>
      <c r="C52" s="25"/>
      <c r="D52" s="25"/>
      <c r="E52" s="25"/>
      <c r="F52" s="68"/>
      <c r="G52" s="25"/>
    </row>
    <row r="53" customFormat="false" ht="15" hidden="false" customHeight="false" outlineLevel="0" collapsed="false">
      <c r="A53" s="25"/>
      <c r="B53" s="25"/>
      <c r="C53" s="25"/>
      <c r="D53" s="25"/>
      <c r="E53" s="25"/>
      <c r="F53" s="68"/>
      <c r="G53" s="25"/>
    </row>
    <row r="54" customFormat="false" ht="15" hidden="false" customHeight="false" outlineLevel="0" collapsed="false">
      <c r="A54" s="25"/>
      <c r="B54" s="25"/>
      <c r="C54" s="25"/>
      <c r="D54" s="25"/>
      <c r="E54" s="25"/>
      <c r="F54" s="68"/>
      <c r="G54" s="25"/>
    </row>
    <row r="55" customFormat="false" ht="15" hidden="false" customHeight="false" outlineLevel="0" collapsed="false">
      <c r="A55" s="25"/>
      <c r="B55" s="25"/>
      <c r="C55" s="25"/>
      <c r="D55" s="25"/>
      <c r="E55" s="25"/>
      <c r="F55" s="68"/>
      <c r="G55" s="25"/>
    </row>
    <row r="56" customFormat="false" ht="15" hidden="false" customHeight="false" outlineLevel="0" collapsed="false">
      <c r="A56" s="25"/>
      <c r="B56" s="25"/>
      <c r="C56" s="25"/>
      <c r="D56" s="25"/>
      <c r="E56" s="25"/>
      <c r="F56" s="68"/>
      <c r="G56" s="25"/>
    </row>
    <row r="57" customFormat="false" ht="15" hidden="false" customHeight="false" outlineLevel="0" collapsed="false">
      <c r="A57" s="25"/>
      <c r="B57" s="25"/>
      <c r="C57" s="25"/>
      <c r="D57" s="25"/>
      <c r="E57" s="25"/>
      <c r="F57" s="68"/>
      <c r="G57" s="25"/>
    </row>
    <row r="58" customFormat="false" ht="15" hidden="false" customHeight="false" outlineLevel="0" collapsed="false">
      <c r="A58" s="25"/>
      <c r="B58" s="25"/>
      <c r="C58" s="25"/>
      <c r="D58" s="25"/>
      <c r="E58" s="25"/>
      <c r="F58" s="68"/>
      <c r="G58" s="25"/>
    </row>
    <row r="59" customFormat="false" ht="15" hidden="false" customHeight="false" outlineLevel="0" collapsed="false">
      <c r="A59" s="25"/>
      <c r="B59" s="25"/>
      <c r="C59" s="25"/>
      <c r="D59" s="25"/>
      <c r="E59" s="25"/>
      <c r="F59" s="68"/>
      <c r="G59" s="25"/>
    </row>
    <row r="60" customFormat="false" ht="15" hidden="false" customHeight="false" outlineLevel="0" collapsed="false">
      <c r="A60" s="25"/>
      <c r="B60" s="25"/>
      <c r="C60" s="25"/>
      <c r="D60" s="25"/>
      <c r="E60" s="25"/>
      <c r="F60" s="68"/>
      <c r="G60" s="25"/>
    </row>
    <row r="61" customFormat="false" ht="15" hidden="false" customHeight="false" outlineLevel="0" collapsed="false">
      <c r="A61" s="25"/>
      <c r="B61" s="25"/>
      <c r="C61" s="25"/>
      <c r="D61" s="25"/>
      <c r="E61" s="25"/>
      <c r="F61" s="68"/>
      <c r="G61" s="25"/>
    </row>
    <row r="62" customFormat="false" ht="15" hidden="false" customHeight="false" outlineLevel="0" collapsed="false">
      <c r="A62" s="25"/>
      <c r="B62" s="25"/>
      <c r="C62" s="25"/>
      <c r="D62" s="25"/>
      <c r="E62" s="25"/>
      <c r="F62" s="68"/>
      <c r="G62" s="25"/>
    </row>
    <row r="63" customFormat="false" ht="15" hidden="false" customHeight="false" outlineLevel="0" collapsed="false">
      <c r="A63" s="25"/>
      <c r="B63" s="25"/>
      <c r="C63" s="25"/>
      <c r="D63" s="25"/>
      <c r="E63" s="25"/>
      <c r="F63" s="68"/>
      <c r="G63" s="25"/>
    </row>
    <row r="64" customFormat="false" ht="15" hidden="false" customHeight="false" outlineLevel="0" collapsed="false">
      <c r="A64" s="25"/>
      <c r="B64" s="25"/>
      <c r="C64" s="25"/>
      <c r="D64" s="25"/>
      <c r="E64" s="25"/>
      <c r="F64" s="68"/>
      <c r="G64" s="25"/>
    </row>
    <row r="65" customFormat="false" ht="15" hidden="false" customHeight="false" outlineLevel="0" collapsed="false">
      <c r="A65" s="25"/>
      <c r="B65" s="25"/>
      <c r="C65" s="25"/>
      <c r="D65" s="25"/>
      <c r="E65" s="25"/>
      <c r="F65" s="68"/>
      <c r="G65" s="25"/>
    </row>
    <row r="66" customFormat="false" ht="15" hidden="false" customHeight="false" outlineLevel="0" collapsed="false">
      <c r="A66" s="25"/>
      <c r="B66" s="25"/>
      <c r="C66" s="25"/>
      <c r="D66" s="25"/>
      <c r="E66" s="25"/>
      <c r="F66" s="68"/>
      <c r="G66" s="25"/>
    </row>
    <row r="67" customFormat="false" ht="15" hidden="false" customHeight="false" outlineLevel="0" collapsed="false">
      <c r="A67" s="25"/>
      <c r="B67" s="25"/>
      <c r="C67" s="25"/>
      <c r="D67" s="25"/>
      <c r="E67" s="25"/>
      <c r="F67" s="68"/>
      <c r="G67" s="25"/>
    </row>
    <row r="68" customFormat="false" ht="15" hidden="false" customHeight="false" outlineLevel="0" collapsed="false">
      <c r="A68" s="25"/>
      <c r="B68" s="25"/>
      <c r="C68" s="25"/>
      <c r="D68" s="25"/>
      <c r="E68" s="25"/>
      <c r="F68" s="68"/>
      <c r="G68" s="25"/>
    </row>
    <row r="69" customFormat="false" ht="15" hidden="false" customHeight="false" outlineLevel="0" collapsed="false">
      <c r="A69" s="25"/>
      <c r="B69" s="25"/>
      <c r="C69" s="25"/>
      <c r="D69" s="25"/>
      <c r="E69" s="25"/>
      <c r="F69" s="68"/>
      <c r="G69" s="25"/>
    </row>
    <row r="70" customFormat="false" ht="15" hidden="false" customHeight="false" outlineLevel="0" collapsed="false">
      <c r="A70" s="25"/>
      <c r="B70" s="25"/>
      <c r="C70" s="25"/>
      <c r="D70" s="25"/>
      <c r="E70" s="25"/>
      <c r="F70" s="68"/>
      <c r="G70" s="25"/>
    </row>
    <row r="71" customFormat="false" ht="15" hidden="false" customHeight="false" outlineLevel="0" collapsed="false">
      <c r="A71" s="25"/>
      <c r="B71" s="25"/>
      <c r="C71" s="25"/>
      <c r="D71" s="25"/>
      <c r="E71" s="25"/>
      <c r="F71" s="68"/>
      <c r="G71" s="25"/>
    </row>
    <row r="72" customFormat="false" ht="15" hidden="false" customHeight="false" outlineLevel="0" collapsed="false">
      <c r="A72" s="25"/>
      <c r="B72" s="25"/>
      <c r="C72" s="25"/>
      <c r="D72" s="25"/>
      <c r="E72" s="25"/>
      <c r="F72" s="68"/>
      <c r="G72" s="25"/>
    </row>
    <row r="73" customFormat="false" ht="15" hidden="false" customHeight="false" outlineLevel="0" collapsed="false">
      <c r="A73" s="25"/>
      <c r="B73" s="25"/>
      <c r="C73" s="25"/>
      <c r="D73" s="25"/>
      <c r="E73" s="25"/>
      <c r="F73" s="68"/>
      <c r="G73" s="25"/>
    </row>
    <row r="74" customFormat="false" ht="15" hidden="false" customHeight="false" outlineLevel="0" collapsed="false">
      <c r="A74" s="25"/>
      <c r="B74" s="25"/>
      <c r="C74" s="25"/>
      <c r="D74" s="25"/>
      <c r="E74" s="25"/>
      <c r="F74" s="68"/>
      <c r="G74" s="25"/>
    </row>
    <row r="75" customFormat="false" ht="15" hidden="false" customHeight="false" outlineLevel="0" collapsed="false">
      <c r="A75" s="25"/>
      <c r="B75" s="25"/>
      <c r="C75" s="25"/>
      <c r="D75" s="25"/>
      <c r="E75" s="25"/>
      <c r="F75" s="68"/>
      <c r="G75" s="25"/>
    </row>
    <row r="76" customFormat="false" ht="15" hidden="false" customHeight="false" outlineLevel="0" collapsed="false">
      <c r="A76" s="25"/>
      <c r="B76" s="25"/>
      <c r="C76" s="25"/>
      <c r="D76" s="25"/>
      <c r="E76" s="25"/>
      <c r="F76" s="68"/>
      <c r="G76" s="25"/>
    </row>
    <row r="77" customFormat="false" ht="15" hidden="false" customHeight="false" outlineLevel="0" collapsed="false">
      <c r="A77" s="25"/>
      <c r="B77" s="25"/>
      <c r="C77" s="25"/>
      <c r="D77" s="25"/>
      <c r="E77" s="25"/>
      <c r="F77" s="68"/>
      <c r="G77" s="25"/>
    </row>
    <row r="78" customFormat="false" ht="15" hidden="false" customHeight="false" outlineLevel="0" collapsed="false">
      <c r="A78" s="25"/>
      <c r="B78" s="25"/>
      <c r="C78" s="25"/>
      <c r="D78" s="25"/>
      <c r="E78" s="25"/>
      <c r="F78" s="68"/>
      <c r="G78" s="25"/>
    </row>
    <row r="79" customFormat="false" ht="15" hidden="false" customHeight="false" outlineLevel="0" collapsed="false">
      <c r="A79" s="25"/>
      <c r="B79" s="25"/>
      <c r="C79" s="25"/>
      <c r="D79" s="25"/>
      <c r="E79" s="25"/>
      <c r="F79" s="68"/>
      <c r="G79" s="25"/>
    </row>
    <row r="80" customFormat="false" ht="15" hidden="false" customHeight="false" outlineLevel="0" collapsed="false">
      <c r="A80" s="25"/>
      <c r="B80" s="25"/>
      <c r="C80" s="25"/>
      <c r="D80" s="25"/>
      <c r="E80" s="25"/>
      <c r="F80" s="68"/>
      <c r="G80" s="25"/>
    </row>
    <row r="81" customFormat="false" ht="15" hidden="false" customHeight="false" outlineLevel="0" collapsed="false">
      <c r="A81" s="25"/>
      <c r="B81" s="25"/>
      <c r="C81" s="25"/>
      <c r="D81" s="25"/>
      <c r="E81" s="25"/>
      <c r="F81" s="68"/>
      <c r="G81" s="25"/>
    </row>
    <row r="82" customFormat="false" ht="15" hidden="false" customHeight="false" outlineLevel="0" collapsed="false">
      <c r="A82" s="25"/>
      <c r="B82" s="25"/>
      <c r="C82" s="25"/>
      <c r="D82" s="25"/>
      <c r="E82" s="25"/>
      <c r="F82" s="68"/>
      <c r="G82" s="25"/>
    </row>
    <row r="83" customFormat="false" ht="15" hidden="false" customHeight="false" outlineLevel="0" collapsed="false">
      <c r="A83" s="25"/>
      <c r="B83" s="25"/>
      <c r="C83" s="25"/>
      <c r="D83" s="25"/>
      <c r="E83" s="25"/>
      <c r="F83" s="68"/>
      <c r="G83" s="25"/>
    </row>
    <row r="84" customFormat="false" ht="15" hidden="false" customHeight="false" outlineLevel="0" collapsed="false">
      <c r="A84" s="25"/>
      <c r="B84" s="25"/>
      <c r="C84" s="25"/>
      <c r="D84" s="25"/>
      <c r="E84" s="25"/>
      <c r="F84" s="68"/>
      <c r="G84" s="25"/>
    </row>
    <row r="85" customFormat="false" ht="15" hidden="false" customHeight="false" outlineLevel="0" collapsed="false">
      <c r="A85" s="25"/>
      <c r="B85" s="25"/>
      <c r="C85" s="25"/>
      <c r="D85" s="25"/>
      <c r="E85" s="25"/>
      <c r="F85" s="68"/>
      <c r="G85" s="25"/>
    </row>
    <row r="86" customFormat="false" ht="15" hidden="false" customHeight="false" outlineLevel="0" collapsed="false">
      <c r="A86" s="25"/>
      <c r="B86" s="25"/>
      <c r="C86" s="25"/>
      <c r="D86" s="25"/>
      <c r="E86" s="25"/>
      <c r="F86" s="68"/>
      <c r="G86" s="25"/>
    </row>
  </sheetData>
  <autoFilter ref="A6:G86"/>
  <mergeCells count="4">
    <mergeCell ref="A1:G1"/>
    <mergeCell ref="A2:G2"/>
    <mergeCell ref="A3:G3"/>
    <mergeCell ref="A4:G4"/>
  </mergeCells>
  <conditionalFormatting sqref="F7:F86">
    <cfRule type="cellIs" priority="2" operator="equal" aboveAverage="0" equalAverage="0" bottom="0" percent="0" rank="0" text="" dxfId="3">
      <formula>"PA"</formula>
    </cfRule>
    <cfRule type="cellIs" priority="3" operator="equal" aboveAverage="0" equalAverage="0" bottom="0" percent="0" rank="0" text="" dxfId="2">
      <formula>"PC"</formula>
    </cfRule>
    <cfRule type="cellIs" priority="4" operator="equal" aboveAverage="0" equalAverage="0" bottom="0" percent="0" rank="0" text="" dxfId="5">
      <formula>"AC"</formula>
    </cfRule>
  </conditionalFormatting>
  <dataValidations count="1">
    <dataValidation allowBlank="true" errorStyle="stop" operator="between" showDropDown="false" showErrorMessage="true" showInputMessage="false" sqref="A7:A86" type="list">
      <formula1>L_Compos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J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24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customFormat="false" ht="19.5" hidden="false" customHeight="true" outlineLevel="0" collapsed="false">
      <c r="A2" s="20" t="s">
        <v>1217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0" hidden="false" customHeight="true" outlineLevel="0" collapsed="false">
      <c r="A4" s="21" t="s">
        <v>1218</v>
      </c>
      <c r="B4" s="21"/>
      <c r="C4" s="21"/>
      <c r="D4" s="21"/>
      <c r="E4" s="21"/>
      <c r="F4" s="21"/>
      <c r="G4" s="21"/>
      <c r="H4" s="21"/>
      <c r="I4" s="21"/>
      <c r="J4" s="21"/>
    </row>
    <row r="6" customFormat="false" ht="31.5" hidden="false" customHeight="true" outlineLevel="0" collapsed="false">
      <c r="A6" s="23" t="s">
        <v>572</v>
      </c>
      <c r="B6" s="23" t="s">
        <v>573</v>
      </c>
      <c r="C6" s="23" t="s">
        <v>574</v>
      </c>
      <c r="D6" s="23" t="s">
        <v>328</v>
      </c>
      <c r="E6" s="23" t="s">
        <v>577</v>
      </c>
      <c r="F6" s="23" t="s">
        <v>1219</v>
      </c>
      <c r="G6" s="23" t="s">
        <v>1220</v>
      </c>
      <c r="H6" s="23" t="s">
        <v>1221</v>
      </c>
      <c r="I6" s="23" t="s">
        <v>1222</v>
      </c>
      <c r="J6" s="23" t="s">
        <v>579</v>
      </c>
    </row>
    <row r="7" customFormat="false" ht="15" hidden="false" customHeight="false" outlineLevel="0" collapsed="false">
      <c r="A7" s="68" t="s">
        <v>580</v>
      </c>
      <c r="B7" s="25" t="s">
        <v>615</v>
      </c>
      <c r="C7" s="25" t="s">
        <v>1223</v>
      </c>
      <c r="D7" s="25" t="s">
        <v>204</v>
      </c>
      <c r="E7" s="28" t="n">
        <v>20000</v>
      </c>
      <c r="F7" s="25"/>
      <c r="G7" s="25"/>
      <c r="H7" s="83" t="n">
        <f aca="false">IF(A7="","",SUMIFS(PT_Heures,PT_Mat,A7)/P_Heures)</f>
        <v>2</v>
      </c>
      <c r="I7" s="31" t="n">
        <f aca="false">IF(A7="","",SUMIFS(PT_Cout,PT_Mat,A7))</f>
        <v>40000</v>
      </c>
      <c r="J7" s="25"/>
    </row>
    <row r="8" customFormat="false" ht="15" hidden="false" customHeight="false" outlineLevel="0" collapsed="false">
      <c r="A8" s="68" t="s">
        <v>581</v>
      </c>
      <c r="B8" s="25" t="s">
        <v>1224</v>
      </c>
      <c r="C8" s="25" t="s">
        <v>1225</v>
      </c>
      <c r="D8" s="25" t="s">
        <v>204</v>
      </c>
      <c r="E8" s="28" t="n">
        <v>15000</v>
      </c>
      <c r="F8" s="25"/>
      <c r="G8" s="25"/>
      <c r="H8" s="83" t="n">
        <f aca="false">IF(A8="","",SUMIFS(PT_Heures,PT_Mat,A8)/P_Heures)</f>
        <v>2</v>
      </c>
      <c r="I8" s="31" t="n">
        <f aca="false">IF(A8="","",SUMIFS(PT_Cout,PT_Mat,A8))</f>
        <v>30000</v>
      </c>
      <c r="J8" s="25"/>
    </row>
    <row r="9" customFormat="false" ht="15" hidden="false" customHeight="false" outlineLevel="0" collapsed="false">
      <c r="A9" s="68" t="s">
        <v>582</v>
      </c>
      <c r="B9" s="25" t="s">
        <v>617</v>
      </c>
      <c r="C9" s="25" t="s">
        <v>1226</v>
      </c>
      <c r="D9" s="25" t="s">
        <v>216</v>
      </c>
      <c r="E9" s="28" t="n">
        <v>12000</v>
      </c>
      <c r="F9" s="25"/>
      <c r="G9" s="25"/>
      <c r="H9" s="83" t="n">
        <f aca="false">IF(A9="","",SUMIFS(PT_Heures,PT_Mat,A9)/P_Heures)</f>
        <v>2</v>
      </c>
      <c r="I9" s="31" t="n">
        <f aca="false">IF(A9="","",SUMIFS(PT_Cout,PT_Mat,A9))</f>
        <v>24000</v>
      </c>
      <c r="J9" s="25"/>
    </row>
    <row r="10" customFormat="false" ht="15" hidden="false" customHeight="false" outlineLevel="0" collapsed="false">
      <c r="A10" s="68" t="s">
        <v>583</v>
      </c>
      <c r="B10" s="25" t="s">
        <v>607</v>
      </c>
      <c r="C10" s="25" t="s">
        <v>1227</v>
      </c>
      <c r="D10" s="25" t="s">
        <v>131</v>
      </c>
      <c r="E10" s="28" t="n">
        <v>12000</v>
      </c>
      <c r="F10" s="25"/>
      <c r="G10" s="25"/>
      <c r="H10" s="83" t="n">
        <f aca="false">IF(A10="","",SUMIFS(PT_Heures,PT_Mat,A10)/P_Heures)</f>
        <v>2</v>
      </c>
      <c r="I10" s="31" t="n">
        <f aca="false">IF(A10="","",SUMIFS(PT_Cout,PT_Mat,A10))</f>
        <v>24000</v>
      </c>
      <c r="J10" s="25"/>
    </row>
    <row r="11" customFormat="false" ht="15" hidden="false" customHeight="false" outlineLevel="0" collapsed="false">
      <c r="A11" s="68" t="s">
        <v>584</v>
      </c>
      <c r="B11" s="25" t="s">
        <v>1228</v>
      </c>
      <c r="C11" s="25" t="s">
        <v>1229</v>
      </c>
      <c r="D11" s="25" t="s">
        <v>131</v>
      </c>
      <c r="E11" s="28" t="n">
        <v>10000</v>
      </c>
      <c r="F11" s="25"/>
      <c r="G11" s="25"/>
      <c r="H11" s="83" t="n">
        <f aca="false">IF(A11="","",SUMIFS(PT_Heures,PT_Mat,A11)/P_Heures)</f>
        <v>2</v>
      </c>
      <c r="I11" s="31" t="n">
        <f aca="false">IF(A11="","",SUMIFS(PT_Cout,PT_Mat,A11))</f>
        <v>20000</v>
      </c>
      <c r="J11" s="25"/>
    </row>
    <row r="12" customFormat="false" ht="15" hidden="false" customHeight="false" outlineLevel="0" collapsed="false">
      <c r="A12" s="68" t="s">
        <v>585</v>
      </c>
      <c r="B12" s="25" t="s">
        <v>1230</v>
      </c>
      <c r="C12" s="25" t="s">
        <v>1231</v>
      </c>
      <c r="D12" s="25" t="s">
        <v>131</v>
      </c>
      <c r="E12" s="28" t="n">
        <v>8000</v>
      </c>
      <c r="F12" s="25"/>
      <c r="G12" s="25"/>
      <c r="H12" s="83" t="n">
        <f aca="false">IF(A12="","",SUMIFS(PT_Heures,PT_Mat,A12)/P_Heures)</f>
        <v>2</v>
      </c>
      <c r="I12" s="31" t="n">
        <f aca="false">IF(A12="","",SUMIFS(PT_Cout,PT_Mat,A12))</f>
        <v>16000</v>
      </c>
      <c r="J12" s="25"/>
    </row>
    <row r="13" customFormat="false" ht="15" hidden="false" customHeight="false" outlineLevel="0" collapsed="false">
      <c r="A13" s="68" t="s">
        <v>586</v>
      </c>
      <c r="B13" s="25" t="s">
        <v>1232</v>
      </c>
      <c r="C13" s="25" t="s">
        <v>1233</v>
      </c>
      <c r="D13" s="25" t="s">
        <v>131</v>
      </c>
      <c r="E13" s="28" t="n">
        <v>3500</v>
      </c>
      <c r="F13" s="25"/>
      <c r="G13" s="25"/>
      <c r="H13" s="83" t="n">
        <f aca="false">IF(A13="","",SUMIFS(PT_Heures,PT_Mat,A13)/P_Heures)</f>
        <v>1</v>
      </c>
      <c r="I13" s="31" t="n">
        <f aca="false">IF(A13="","",SUMIFS(PT_Cout,PT_Mat,A13))</f>
        <v>3500</v>
      </c>
      <c r="J13" s="25"/>
    </row>
    <row r="14" customFormat="false" ht="15" hidden="false" customHeight="false" outlineLevel="0" collapsed="false">
      <c r="A14" s="68" t="s">
        <v>587</v>
      </c>
      <c r="B14" s="25" t="s">
        <v>609</v>
      </c>
      <c r="C14" s="25" t="s">
        <v>1234</v>
      </c>
      <c r="D14" s="25" t="s">
        <v>152</v>
      </c>
      <c r="E14" s="28" t="n">
        <v>10000</v>
      </c>
      <c r="F14" s="25"/>
      <c r="G14" s="25"/>
      <c r="H14" s="83" t="n">
        <f aca="false">IF(A14="","",SUMIFS(PT_Heures,PT_Mat,A14)/P_Heures)</f>
        <v>2</v>
      </c>
      <c r="I14" s="31" t="n">
        <f aca="false">IF(A14="","",SUMIFS(PT_Cout,PT_Mat,A14))</f>
        <v>20000</v>
      </c>
      <c r="J14" s="25"/>
    </row>
    <row r="15" customFormat="false" ht="15" hidden="false" customHeight="false" outlineLevel="0" collapsed="false">
      <c r="A15" s="68" t="s">
        <v>588</v>
      </c>
      <c r="B15" s="25" t="s">
        <v>1235</v>
      </c>
      <c r="C15" s="25" t="s">
        <v>1236</v>
      </c>
      <c r="D15" s="25" t="s">
        <v>152</v>
      </c>
      <c r="E15" s="28" t="n">
        <v>7000</v>
      </c>
      <c r="F15" s="25"/>
      <c r="G15" s="25"/>
      <c r="H15" s="83" t="n">
        <f aca="false">IF(A15="","",SUMIFS(PT_Heures,PT_Mat,A15)/P_Heures)</f>
        <v>2</v>
      </c>
      <c r="I15" s="31" t="n">
        <f aca="false">IF(A15="","",SUMIFS(PT_Cout,PT_Mat,A15))</f>
        <v>14000</v>
      </c>
      <c r="J15" s="25"/>
    </row>
    <row r="16" customFormat="false" ht="15" hidden="false" customHeight="false" outlineLevel="0" collapsed="false">
      <c r="A16" s="68" t="s">
        <v>589</v>
      </c>
      <c r="B16" s="25" t="s">
        <v>1237</v>
      </c>
      <c r="C16" s="25" t="s">
        <v>1238</v>
      </c>
      <c r="D16" s="25" t="s">
        <v>152</v>
      </c>
      <c r="E16" s="28" t="n">
        <v>7000</v>
      </c>
      <c r="F16" s="25"/>
      <c r="G16" s="25"/>
      <c r="H16" s="83" t="n">
        <f aca="false">IF(A16="","",SUMIFS(PT_Heures,PT_Mat,A16)/P_Heures)</f>
        <v>2</v>
      </c>
      <c r="I16" s="31" t="n">
        <f aca="false">IF(A16="","",SUMIFS(PT_Cout,PT_Mat,A16))</f>
        <v>14000</v>
      </c>
      <c r="J16" s="25"/>
    </row>
    <row r="17" customFormat="false" ht="15" hidden="false" customHeight="false" outlineLevel="0" collapsed="false">
      <c r="A17" s="68" t="s">
        <v>590</v>
      </c>
      <c r="B17" s="25" t="s">
        <v>1239</v>
      </c>
      <c r="C17" s="25" t="s">
        <v>1240</v>
      </c>
      <c r="D17" s="25" t="s">
        <v>152</v>
      </c>
      <c r="E17" s="28" t="n">
        <v>7000</v>
      </c>
      <c r="F17" s="25"/>
      <c r="G17" s="25"/>
      <c r="H17" s="83" t="n">
        <f aca="false">IF(A17="","",SUMIFS(PT_Heures,PT_Mat,A17)/P_Heures)</f>
        <v>2</v>
      </c>
      <c r="I17" s="31" t="n">
        <f aca="false">IF(A17="","",SUMIFS(PT_Cout,PT_Mat,A17))</f>
        <v>14000</v>
      </c>
      <c r="J17" s="25"/>
    </row>
    <row r="18" customFormat="false" ht="15" hidden="false" customHeight="false" outlineLevel="0" collapsed="false">
      <c r="A18" s="68" t="s">
        <v>591</v>
      </c>
      <c r="B18" s="25" t="s">
        <v>1241</v>
      </c>
      <c r="C18" s="25" t="s">
        <v>1233</v>
      </c>
      <c r="D18" s="25" t="s">
        <v>152</v>
      </c>
      <c r="E18" s="28" t="n">
        <v>3500</v>
      </c>
      <c r="F18" s="25"/>
      <c r="G18" s="25"/>
      <c r="H18" s="83" t="n">
        <f aca="false">IF(A18="","",SUMIFS(PT_Heures,PT_Mat,A18)/P_Heures)</f>
        <v>2</v>
      </c>
      <c r="I18" s="31" t="n">
        <f aca="false">IF(A18="","",SUMIFS(PT_Cout,PT_Mat,A18))</f>
        <v>7000</v>
      </c>
      <c r="J18" s="25"/>
    </row>
    <row r="19" customFormat="false" ht="15" hidden="false" customHeight="false" outlineLevel="0" collapsed="false">
      <c r="A19" s="68" t="s">
        <v>592</v>
      </c>
      <c r="B19" s="25" t="s">
        <v>611</v>
      </c>
      <c r="C19" s="25" t="s">
        <v>1242</v>
      </c>
      <c r="D19" s="25" t="s">
        <v>174</v>
      </c>
      <c r="E19" s="28" t="n">
        <v>10000</v>
      </c>
      <c r="F19" s="25"/>
      <c r="G19" s="25"/>
      <c r="H19" s="83" t="n">
        <f aca="false">IF(A19="","",SUMIFS(PT_Heures,PT_Mat,A19)/P_Heures)</f>
        <v>2</v>
      </c>
      <c r="I19" s="31" t="n">
        <f aca="false">IF(A19="","",SUMIFS(PT_Cout,PT_Mat,A19))</f>
        <v>20000</v>
      </c>
      <c r="J19" s="25"/>
    </row>
    <row r="20" customFormat="false" ht="15" hidden="false" customHeight="false" outlineLevel="0" collapsed="false">
      <c r="A20" s="68" t="s">
        <v>593</v>
      </c>
      <c r="B20" s="25" t="s">
        <v>1243</v>
      </c>
      <c r="C20" s="25" t="s">
        <v>1240</v>
      </c>
      <c r="D20" s="25" t="s">
        <v>174</v>
      </c>
      <c r="E20" s="28" t="n">
        <v>7000</v>
      </c>
      <c r="F20" s="25"/>
      <c r="G20" s="25"/>
      <c r="H20" s="83" t="n">
        <f aca="false">IF(A20="","",SUMIFS(PT_Heures,PT_Mat,A20)/P_Heures)</f>
        <v>2</v>
      </c>
      <c r="I20" s="31" t="n">
        <f aca="false">IF(A20="","",SUMIFS(PT_Cout,PT_Mat,A20))</f>
        <v>14000</v>
      </c>
      <c r="J20" s="25"/>
    </row>
    <row r="21" customFormat="false" ht="15" hidden="false" customHeight="false" outlineLevel="0" collapsed="false">
      <c r="A21" s="68" t="s">
        <v>594</v>
      </c>
      <c r="B21" s="25" t="s">
        <v>1244</v>
      </c>
      <c r="C21" s="25" t="s">
        <v>1233</v>
      </c>
      <c r="D21" s="25" t="s">
        <v>174</v>
      </c>
      <c r="E21" s="28" t="n">
        <v>3500</v>
      </c>
      <c r="F21" s="25"/>
      <c r="G21" s="25"/>
      <c r="H21" s="83" t="n">
        <f aca="false">IF(A21="","",SUMIFS(PT_Heures,PT_Mat,A21)/P_Heures)</f>
        <v>2</v>
      </c>
      <c r="I21" s="31" t="n">
        <f aca="false">IF(A21="","",SUMIFS(PT_Cout,PT_Mat,A21))</f>
        <v>7000</v>
      </c>
      <c r="J21" s="25"/>
    </row>
    <row r="22" customFormat="false" ht="15" hidden="false" customHeight="false" outlineLevel="0" collapsed="false">
      <c r="A22" s="68" t="s">
        <v>595</v>
      </c>
      <c r="B22" s="25" t="s">
        <v>1245</v>
      </c>
      <c r="C22" s="25" t="s">
        <v>1233</v>
      </c>
      <c r="D22" s="25" t="s">
        <v>174</v>
      </c>
      <c r="E22" s="28" t="n">
        <v>3500</v>
      </c>
      <c r="F22" s="25"/>
      <c r="G22" s="25"/>
      <c r="H22" s="83" t="n">
        <f aca="false">IF(A22="","",SUMIFS(PT_Heures,PT_Mat,A22)/P_Heures)</f>
        <v>1.5</v>
      </c>
      <c r="I22" s="31" t="n">
        <f aca="false">IF(A22="","",SUMIFS(PT_Cout,PT_Mat,A22))</f>
        <v>5250</v>
      </c>
      <c r="J22" s="25"/>
    </row>
    <row r="23" customFormat="false" ht="15" hidden="false" customHeight="false" outlineLevel="0" collapsed="false">
      <c r="A23" s="68" t="s">
        <v>596</v>
      </c>
      <c r="B23" s="25" t="s">
        <v>613</v>
      </c>
      <c r="C23" s="25" t="s">
        <v>1246</v>
      </c>
      <c r="D23" s="25" t="s">
        <v>192</v>
      </c>
      <c r="E23" s="28" t="n">
        <v>9000</v>
      </c>
      <c r="F23" s="25"/>
      <c r="G23" s="25"/>
      <c r="H23" s="83" t="n">
        <f aca="false">IF(A23="","",SUMIFS(PT_Heures,PT_Mat,A23)/P_Heures)</f>
        <v>2</v>
      </c>
      <c r="I23" s="31" t="n">
        <f aca="false">IF(A23="","",SUMIFS(PT_Cout,PT_Mat,A23))</f>
        <v>18000</v>
      </c>
      <c r="J23" s="25"/>
    </row>
    <row r="24" customFormat="false" ht="15" hidden="false" customHeight="false" outlineLevel="0" collapsed="false">
      <c r="A24" s="68" t="s">
        <v>597</v>
      </c>
      <c r="B24" s="25" t="s">
        <v>1247</v>
      </c>
      <c r="C24" s="25" t="s">
        <v>1248</v>
      </c>
      <c r="D24" s="25" t="s">
        <v>192</v>
      </c>
      <c r="E24" s="28" t="n">
        <v>5000</v>
      </c>
      <c r="F24" s="25"/>
      <c r="G24" s="25"/>
      <c r="H24" s="83" t="n">
        <f aca="false">IF(A24="","",SUMIFS(PT_Heures,PT_Mat,A24)/P_Heures)</f>
        <v>2</v>
      </c>
      <c r="I24" s="31" t="n">
        <f aca="false">IF(A24="","",SUMIFS(PT_Cout,PT_Mat,A24))</f>
        <v>10000</v>
      </c>
      <c r="J24" s="25"/>
    </row>
    <row r="25" customFormat="false" ht="15" hidden="false" customHeight="false" outlineLevel="0" collapsed="false">
      <c r="A25" s="68"/>
      <c r="B25" s="25"/>
      <c r="C25" s="25"/>
      <c r="D25" s="25"/>
      <c r="E25" s="28"/>
      <c r="F25" s="25"/>
      <c r="G25" s="25"/>
      <c r="H25" s="83" t="str">
        <f aca="false">IF(A25="","",SUMIFS(PT_Heures,PT_Mat,A25)/P_Heures)</f>
        <v/>
      </c>
      <c r="I25" s="31" t="str">
        <f aca="false">IF(A25="","",SUMIFS(PT_Cout,PT_Mat,A25))</f>
        <v/>
      </c>
      <c r="J25" s="25"/>
    </row>
    <row r="26" customFormat="false" ht="15" hidden="false" customHeight="false" outlineLevel="0" collapsed="false">
      <c r="A26" s="68"/>
      <c r="B26" s="25"/>
      <c r="C26" s="25"/>
      <c r="D26" s="25"/>
      <c r="E26" s="28"/>
      <c r="F26" s="25"/>
      <c r="G26" s="25"/>
      <c r="H26" s="83" t="str">
        <f aca="false">IF(A26="","",SUMIFS(PT_Heures,PT_Mat,A26)/P_Heures)</f>
        <v/>
      </c>
      <c r="I26" s="31" t="str">
        <f aca="false">IF(A26="","",SUMIFS(PT_Cout,PT_Mat,A26))</f>
        <v/>
      </c>
      <c r="J26" s="25"/>
    </row>
    <row r="27" customFormat="false" ht="15" hidden="false" customHeight="false" outlineLevel="0" collapsed="false">
      <c r="A27" s="68"/>
      <c r="B27" s="25"/>
      <c r="C27" s="25"/>
      <c r="D27" s="25"/>
      <c r="E27" s="28"/>
      <c r="F27" s="25"/>
      <c r="G27" s="25"/>
      <c r="H27" s="83" t="str">
        <f aca="false">IF(A27="","",SUMIFS(PT_Heures,PT_Mat,A27)/P_Heures)</f>
        <v/>
      </c>
      <c r="I27" s="31" t="str">
        <f aca="false">IF(A27="","",SUMIFS(PT_Cout,PT_Mat,A27))</f>
        <v/>
      </c>
      <c r="J27" s="25"/>
    </row>
    <row r="28" customFormat="false" ht="15" hidden="false" customHeight="false" outlineLevel="0" collapsed="false">
      <c r="A28" s="68"/>
      <c r="B28" s="25"/>
      <c r="C28" s="25"/>
      <c r="D28" s="25"/>
      <c r="E28" s="28"/>
      <c r="F28" s="25"/>
      <c r="G28" s="25"/>
      <c r="H28" s="83" t="str">
        <f aca="false">IF(A28="","",SUMIFS(PT_Heures,PT_Mat,A28)/P_Heures)</f>
        <v/>
      </c>
      <c r="I28" s="31" t="str">
        <f aca="false">IF(A28="","",SUMIFS(PT_Cout,PT_Mat,A28))</f>
        <v/>
      </c>
      <c r="J28" s="25"/>
    </row>
    <row r="29" customFormat="false" ht="15" hidden="false" customHeight="false" outlineLevel="0" collapsed="false">
      <c r="A29" s="68"/>
      <c r="B29" s="25"/>
      <c r="C29" s="25"/>
      <c r="D29" s="25"/>
      <c r="E29" s="28"/>
      <c r="F29" s="25"/>
      <c r="G29" s="25"/>
      <c r="H29" s="83" t="str">
        <f aca="false">IF(A29="","",SUMIFS(PT_Heures,PT_Mat,A29)/P_Heures)</f>
        <v/>
      </c>
      <c r="I29" s="31" t="str">
        <f aca="false">IF(A29="","",SUMIFS(PT_Cout,PT_Mat,A29))</f>
        <v/>
      </c>
      <c r="J29" s="25"/>
    </row>
    <row r="30" customFormat="false" ht="15" hidden="false" customHeight="false" outlineLevel="0" collapsed="false">
      <c r="A30" s="68"/>
      <c r="B30" s="25"/>
      <c r="C30" s="25"/>
      <c r="D30" s="25"/>
      <c r="E30" s="28"/>
      <c r="F30" s="25"/>
      <c r="G30" s="25"/>
      <c r="H30" s="83" t="str">
        <f aca="false">IF(A30="","",SUMIFS(PT_Heures,PT_Mat,A30)/P_Heures)</f>
        <v/>
      </c>
      <c r="I30" s="31" t="str">
        <f aca="false">IF(A30="","",SUMIFS(PT_Cout,PT_Mat,A30))</f>
        <v/>
      </c>
      <c r="J30" s="25"/>
    </row>
    <row r="31" customFormat="false" ht="15" hidden="false" customHeight="false" outlineLevel="0" collapsed="false">
      <c r="A31" s="68"/>
      <c r="B31" s="25"/>
      <c r="C31" s="25"/>
      <c r="D31" s="25"/>
      <c r="E31" s="28"/>
      <c r="F31" s="25"/>
      <c r="G31" s="25"/>
      <c r="H31" s="83" t="str">
        <f aca="false">IF(A31="","",SUMIFS(PT_Heures,PT_Mat,A31)/P_Heures)</f>
        <v/>
      </c>
      <c r="I31" s="31" t="str">
        <f aca="false">IF(A31="","",SUMIFS(PT_Cout,PT_Mat,A31))</f>
        <v/>
      </c>
      <c r="J31" s="25"/>
    </row>
    <row r="32" customFormat="false" ht="15" hidden="false" customHeight="false" outlineLevel="0" collapsed="false">
      <c r="A32" s="68"/>
      <c r="B32" s="25"/>
      <c r="C32" s="25"/>
      <c r="D32" s="25"/>
      <c r="E32" s="28"/>
      <c r="F32" s="25"/>
      <c r="G32" s="25"/>
      <c r="H32" s="83" t="str">
        <f aca="false">IF(A32="","",SUMIFS(PT_Heures,PT_Mat,A32)/P_Heures)</f>
        <v/>
      </c>
      <c r="I32" s="31" t="str">
        <f aca="false">IF(A32="","",SUMIFS(PT_Cout,PT_Mat,A32))</f>
        <v/>
      </c>
      <c r="J32" s="25"/>
    </row>
    <row r="33" customFormat="false" ht="15" hidden="false" customHeight="false" outlineLevel="0" collapsed="false">
      <c r="A33" s="68"/>
      <c r="B33" s="25"/>
      <c r="C33" s="25"/>
      <c r="D33" s="25"/>
      <c r="E33" s="28"/>
      <c r="F33" s="25"/>
      <c r="G33" s="25"/>
      <c r="H33" s="83" t="str">
        <f aca="false">IF(A33="","",SUMIFS(PT_Heures,PT_Mat,A33)/P_Heures)</f>
        <v/>
      </c>
      <c r="I33" s="31" t="str">
        <f aca="false">IF(A33="","",SUMIFS(PT_Cout,PT_Mat,A33))</f>
        <v/>
      </c>
      <c r="J33" s="25"/>
    </row>
    <row r="34" customFormat="false" ht="15" hidden="false" customHeight="false" outlineLevel="0" collapsed="false">
      <c r="A34" s="68"/>
      <c r="B34" s="25"/>
      <c r="C34" s="25"/>
      <c r="D34" s="25"/>
      <c r="E34" s="28"/>
      <c r="F34" s="25"/>
      <c r="G34" s="25"/>
      <c r="H34" s="83" t="str">
        <f aca="false">IF(A34="","",SUMIFS(PT_Heures,PT_Mat,A34)/P_Heures)</f>
        <v/>
      </c>
      <c r="I34" s="31" t="str">
        <f aca="false">IF(A34="","",SUMIFS(PT_Cout,PT_Mat,A34))</f>
        <v/>
      </c>
      <c r="J34" s="25"/>
    </row>
    <row r="35" customFormat="false" ht="15" hidden="false" customHeight="false" outlineLevel="0" collapsed="false">
      <c r="A35" s="68"/>
      <c r="B35" s="25"/>
      <c r="C35" s="25"/>
      <c r="D35" s="25"/>
      <c r="E35" s="28"/>
      <c r="F35" s="25"/>
      <c r="G35" s="25"/>
      <c r="H35" s="83" t="str">
        <f aca="false">IF(A35="","",SUMIFS(PT_Heures,PT_Mat,A35)/P_Heures)</f>
        <v/>
      </c>
      <c r="I35" s="31" t="str">
        <f aca="false">IF(A35="","",SUMIFS(PT_Cout,PT_Mat,A35))</f>
        <v/>
      </c>
      <c r="J35" s="25"/>
    </row>
    <row r="36" customFormat="false" ht="15" hidden="false" customHeight="false" outlineLevel="0" collapsed="false">
      <c r="A36" s="68"/>
      <c r="B36" s="25"/>
      <c r="C36" s="25"/>
      <c r="D36" s="25"/>
      <c r="E36" s="28"/>
      <c r="F36" s="25"/>
      <c r="G36" s="25"/>
      <c r="H36" s="83" t="str">
        <f aca="false">IF(A36="","",SUMIFS(PT_Heures,PT_Mat,A36)/P_Heures)</f>
        <v/>
      </c>
      <c r="I36" s="31" t="str">
        <f aca="false">IF(A36="","",SUMIFS(PT_Cout,PT_Mat,A36))</f>
        <v/>
      </c>
      <c r="J36" s="25"/>
    </row>
    <row r="37" customFormat="false" ht="15" hidden="false" customHeight="false" outlineLevel="0" collapsed="false">
      <c r="A37" s="68"/>
      <c r="B37" s="25"/>
      <c r="C37" s="25"/>
      <c r="D37" s="25"/>
      <c r="E37" s="28"/>
      <c r="F37" s="25"/>
      <c r="G37" s="25"/>
      <c r="H37" s="83" t="str">
        <f aca="false">IF(A37="","",SUMIFS(PT_Heures,PT_Mat,A37)/P_Heures)</f>
        <v/>
      </c>
      <c r="I37" s="31" t="str">
        <f aca="false">IF(A37="","",SUMIFS(PT_Cout,PT_Mat,A37))</f>
        <v/>
      </c>
      <c r="J37" s="25"/>
    </row>
    <row r="38" customFormat="false" ht="15" hidden="false" customHeight="false" outlineLevel="0" collapsed="false">
      <c r="A38" s="68"/>
      <c r="B38" s="25"/>
      <c r="C38" s="25"/>
      <c r="D38" s="25"/>
      <c r="E38" s="28"/>
      <c r="F38" s="25"/>
      <c r="G38" s="25"/>
      <c r="H38" s="83" t="str">
        <f aca="false">IF(A38="","",SUMIFS(PT_Heures,PT_Mat,A38)/P_Heures)</f>
        <v/>
      </c>
      <c r="I38" s="31" t="str">
        <f aca="false">IF(A38="","",SUMIFS(PT_Cout,PT_Mat,A38))</f>
        <v/>
      </c>
      <c r="J38" s="25"/>
    </row>
    <row r="39" customFormat="false" ht="15" hidden="false" customHeight="false" outlineLevel="0" collapsed="false">
      <c r="A39" s="68"/>
      <c r="B39" s="25"/>
      <c r="C39" s="25"/>
      <c r="D39" s="25"/>
      <c r="E39" s="28"/>
      <c r="F39" s="25"/>
      <c r="G39" s="25"/>
      <c r="H39" s="83" t="str">
        <f aca="false">IF(A39="","",SUMIFS(PT_Heures,PT_Mat,A39)/P_Heures)</f>
        <v/>
      </c>
      <c r="I39" s="31" t="str">
        <f aca="false">IF(A39="","",SUMIFS(PT_Cout,PT_Mat,A39))</f>
        <v/>
      </c>
      <c r="J39" s="25"/>
    </row>
    <row r="40" customFormat="false" ht="15" hidden="false" customHeight="false" outlineLevel="0" collapsed="false">
      <c r="A40" s="68"/>
      <c r="B40" s="25"/>
      <c r="C40" s="25"/>
      <c r="D40" s="25"/>
      <c r="E40" s="28"/>
      <c r="F40" s="25"/>
      <c r="G40" s="25"/>
      <c r="H40" s="83" t="str">
        <f aca="false">IF(A40="","",SUMIFS(PT_Heures,PT_Mat,A40)/P_Heures)</f>
        <v/>
      </c>
      <c r="I40" s="31" t="str">
        <f aca="false">IF(A40="","",SUMIFS(PT_Cout,PT_Mat,A40))</f>
        <v/>
      </c>
      <c r="J40" s="25"/>
    </row>
    <row r="41" customFormat="false" ht="15" hidden="false" customHeight="false" outlineLevel="0" collapsed="false">
      <c r="A41" s="68"/>
      <c r="B41" s="25"/>
      <c r="C41" s="25"/>
      <c r="D41" s="25"/>
      <c r="E41" s="28"/>
      <c r="F41" s="25"/>
      <c r="G41" s="25"/>
      <c r="H41" s="83" t="str">
        <f aca="false">IF(A41="","",SUMIFS(PT_Heures,PT_Mat,A41)/P_Heures)</f>
        <v/>
      </c>
      <c r="I41" s="31" t="str">
        <f aca="false">IF(A41="","",SUMIFS(PT_Cout,PT_Mat,A41))</f>
        <v/>
      </c>
      <c r="J41" s="25"/>
    </row>
    <row r="42" customFormat="false" ht="15" hidden="false" customHeight="false" outlineLevel="0" collapsed="false">
      <c r="A42" s="68"/>
      <c r="B42" s="25"/>
      <c r="C42" s="25"/>
      <c r="D42" s="25"/>
      <c r="E42" s="28"/>
      <c r="F42" s="25"/>
      <c r="G42" s="25"/>
      <c r="H42" s="83" t="str">
        <f aca="false">IF(A42="","",SUMIFS(PT_Heures,PT_Mat,A42)/P_Heures)</f>
        <v/>
      </c>
      <c r="I42" s="31" t="str">
        <f aca="false">IF(A42="","",SUMIFS(PT_Cout,PT_Mat,A42))</f>
        <v/>
      </c>
      <c r="J42" s="25"/>
    </row>
    <row r="43" customFormat="false" ht="15" hidden="false" customHeight="false" outlineLevel="0" collapsed="false">
      <c r="A43" s="68"/>
      <c r="B43" s="25"/>
      <c r="C43" s="25"/>
      <c r="D43" s="25"/>
      <c r="E43" s="28"/>
      <c r="F43" s="25"/>
      <c r="G43" s="25"/>
      <c r="H43" s="83" t="str">
        <f aca="false">IF(A43="","",SUMIFS(PT_Heures,PT_Mat,A43)/P_Heures)</f>
        <v/>
      </c>
      <c r="I43" s="31" t="str">
        <f aca="false">IF(A43="","",SUMIFS(PT_Cout,PT_Mat,A43))</f>
        <v/>
      </c>
      <c r="J43" s="25"/>
    </row>
    <row r="44" customFormat="false" ht="15" hidden="false" customHeight="false" outlineLevel="0" collapsed="false">
      <c r="A44" s="68"/>
      <c r="B44" s="25"/>
      <c r="C44" s="25"/>
      <c r="D44" s="25"/>
      <c r="E44" s="28"/>
      <c r="F44" s="25"/>
      <c r="G44" s="25"/>
      <c r="H44" s="83" t="str">
        <f aca="false">IF(A44="","",SUMIFS(PT_Heures,PT_Mat,A44)/P_Heures)</f>
        <v/>
      </c>
      <c r="I44" s="31" t="str">
        <f aca="false">IF(A44="","",SUMIFS(PT_Cout,PT_Mat,A44))</f>
        <v/>
      </c>
      <c r="J44" s="25"/>
    </row>
    <row r="45" customFormat="false" ht="15" hidden="false" customHeight="false" outlineLevel="0" collapsed="false">
      <c r="A45" s="68"/>
      <c r="B45" s="25"/>
      <c r="C45" s="25"/>
      <c r="D45" s="25"/>
      <c r="E45" s="28"/>
      <c r="F45" s="25"/>
      <c r="G45" s="25"/>
      <c r="H45" s="83" t="str">
        <f aca="false">IF(A45="","",SUMIFS(PT_Heures,PT_Mat,A45)/P_Heures)</f>
        <v/>
      </c>
      <c r="I45" s="31" t="str">
        <f aca="false">IF(A45="","",SUMIFS(PT_Cout,PT_Mat,A45))</f>
        <v/>
      </c>
      <c r="J45" s="25"/>
    </row>
    <row r="46" customFormat="false" ht="15" hidden="false" customHeight="false" outlineLevel="0" collapsed="false">
      <c r="A46" s="68"/>
      <c r="B46" s="25"/>
      <c r="C46" s="25"/>
      <c r="D46" s="25"/>
      <c r="E46" s="28"/>
      <c r="F46" s="25"/>
      <c r="G46" s="25"/>
      <c r="H46" s="83" t="str">
        <f aca="false">IF(A46="","",SUMIFS(PT_Heures,PT_Mat,A46)/P_Heures)</f>
        <v/>
      </c>
      <c r="I46" s="31" t="str">
        <f aca="false">IF(A46="","",SUMIFS(PT_Cout,PT_Mat,A46))</f>
        <v/>
      </c>
      <c r="J46" s="25"/>
    </row>
    <row r="47" customFormat="false" ht="15" hidden="false" customHeight="false" outlineLevel="0" collapsed="false">
      <c r="A47" s="68"/>
      <c r="B47" s="25"/>
      <c r="C47" s="25"/>
      <c r="D47" s="25"/>
      <c r="E47" s="28"/>
      <c r="F47" s="25"/>
      <c r="G47" s="25"/>
      <c r="H47" s="83" t="str">
        <f aca="false">IF(A47="","",SUMIFS(PT_Heures,PT_Mat,A47)/P_Heures)</f>
        <v/>
      </c>
      <c r="I47" s="31" t="str">
        <f aca="false">IF(A47="","",SUMIFS(PT_Cout,PT_Mat,A47))</f>
        <v/>
      </c>
      <c r="J47" s="25"/>
    </row>
    <row r="48" customFormat="false" ht="15" hidden="false" customHeight="false" outlineLevel="0" collapsed="false">
      <c r="A48" s="68"/>
      <c r="B48" s="25"/>
      <c r="C48" s="25"/>
      <c r="D48" s="25"/>
      <c r="E48" s="28"/>
      <c r="F48" s="25"/>
      <c r="G48" s="25"/>
      <c r="H48" s="83" t="str">
        <f aca="false">IF(A48="","",SUMIFS(PT_Heures,PT_Mat,A48)/P_Heures)</f>
        <v/>
      </c>
      <c r="I48" s="31" t="str">
        <f aca="false">IF(A48="","",SUMIFS(PT_Cout,PT_Mat,A48))</f>
        <v/>
      </c>
      <c r="J48" s="25"/>
    </row>
    <row r="49" customFormat="false" ht="15" hidden="false" customHeight="false" outlineLevel="0" collapsed="false">
      <c r="A49" s="68"/>
      <c r="B49" s="25"/>
      <c r="C49" s="25"/>
      <c r="D49" s="25"/>
      <c r="E49" s="28"/>
      <c r="F49" s="25"/>
      <c r="G49" s="25"/>
      <c r="H49" s="83" t="str">
        <f aca="false">IF(A49="","",SUMIFS(PT_Heures,PT_Mat,A49)/P_Heures)</f>
        <v/>
      </c>
      <c r="I49" s="31" t="str">
        <f aca="false">IF(A49="","",SUMIFS(PT_Cout,PT_Mat,A49))</f>
        <v/>
      </c>
      <c r="J49" s="25"/>
    </row>
    <row r="50" customFormat="false" ht="15" hidden="false" customHeight="false" outlineLevel="0" collapsed="false">
      <c r="A50" s="68"/>
      <c r="B50" s="25"/>
      <c r="C50" s="25"/>
      <c r="D50" s="25"/>
      <c r="E50" s="28"/>
      <c r="F50" s="25"/>
      <c r="G50" s="25"/>
      <c r="H50" s="83" t="str">
        <f aca="false">IF(A50="","",SUMIFS(PT_Heures,PT_Mat,A50)/P_Heures)</f>
        <v/>
      </c>
      <c r="I50" s="31" t="str">
        <f aca="false">IF(A50="","",SUMIFS(PT_Cout,PT_Mat,A50))</f>
        <v/>
      </c>
      <c r="J50" s="25"/>
    </row>
    <row r="51" customFormat="false" ht="15" hidden="false" customHeight="false" outlineLevel="0" collapsed="false">
      <c r="A51" s="68"/>
      <c r="B51" s="25"/>
      <c r="C51" s="25"/>
      <c r="D51" s="25"/>
      <c r="E51" s="28"/>
      <c r="F51" s="25"/>
      <c r="G51" s="25"/>
      <c r="H51" s="83" t="str">
        <f aca="false">IF(A51="","",SUMIFS(PT_Heures,PT_Mat,A51)/P_Heures)</f>
        <v/>
      </c>
      <c r="I51" s="31" t="str">
        <f aca="false">IF(A51="","",SUMIFS(PT_Cout,PT_Mat,A51))</f>
        <v/>
      </c>
      <c r="J51" s="25"/>
    </row>
    <row r="52" customFormat="false" ht="15" hidden="false" customHeight="false" outlineLevel="0" collapsed="false">
      <c r="A52" s="68"/>
      <c r="B52" s="25"/>
      <c r="C52" s="25"/>
      <c r="D52" s="25"/>
      <c r="E52" s="28"/>
      <c r="F52" s="25"/>
      <c r="G52" s="25"/>
      <c r="H52" s="83" t="str">
        <f aca="false">IF(A52="","",SUMIFS(PT_Heures,PT_Mat,A52)/P_Heures)</f>
        <v/>
      </c>
      <c r="I52" s="31" t="str">
        <f aca="false">IF(A52="","",SUMIFS(PT_Cout,PT_Mat,A52))</f>
        <v/>
      </c>
      <c r="J52" s="25"/>
    </row>
    <row r="53" customFormat="false" ht="15" hidden="false" customHeight="false" outlineLevel="0" collapsed="false">
      <c r="A53" s="68"/>
      <c r="B53" s="25"/>
      <c r="C53" s="25"/>
      <c r="D53" s="25"/>
      <c r="E53" s="28"/>
      <c r="F53" s="25"/>
      <c r="G53" s="25"/>
      <c r="H53" s="83" t="str">
        <f aca="false">IF(A53="","",SUMIFS(PT_Heures,PT_Mat,A53)/P_Heures)</f>
        <v/>
      </c>
      <c r="I53" s="31" t="str">
        <f aca="false">IF(A53="","",SUMIFS(PT_Cout,PT_Mat,A53))</f>
        <v/>
      </c>
      <c r="J53" s="25"/>
    </row>
    <row r="54" customFormat="false" ht="15" hidden="false" customHeight="false" outlineLevel="0" collapsed="false">
      <c r="A54" s="68"/>
      <c r="B54" s="25"/>
      <c r="C54" s="25"/>
      <c r="D54" s="25"/>
      <c r="E54" s="28"/>
      <c r="F54" s="25"/>
      <c r="G54" s="25"/>
      <c r="H54" s="83" t="str">
        <f aca="false">IF(A54="","",SUMIFS(PT_Heures,PT_Mat,A54)/P_Heures)</f>
        <v/>
      </c>
      <c r="I54" s="31" t="str">
        <f aca="false">IF(A54="","",SUMIFS(PT_Cout,PT_Mat,A54))</f>
        <v/>
      </c>
      <c r="J54" s="25"/>
    </row>
    <row r="55" customFormat="false" ht="15" hidden="false" customHeight="false" outlineLevel="0" collapsed="false">
      <c r="A55" s="68"/>
      <c r="B55" s="25"/>
      <c r="C55" s="25"/>
      <c r="D55" s="25"/>
      <c r="E55" s="28"/>
      <c r="F55" s="25"/>
      <c r="G55" s="25"/>
      <c r="H55" s="83" t="str">
        <f aca="false">IF(A55="","",SUMIFS(PT_Heures,PT_Mat,A55)/P_Heures)</f>
        <v/>
      </c>
      <c r="I55" s="31" t="str">
        <f aca="false">IF(A55="","",SUMIFS(PT_Cout,PT_Mat,A55))</f>
        <v/>
      </c>
      <c r="J55" s="25"/>
    </row>
    <row r="56" customFormat="false" ht="15" hidden="false" customHeight="false" outlineLevel="0" collapsed="false">
      <c r="A56" s="68"/>
      <c r="B56" s="25"/>
      <c r="C56" s="25"/>
      <c r="D56" s="25"/>
      <c r="E56" s="28"/>
      <c r="F56" s="25"/>
      <c r="G56" s="25"/>
      <c r="H56" s="83" t="str">
        <f aca="false">IF(A56="","",SUMIFS(PT_Heures,PT_Mat,A56)/P_Heures)</f>
        <v/>
      </c>
      <c r="I56" s="31" t="str">
        <f aca="false">IF(A56="","",SUMIFS(PT_Cout,PT_Mat,A56))</f>
        <v/>
      </c>
      <c r="J56" s="25"/>
    </row>
    <row r="57" customFormat="false" ht="15" hidden="false" customHeight="false" outlineLevel="0" collapsed="false">
      <c r="A57" s="68"/>
      <c r="B57" s="25"/>
      <c r="C57" s="25"/>
      <c r="D57" s="25"/>
      <c r="E57" s="28"/>
      <c r="F57" s="25"/>
      <c r="G57" s="25"/>
      <c r="H57" s="83" t="str">
        <f aca="false">IF(A57="","",SUMIFS(PT_Heures,PT_Mat,A57)/P_Heures)</f>
        <v/>
      </c>
      <c r="I57" s="31" t="str">
        <f aca="false">IF(A57="","",SUMIFS(PT_Cout,PT_Mat,A57))</f>
        <v/>
      </c>
      <c r="J57" s="25"/>
    </row>
    <row r="58" customFormat="false" ht="15" hidden="false" customHeight="false" outlineLevel="0" collapsed="false">
      <c r="A58" s="68"/>
      <c r="B58" s="25"/>
      <c r="C58" s="25"/>
      <c r="D58" s="25"/>
      <c r="E58" s="28"/>
      <c r="F58" s="25"/>
      <c r="G58" s="25"/>
      <c r="H58" s="83" t="str">
        <f aca="false">IF(A58="","",SUMIFS(PT_Heures,PT_Mat,A58)/P_Heures)</f>
        <v/>
      </c>
      <c r="I58" s="31" t="str">
        <f aca="false">IF(A58="","",SUMIFS(PT_Cout,PT_Mat,A58))</f>
        <v/>
      </c>
      <c r="J58" s="25"/>
    </row>
    <row r="59" customFormat="false" ht="15" hidden="false" customHeight="false" outlineLevel="0" collapsed="false">
      <c r="A59" s="68"/>
      <c r="B59" s="25"/>
      <c r="C59" s="25"/>
      <c r="D59" s="25"/>
      <c r="E59" s="28"/>
      <c r="F59" s="25"/>
      <c r="G59" s="25"/>
      <c r="H59" s="83" t="str">
        <f aca="false">IF(A59="","",SUMIFS(PT_Heures,PT_Mat,A59)/P_Heures)</f>
        <v/>
      </c>
      <c r="I59" s="31" t="str">
        <f aca="false">IF(A59="","",SUMIFS(PT_Cout,PT_Mat,A59))</f>
        <v/>
      </c>
      <c r="J59" s="25"/>
    </row>
    <row r="60" customFormat="false" ht="15" hidden="false" customHeight="false" outlineLevel="0" collapsed="false">
      <c r="A60" s="68"/>
      <c r="B60" s="25"/>
      <c r="C60" s="25"/>
      <c r="D60" s="25"/>
      <c r="E60" s="28"/>
      <c r="F60" s="25"/>
      <c r="G60" s="25"/>
      <c r="H60" s="83" t="str">
        <f aca="false">IF(A60="","",SUMIFS(PT_Heures,PT_Mat,A60)/P_Heures)</f>
        <v/>
      </c>
      <c r="I60" s="31" t="str">
        <f aca="false">IF(A60="","",SUMIFS(PT_Cout,PT_Mat,A60))</f>
        <v/>
      </c>
      <c r="J60" s="25"/>
    </row>
    <row r="61" customFormat="false" ht="15" hidden="false" customHeight="false" outlineLevel="0" collapsed="false">
      <c r="A61" s="68"/>
      <c r="B61" s="25"/>
      <c r="C61" s="25"/>
      <c r="D61" s="25"/>
      <c r="E61" s="28"/>
      <c r="F61" s="25"/>
      <c r="G61" s="25"/>
      <c r="H61" s="83" t="str">
        <f aca="false">IF(A61="","",SUMIFS(PT_Heures,PT_Mat,A61)/P_Heures)</f>
        <v/>
      </c>
      <c r="I61" s="31" t="str">
        <f aca="false">IF(A61="","",SUMIFS(PT_Cout,PT_Mat,A61))</f>
        <v/>
      </c>
      <c r="J61" s="25"/>
    </row>
    <row r="62" customFormat="false" ht="15" hidden="false" customHeight="false" outlineLevel="0" collapsed="false">
      <c r="A62" s="68"/>
      <c r="B62" s="25"/>
      <c r="C62" s="25"/>
      <c r="D62" s="25"/>
      <c r="E62" s="28"/>
      <c r="F62" s="25"/>
      <c r="G62" s="25"/>
      <c r="H62" s="83" t="str">
        <f aca="false">IF(A62="","",SUMIFS(PT_Heures,PT_Mat,A62)/P_Heures)</f>
        <v/>
      </c>
      <c r="I62" s="31" t="str">
        <f aca="false">IF(A62="","",SUMIFS(PT_Cout,PT_Mat,A62))</f>
        <v/>
      </c>
      <c r="J62" s="25"/>
    </row>
    <row r="63" customFormat="false" ht="15" hidden="false" customHeight="false" outlineLevel="0" collapsed="false">
      <c r="A63" s="68"/>
      <c r="B63" s="25"/>
      <c r="C63" s="25"/>
      <c r="D63" s="25"/>
      <c r="E63" s="28"/>
      <c r="F63" s="25"/>
      <c r="G63" s="25"/>
      <c r="H63" s="83" t="str">
        <f aca="false">IF(A63="","",SUMIFS(PT_Heures,PT_Mat,A63)/P_Heures)</f>
        <v/>
      </c>
      <c r="I63" s="31" t="str">
        <f aca="false">IF(A63="","",SUMIFS(PT_Cout,PT_Mat,A63))</f>
        <v/>
      </c>
      <c r="J63" s="25"/>
    </row>
    <row r="64" customFormat="false" ht="15" hidden="false" customHeight="false" outlineLevel="0" collapsed="false">
      <c r="A64" s="68"/>
      <c r="B64" s="25"/>
      <c r="C64" s="25"/>
      <c r="D64" s="25"/>
      <c r="E64" s="28"/>
      <c r="F64" s="25"/>
      <c r="G64" s="25"/>
      <c r="H64" s="83" t="str">
        <f aca="false">IF(A64="","",SUMIFS(PT_Heures,PT_Mat,A64)/P_Heures)</f>
        <v/>
      </c>
      <c r="I64" s="31" t="str">
        <f aca="false">IF(A64="","",SUMIFS(PT_Cout,PT_Mat,A64))</f>
        <v/>
      </c>
      <c r="J64" s="25"/>
    </row>
    <row r="65" customFormat="false" ht="15" hidden="false" customHeight="false" outlineLevel="0" collapsed="false">
      <c r="A65" s="68"/>
      <c r="B65" s="25"/>
      <c r="C65" s="25"/>
      <c r="D65" s="25"/>
      <c r="E65" s="28"/>
      <c r="F65" s="25"/>
      <c r="G65" s="25"/>
      <c r="H65" s="83" t="str">
        <f aca="false">IF(A65="","",SUMIFS(PT_Heures,PT_Mat,A65)/P_Heures)</f>
        <v/>
      </c>
      <c r="I65" s="31" t="str">
        <f aca="false">IF(A65="","",SUMIFS(PT_Cout,PT_Mat,A65))</f>
        <v/>
      </c>
      <c r="J65" s="25"/>
    </row>
    <row r="66" customFormat="false" ht="15" hidden="false" customHeight="false" outlineLevel="0" collapsed="false">
      <c r="A66" s="68"/>
      <c r="B66" s="25"/>
      <c r="C66" s="25"/>
      <c r="D66" s="25"/>
      <c r="E66" s="28"/>
      <c r="F66" s="25"/>
      <c r="G66" s="25"/>
      <c r="H66" s="83" t="str">
        <f aca="false">IF(A66="","",SUMIFS(PT_Heures,PT_Mat,A66)/P_Heures)</f>
        <v/>
      </c>
      <c r="I66" s="31" t="str">
        <f aca="false">IF(A66="","",SUMIFS(PT_Cout,PT_Mat,A66))</f>
        <v/>
      </c>
      <c r="J66" s="25"/>
    </row>
  </sheetData>
  <autoFilter ref="A6:J66"/>
  <mergeCells count="4">
    <mergeCell ref="A1:J1"/>
    <mergeCell ref="A2:J2"/>
    <mergeCell ref="A3:J3"/>
    <mergeCell ref="A4:J4"/>
  </mergeCells>
  <dataValidations count="1">
    <dataValidation allowBlank="true" errorStyle="stop" operator="between" showDropDown="false" showErrorMessage="true" showInputMessage="false" sqref="D7:D66" type="list">
      <formula1>L_Equipes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</row>
    <row r="2" customFormat="false" ht="19.5" hidden="false" customHeight="true" outlineLevel="0" collapsed="false">
      <c r="A2" s="20" t="s">
        <v>1249</v>
      </c>
      <c r="B2" s="20"/>
      <c r="C2" s="20"/>
      <c r="D2" s="20"/>
      <c r="E2" s="20"/>
      <c r="F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</row>
    <row r="4" customFormat="false" ht="30" hidden="false" customHeight="true" outlineLevel="0" collapsed="false">
      <c r="A4" s="21" t="s">
        <v>1250</v>
      </c>
      <c r="B4" s="21"/>
      <c r="C4" s="21"/>
      <c r="D4" s="21"/>
      <c r="E4" s="21"/>
      <c r="F4" s="21"/>
    </row>
    <row r="6" customFormat="false" ht="31.5" hidden="false" customHeight="true" outlineLevel="0" collapsed="false">
      <c r="A6" s="23" t="s">
        <v>1251</v>
      </c>
      <c r="B6" s="23" t="s">
        <v>1252</v>
      </c>
      <c r="C6" s="23" t="s">
        <v>306</v>
      </c>
      <c r="D6" s="23" t="s">
        <v>721</v>
      </c>
      <c r="E6" s="23" t="s">
        <v>571</v>
      </c>
      <c r="F6" s="23" t="s">
        <v>579</v>
      </c>
    </row>
    <row r="7" customFormat="false" ht="15" hidden="false" customHeight="false" outlineLevel="0" collapsed="false">
      <c r="A7" s="25" t="s">
        <v>1253</v>
      </c>
      <c r="B7" s="25" t="s">
        <v>1254</v>
      </c>
      <c r="C7" s="68" t="s">
        <v>1255</v>
      </c>
      <c r="D7" s="25"/>
      <c r="E7" s="69"/>
      <c r="F7" s="25"/>
    </row>
    <row r="8" customFormat="false" ht="15" hidden="false" customHeight="false" outlineLevel="0" collapsed="false">
      <c r="A8" s="25" t="s">
        <v>1253</v>
      </c>
      <c r="B8" s="25" t="s">
        <v>1256</v>
      </c>
      <c r="C8" s="68" t="s">
        <v>1255</v>
      </c>
      <c r="D8" s="25"/>
      <c r="E8" s="69"/>
      <c r="F8" s="25"/>
    </row>
    <row r="9" customFormat="false" ht="15" hidden="false" customHeight="false" outlineLevel="0" collapsed="false">
      <c r="A9" s="25" t="s">
        <v>1253</v>
      </c>
      <c r="B9" s="25" t="s">
        <v>1257</v>
      </c>
      <c r="C9" s="68" t="s">
        <v>1255</v>
      </c>
      <c r="D9" s="25"/>
      <c r="E9" s="69"/>
      <c r="F9" s="25"/>
    </row>
    <row r="10" customFormat="false" ht="15" hidden="false" customHeight="false" outlineLevel="0" collapsed="false">
      <c r="A10" s="25" t="s">
        <v>1253</v>
      </c>
      <c r="B10" s="25" t="s">
        <v>1258</v>
      </c>
      <c r="C10" s="68" t="s">
        <v>1255</v>
      </c>
      <c r="D10" s="25"/>
      <c r="E10" s="69"/>
      <c r="F10" s="25"/>
    </row>
    <row r="11" customFormat="false" ht="15" hidden="false" customHeight="false" outlineLevel="0" collapsed="false">
      <c r="A11" s="25" t="s">
        <v>1259</v>
      </c>
      <c r="B11" s="25" t="s">
        <v>1260</v>
      </c>
      <c r="C11" s="68" t="s">
        <v>1255</v>
      </c>
      <c r="D11" s="25"/>
      <c r="E11" s="69"/>
      <c r="F11" s="25"/>
    </row>
    <row r="12" customFormat="false" ht="15" hidden="false" customHeight="false" outlineLevel="0" collapsed="false">
      <c r="A12" s="25" t="s">
        <v>1259</v>
      </c>
      <c r="B12" s="25" t="s">
        <v>1261</v>
      </c>
      <c r="C12" s="68" t="s">
        <v>1255</v>
      </c>
      <c r="D12" s="25"/>
      <c r="E12" s="69"/>
      <c r="F12" s="25"/>
    </row>
    <row r="13" customFormat="false" ht="15" hidden="false" customHeight="false" outlineLevel="0" collapsed="false">
      <c r="A13" s="25" t="s">
        <v>1259</v>
      </c>
      <c r="B13" s="25" t="s">
        <v>1262</v>
      </c>
      <c r="C13" s="68" t="s">
        <v>1255</v>
      </c>
      <c r="D13" s="25"/>
      <c r="E13" s="69"/>
      <c r="F13" s="25"/>
    </row>
    <row r="14" customFormat="false" ht="15" hidden="false" customHeight="false" outlineLevel="0" collapsed="false">
      <c r="A14" s="25" t="s">
        <v>1259</v>
      </c>
      <c r="B14" s="25" t="s">
        <v>1263</v>
      </c>
      <c r="C14" s="68" t="s">
        <v>1255</v>
      </c>
      <c r="D14" s="25"/>
      <c r="E14" s="69"/>
      <c r="F14" s="25"/>
    </row>
    <row r="15" customFormat="false" ht="15" hidden="false" customHeight="false" outlineLevel="0" collapsed="false">
      <c r="A15" s="25" t="s">
        <v>1259</v>
      </c>
      <c r="B15" s="25" t="s">
        <v>1264</v>
      </c>
      <c r="C15" s="68" t="s">
        <v>1255</v>
      </c>
      <c r="D15" s="25"/>
      <c r="E15" s="69"/>
      <c r="F15" s="25"/>
    </row>
    <row r="16" customFormat="false" ht="15" hidden="false" customHeight="false" outlineLevel="0" collapsed="false">
      <c r="A16" s="25" t="s">
        <v>1259</v>
      </c>
      <c r="B16" s="25" t="s">
        <v>1265</v>
      </c>
      <c r="C16" s="68" t="s">
        <v>1255</v>
      </c>
      <c r="D16" s="25"/>
      <c r="E16" s="69"/>
      <c r="F16" s="25"/>
    </row>
    <row r="17" customFormat="false" ht="15" hidden="false" customHeight="false" outlineLevel="0" collapsed="false">
      <c r="A17" s="25" t="s">
        <v>1266</v>
      </c>
      <c r="B17" s="25" t="s">
        <v>1267</v>
      </c>
      <c r="C17" s="68" t="s">
        <v>1255</v>
      </c>
      <c r="D17" s="25"/>
      <c r="E17" s="69"/>
      <c r="F17" s="25"/>
    </row>
    <row r="18" customFormat="false" ht="15" hidden="false" customHeight="false" outlineLevel="0" collapsed="false">
      <c r="A18" s="25" t="s">
        <v>1266</v>
      </c>
      <c r="B18" s="25" t="s">
        <v>1268</v>
      </c>
      <c r="C18" s="68" t="s">
        <v>1255</v>
      </c>
      <c r="D18" s="25"/>
      <c r="E18" s="69"/>
      <c r="F18" s="25"/>
    </row>
    <row r="19" customFormat="false" ht="15" hidden="false" customHeight="false" outlineLevel="0" collapsed="false">
      <c r="A19" s="25" t="s">
        <v>1266</v>
      </c>
      <c r="B19" s="25" t="s">
        <v>1269</v>
      </c>
      <c r="C19" s="68" t="s">
        <v>1255</v>
      </c>
      <c r="D19" s="25"/>
      <c r="E19" s="69"/>
      <c r="F19" s="25"/>
    </row>
    <row r="20" customFormat="false" ht="15" hidden="false" customHeight="false" outlineLevel="0" collapsed="false">
      <c r="A20" s="25" t="s">
        <v>1266</v>
      </c>
      <c r="B20" s="25" t="s">
        <v>1270</v>
      </c>
      <c r="C20" s="68" t="s">
        <v>1255</v>
      </c>
      <c r="D20" s="25"/>
      <c r="E20" s="69"/>
      <c r="F20" s="25"/>
    </row>
    <row r="21" customFormat="false" ht="15" hidden="false" customHeight="false" outlineLevel="0" collapsed="false">
      <c r="A21" s="25" t="s">
        <v>1266</v>
      </c>
      <c r="B21" s="25" t="s">
        <v>1271</v>
      </c>
      <c r="C21" s="68" t="s">
        <v>1255</v>
      </c>
      <c r="D21" s="25"/>
      <c r="E21" s="69"/>
      <c r="F21" s="25"/>
    </row>
    <row r="22" customFormat="false" ht="15" hidden="false" customHeight="false" outlineLevel="0" collapsed="false">
      <c r="A22" s="25" t="s">
        <v>1266</v>
      </c>
      <c r="B22" s="25" t="s">
        <v>1272</v>
      </c>
      <c r="C22" s="68" t="s">
        <v>1255</v>
      </c>
      <c r="D22" s="25"/>
      <c r="E22" s="69"/>
      <c r="F22" s="25"/>
    </row>
    <row r="23" customFormat="false" ht="15" hidden="false" customHeight="false" outlineLevel="0" collapsed="false">
      <c r="A23" s="25" t="s">
        <v>1266</v>
      </c>
      <c r="B23" s="25" t="s">
        <v>1273</v>
      </c>
      <c r="C23" s="68" t="s">
        <v>1255</v>
      </c>
      <c r="D23" s="25"/>
      <c r="E23" s="69"/>
      <c r="F23" s="25"/>
    </row>
    <row r="24" customFormat="false" ht="15" hidden="false" customHeight="false" outlineLevel="0" collapsed="false">
      <c r="A24" s="25" t="s">
        <v>1274</v>
      </c>
      <c r="B24" s="25" t="s">
        <v>1275</v>
      </c>
      <c r="C24" s="68" t="s">
        <v>1255</v>
      </c>
      <c r="D24" s="25"/>
      <c r="E24" s="69"/>
      <c r="F24" s="25"/>
    </row>
    <row r="25" customFormat="false" ht="15" hidden="false" customHeight="false" outlineLevel="0" collapsed="false">
      <c r="A25" s="25" t="s">
        <v>1274</v>
      </c>
      <c r="B25" s="25" t="s">
        <v>1276</v>
      </c>
      <c r="C25" s="68" t="s">
        <v>1255</v>
      </c>
      <c r="D25" s="25"/>
      <c r="E25" s="69"/>
      <c r="F25" s="25"/>
    </row>
    <row r="26" customFormat="false" ht="15" hidden="false" customHeight="false" outlineLevel="0" collapsed="false">
      <c r="A26" s="25" t="s">
        <v>1274</v>
      </c>
      <c r="B26" s="25" t="s">
        <v>1277</v>
      </c>
      <c r="C26" s="68" t="s">
        <v>1255</v>
      </c>
      <c r="D26" s="25"/>
      <c r="E26" s="69"/>
      <c r="F26" s="25"/>
    </row>
    <row r="27" customFormat="false" ht="15" hidden="false" customHeight="false" outlineLevel="0" collapsed="false">
      <c r="A27" s="25" t="s">
        <v>1274</v>
      </c>
      <c r="B27" s="25" t="s">
        <v>1278</v>
      </c>
      <c r="C27" s="68" t="s">
        <v>1255</v>
      </c>
      <c r="D27" s="25"/>
      <c r="E27" s="69"/>
      <c r="F27" s="25"/>
    </row>
    <row r="28" customFormat="false" ht="15" hidden="false" customHeight="false" outlineLevel="0" collapsed="false">
      <c r="A28" s="25" t="s">
        <v>1279</v>
      </c>
      <c r="B28" s="25" t="s">
        <v>1280</v>
      </c>
      <c r="C28" s="68" t="s">
        <v>1255</v>
      </c>
      <c r="D28" s="25"/>
      <c r="E28" s="69"/>
      <c r="F28" s="25"/>
    </row>
    <row r="29" customFormat="false" ht="15" hidden="false" customHeight="false" outlineLevel="0" collapsed="false">
      <c r="A29" s="25" t="s">
        <v>1279</v>
      </c>
      <c r="B29" s="25" t="s">
        <v>1281</v>
      </c>
      <c r="C29" s="68" t="s">
        <v>1255</v>
      </c>
      <c r="D29" s="25"/>
      <c r="E29" s="69"/>
      <c r="F29" s="25"/>
    </row>
    <row r="30" customFormat="false" ht="23.85" hidden="false" customHeight="false" outlineLevel="0" collapsed="false">
      <c r="A30" s="25" t="s">
        <v>1282</v>
      </c>
      <c r="B30" s="25" t="s">
        <v>1283</v>
      </c>
      <c r="C30" s="68" t="s">
        <v>1255</v>
      </c>
      <c r="D30" s="25"/>
      <c r="E30" s="69"/>
      <c r="F30" s="25"/>
    </row>
    <row r="31" customFormat="false" ht="15" hidden="false" customHeight="false" outlineLevel="0" collapsed="false">
      <c r="A31" s="25" t="s">
        <v>1282</v>
      </c>
      <c r="B31" s="25" t="s">
        <v>1284</v>
      </c>
      <c r="C31" s="68" t="s">
        <v>1255</v>
      </c>
      <c r="D31" s="25"/>
      <c r="E31" s="69"/>
      <c r="F31" s="25"/>
    </row>
    <row r="32" customFormat="false" ht="15" hidden="false" customHeight="false" outlineLevel="0" collapsed="false">
      <c r="A32" s="25" t="s">
        <v>1282</v>
      </c>
      <c r="B32" s="25" t="s">
        <v>1285</v>
      </c>
      <c r="C32" s="68" t="s">
        <v>1255</v>
      </c>
      <c r="D32" s="25"/>
      <c r="E32" s="69"/>
      <c r="F32" s="25"/>
    </row>
    <row r="33" customFormat="false" ht="23.85" hidden="false" customHeight="false" outlineLevel="0" collapsed="false">
      <c r="A33" s="25" t="s">
        <v>1282</v>
      </c>
      <c r="B33" s="25" t="s">
        <v>1286</v>
      </c>
      <c r="C33" s="68" t="s">
        <v>1255</v>
      </c>
      <c r="D33" s="25"/>
      <c r="E33" s="69"/>
      <c r="F33" s="25"/>
    </row>
    <row r="34" customFormat="false" ht="15" hidden="false" customHeight="false" outlineLevel="0" collapsed="false">
      <c r="A34" s="25" t="s">
        <v>1282</v>
      </c>
      <c r="B34" s="25" t="s">
        <v>1287</v>
      </c>
      <c r="C34" s="68" t="s">
        <v>1255</v>
      </c>
      <c r="D34" s="25"/>
      <c r="E34" s="69"/>
      <c r="F34" s="25"/>
    </row>
    <row r="35" customFormat="false" ht="15" hidden="false" customHeight="false" outlineLevel="0" collapsed="false">
      <c r="A35" s="25" t="s">
        <v>1288</v>
      </c>
      <c r="B35" s="25" t="s">
        <v>1289</v>
      </c>
      <c r="C35" s="68" t="s">
        <v>1255</v>
      </c>
      <c r="D35" s="25"/>
      <c r="E35" s="69"/>
      <c r="F35" s="25"/>
    </row>
    <row r="36" customFormat="false" ht="15" hidden="false" customHeight="false" outlineLevel="0" collapsed="false">
      <c r="A36" s="25" t="s">
        <v>1288</v>
      </c>
      <c r="B36" s="25" t="s">
        <v>1290</v>
      </c>
      <c r="C36" s="68" t="s">
        <v>1255</v>
      </c>
      <c r="D36" s="25"/>
      <c r="E36" s="69"/>
      <c r="F36" s="25"/>
    </row>
    <row r="37" customFormat="false" ht="15" hidden="false" customHeight="false" outlineLevel="0" collapsed="false">
      <c r="A37" s="25" t="s">
        <v>1291</v>
      </c>
      <c r="B37" s="25" t="s">
        <v>1292</v>
      </c>
      <c r="C37" s="68" t="s">
        <v>1255</v>
      </c>
      <c r="D37" s="25"/>
      <c r="E37" s="69"/>
      <c r="F37" s="25"/>
    </row>
    <row r="38" customFormat="false" ht="15" hidden="false" customHeight="false" outlineLevel="0" collapsed="false">
      <c r="A38" s="25" t="s">
        <v>1293</v>
      </c>
      <c r="B38" s="25" t="s">
        <v>1294</v>
      </c>
      <c r="C38" s="68" t="s">
        <v>1255</v>
      </c>
      <c r="D38" s="25"/>
      <c r="E38" s="69"/>
      <c r="F38" s="25"/>
    </row>
    <row r="39" customFormat="false" ht="15" hidden="false" customHeight="false" outlineLevel="0" collapsed="false">
      <c r="A39" s="25" t="s">
        <v>1293</v>
      </c>
      <c r="B39" s="25" t="s">
        <v>1295</v>
      </c>
      <c r="C39" s="68" t="s">
        <v>1255</v>
      </c>
      <c r="D39" s="25"/>
      <c r="E39" s="69"/>
      <c r="F39" s="25"/>
    </row>
    <row r="40" customFormat="false" ht="15" hidden="false" customHeight="false" outlineLevel="0" collapsed="false">
      <c r="A40" s="25"/>
      <c r="B40" s="25"/>
      <c r="C40" s="68"/>
      <c r="D40" s="25"/>
      <c r="E40" s="69"/>
      <c r="F40" s="25"/>
    </row>
    <row r="41" customFormat="false" ht="15" hidden="false" customHeight="false" outlineLevel="0" collapsed="false">
      <c r="A41" s="25"/>
      <c r="B41" s="25"/>
      <c r="C41" s="68"/>
      <c r="D41" s="25"/>
      <c r="E41" s="69"/>
      <c r="F41" s="25"/>
    </row>
    <row r="42" customFormat="false" ht="15" hidden="false" customHeight="false" outlineLevel="0" collapsed="false">
      <c r="A42" s="25"/>
      <c r="B42" s="25"/>
      <c r="C42" s="68"/>
      <c r="D42" s="25"/>
      <c r="E42" s="69"/>
      <c r="F42" s="25"/>
    </row>
    <row r="43" customFormat="false" ht="15" hidden="false" customHeight="false" outlineLevel="0" collapsed="false">
      <c r="A43" s="25"/>
      <c r="B43" s="25"/>
      <c r="C43" s="68"/>
      <c r="D43" s="25"/>
      <c r="E43" s="69"/>
      <c r="F43" s="25"/>
    </row>
    <row r="44" customFormat="false" ht="15" hidden="false" customHeight="false" outlineLevel="0" collapsed="false">
      <c r="A44" s="25"/>
      <c r="B44" s="25"/>
      <c r="C44" s="68"/>
      <c r="D44" s="25"/>
      <c r="E44" s="69"/>
      <c r="F44" s="25"/>
    </row>
    <row r="45" customFormat="false" ht="15" hidden="false" customHeight="false" outlineLevel="0" collapsed="false">
      <c r="A45" s="25"/>
      <c r="B45" s="25"/>
      <c r="C45" s="68"/>
      <c r="D45" s="25"/>
      <c r="E45" s="69"/>
      <c r="F45" s="25"/>
    </row>
    <row r="46" customFormat="false" ht="15" hidden="false" customHeight="false" outlineLevel="0" collapsed="false">
      <c r="A46" s="25"/>
      <c r="B46" s="25"/>
      <c r="C46" s="68"/>
      <c r="D46" s="25"/>
      <c r="E46" s="69"/>
      <c r="F46" s="25"/>
    </row>
    <row r="48" customFormat="false" ht="15" hidden="false" customHeight="false" outlineLevel="0" collapsed="false">
      <c r="B48" s="5" t="str">
        <f aca="false">COUNTIF(C7:C46,"Fait")&amp;" / "&amp;COUNTA(B7:B46)&amp;" points réalisés"</f>
        <v>0 / 33 points réalisés</v>
      </c>
    </row>
  </sheetData>
  <autoFilter ref="A6:F46"/>
  <mergeCells count="4">
    <mergeCell ref="A1:F1"/>
    <mergeCell ref="A2:F2"/>
    <mergeCell ref="A3:F3"/>
    <mergeCell ref="A4:F4"/>
  </mergeCells>
  <conditionalFormatting sqref="C7:C46">
    <cfRule type="cellIs" priority="2" operator="equal" aboveAverage="0" equalAverage="0" bottom="0" percent="0" rank="0" text="" dxfId="3">
      <formula>"À faire"</formula>
    </cfRule>
    <cfRule type="cellIs" priority="3" operator="equal" aboveAverage="0" equalAverage="0" bottom="0" percent="0" rank="0" text="" dxfId="2">
      <formula>"En cours"</formula>
    </cfRule>
    <cfRule type="cellIs" priority="4" operator="equal" aboveAverage="0" equalAverage="0" bottom="0" percent="0" rank="0" text="" dxfId="1">
      <formula>"Fait"</formula>
    </cfRule>
  </conditionalFormatting>
  <dataValidations count="1">
    <dataValidation allowBlank="true" errorStyle="stop" operator="between" showDropDown="false" showErrorMessage="true" showInputMessage="false" sqref="C7:C46" type="list">
      <formula1>"Fait,En cours,À faire"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9" t="s">
        <v>0</v>
      </c>
      <c r="B1" s="19"/>
      <c r="C1" s="19"/>
      <c r="D1" s="19"/>
      <c r="E1" s="19"/>
      <c r="F1" s="19"/>
    </row>
    <row r="2" customFormat="false" ht="19.5" hidden="false" customHeight="true" outlineLevel="0" collapsed="false">
      <c r="A2" s="20" t="s">
        <v>1296</v>
      </c>
      <c r="B2" s="20"/>
      <c r="C2" s="20"/>
      <c r="D2" s="20"/>
      <c r="E2" s="20"/>
      <c r="F2" s="20"/>
    </row>
    <row r="3" customFormat="false" ht="18" hidden="false" customHeight="true" outlineLevel="0" collapsed="false">
      <c r="A3" s="3" t="str">
        <f aca="false">"Chantier : "&amp;P_Chantier&amp;"   |   Mission : "&amp;P_Mission&amp;"   |   Auteur : Moulo Jean Claude"</f>
        <v>Chantier : Route en terre A–B (20 km), ouvrages, bâtiment TCE, clôture, hangar (exemple)   |   Mission : Réalisation &amp; contrôle   |   Auteur : Moulo Jean Claude</v>
      </c>
      <c r="B3" s="3"/>
      <c r="C3" s="3"/>
      <c r="D3" s="3"/>
      <c r="E3" s="3"/>
      <c r="F3" s="3"/>
    </row>
    <row r="4" customFormat="false" ht="30" hidden="false" customHeight="true" outlineLevel="0" collapsed="false">
      <c r="A4" s="21" t="s">
        <v>1297</v>
      </c>
      <c r="B4" s="21"/>
      <c r="C4" s="21"/>
      <c r="D4" s="21"/>
      <c r="E4" s="21"/>
      <c r="F4" s="21"/>
    </row>
    <row r="6" customFormat="false" ht="15" hidden="false" customHeight="false" outlineLevel="0" collapsed="false">
      <c r="A6" s="8" t="s">
        <v>1298</v>
      </c>
      <c r="B6" s="8" t="s">
        <v>1299</v>
      </c>
    </row>
    <row r="7" customFormat="false" ht="15" hidden="false" customHeight="false" outlineLevel="0" collapsed="false">
      <c r="A7" s="100" t="s">
        <v>1300</v>
      </c>
      <c r="B7" s="101" t="s">
        <v>1301</v>
      </c>
    </row>
    <row r="8" customFormat="false" ht="15" hidden="false" customHeight="false" outlineLevel="0" collapsed="false">
      <c r="A8" s="100" t="s">
        <v>1302</v>
      </c>
      <c r="B8" s="101" t="s">
        <v>1303</v>
      </c>
    </row>
    <row r="9" customFormat="false" ht="15" hidden="false" customHeight="false" outlineLevel="0" collapsed="false">
      <c r="A9" s="100" t="s">
        <v>270</v>
      </c>
      <c r="B9" s="101" t="s">
        <v>1304</v>
      </c>
    </row>
    <row r="10" customFormat="false" ht="15" hidden="false" customHeight="false" outlineLevel="0" collapsed="false">
      <c r="A10" s="100" t="s">
        <v>269</v>
      </c>
      <c r="B10" s="101" t="s">
        <v>1305</v>
      </c>
    </row>
    <row r="11" customFormat="false" ht="15" hidden="false" customHeight="false" outlineLevel="0" collapsed="false">
      <c r="A11" s="100" t="s">
        <v>1306</v>
      </c>
      <c r="B11" s="101" t="s">
        <v>1307</v>
      </c>
    </row>
    <row r="12" customFormat="false" ht="15" hidden="false" customHeight="false" outlineLevel="0" collapsed="false">
      <c r="A12" s="100" t="s">
        <v>1308</v>
      </c>
      <c r="B12" s="101" t="s">
        <v>1309</v>
      </c>
    </row>
    <row r="13" customFormat="false" ht="15" hidden="false" customHeight="false" outlineLevel="0" collapsed="false">
      <c r="A13" s="100" t="s">
        <v>1310</v>
      </c>
      <c r="B13" s="101" t="s">
        <v>1311</v>
      </c>
    </row>
    <row r="14" customFormat="false" ht="15" hidden="false" customHeight="false" outlineLevel="0" collapsed="false">
      <c r="A14" s="100" t="s">
        <v>762</v>
      </c>
      <c r="B14" s="101" t="s">
        <v>1312</v>
      </c>
    </row>
    <row r="15" customFormat="false" ht="15" hidden="false" customHeight="false" outlineLevel="0" collapsed="false">
      <c r="A15" s="100" t="s">
        <v>1313</v>
      </c>
      <c r="B15" s="101" t="s">
        <v>1314</v>
      </c>
    </row>
    <row r="16" customFormat="false" ht="15" hidden="false" customHeight="false" outlineLevel="0" collapsed="false">
      <c r="A16" s="100" t="s">
        <v>1315</v>
      </c>
      <c r="B16" s="101" t="s">
        <v>1316</v>
      </c>
    </row>
    <row r="17" customFormat="false" ht="15" hidden="false" customHeight="false" outlineLevel="0" collapsed="false">
      <c r="A17" s="100" t="s">
        <v>1147</v>
      </c>
      <c r="B17" s="101" t="s">
        <v>1317</v>
      </c>
    </row>
    <row r="18" customFormat="false" ht="15" hidden="false" customHeight="false" outlineLevel="0" collapsed="false">
      <c r="A18" s="100" t="s">
        <v>1318</v>
      </c>
      <c r="B18" s="101" t="s">
        <v>1319</v>
      </c>
    </row>
    <row r="19" customFormat="false" ht="15" hidden="false" customHeight="false" outlineLevel="0" collapsed="false">
      <c r="A19" s="100" t="s">
        <v>1125</v>
      </c>
      <c r="B19" s="101" t="s">
        <v>1320</v>
      </c>
    </row>
    <row r="20" customFormat="false" ht="15" hidden="false" customHeight="false" outlineLevel="0" collapsed="false">
      <c r="A20" s="100" t="s">
        <v>1321</v>
      </c>
      <c r="B20" s="101" t="s">
        <v>1322</v>
      </c>
    </row>
    <row r="21" customFormat="false" ht="15" hidden="false" customHeight="false" outlineLevel="0" collapsed="false">
      <c r="A21" s="100" t="s">
        <v>1323</v>
      </c>
      <c r="B21" s="101" t="s">
        <v>1324</v>
      </c>
    </row>
    <row r="22" customFormat="false" ht="15" hidden="false" customHeight="false" outlineLevel="0" collapsed="false">
      <c r="A22" s="100" t="s">
        <v>1325</v>
      </c>
      <c r="B22" s="101" t="s">
        <v>1326</v>
      </c>
    </row>
    <row r="23" customFormat="false" ht="15" hidden="false" customHeight="false" outlineLevel="0" collapsed="false">
      <c r="A23" s="100" t="s">
        <v>1327</v>
      </c>
      <c r="B23" s="101" t="s">
        <v>1328</v>
      </c>
    </row>
    <row r="24" customFormat="false" ht="15" hidden="false" customHeight="false" outlineLevel="0" collapsed="false">
      <c r="A24" s="100" t="s">
        <v>1329</v>
      </c>
      <c r="B24" s="101" t="s">
        <v>1330</v>
      </c>
    </row>
    <row r="25" customFormat="false" ht="15" hidden="false" customHeight="false" outlineLevel="0" collapsed="false">
      <c r="A25" s="100" t="s">
        <v>1331</v>
      </c>
      <c r="B25" s="101" t="s">
        <v>1332</v>
      </c>
    </row>
    <row r="26" customFormat="false" ht="15" hidden="false" customHeight="false" outlineLevel="0" collapsed="false">
      <c r="A26" s="100" t="s">
        <v>1333</v>
      </c>
      <c r="B26" s="101" t="s">
        <v>1334</v>
      </c>
    </row>
    <row r="27" customFormat="false" ht="15" hidden="false" customHeight="false" outlineLevel="0" collapsed="false">
      <c r="A27" s="100" t="s">
        <v>1335</v>
      </c>
      <c r="B27" s="101" t="s">
        <v>1336</v>
      </c>
    </row>
    <row r="28" customFormat="false" ht="15" hidden="false" customHeight="false" outlineLevel="0" collapsed="false">
      <c r="A28" s="100" t="s">
        <v>253</v>
      </c>
      <c r="B28" s="101" t="s">
        <v>1337</v>
      </c>
    </row>
    <row r="29" customFormat="false" ht="15" hidden="false" customHeight="false" outlineLevel="0" collapsed="false">
      <c r="A29" s="100" t="s">
        <v>1338</v>
      </c>
      <c r="B29" s="101" t="s">
        <v>1339</v>
      </c>
    </row>
    <row r="30" customFormat="false" ht="15" hidden="false" customHeight="false" outlineLevel="0" collapsed="false">
      <c r="A30" s="100" t="s">
        <v>1340</v>
      </c>
      <c r="B30" s="101" t="s">
        <v>1341</v>
      </c>
    </row>
    <row r="31" customFormat="false" ht="15" hidden="false" customHeight="false" outlineLevel="0" collapsed="false">
      <c r="A31" s="100" t="s">
        <v>197</v>
      </c>
      <c r="B31" s="101" t="s">
        <v>1342</v>
      </c>
    </row>
    <row r="32" customFormat="false" ht="15" hidden="false" customHeight="false" outlineLevel="0" collapsed="false">
      <c r="A32" s="100" t="s">
        <v>1343</v>
      </c>
      <c r="B32" s="101" t="s">
        <v>1344</v>
      </c>
    </row>
    <row r="33" customFormat="false" ht="15" hidden="false" customHeight="false" outlineLevel="0" collapsed="false">
      <c r="A33" s="100" t="s">
        <v>1216</v>
      </c>
      <c r="B33" s="101" t="s">
        <v>1345</v>
      </c>
    </row>
    <row r="34" customFormat="false" ht="15" hidden="false" customHeight="false" outlineLevel="0" collapsed="false">
      <c r="A34" s="100" t="s">
        <v>1346</v>
      </c>
      <c r="B34" s="101" t="s">
        <v>1347</v>
      </c>
    </row>
    <row r="35" customFormat="false" ht="15" hidden="false" customHeight="false" outlineLevel="0" collapsed="false">
      <c r="A35" s="100" t="s">
        <v>1348</v>
      </c>
      <c r="B35" s="101" t="s">
        <v>1349</v>
      </c>
    </row>
    <row r="36" customFormat="false" ht="15" hidden="false" customHeight="false" outlineLevel="0" collapsed="false">
      <c r="A36" s="100" t="s">
        <v>1350</v>
      </c>
      <c r="B36" s="101" t="s">
        <v>1351</v>
      </c>
    </row>
    <row r="37" customFormat="false" ht="15" hidden="false" customHeight="false" outlineLevel="0" collapsed="false">
      <c r="A37" s="100" t="s">
        <v>1352</v>
      </c>
      <c r="B37" s="101" t="s">
        <v>1353</v>
      </c>
    </row>
    <row r="38" customFormat="false" ht="15" hidden="false" customHeight="false" outlineLevel="0" collapsed="false">
      <c r="A38" s="100" t="s">
        <v>1100</v>
      </c>
      <c r="B38" s="101" t="s">
        <v>1354</v>
      </c>
    </row>
    <row r="39" customFormat="false" ht="15" hidden="false" customHeight="false" outlineLevel="0" collapsed="false">
      <c r="A39" s="100" t="s">
        <v>1355</v>
      </c>
      <c r="B39" s="101" t="s">
        <v>1356</v>
      </c>
    </row>
    <row r="40" customFormat="false" ht="15" hidden="false" customHeight="false" outlineLevel="0" collapsed="false">
      <c r="A40" s="100" t="s">
        <v>1357</v>
      </c>
      <c r="B40" s="101" t="s">
        <v>1358</v>
      </c>
    </row>
    <row r="41" customFormat="false" ht="15" hidden="false" customHeight="false" outlineLevel="0" collapsed="false">
      <c r="A41" s="100" t="s">
        <v>1022</v>
      </c>
      <c r="B41" s="101" t="s">
        <v>1359</v>
      </c>
    </row>
    <row r="42" customFormat="false" ht="15" hidden="false" customHeight="false" outlineLevel="0" collapsed="false">
      <c r="A42" s="100" t="s">
        <v>1360</v>
      </c>
      <c r="B42" s="101" t="s">
        <v>1361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&amp;LMETRIX AVANCÉ CHANTIER BTP&amp;R&amp;A</oddHeader>
    <oddFooter>&amp;LAuteur : Moulo Jean Claude&amp;RPage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2026-10-16T16:40:03Z</dcterms:created>
  <dc:creator>Moulo Jean Claude</dc:creator>
  <dc:description/>
  <dc:language>en-US</dc:language>
  <cp:lastModifiedBy/>
  <dcterms:modified xsi:type="dcterms:W3CDTF">2026-10-16T16:40:14Z</dcterms:modified>
  <cp:revision>1</cp:revision>
  <dc:subject>Pilotage de chantier BTP</dc:subject>
  <dc:title>Metrix Avancé Chantier BTP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